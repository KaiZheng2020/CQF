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trlProps/ctrlProp1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esktop\CQF\M3 - Equities and Currencies\L6 - Understanding Volatility\January 2022 M3L6 Dynamic Hedging w Gamma\"/>
    </mc:Choice>
  </mc:AlternateContent>
  <xr:revisionPtr revIDLastSave="0" documentId="13_ncr:1_{3F3FD406-F838-4225-9625-6EBBE64436D0}" xr6:coauthVersionLast="47" xr6:coauthVersionMax="47" xr10:uidLastSave="{00000000-0000-0000-0000-000000000000}"/>
  <bookViews>
    <workbookView xWindow="45972" yWindow="-108" windowWidth="30936" windowHeight="16776" xr2:uid="{00000000-000D-0000-FFFF-FFFF00000000}"/>
  </bookViews>
  <sheets>
    <sheet name="Greeks" sheetId="10" r:id="rId1"/>
    <sheet name="Delta Hedge" sheetId="7" r:id="rId2"/>
    <sheet name="P&amp;L Study" sheetId="9" r:id="rId3"/>
    <sheet name="Uncertain Vol." sheetId="1" state="hidden" r:id="rId4"/>
    <sheet name="UVM Binary" sheetId="6" state="hidden" r:id="rId5"/>
  </sheets>
  <functionGroups builtInGroupCount="19"/>
  <definedNames>
    <definedName name="BS_IVHigh">Greeks!$D$12</definedName>
    <definedName name="BS_IVLow">Greeks!$C$12</definedName>
    <definedName name="BS_K">Greeks!$C$2</definedName>
    <definedName name="BS_r">Greeks!$C$3</definedName>
    <definedName name="BS_T">Greeks!$C$4</definedName>
    <definedName name="Delta_0">'P&amp;L Study'!$D$11</definedName>
    <definedName name="DH_dt">'Delta Hedge'!$D$5</definedName>
    <definedName name="DH_PriceT">'Delta Hedge'!$B$112</definedName>
    <definedName name="DH_Rate">'Delta Hedge'!$B$3</definedName>
    <definedName name="DH_Strike">'Delta Hedge'!$B$2</definedName>
    <definedName name="DH_Term">'Delta Hedge'!$B$5</definedName>
    <definedName name="dt">'P&amp;L Study'!$B$6</definedName>
    <definedName name="PL_K">'P&amp;L Study'!$B$3</definedName>
    <definedName name="PL_r">'P&amp;L Study'!$B$2</definedName>
    <definedName name="PL_T">'P&amp;L Study'!$B$4</definedName>
    <definedName name="PL_Vol_a">'P&amp;L Study'!$E$1</definedName>
    <definedName name="PL_Vol_i">'P&amp;L Study'!$E$2</definedName>
    <definedName name="PL_Vol_sim">'P&amp;L Study'!$E$6</definedName>
    <definedName name="S_0">'P&amp;L Study'!$B$11</definedName>
    <definedName name="V_0">'P&amp;L Study'!$C$11</definedName>
    <definedName name="Vol_a">'P&amp;L Study'!$E$1</definedName>
    <definedName name="Vol_i">'P&amp;L Study'!$E$2</definedName>
    <definedName name="Vol_sim">'P&amp;L Study'!$E$6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2" i="9" l="1"/>
  <c r="B13" i="7"/>
  <c r="B14" i="7" s="1"/>
  <c r="B15" i="7" s="1"/>
  <c r="B16" i="7" s="1"/>
  <c r="B17" i="7" s="1"/>
  <c r="B18" i="7" s="1"/>
  <c r="B19" i="7" s="1"/>
  <c r="I112" i="7"/>
  <c r="Q112" i="9"/>
  <c r="Q113" i="9"/>
  <c r="Q114" i="9"/>
  <c r="Q115" i="9"/>
  <c r="Q116" i="9"/>
  <c r="Q117" i="9"/>
  <c r="Q118" i="9"/>
  <c r="Q119" i="9"/>
  <c r="Q120" i="9"/>
  <c r="Q121" i="9"/>
  <c r="Q122" i="9"/>
  <c r="Q123" i="9"/>
  <c r="Q124" i="9"/>
  <c r="Q125" i="9"/>
  <c r="Q126" i="9"/>
  <c r="Q127" i="9"/>
  <c r="Q128" i="9"/>
  <c r="Q129" i="9"/>
  <c r="Q130" i="9"/>
  <c r="Q131" i="9"/>
  <c r="Q132" i="9"/>
  <c r="Q133" i="9"/>
  <c r="Q134" i="9"/>
  <c r="Q135" i="9"/>
  <c r="Q136" i="9"/>
  <c r="Q137" i="9"/>
  <c r="Q138" i="9"/>
  <c r="Q139" i="9"/>
  <c r="Q140" i="9"/>
  <c r="Q141" i="9"/>
  <c r="Q142" i="9"/>
  <c r="Q143" i="9"/>
  <c r="Q144" i="9"/>
  <c r="Q145" i="9"/>
  <c r="Q146" i="9"/>
  <c r="Q147" i="9"/>
  <c r="Q148" i="9"/>
  <c r="Q149" i="9"/>
  <c r="Q150" i="9"/>
  <c r="Q151" i="9"/>
  <c r="Q152" i="9"/>
  <c r="Q153" i="9"/>
  <c r="Q154" i="9"/>
  <c r="Q155" i="9"/>
  <c r="Q156" i="9"/>
  <c r="Q157" i="9"/>
  <c r="Q158" i="9"/>
  <c r="Q159" i="9"/>
  <c r="Q160" i="9"/>
  <c r="Q161" i="9"/>
  <c r="Q162" i="9"/>
  <c r="Q163" i="9"/>
  <c r="Q164" i="9"/>
  <c r="Q165" i="9"/>
  <c r="Q166" i="9"/>
  <c r="Q167" i="9"/>
  <c r="Q168" i="9"/>
  <c r="Q169" i="9"/>
  <c r="Q170" i="9"/>
  <c r="Q171" i="9"/>
  <c r="Q172" i="9"/>
  <c r="Q173" i="9"/>
  <c r="Q174" i="9"/>
  <c r="Q175" i="9"/>
  <c r="Q176" i="9"/>
  <c r="Q177" i="9"/>
  <c r="Q178" i="9"/>
  <c r="Q179" i="9"/>
  <c r="Q180" i="9"/>
  <c r="Q181" i="9"/>
  <c r="Q182" i="9"/>
  <c r="Q183" i="9"/>
  <c r="Q184" i="9"/>
  <c r="Q185" i="9"/>
  <c r="Q186" i="9"/>
  <c r="Q187" i="9"/>
  <c r="Q188" i="9"/>
  <c r="Q189" i="9"/>
  <c r="Q190" i="9"/>
  <c r="Q191" i="9"/>
  <c r="Q192" i="9"/>
  <c r="Q193" i="9"/>
  <c r="Q194" i="9"/>
  <c r="Q195" i="9"/>
  <c r="Q196" i="9"/>
  <c r="Q197" i="9"/>
  <c r="Q198" i="9"/>
  <c r="Q199" i="9"/>
  <c r="Q200" i="9"/>
  <c r="Q201" i="9"/>
  <c r="Q202" i="9"/>
  <c r="Q203" i="9"/>
  <c r="Q204" i="9"/>
  <c r="Q205" i="9"/>
  <c r="Q206" i="9"/>
  <c r="Q207" i="9"/>
  <c r="Q208" i="9"/>
  <c r="Q209" i="9"/>
  <c r="Q210" i="9"/>
  <c r="Q211" i="9"/>
  <c r="Q1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5" i="9"/>
  <c r="Q36" i="9"/>
  <c r="Q37" i="9"/>
  <c r="Q38" i="9"/>
  <c r="Q39" i="9"/>
  <c r="Q40" i="9"/>
  <c r="Q41" i="9"/>
  <c r="Q42" i="9"/>
  <c r="Q43" i="9"/>
  <c r="Q44" i="9"/>
  <c r="Q45" i="9"/>
  <c r="Q46" i="9"/>
  <c r="Q47" i="9"/>
  <c r="Q48" i="9"/>
  <c r="Q49" i="9"/>
  <c r="Q50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Q67" i="9"/>
  <c r="Q68" i="9"/>
  <c r="Q69" i="9"/>
  <c r="Q70" i="9"/>
  <c r="Q71" i="9"/>
  <c r="Q72" i="9"/>
  <c r="Q73" i="9"/>
  <c r="Q74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Q88" i="9"/>
  <c r="Q89" i="9"/>
  <c r="Q90" i="9"/>
  <c r="Q91" i="9"/>
  <c r="Q92" i="9"/>
  <c r="Q93" i="9"/>
  <c r="Q94" i="9"/>
  <c r="Q95" i="9"/>
  <c r="Q96" i="9"/>
  <c r="Q97" i="9"/>
  <c r="Q98" i="9"/>
  <c r="Q99" i="9"/>
  <c r="Q100" i="9"/>
  <c r="Q101" i="9"/>
  <c r="Q102" i="9"/>
  <c r="Q103" i="9"/>
  <c r="Q104" i="9"/>
  <c r="Q105" i="9"/>
  <c r="Q106" i="9"/>
  <c r="Q107" i="9"/>
  <c r="Q108" i="9"/>
  <c r="Q109" i="9"/>
  <c r="Q110" i="9"/>
  <c r="Q11" i="9"/>
  <c r="F12" i="10"/>
  <c r="E12" i="10"/>
  <c r="C14" i="10"/>
  <c r="F111" i="10"/>
  <c r="D99" i="10"/>
  <c r="D54" i="10"/>
  <c r="C41" i="10"/>
  <c r="F75" i="10"/>
  <c r="C37" i="10"/>
  <c r="F79" i="10"/>
  <c r="F35" i="10"/>
  <c r="E19" i="10"/>
  <c r="E99" i="10"/>
  <c r="F40" i="10"/>
  <c r="E24" i="10"/>
  <c r="E104" i="10"/>
  <c r="F45" i="10"/>
  <c r="E29" i="10"/>
  <c r="E109" i="10"/>
  <c r="E90" i="10"/>
  <c r="D102" i="10"/>
  <c r="C92" i="10"/>
  <c r="D67" i="10"/>
  <c r="D35" i="10"/>
  <c r="F66" i="10"/>
  <c r="D72" i="10"/>
  <c r="D45" i="10"/>
  <c r="C70" i="10"/>
  <c r="C105" i="10"/>
  <c r="D80" i="10"/>
  <c r="D17" i="10"/>
  <c r="F62" i="10"/>
  <c r="D81" i="10"/>
  <c r="E69" i="10"/>
  <c r="F89" i="10"/>
  <c r="F39" i="10"/>
  <c r="E23" i="10"/>
  <c r="E103" i="10"/>
  <c r="F44" i="10"/>
  <c r="E28" i="10"/>
  <c r="E108" i="10"/>
  <c r="F49" i="10"/>
  <c r="E33" i="10"/>
  <c r="E113" i="10"/>
  <c r="E106" i="10"/>
  <c r="D106" i="10"/>
  <c r="C96" i="10"/>
  <c r="D75" i="10"/>
  <c r="D43" i="10"/>
  <c r="F82" i="10"/>
  <c r="D76" i="10"/>
  <c r="D49" i="10"/>
  <c r="C78" i="10"/>
  <c r="C110" i="10"/>
  <c r="C113" i="10"/>
  <c r="C17" i="7"/>
  <c r="F43" i="10"/>
  <c r="E27" i="10"/>
  <c r="E107" i="10"/>
  <c r="F48" i="10"/>
  <c r="E32" i="10"/>
  <c r="E112" i="10"/>
  <c r="F53" i="10"/>
  <c r="E37" i="10"/>
  <c r="D22" i="10"/>
  <c r="D27" i="10"/>
  <c r="D110" i="10"/>
  <c r="C100" i="10"/>
  <c r="D83" i="10"/>
  <c r="F98" i="10"/>
  <c r="C14" i="7"/>
  <c r="D89" i="10"/>
  <c r="E56" i="10"/>
  <c r="D97" i="10"/>
  <c r="I17" i="7"/>
  <c r="D31" i="10"/>
  <c r="E73" i="10"/>
  <c r="C39" i="10"/>
  <c r="F47" i="10"/>
  <c r="E31" i="10"/>
  <c r="E111" i="10"/>
  <c r="F52" i="10"/>
  <c r="E36" i="10"/>
  <c r="D21" i="10"/>
  <c r="F57" i="10"/>
  <c r="E41" i="10"/>
  <c r="D26" i="10"/>
  <c r="D34" i="10"/>
  <c r="C24" i="10"/>
  <c r="C104" i="10"/>
  <c r="D91" i="10"/>
  <c r="D59" i="10"/>
  <c r="F14" i="10"/>
  <c r="D84" i="10"/>
  <c r="D57" i="10"/>
  <c r="C93" i="10"/>
  <c r="D108" i="10"/>
  <c r="C95" i="10"/>
  <c r="I15" i="7"/>
  <c r="E39" i="10"/>
  <c r="E49" i="10"/>
  <c r="C32" i="10"/>
  <c r="D103" i="10"/>
  <c r="D79" i="10"/>
  <c r="F38" i="10"/>
  <c r="C13" i="7"/>
  <c r="C58" i="10"/>
  <c r="F72" i="10"/>
  <c r="D77" i="10"/>
  <c r="C35" i="10"/>
  <c r="C52" i="10"/>
  <c r="F42" i="10"/>
  <c r="C111" i="10"/>
  <c r="F51" i="10"/>
  <c r="E35" i="10"/>
  <c r="D20" i="10"/>
  <c r="F56" i="10"/>
  <c r="E40" i="10"/>
  <c r="D25" i="10"/>
  <c r="F61" i="10"/>
  <c r="E45" i="10"/>
  <c r="D38" i="10"/>
  <c r="C28" i="10"/>
  <c r="C108" i="10"/>
  <c r="D95" i="10"/>
  <c r="D71" i="10"/>
  <c r="E34" i="10"/>
  <c r="F22" i="10"/>
  <c r="D61" i="10"/>
  <c r="C98" i="10"/>
  <c r="C26" i="10"/>
  <c r="C97" i="10"/>
  <c r="I16" i="7"/>
  <c r="H2" i="9"/>
  <c r="F55" i="10"/>
  <c r="D24" i="10"/>
  <c r="F60" i="10"/>
  <c r="E44" i="10"/>
  <c r="D29" i="10"/>
  <c r="F65" i="10"/>
  <c r="E14" i="10"/>
  <c r="D42" i="10"/>
  <c r="C112" i="10"/>
  <c r="E50" i="10"/>
  <c r="D73" i="10"/>
  <c r="I19" i="7"/>
  <c r="E51" i="10"/>
  <c r="C33" i="10"/>
  <c r="F78" i="10"/>
  <c r="E59" i="10"/>
  <c r="D62" i="10"/>
  <c r="C11" i="9"/>
  <c r="F59" i="10"/>
  <c r="E43" i="10"/>
  <c r="D28" i="10"/>
  <c r="F64" i="10"/>
  <c r="E48" i="10"/>
  <c r="B12" i="9"/>
  <c r="C12" i="9" s="1"/>
  <c r="F69" i="10"/>
  <c r="E53" i="10"/>
  <c r="E18" i="10"/>
  <c r="D46" i="10"/>
  <c r="C36" i="10"/>
  <c r="F4" i="7"/>
  <c r="D111" i="10"/>
  <c r="D87" i="10"/>
  <c r="E66" i="10"/>
  <c r="F54" i="10"/>
  <c r="D69" i="10"/>
  <c r="C109" i="10"/>
  <c r="C50" i="10"/>
  <c r="D101" i="10"/>
  <c r="C18" i="7"/>
  <c r="F63" i="10"/>
  <c r="D32" i="10"/>
  <c r="F68" i="10"/>
  <c r="E17" i="10"/>
  <c r="F73" i="10"/>
  <c r="E82" i="10"/>
  <c r="E61" i="10"/>
  <c r="C27" i="10"/>
  <c r="F110" i="10"/>
  <c r="E30" i="10"/>
  <c r="D88" i="10"/>
  <c r="E15" i="10"/>
  <c r="E47" i="10"/>
  <c r="E52" i="10"/>
  <c r="E57" i="10"/>
  <c r="D109" i="10"/>
  <c r="F67" i="10"/>
  <c r="F77" i="10"/>
  <c r="F86" i="10"/>
  <c r="D19" i="10"/>
  <c r="E64" i="10"/>
  <c r="C101" i="10"/>
  <c r="F84" i="10"/>
  <c r="D18" i="10"/>
  <c r="F71" i="10"/>
  <c r="E55" i="10"/>
  <c r="E16" i="10"/>
  <c r="F76" i="10"/>
  <c r="E60" i="10"/>
  <c r="C15" i="10"/>
  <c r="F81" i="10"/>
  <c r="E65" i="10"/>
  <c r="C20" i="10"/>
  <c r="D58" i="10"/>
  <c r="C48" i="10"/>
  <c r="F80" i="10"/>
  <c r="D85" i="10"/>
  <c r="E68" i="10"/>
  <c r="D15" i="10"/>
  <c r="E63" i="10"/>
  <c r="C12" i="7"/>
  <c r="F83" i="10"/>
  <c r="E67" i="10"/>
  <c r="C18" i="10"/>
  <c r="F88" i="10"/>
  <c r="E72" i="10"/>
  <c r="D11" i="9"/>
  <c r="F93" i="10"/>
  <c r="E77" i="10"/>
  <c r="F58" i="10"/>
  <c r="D70" i="10"/>
  <c r="C60" i="10"/>
  <c r="E62" i="10"/>
  <c r="C65" i="10"/>
  <c r="C53" i="10"/>
  <c r="D40" i="10"/>
  <c r="E54" i="10"/>
  <c r="D96" i="10"/>
  <c r="C47" i="10"/>
  <c r="C91" i="10"/>
  <c r="C59" i="10"/>
  <c r="C57" i="10"/>
  <c r="I12" i="7"/>
  <c r="F87" i="10"/>
  <c r="E71" i="10"/>
  <c r="C22" i="10"/>
  <c r="F92" i="10"/>
  <c r="E76" i="10"/>
  <c r="F17" i="10"/>
  <c r="F97" i="10"/>
  <c r="E81" i="10"/>
  <c r="F74" i="10"/>
  <c r="D74" i="10"/>
  <c r="C64" i="10"/>
  <c r="E78" i="10"/>
  <c r="C69" i="10"/>
  <c r="C61" i="10"/>
  <c r="D44" i="10"/>
  <c r="E70" i="10"/>
  <c r="D104" i="10"/>
  <c r="C55" i="10"/>
  <c r="C107" i="10"/>
  <c r="C67" i="10"/>
  <c r="C19" i="10"/>
  <c r="C43" i="10"/>
  <c r="D66" i="10"/>
  <c r="R11" i="9"/>
  <c r="F91" i="10"/>
  <c r="E75" i="10"/>
  <c r="F16" i="10"/>
  <c r="F96" i="10"/>
  <c r="E80" i="10"/>
  <c r="F21" i="10"/>
  <c r="F101" i="10"/>
  <c r="E85" i="10"/>
  <c r="F90" i="10"/>
  <c r="D78" i="10"/>
  <c r="C68" i="10"/>
  <c r="E110" i="10"/>
  <c r="C77" i="10"/>
  <c r="C73" i="10"/>
  <c r="D48" i="10"/>
  <c r="E86" i="10"/>
  <c r="D112" i="10"/>
  <c r="C63" i="10"/>
  <c r="C31" i="10"/>
  <c r="C75" i="10"/>
  <c r="D82" i="10"/>
  <c r="C81" i="10"/>
  <c r="E102" i="10"/>
  <c r="C71" i="10"/>
  <c r="C42" i="10"/>
  <c r="E26" i="10"/>
  <c r="F46" i="10"/>
  <c r="D23" i="10"/>
  <c r="C66" i="10"/>
  <c r="D63" i="10"/>
  <c r="C99" i="10"/>
  <c r="D51" i="10"/>
  <c r="D92" i="10"/>
  <c r="D50" i="10"/>
  <c r="H1" i="9"/>
  <c r="D107" i="10"/>
  <c r="C25" i="10"/>
  <c r="C17" i="10"/>
  <c r="E22" i="10"/>
  <c r="C21" i="10"/>
  <c r="E38" i="10"/>
  <c r="F15" i="10"/>
  <c r="F95" i="10"/>
  <c r="E79" i="10"/>
  <c r="F20" i="10"/>
  <c r="F100" i="10"/>
  <c r="E84" i="10"/>
  <c r="F25" i="10"/>
  <c r="F105" i="10"/>
  <c r="E89" i="10"/>
  <c r="F106" i="10"/>
  <c r="C72" i="10"/>
  <c r="D30" i="10"/>
  <c r="C85" i="10"/>
  <c r="D52" i="10"/>
  <c r="C30" i="10"/>
  <c r="C102" i="10"/>
  <c r="C76" i="10"/>
  <c r="D56" i="10"/>
  <c r="C79" i="10"/>
  <c r="E94" i="10"/>
  <c r="C62" i="10"/>
  <c r="C83" i="10"/>
  <c r="D53" i="10"/>
  <c r="C34" i="10"/>
  <c r="C29" i="10"/>
  <c r="D14" i="10"/>
  <c r="E98" i="10"/>
  <c r="D105" i="10"/>
  <c r="D113" i="10"/>
  <c r="C45" i="10"/>
  <c r="F19" i="10"/>
  <c r="F99" i="10"/>
  <c r="E83" i="10"/>
  <c r="F24" i="10"/>
  <c r="F104" i="10"/>
  <c r="E88" i="10"/>
  <c r="F29" i="10"/>
  <c r="F109" i="10"/>
  <c r="E93" i="10"/>
  <c r="D86" i="10"/>
  <c r="D39" i="10"/>
  <c r="C89" i="10"/>
  <c r="C38" i="10"/>
  <c r="D12" i="9"/>
  <c r="K2" i="1" a="1"/>
  <c r="C103" i="10"/>
  <c r="F70" i="10"/>
  <c r="D16" i="10"/>
  <c r="C74" i="10"/>
  <c r="C82" i="10"/>
  <c r="F85" i="10"/>
  <c r="I14" i="7"/>
  <c r="D36" i="10"/>
  <c r="F23" i="10"/>
  <c r="F103" i="10"/>
  <c r="E87" i="10"/>
  <c r="F28" i="10"/>
  <c r="F108" i="10"/>
  <c r="E92" i="10"/>
  <c r="F33" i="10"/>
  <c r="F113" i="10"/>
  <c r="E97" i="10"/>
  <c r="E42" i="10"/>
  <c r="D90" i="10"/>
  <c r="C80" i="10"/>
  <c r="D47" i="10"/>
  <c r="F94" i="10"/>
  <c r="F18" i="10"/>
  <c r="D60" i="10"/>
  <c r="D33" i="10"/>
  <c r="C46" i="10"/>
  <c r="C87" i="10"/>
  <c r="C90" i="10"/>
  <c r="R12" i="9"/>
  <c r="F41" i="10"/>
  <c r="D68" i="10"/>
  <c r="C15" i="7"/>
  <c r="D100" i="10"/>
  <c r="D93" i="10"/>
  <c r="F30" i="10"/>
  <c r="C16" i="10"/>
  <c r="I13" i="7"/>
  <c r="C49" i="10"/>
  <c r="C56" i="10"/>
  <c r="C51" i="10"/>
  <c r="F27" i="10"/>
  <c r="F107" i="10"/>
  <c r="E91" i="10"/>
  <c r="F32" i="10"/>
  <c r="F112" i="10"/>
  <c r="E96" i="10"/>
  <c r="F37" i="10"/>
  <c r="E21" i="10"/>
  <c r="E101" i="10"/>
  <c r="E58" i="10"/>
  <c r="D94" i="10"/>
  <c r="C84" i="10"/>
  <c r="D55" i="10"/>
  <c r="E46" i="10"/>
  <c r="F34" i="10"/>
  <c r="D64" i="10"/>
  <c r="D37" i="10"/>
  <c r="C54" i="10"/>
  <c r="C94" i="10"/>
  <c r="C106" i="10"/>
  <c r="I18" i="7"/>
  <c r="F31" i="10"/>
  <c r="E95" i="10"/>
  <c r="F36" i="10"/>
  <c r="E20" i="10"/>
  <c r="E100" i="10"/>
  <c r="E25" i="10"/>
  <c r="E105" i="10"/>
  <c r="E74" i="10"/>
  <c r="D98" i="10"/>
  <c r="C88" i="10"/>
  <c r="F50" i="10"/>
  <c r="D41" i="10"/>
  <c r="C19" i="7"/>
  <c r="C86" i="10"/>
  <c r="D65" i="10"/>
  <c r="C40" i="10"/>
  <c r="C44" i="10"/>
  <c r="F102" i="10"/>
  <c r="F26" i="10"/>
  <c r="C23" i="10"/>
  <c r="C16" i="7"/>
  <c r="D17" i="7" l="1"/>
  <c r="E17" i="7" s="1"/>
  <c r="D15" i="7"/>
  <c r="E15" i="7" s="1"/>
  <c r="E12" i="9"/>
  <c r="E11" i="9"/>
  <c r="F11" i="9" s="1"/>
  <c r="G11" i="9" s="1"/>
  <c r="D19" i="7"/>
  <c r="E19" i="7" s="1"/>
  <c r="D16" i="7"/>
  <c r="E16" i="7" s="1"/>
  <c r="V12" i="9"/>
  <c r="S12" i="9" s="1"/>
  <c r="D18" i="7"/>
  <c r="D14" i="7"/>
  <c r="E14" i="7" s="1"/>
  <c r="H3" i="9"/>
  <c r="D13" i="7"/>
  <c r="E13" i="7" s="1"/>
  <c r="D12" i="7"/>
  <c r="E12" i="7" s="1"/>
  <c r="F12" i="7" s="1"/>
  <c r="L20" i="1"/>
  <c r="K54" i="1"/>
  <c r="K59" i="1"/>
  <c r="K80" i="1"/>
  <c r="K8" i="1"/>
  <c r="K17" i="1"/>
  <c r="L19" i="1"/>
  <c r="K21" i="1"/>
  <c r="L24" i="1"/>
  <c r="L41" i="1"/>
  <c r="L76" i="1"/>
  <c r="M63" i="1"/>
  <c r="M68" i="1"/>
  <c r="M89" i="1"/>
  <c r="L6" i="1"/>
  <c r="M65" i="1"/>
  <c r="L99" i="1"/>
  <c r="L60" i="1"/>
  <c r="M36" i="1"/>
  <c r="M3" i="1"/>
  <c r="L29" i="1"/>
  <c r="K94" i="1"/>
  <c r="K88" i="1"/>
  <c r="L59" i="1"/>
  <c r="K10" i="1"/>
  <c r="M93" i="1"/>
  <c r="M37" i="1"/>
  <c r="M99" i="1"/>
  <c r="M72" i="1"/>
  <c r="M77" i="1"/>
  <c r="M102" i="1"/>
  <c r="K73" i="1"/>
  <c r="L95" i="1"/>
  <c r="L8" i="1"/>
  <c r="M60" i="1"/>
  <c r="M58" i="1"/>
  <c r="M101" i="1"/>
  <c r="K86" i="1"/>
  <c r="M9" i="1"/>
  <c r="L55" i="1"/>
  <c r="M27" i="1"/>
  <c r="K44" i="1"/>
  <c r="K7" i="1"/>
  <c r="M30" i="1"/>
  <c r="L80" i="1"/>
  <c r="L89" i="1"/>
  <c r="M55" i="1"/>
  <c r="M6" i="1"/>
  <c r="K18" i="1"/>
  <c r="L21" i="1"/>
  <c r="L15" i="1"/>
  <c r="L14" i="1"/>
  <c r="K102" i="1"/>
  <c r="M25" i="1"/>
  <c r="K40" i="1"/>
  <c r="K19" i="1"/>
  <c r="M98" i="1"/>
  <c r="M64" i="1"/>
  <c r="L96" i="1"/>
  <c r="L83" i="1"/>
  <c r="M59" i="1"/>
  <c r="M73" i="1"/>
  <c r="K36" i="1"/>
  <c r="M39" i="1"/>
  <c r="K41" i="1"/>
  <c r="M28" i="1"/>
  <c r="L90" i="1"/>
  <c r="K74" i="1"/>
  <c r="L17" i="1"/>
  <c r="K77" i="1"/>
  <c r="M67" i="1"/>
  <c r="L28" i="1"/>
  <c r="M85" i="1"/>
  <c r="M16" i="1"/>
  <c r="L87" i="1"/>
  <c r="K12" i="1"/>
  <c r="K68" i="1"/>
  <c r="M24" i="1"/>
  <c r="L38" i="1"/>
  <c r="K5" i="1"/>
  <c r="L5" i="1"/>
  <c r="K46" i="1"/>
  <c r="K26" i="1"/>
  <c r="K3" i="1"/>
  <c r="K24" i="1"/>
  <c r="M53" i="1"/>
  <c r="M61" i="1"/>
  <c r="K9" i="1"/>
  <c r="K23" i="1"/>
  <c r="K85" i="1"/>
  <c r="L56" i="1"/>
  <c r="L7" i="1"/>
  <c r="L10" i="1"/>
  <c r="K34" i="1"/>
  <c r="L33" i="1"/>
  <c r="K95" i="1"/>
  <c r="M22" i="1"/>
  <c r="K66" i="1"/>
  <c r="L97" i="1"/>
  <c r="L47" i="1"/>
  <c r="L50" i="1"/>
  <c r="M11" i="1"/>
  <c r="M32" i="1"/>
  <c r="K63" i="1"/>
  <c r="K93" i="1"/>
  <c r="M54" i="1"/>
  <c r="L16" i="1"/>
  <c r="L34" i="1"/>
  <c r="L27" i="1"/>
  <c r="M95" i="1"/>
  <c r="M34" i="1"/>
  <c r="K55" i="1"/>
  <c r="L39" i="1"/>
  <c r="K92" i="1"/>
  <c r="M81" i="1"/>
  <c r="M80" i="1"/>
  <c r="M62" i="1"/>
  <c r="M76" i="1"/>
  <c r="K78" i="1"/>
  <c r="K84" i="1"/>
  <c r="L12" i="1"/>
  <c r="M66" i="1"/>
  <c r="L23" i="1"/>
  <c r="L37" i="1"/>
  <c r="K97" i="1"/>
  <c r="K67" i="1"/>
  <c r="K56" i="1"/>
  <c r="M41" i="1"/>
  <c r="L88" i="1"/>
  <c r="K99" i="1"/>
  <c r="M18" i="1"/>
  <c r="L51" i="1"/>
  <c r="K31" i="1"/>
  <c r="M83" i="1"/>
  <c r="K2" i="1"/>
  <c r="L4" i="1"/>
  <c r="M87" i="1"/>
  <c r="K70" i="1"/>
  <c r="K101" i="1"/>
  <c r="L74" i="1"/>
  <c r="M2" i="1"/>
  <c r="M5" i="1"/>
  <c r="K32" i="1"/>
  <c r="L35" i="1"/>
  <c r="L86" i="1"/>
  <c r="M94" i="1"/>
  <c r="K50" i="1"/>
  <c r="L32" i="1"/>
  <c r="L2" i="1"/>
  <c r="K79" i="1"/>
  <c r="M14" i="1"/>
  <c r="K43" i="1"/>
  <c r="M82" i="1"/>
  <c r="L84" i="1"/>
  <c r="K20" i="1"/>
  <c r="M12" i="1"/>
  <c r="L93" i="1"/>
  <c r="L91" i="1"/>
  <c r="L78" i="1"/>
  <c r="M35" i="1"/>
  <c r="L75" i="1"/>
  <c r="M17" i="1"/>
  <c r="M23" i="1"/>
  <c r="L70" i="1"/>
  <c r="L92" i="1"/>
  <c r="M56" i="1"/>
  <c r="K33" i="1"/>
  <c r="K82" i="1"/>
  <c r="L9" i="1"/>
  <c r="M13" i="1"/>
  <c r="M44" i="1"/>
  <c r="M29" i="1"/>
  <c r="M75" i="1"/>
  <c r="L79" i="1"/>
  <c r="K4" i="1"/>
  <c r="K22" i="1"/>
  <c r="L68" i="1"/>
  <c r="K27" i="1"/>
  <c r="L64" i="1"/>
  <c r="L63" i="1"/>
  <c r="K71" i="1"/>
  <c r="L61" i="1"/>
  <c r="M79" i="1"/>
  <c r="K91" i="1"/>
  <c r="L98" i="1"/>
  <c r="L65" i="1"/>
  <c r="L40" i="1"/>
  <c r="K83" i="1"/>
  <c r="K62" i="1"/>
  <c r="M46" i="1"/>
  <c r="M70" i="1"/>
  <c r="M91" i="1"/>
  <c r="K98" i="1"/>
  <c r="K72" i="1"/>
  <c r="L53" i="1"/>
  <c r="K52" i="1"/>
  <c r="L73" i="1"/>
  <c r="K14" i="1"/>
  <c r="K13" i="1"/>
  <c r="K81" i="1"/>
  <c r="M19" i="1"/>
  <c r="M47" i="1"/>
  <c r="L71" i="1"/>
  <c r="L22" i="1"/>
  <c r="M43" i="1"/>
  <c r="K11" i="1"/>
  <c r="K49" i="1"/>
  <c r="L11" i="1"/>
  <c r="L44" i="1"/>
  <c r="L18" i="1"/>
  <c r="K37" i="1"/>
  <c r="L100" i="1"/>
  <c r="L57" i="1"/>
  <c r="M21" i="1"/>
  <c r="L69" i="1"/>
  <c r="M92" i="1"/>
  <c r="K58" i="1"/>
  <c r="L58" i="1"/>
  <c r="L54" i="1"/>
  <c r="M78" i="1"/>
  <c r="L26" i="1"/>
  <c r="K30" i="1"/>
  <c r="L62" i="1"/>
  <c r="L48" i="1"/>
  <c r="K69" i="1"/>
  <c r="K16" i="1"/>
  <c r="M50" i="1"/>
  <c r="L30" i="1"/>
  <c r="K53" i="1"/>
  <c r="M31" i="1"/>
  <c r="M74" i="1"/>
  <c r="K25" i="1"/>
  <c r="K65" i="1"/>
  <c r="K90" i="1"/>
  <c r="L13" i="1"/>
  <c r="M20" i="1"/>
  <c r="L52" i="1"/>
  <c r="L77" i="1"/>
  <c r="M10" i="1"/>
  <c r="K61" i="1"/>
  <c r="L67" i="1"/>
  <c r="K96" i="1"/>
  <c r="M33" i="1"/>
  <c r="L81" i="1"/>
  <c r="L101" i="1"/>
  <c r="K39" i="1"/>
  <c r="K64" i="1"/>
  <c r="K45" i="1"/>
  <c r="K87" i="1"/>
  <c r="M7" i="1"/>
  <c r="M88" i="1"/>
  <c r="M57" i="1"/>
  <c r="L43" i="1"/>
  <c r="M15" i="1"/>
  <c r="M42" i="1"/>
  <c r="M40" i="1"/>
  <c r="K48" i="1"/>
  <c r="L42" i="1"/>
  <c r="K51" i="1"/>
  <c r="M52" i="1"/>
  <c r="K47" i="1"/>
  <c r="M45" i="1"/>
  <c r="K60" i="1"/>
  <c r="M90" i="1"/>
  <c r="K75" i="1"/>
  <c r="L25" i="1"/>
  <c r="M69" i="1"/>
  <c r="K42" i="1"/>
  <c r="L85" i="1"/>
  <c r="L66" i="1"/>
  <c r="K6" i="1"/>
  <c r="K28" i="1"/>
  <c r="M4" i="1"/>
  <c r="K35" i="1"/>
  <c r="M51" i="1"/>
  <c r="L102" i="1"/>
  <c r="L46" i="1"/>
  <c r="L72" i="1"/>
  <c r="M71" i="1"/>
  <c r="K38" i="1"/>
  <c r="M84" i="1"/>
  <c r="M48" i="1"/>
  <c r="K15" i="1"/>
  <c r="L3" i="1"/>
  <c r="L36" i="1"/>
  <c r="M49" i="1"/>
  <c r="K100" i="1"/>
  <c r="K76" i="1"/>
  <c r="M26" i="1"/>
  <c r="L94" i="1"/>
  <c r="L45" i="1"/>
  <c r="M100" i="1"/>
  <c r="M86" i="1"/>
  <c r="L49" i="1"/>
  <c r="K57" i="1"/>
  <c r="L31" i="1"/>
  <c r="M38" i="1"/>
  <c r="M8" i="1"/>
  <c r="K89" i="1"/>
  <c r="M96" i="1"/>
  <c r="L82" i="1"/>
  <c r="K29" i="1"/>
  <c r="M97" i="1"/>
  <c r="J12" i="9"/>
  <c r="F12" i="9" s="1"/>
  <c r="B20" i="7"/>
  <c r="G12" i="7"/>
  <c r="E18" i="7"/>
  <c r="A13" i="9"/>
  <c r="N60" i="1"/>
  <c r="N47" i="1"/>
  <c r="N16" i="1"/>
  <c r="N82" i="1"/>
  <c r="B13" i="9"/>
  <c r="N17" i="1"/>
  <c r="N7" i="1"/>
  <c r="N100" i="1"/>
  <c r="N94" i="1"/>
  <c r="N83" i="1"/>
  <c r="I20" i="7"/>
  <c r="N40" i="1"/>
  <c r="N57" i="1"/>
  <c r="N86" i="1"/>
  <c r="N52" i="1"/>
  <c r="N36" i="1"/>
  <c r="N44" i="1"/>
  <c r="N29" i="1"/>
  <c r="N81" i="1"/>
  <c r="N59" i="1"/>
  <c r="N6" i="1"/>
  <c r="N54" i="1"/>
  <c r="N90" i="1"/>
  <c r="N22" i="1"/>
  <c r="N46" i="1"/>
  <c r="N88" i="1"/>
  <c r="N15" i="1"/>
  <c r="N96" i="1"/>
  <c r="N91" i="1"/>
  <c r="C20" i="7"/>
  <c r="N39" i="1"/>
  <c r="N35" i="1"/>
  <c r="N89" i="1"/>
  <c r="N26" i="1"/>
  <c r="N77" i="1"/>
  <c r="N78" i="1"/>
  <c r="N10" i="1"/>
  <c r="N85" i="1"/>
  <c r="N21" i="1"/>
  <c r="N61" i="1"/>
  <c r="N56" i="1"/>
  <c r="N18" i="1"/>
  <c r="N34" i="1"/>
  <c r="N73" i="1"/>
  <c r="N45" i="1"/>
  <c r="N5" i="1"/>
  <c r="N95" i="1"/>
  <c r="N72" i="1"/>
  <c r="N37" i="1"/>
  <c r="N65" i="1"/>
  <c r="N25" i="1"/>
  <c r="N101" i="1"/>
  <c r="N102" i="1"/>
  <c r="N66" i="1"/>
  <c r="N19" i="1"/>
  <c r="N42" i="1"/>
  <c r="N41" i="1"/>
  <c r="N74" i="1"/>
  <c r="N24" i="1"/>
  <c r="N31" i="1"/>
  <c r="N32" i="1"/>
  <c r="N92" i="1"/>
  <c r="N28" i="1"/>
  <c r="N50" i="1"/>
  <c r="N68" i="1"/>
  <c r="N67" i="1"/>
  <c r="N12" i="1"/>
  <c r="N38" i="1"/>
  <c r="N20" i="1"/>
  <c r="N99" i="1"/>
  <c r="N76" i="1"/>
  <c r="N79" i="1"/>
  <c r="N98" i="1"/>
  <c r="N58" i="1"/>
  <c r="N53" i="1"/>
  <c r="N14" i="1"/>
  <c r="N80" i="1"/>
  <c r="N33" i="1"/>
  <c r="N23" i="1"/>
  <c r="N70" i="1"/>
  <c r="N3" i="1"/>
  <c r="N97" i="1"/>
  <c r="N4" i="1"/>
  <c r="N93" i="1"/>
  <c r="N9" i="1"/>
  <c r="N27" i="1"/>
  <c r="N71" i="1"/>
  <c r="N55" i="1"/>
  <c r="N30" i="1"/>
  <c r="N13" i="1"/>
  <c r="N87" i="1"/>
  <c r="N49" i="1"/>
  <c r="N63" i="1"/>
  <c r="N62" i="1"/>
  <c r="N43" i="1"/>
  <c r="N8" i="1"/>
  <c r="N64" i="1"/>
  <c r="N69" i="1"/>
  <c r="N11" i="1"/>
  <c r="N84" i="1"/>
  <c r="N48" i="1"/>
  <c r="N51" i="1"/>
  <c r="N75" i="1"/>
  <c r="V13" i="9" l="1"/>
  <c r="S13" i="9" s="1"/>
  <c r="D20" i="7"/>
  <c r="E20" i="7" s="1"/>
  <c r="G12" i="9"/>
  <c r="B21" i="7"/>
  <c r="B22" i="7" s="1"/>
  <c r="F13" i="7"/>
  <c r="G13" i="7" s="1"/>
  <c r="T12" i="9"/>
  <c r="U12" i="9" s="1"/>
  <c r="A14" i="9"/>
  <c r="B14" i="9"/>
  <c r="R13" i="9"/>
  <c r="I21" i="7"/>
  <c r="C22" i="7"/>
  <c r="D13" i="9"/>
  <c r="C13" i="9"/>
  <c r="I22" i="7"/>
  <c r="C21" i="7"/>
  <c r="F14" i="7" l="1"/>
  <c r="T13" i="9"/>
  <c r="U13" i="9" s="1"/>
  <c r="E13" i="9"/>
  <c r="J13" i="9"/>
  <c r="F13" i="9" s="1"/>
  <c r="G13" i="9" s="1"/>
  <c r="D22" i="7"/>
  <c r="E22" i="7" s="1"/>
  <c r="D21" i="7"/>
  <c r="E21" i="7" s="1"/>
  <c r="V14" i="9"/>
  <c r="S14" i="9" s="1"/>
  <c r="A15" i="9"/>
  <c r="G14" i="7"/>
  <c r="F15" i="7" s="1"/>
  <c r="B23" i="7"/>
  <c r="C14" i="9"/>
  <c r="B15" i="9"/>
  <c r="I23" i="7"/>
  <c r="C23" i="7"/>
  <c r="R14" i="9"/>
  <c r="D14" i="9"/>
  <c r="V15" i="9" l="1"/>
  <c r="S15" i="9" s="1"/>
  <c r="D23" i="7"/>
  <c r="E23" i="7" s="1"/>
  <c r="J14" i="9"/>
  <c r="F14" i="9" s="1"/>
  <c r="T14" i="9"/>
  <c r="U14" i="9" s="1"/>
  <c r="E14" i="9"/>
  <c r="G15" i="7"/>
  <c r="F16" i="7" s="1"/>
  <c r="A16" i="9"/>
  <c r="B24" i="7"/>
  <c r="C15" i="9"/>
  <c r="B16" i="9"/>
  <c r="R15" i="9"/>
  <c r="I24" i="7"/>
  <c r="C24" i="7"/>
  <c r="D15" i="9"/>
  <c r="G14" i="9" l="1"/>
  <c r="J15" i="9"/>
  <c r="F15" i="9" s="1"/>
  <c r="T15" i="9"/>
  <c r="U15" i="9" s="1"/>
  <c r="V16" i="9"/>
  <c r="S16" i="9" s="1"/>
  <c r="D24" i="7"/>
  <c r="E24" i="7" s="1"/>
  <c r="E15" i="9"/>
  <c r="G15" i="9" s="1"/>
  <c r="A17" i="9"/>
  <c r="G16" i="7"/>
  <c r="F17" i="7" s="1"/>
  <c r="B25" i="7"/>
  <c r="C16" i="9"/>
  <c r="R16" i="9"/>
  <c r="I25" i="7"/>
  <c r="D16" i="9"/>
  <c r="C25" i="7"/>
  <c r="B17" i="9"/>
  <c r="V17" i="9" l="1"/>
  <c r="S17" i="9" s="1"/>
  <c r="T16" i="9"/>
  <c r="U16" i="9" s="1"/>
  <c r="D25" i="7"/>
  <c r="E25" i="7" s="1"/>
  <c r="E16" i="9"/>
  <c r="J16" i="9"/>
  <c r="F16" i="9" s="1"/>
  <c r="G17" i="7"/>
  <c r="F18" i="7" s="1"/>
  <c r="B26" i="7"/>
  <c r="G16" i="9"/>
  <c r="A18" i="9"/>
  <c r="D17" i="9"/>
  <c r="I26" i="7"/>
  <c r="B18" i="9"/>
  <c r="R17" i="9"/>
  <c r="C26" i="7"/>
  <c r="C17" i="9"/>
  <c r="T17" i="9" l="1"/>
  <c r="U17" i="9" s="1"/>
  <c r="V18" i="9"/>
  <c r="S18" i="9" s="1"/>
  <c r="J17" i="9"/>
  <c r="F17" i="9" s="1"/>
  <c r="G17" i="9" s="1"/>
  <c r="D26" i="7"/>
  <c r="E26" i="7" s="1"/>
  <c r="A19" i="9"/>
  <c r="B27" i="7"/>
  <c r="G18" i="7"/>
  <c r="F19" i="7" s="1"/>
  <c r="E17" i="9"/>
  <c r="R18" i="9"/>
  <c r="B19" i="9"/>
  <c r="D18" i="9"/>
  <c r="C18" i="9"/>
  <c r="C27" i="7"/>
  <c r="I27" i="7"/>
  <c r="D27" i="7" l="1"/>
  <c r="E27" i="7" s="1"/>
  <c r="E18" i="9"/>
  <c r="J18" i="9"/>
  <c r="F18" i="9" s="1"/>
  <c r="G18" i="9" s="1"/>
  <c r="V19" i="9"/>
  <c r="S19" i="9" s="1"/>
  <c r="T18" i="9"/>
  <c r="U18" i="9" s="1"/>
  <c r="G19" i="7"/>
  <c r="F20" i="7" s="1"/>
  <c r="A20" i="9"/>
  <c r="B28" i="7"/>
  <c r="B20" i="9"/>
  <c r="C19" i="9"/>
  <c r="D19" i="9"/>
  <c r="R19" i="9"/>
  <c r="C28" i="7"/>
  <c r="I28" i="7"/>
  <c r="J19" i="9" l="1"/>
  <c r="F19" i="9" s="1"/>
  <c r="D28" i="7"/>
  <c r="E28" i="7" s="1"/>
  <c r="T19" i="9"/>
  <c r="U19" i="9" s="1"/>
  <c r="V20" i="9"/>
  <c r="S20" i="9" s="1"/>
  <c r="G20" i="7"/>
  <c r="F21" i="7" s="1"/>
  <c r="E19" i="9"/>
  <c r="G19" i="9" s="1"/>
  <c r="B29" i="7"/>
  <c r="A21" i="9"/>
  <c r="B21" i="9"/>
  <c r="R20" i="9"/>
  <c r="I29" i="7"/>
  <c r="C20" i="9"/>
  <c r="D20" i="9"/>
  <c r="C29" i="7"/>
  <c r="J20" i="9" l="1"/>
  <c r="F20" i="9" s="1"/>
  <c r="D29" i="7"/>
  <c r="E29" i="7" s="1"/>
  <c r="V21" i="9"/>
  <c r="S21" i="9" s="1"/>
  <c r="T20" i="9"/>
  <c r="U20" i="9" s="1"/>
  <c r="G21" i="7"/>
  <c r="F22" i="7" s="1"/>
  <c r="A22" i="9"/>
  <c r="B30" i="7"/>
  <c r="E20" i="9"/>
  <c r="G20" i="9" s="1"/>
  <c r="C21" i="9"/>
  <c r="I30" i="7"/>
  <c r="R21" i="9"/>
  <c r="D21" i="9"/>
  <c r="C30" i="7"/>
  <c r="B22" i="9"/>
  <c r="J21" i="9" l="1"/>
  <c r="F21" i="9" s="1"/>
  <c r="V22" i="9"/>
  <c r="S22" i="9" s="1"/>
  <c r="D30" i="7"/>
  <c r="E30" i="7" s="1"/>
  <c r="T21" i="9"/>
  <c r="U21" i="9" s="1"/>
  <c r="A23" i="9"/>
  <c r="B31" i="7"/>
  <c r="G22" i="7"/>
  <c r="F23" i="7" s="1"/>
  <c r="E21" i="9"/>
  <c r="G21" i="9" s="1"/>
  <c r="B23" i="9"/>
  <c r="D22" i="9"/>
  <c r="C22" i="9"/>
  <c r="I31" i="7"/>
  <c r="R22" i="9"/>
  <c r="C31" i="7"/>
  <c r="D31" i="7" l="1"/>
  <c r="E22" i="9"/>
  <c r="J22" i="9"/>
  <c r="F22" i="9" s="1"/>
  <c r="V23" i="9"/>
  <c r="S23" i="9" s="1"/>
  <c r="T22" i="9"/>
  <c r="U22" i="9" s="1"/>
  <c r="G23" i="7"/>
  <c r="F24" i="7" s="1"/>
  <c r="B32" i="7"/>
  <c r="E31" i="7"/>
  <c r="A24" i="9"/>
  <c r="G22" i="9"/>
  <c r="B24" i="9"/>
  <c r="C23" i="9"/>
  <c r="R23" i="9"/>
  <c r="C32" i="7"/>
  <c r="I32" i="7"/>
  <c r="D23" i="9"/>
  <c r="V24" i="9" l="1"/>
  <c r="S24" i="9" s="1"/>
  <c r="J23" i="9"/>
  <c r="F23" i="9" s="1"/>
  <c r="T23" i="9"/>
  <c r="U23" i="9" s="1"/>
  <c r="D32" i="7"/>
  <c r="E32" i="7" s="1"/>
  <c r="E23" i="9"/>
  <c r="B33" i="7"/>
  <c r="G24" i="7"/>
  <c r="F25" i="7" s="1"/>
  <c r="A25" i="9"/>
  <c r="I33" i="7"/>
  <c r="D24" i="9"/>
  <c r="C33" i="7"/>
  <c r="R24" i="9"/>
  <c r="C24" i="9"/>
  <c r="B25" i="9"/>
  <c r="J24" i="9" l="1"/>
  <c r="F24" i="9" s="1"/>
  <c r="D33" i="7"/>
  <c r="E33" i="7" s="1"/>
  <c r="T24" i="9"/>
  <c r="U24" i="9" s="1"/>
  <c r="V25" i="9"/>
  <c r="S25" i="9" s="1"/>
  <c r="G23" i="9"/>
  <c r="G25" i="7"/>
  <c r="F26" i="7" s="1"/>
  <c r="B34" i="7"/>
  <c r="A26" i="9"/>
  <c r="E24" i="9"/>
  <c r="G24" i="9" s="1"/>
  <c r="B26" i="9"/>
  <c r="D25" i="9"/>
  <c r="R25" i="9"/>
  <c r="I34" i="7"/>
  <c r="C34" i="7"/>
  <c r="C25" i="9"/>
  <c r="T25" i="9" l="1"/>
  <c r="U25" i="9" s="1"/>
  <c r="V26" i="9"/>
  <c r="S26" i="9" s="1"/>
  <c r="J25" i="9"/>
  <c r="F25" i="9" s="1"/>
  <c r="D34" i="7"/>
  <c r="E34" i="7" s="1"/>
  <c r="B35" i="7"/>
  <c r="E25" i="9"/>
  <c r="G26" i="7"/>
  <c r="F27" i="7" s="1"/>
  <c r="A27" i="9"/>
  <c r="R26" i="9"/>
  <c r="D26" i="9"/>
  <c r="I35" i="7"/>
  <c r="C35" i="7"/>
  <c r="B27" i="9"/>
  <c r="C26" i="9"/>
  <c r="D35" i="7" l="1"/>
  <c r="J26" i="9"/>
  <c r="F26" i="9" s="1"/>
  <c r="V27" i="9"/>
  <c r="S27" i="9" s="1"/>
  <c r="T26" i="9"/>
  <c r="U26" i="9" s="1"/>
  <c r="G25" i="9"/>
  <c r="G27" i="7"/>
  <c r="F28" i="7" s="1"/>
  <c r="B36" i="7"/>
  <c r="E35" i="7"/>
  <c r="A28" i="9"/>
  <c r="E26" i="9"/>
  <c r="G26" i="9" s="1"/>
  <c r="C36" i="7"/>
  <c r="D27" i="9"/>
  <c r="I36" i="7"/>
  <c r="B28" i="9"/>
  <c r="R27" i="9"/>
  <c r="C27" i="9"/>
  <c r="E27" i="9" l="1"/>
  <c r="V28" i="9"/>
  <c r="S28" i="9" s="1"/>
  <c r="J27" i="9"/>
  <c r="F27" i="9" s="1"/>
  <c r="G27" i="9" s="1"/>
  <c r="T27" i="9"/>
  <c r="U27" i="9" s="1"/>
  <c r="D36" i="7"/>
  <c r="E36" i="7" s="1"/>
  <c r="B37" i="7"/>
  <c r="A29" i="9"/>
  <c r="G28" i="7"/>
  <c r="F29" i="7" s="1"/>
  <c r="R28" i="9"/>
  <c r="D28" i="9"/>
  <c r="C37" i="7"/>
  <c r="B29" i="9"/>
  <c r="I37" i="7"/>
  <c r="C28" i="9"/>
  <c r="E28" i="9" l="1"/>
  <c r="J28" i="9"/>
  <c r="F28" i="9" s="1"/>
  <c r="V29" i="9"/>
  <c r="S29" i="9" s="1"/>
  <c r="T28" i="9"/>
  <c r="U28" i="9" s="1"/>
  <c r="D37" i="7"/>
  <c r="E37" i="7" s="1"/>
  <c r="G28" i="9"/>
  <c r="B38" i="7"/>
  <c r="A30" i="9"/>
  <c r="G29" i="7"/>
  <c r="F30" i="7" s="1"/>
  <c r="B30" i="9"/>
  <c r="D29" i="9"/>
  <c r="R29" i="9"/>
  <c r="I38" i="7"/>
  <c r="C38" i="7"/>
  <c r="C29" i="9"/>
  <c r="V30" i="9" l="1"/>
  <c r="S30" i="9" s="1"/>
  <c r="T29" i="9"/>
  <c r="U29" i="9" s="1"/>
  <c r="D38" i="7"/>
  <c r="E38" i="7" s="1"/>
  <c r="J29" i="9"/>
  <c r="F29" i="9" s="1"/>
  <c r="G30" i="7"/>
  <c r="F31" i="7" s="1"/>
  <c r="A31" i="9"/>
  <c r="B39" i="7"/>
  <c r="E29" i="9"/>
  <c r="R30" i="9"/>
  <c r="C39" i="7"/>
  <c r="B31" i="9"/>
  <c r="I39" i="7"/>
  <c r="C30" i="9"/>
  <c r="D30" i="9"/>
  <c r="G29" i="9" l="1"/>
  <c r="J30" i="9"/>
  <c r="F30" i="9" s="1"/>
  <c r="D39" i="7"/>
  <c r="E39" i="7" s="1"/>
  <c r="T30" i="9"/>
  <c r="U30" i="9" s="1"/>
  <c r="V31" i="9"/>
  <c r="S31" i="9" s="1"/>
  <c r="G31" i="7"/>
  <c r="F32" i="7" s="1"/>
  <c r="A32" i="9"/>
  <c r="E30" i="9"/>
  <c r="G30" i="9" s="1"/>
  <c r="B40" i="7"/>
  <c r="R31" i="9"/>
  <c r="I40" i="7"/>
  <c r="C40" i="7"/>
  <c r="C31" i="9"/>
  <c r="D31" i="9"/>
  <c r="B32" i="9"/>
  <c r="D40" i="7" l="1"/>
  <c r="E31" i="9"/>
  <c r="J31" i="9"/>
  <c r="F31" i="9" s="1"/>
  <c r="T31" i="9"/>
  <c r="U31" i="9" s="1"/>
  <c r="V32" i="9"/>
  <c r="S32" i="9" s="1"/>
  <c r="B41" i="7"/>
  <c r="E40" i="7"/>
  <c r="G32" i="7"/>
  <c r="F33" i="7" s="1"/>
  <c r="A33" i="9"/>
  <c r="G31" i="9"/>
  <c r="B33" i="9"/>
  <c r="D32" i="9"/>
  <c r="I41" i="7"/>
  <c r="R32" i="9"/>
  <c r="C32" i="9"/>
  <c r="C41" i="7"/>
  <c r="D41" i="7" l="1"/>
  <c r="E32" i="9"/>
  <c r="T32" i="9"/>
  <c r="U32" i="9" s="1"/>
  <c r="J32" i="9"/>
  <c r="F32" i="9" s="1"/>
  <c r="G32" i="9" s="1"/>
  <c r="V33" i="9"/>
  <c r="S33" i="9" s="1"/>
  <c r="G33" i="7"/>
  <c r="F34" i="7" s="1"/>
  <c r="A34" i="9"/>
  <c r="B42" i="7"/>
  <c r="E41" i="7"/>
  <c r="B34" i="9"/>
  <c r="I42" i="7"/>
  <c r="C42" i="7"/>
  <c r="D33" i="9"/>
  <c r="R33" i="9"/>
  <c r="C33" i="9"/>
  <c r="D42" i="7" l="1"/>
  <c r="E33" i="9"/>
  <c r="J33" i="9"/>
  <c r="F33" i="9" s="1"/>
  <c r="T33" i="9"/>
  <c r="U33" i="9" s="1"/>
  <c r="V34" i="9"/>
  <c r="S34" i="9" s="1"/>
  <c r="B43" i="7"/>
  <c r="E42" i="7"/>
  <c r="G33" i="9"/>
  <c r="G34" i="7"/>
  <c r="F35" i="7" s="1"/>
  <c r="A35" i="9"/>
  <c r="C34" i="9"/>
  <c r="C43" i="7"/>
  <c r="D34" i="9"/>
  <c r="B35" i="9"/>
  <c r="R34" i="9"/>
  <c r="I43" i="7"/>
  <c r="J34" i="9" l="1"/>
  <c r="F34" i="9" s="1"/>
  <c r="T34" i="9"/>
  <c r="U34" i="9" s="1"/>
  <c r="E34" i="9"/>
  <c r="D43" i="7"/>
  <c r="E43" i="7" s="1"/>
  <c r="V35" i="9"/>
  <c r="S35" i="9" s="1"/>
  <c r="G35" i="7"/>
  <c r="F36" i="7" s="1"/>
  <c r="B44" i="7"/>
  <c r="A36" i="9"/>
  <c r="C44" i="7"/>
  <c r="B36" i="9"/>
  <c r="D35" i="9"/>
  <c r="R35" i="9"/>
  <c r="I44" i="7"/>
  <c r="C35" i="9"/>
  <c r="J35" i="9" l="1"/>
  <c r="F35" i="9" s="1"/>
  <c r="T35" i="9"/>
  <c r="U35" i="9" s="1"/>
  <c r="D44" i="7"/>
  <c r="V36" i="9"/>
  <c r="S36" i="9" s="1"/>
  <c r="G34" i="9"/>
  <c r="B45" i="7"/>
  <c r="E44" i="7"/>
  <c r="E35" i="9"/>
  <c r="G35" i="9" s="1"/>
  <c r="G36" i="7"/>
  <c r="F37" i="7" s="1"/>
  <c r="A37" i="9"/>
  <c r="R36" i="9"/>
  <c r="C36" i="9"/>
  <c r="C45" i="7"/>
  <c r="I45" i="7"/>
  <c r="D36" i="9"/>
  <c r="B37" i="9"/>
  <c r="V37" i="9" l="1"/>
  <c r="S37" i="9" s="1"/>
  <c r="J36" i="9"/>
  <c r="F36" i="9" s="1"/>
  <c r="T36" i="9"/>
  <c r="U36" i="9" s="1"/>
  <c r="D45" i="7"/>
  <c r="E45" i="7" s="1"/>
  <c r="G37" i="7"/>
  <c r="F38" i="7" s="1"/>
  <c r="A38" i="9"/>
  <c r="B46" i="7"/>
  <c r="E36" i="9"/>
  <c r="G36" i="9" s="1"/>
  <c r="R37" i="9"/>
  <c r="C37" i="9"/>
  <c r="D37" i="9"/>
  <c r="B38" i="9"/>
  <c r="I46" i="7"/>
  <c r="C46" i="7"/>
  <c r="J37" i="9" l="1"/>
  <c r="F37" i="9" s="1"/>
  <c r="D46" i="7"/>
  <c r="E46" i="7" s="1"/>
  <c r="T37" i="9"/>
  <c r="U37" i="9" s="1"/>
  <c r="V38" i="9"/>
  <c r="S38" i="9" s="1"/>
  <c r="E37" i="9"/>
  <c r="G37" i="9" s="1"/>
  <c r="G38" i="7"/>
  <c r="F39" i="7" s="1"/>
  <c r="A39" i="9"/>
  <c r="B47" i="7"/>
  <c r="I47" i="7"/>
  <c r="B39" i="9"/>
  <c r="D38" i="9"/>
  <c r="C47" i="7"/>
  <c r="R38" i="9"/>
  <c r="C38" i="9"/>
  <c r="J38" i="9" l="1"/>
  <c r="F38" i="9" s="1"/>
  <c r="T38" i="9"/>
  <c r="U38" i="9" s="1"/>
  <c r="D47" i="7"/>
  <c r="E47" i="7" s="1"/>
  <c r="E38" i="9"/>
  <c r="G38" i="9" s="1"/>
  <c r="V39" i="9"/>
  <c r="S39" i="9" s="1"/>
  <c r="G39" i="7"/>
  <c r="F40" i="7" s="1"/>
  <c r="A40" i="9"/>
  <c r="B48" i="7"/>
  <c r="I48" i="7"/>
  <c r="D39" i="9"/>
  <c r="C48" i="7"/>
  <c r="C39" i="9"/>
  <c r="R39" i="9"/>
  <c r="B40" i="9"/>
  <c r="T39" i="9" l="1"/>
  <c r="U39" i="9" s="1"/>
  <c r="J39" i="9"/>
  <c r="F39" i="9" s="1"/>
  <c r="E39" i="9"/>
  <c r="D48" i="7"/>
  <c r="E48" i="7" s="1"/>
  <c r="V40" i="9"/>
  <c r="S40" i="9" s="1"/>
  <c r="G39" i="9"/>
  <c r="G40" i="7"/>
  <c r="F41" i="7" s="1"/>
  <c r="B49" i="7"/>
  <c r="A41" i="9"/>
  <c r="R40" i="9"/>
  <c r="C40" i="9"/>
  <c r="D40" i="9"/>
  <c r="B41" i="9"/>
  <c r="I49" i="7"/>
  <c r="C49" i="7"/>
  <c r="E40" i="9" l="1"/>
  <c r="J40" i="9"/>
  <c r="F40" i="9" s="1"/>
  <c r="V41" i="9"/>
  <c r="S41" i="9" s="1"/>
  <c r="T40" i="9"/>
  <c r="U40" i="9" s="1"/>
  <c r="D49" i="7"/>
  <c r="G41" i="7"/>
  <c r="F42" i="7" s="1"/>
  <c r="A42" i="9"/>
  <c r="G40" i="9"/>
  <c r="B50" i="7"/>
  <c r="E49" i="7"/>
  <c r="R41" i="9"/>
  <c r="C50" i="7"/>
  <c r="C41" i="9"/>
  <c r="D41" i="9"/>
  <c r="I50" i="7"/>
  <c r="B42" i="9"/>
  <c r="D50" i="7" l="1"/>
  <c r="J41" i="9"/>
  <c r="F41" i="9" s="1"/>
  <c r="V42" i="9"/>
  <c r="S42" i="9" s="1"/>
  <c r="T41" i="9"/>
  <c r="U41" i="9" s="1"/>
  <c r="E41" i="9"/>
  <c r="G42" i="7"/>
  <c r="F43" i="7" s="1"/>
  <c r="A43" i="9"/>
  <c r="B51" i="7"/>
  <c r="E50" i="7"/>
  <c r="G41" i="9"/>
  <c r="D42" i="9"/>
  <c r="C51" i="7"/>
  <c r="B43" i="9"/>
  <c r="R42" i="9"/>
  <c r="C42" i="9"/>
  <c r="I51" i="7"/>
  <c r="T42" i="9" l="1"/>
  <c r="U42" i="9" s="1"/>
  <c r="V43" i="9"/>
  <c r="S43" i="9" s="1"/>
  <c r="D51" i="7"/>
  <c r="E51" i="7" s="1"/>
  <c r="J42" i="9"/>
  <c r="F42" i="9" s="1"/>
  <c r="G43" i="7"/>
  <c r="F44" i="7" s="1"/>
  <c r="A44" i="9"/>
  <c r="B52" i="7"/>
  <c r="E42" i="9"/>
  <c r="G42" i="9" s="1"/>
  <c r="D43" i="9"/>
  <c r="I52" i="7"/>
  <c r="B44" i="9"/>
  <c r="R43" i="9"/>
  <c r="C52" i="7"/>
  <c r="C43" i="9"/>
  <c r="V44" i="9" l="1"/>
  <c r="S44" i="9" s="1"/>
  <c r="T43" i="9"/>
  <c r="U43" i="9" s="1"/>
  <c r="E43" i="9"/>
  <c r="D52" i="7"/>
  <c r="E52" i="7" s="1"/>
  <c r="J43" i="9"/>
  <c r="F43" i="9" s="1"/>
  <c r="B53" i="7"/>
  <c r="A45" i="9"/>
  <c r="G44" i="7"/>
  <c r="F45" i="7" s="1"/>
  <c r="G43" i="9"/>
  <c r="R44" i="9"/>
  <c r="I53" i="7"/>
  <c r="D44" i="9"/>
  <c r="C44" i="9"/>
  <c r="C53" i="7"/>
  <c r="B45" i="9"/>
  <c r="D53" i="7" l="1"/>
  <c r="V45" i="9"/>
  <c r="S45" i="9" s="1"/>
  <c r="J44" i="9"/>
  <c r="F44" i="9" s="1"/>
  <c r="T44" i="9"/>
  <c r="U44" i="9" s="1"/>
  <c r="E44" i="9"/>
  <c r="G45" i="7"/>
  <c r="F46" i="7" s="1"/>
  <c r="A46" i="9"/>
  <c r="G44" i="9"/>
  <c r="B54" i="7"/>
  <c r="E53" i="7"/>
  <c r="R45" i="9"/>
  <c r="D45" i="9"/>
  <c r="C45" i="9"/>
  <c r="C54" i="7"/>
  <c r="I54" i="7"/>
  <c r="B46" i="9"/>
  <c r="J45" i="9" l="1"/>
  <c r="F45" i="9" s="1"/>
  <c r="D54" i="7"/>
  <c r="E54" i="7" s="1"/>
  <c r="V46" i="9"/>
  <c r="S46" i="9" s="1"/>
  <c r="T45" i="9"/>
  <c r="U45" i="9" s="1"/>
  <c r="E45" i="9"/>
  <c r="G46" i="7"/>
  <c r="F47" i="7" s="1"/>
  <c r="A47" i="9"/>
  <c r="B55" i="7"/>
  <c r="G45" i="9"/>
  <c r="D46" i="9"/>
  <c r="C55" i="7"/>
  <c r="C46" i="9"/>
  <c r="I55" i="7"/>
  <c r="R46" i="9"/>
  <c r="B47" i="9"/>
  <c r="V47" i="9" l="1"/>
  <c r="S47" i="9" s="1"/>
  <c r="T46" i="9"/>
  <c r="U46" i="9" s="1"/>
  <c r="D55" i="7"/>
  <c r="E55" i="7" s="1"/>
  <c r="J46" i="9"/>
  <c r="F46" i="9" s="1"/>
  <c r="G47" i="7"/>
  <c r="F48" i="7" s="1"/>
  <c r="A48" i="9"/>
  <c r="B56" i="7"/>
  <c r="E46" i="9"/>
  <c r="G46" i="9" s="1"/>
  <c r="D47" i="9"/>
  <c r="C47" i="9"/>
  <c r="I56" i="7"/>
  <c r="C56" i="7"/>
  <c r="B48" i="9"/>
  <c r="R47" i="9"/>
  <c r="D56" i="7" l="1"/>
  <c r="T47" i="9"/>
  <c r="U47" i="9" s="1"/>
  <c r="E47" i="9"/>
  <c r="V48" i="9"/>
  <c r="S48" i="9" s="1"/>
  <c r="J47" i="9"/>
  <c r="F47" i="9" s="1"/>
  <c r="B57" i="7"/>
  <c r="E56" i="7"/>
  <c r="A49" i="9"/>
  <c r="G48" i="7"/>
  <c r="F49" i="7" s="1"/>
  <c r="G47" i="9"/>
  <c r="B49" i="9"/>
  <c r="C57" i="7"/>
  <c r="R48" i="9"/>
  <c r="I57" i="7"/>
  <c r="C48" i="9"/>
  <c r="D48" i="9"/>
  <c r="J48" i="9" l="1"/>
  <c r="F48" i="9" s="1"/>
  <c r="T48" i="9"/>
  <c r="U48" i="9" s="1"/>
  <c r="D57" i="7"/>
  <c r="E57" i="7" s="1"/>
  <c r="V49" i="9"/>
  <c r="S49" i="9" s="1"/>
  <c r="G49" i="7"/>
  <c r="F50" i="7" s="1"/>
  <c r="B58" i="7"/>
  <c r="A50" i="9"/>
  <c r="E48" i="9"/>
  <c r="G48" i="9" s="1"/>
  <c r="B50" i="9"/>
  <c r="C58" i="7"/>
  <c r="D49" i="9"/>
  <c r="I58" i="7"/>
  <c r="R49" i="9"/>
  <c r="C49" i="9"/>
  <c r="E49" i="9" l="1"/>
  <c r="D58" i="7"/>
  <c r="T49" i="9"/>
  <c r="U49" i="9" s="1"/>
  <c r="J49" i="9"/>
  <c r="F49" i="9" s="1"/>
  <c r="V50" i="9"/>
  <c r="S50" i="9" s="1"/>
  <c r="B59" i="7"/>
  <c r="E58" i="7"/>
  <c r="G50" i="7"/>
  <c r="F51" i="7" s="1"/>
  <c r="A51" i="9"/>
  <c r="G49" i="9"/>
  <c r="C50" i="9"/>
  <c r="R50" i="9"/>
  <c r="I59" i="7"/>
  <c r="B51" i="9"/>
  <c r="D50" i="9"/>
  <c r="C59" i="7"/>
  <c r="J50" i="9" l="1"/>
  <c r="F50" i="9" s="1"/>
  <c r="E50" i="9"/>
  <c r="G50" i="9" s="1"/>
  <c r="D59" i="7"/>
  <c r="E59" i="7" s="1"/>
  <c r="T50" i="9"/>
  <c r="U50" i="9" s="1"/>
  <c r="V51" i="9"/>
  <c r="S51" i="9" s="1"/>
  <c r="G51" i="7"/>
  <c r="F52" i="7" s="1"/>
  <c r="A52" i="9"/>
  <c r="B60" i="7"/>
  <c r="C51" i="9"/>
  <c r="C60" i="7"/>
  <c r="D51" i="9"/>
  <c r="I60" i="7"/>
  <c r="R51" i="9"/>
  <c r="B52" i="9"/>
  <c r="J51" i="9" l="1"/>
  <c r="F51" i="9" s="1"/>
  <c r="D60" i="7"/>
  <c r="T51" i="9"/>
  <c r="U51" i="9" s="1"/>
  <c r="E51" i="9"/>
  <c r="G51" i="9" s="1"/>
  <c r="V52" i="9"/>
  <c r="S52" i="9" s="1"/>
  <c r="B61" i="7"/>
  <c r="E60" i="7"/>
  <c r="G52" i="7"/>
  <c r="F53" i="7" s="1"/>
  <c r="A53" i="9"/>
  <c r="C52" i="9"/>
  <c r="R52" i="9"/>
  <c r="I61" i="7"/>
  <c r="D52" i="9"/>
  <c r="C61" i="7"/>
  <c r="B53" i="9"/>
  <c r="J52" i="9" l="1"/>
  <c r="F52" i="9" s="1"/>
  <c r="T52" i="9"/>
  <c r="U52" i="9" s="1"/>
  <c r="V53" i="9"/>
  <c r="S53" i="9" s="1"/>
  <c r="E52" i="9"/>
  <c r="D61" i="7"/>
  <c r="A54" i="9"/>
  <c r="B62" i="7"/>
  <c r="E61" i="7"/>
  <c r="G52" i="9"/>
  <c r="G53" i="7"/>
  <c r="F54" i="7" s="1"/>
  <c r="B54" i="9"/>
  <c r="I62" i="7"/>
  <c r="R53" i="9"/>
  <c r="C62" i="7"/>
  <c r="C53" i="9"/>
  <c r="D53" i="9"/>
  <c r="D62" i="7" l="1"/>
  <c r="V54" i="9"/>
  <c r="S54" i="9" s="1"/>
  <c r="J53" i="9"/>
  <c r="F53" i="9" s="1"/>
  <c r="T53" i="9"/>
  <c r="U53" i="9" s="1"/>
  <c r="G54" i="7"/>
  <c r="F55" i="7" s="1"/>
  <c r="E53" i="9"/>
  <c r="G53" i="9"/>
  <c r="B63" i="7"/>
  <c r="E62" i="7"/>
  <c r="A55" i="9"/>
  <c r="I63" i="7"/>
  <c r="C54" i="9"/>
  <c r="R54" i="9"/>
  <c r="C63" i="7"/>
  <c r="B55" i="9"/>
  <c r="D54" i="9"/>
  <c r="T54" i="9" l="1"/>
  <c r="U54" i="9" s="1"/>
  <c r="V55" i="9"/>
  <c r="S55" i="9" s="1"/>
  <c r="J54" i="9"/>
  <c r="F54" i="9" s="1"/>
  <c r="D63" i="7"/>
  <c r="E63" i="7" s="1"/>
  <c r="G55" i="7"/>
  <c r="F56" i="7" s="1"/>
  <c r="B64" i="7"/>
  <c r="A56" i="9"/>
  <c r="E54" i="9"/>
  <c r="D55" i="9"/>
  <c r="C64" i="7"/>
  <c r="I64" i="7"/>
  <c r="R55" i="9"/>
  <c r="C55" i="9"/>
  <c r="B56" i="9"/>
  <c r="T55" i="9" l="1"/>
  <c r="U55" i="9" s="1"/>
  <c r="D64" i="7"/>
  <c r="E55" i="9"/>
  <c r="V56" i="9"/>
  <c r="S56" i="9" s="1"/>
  <c r="J55" i="9"/>
  <c r="F55" i="9" s="1"/>
  <c r="G54" i="9"/>
  <c r="B65" i="7"/>
  <c r="E64" i="7"/>
  <c r="A57" i="9"/>
  <c r="G56" i="7"/>
  <c r="F57" i="7" s="1"/>
  <c r="C65" i="7"/>
  <c r="R56" i="9"/>
  <c r="B57" i="9"/>
  <c r="C56" i="9"/>
  <c r="D56" i="9"/>
  <c r="I65" i="7"/>
  <c r="G55" i="9" l="1"/>
  <c r="V57" i="9"/>
  <c r="S57" i="9" s="1"/>
  <c r="D65" i="7"/>
  <c r="E65" i="7" s="1"/>
  <c r="T56" i="9"/>
  <c r="U56" i="9" s="1"/>
  <c r="J56" i="9"/>
  <c r="F56" i="9" s="1"/>
  <c r="G57" i="7"/>
  <c r="F58" i="7" s="1"/>
  <c r="A58" i="9"/>
  <c r="E56" i="9"/>
  <c r="G56" i="9" s="1"/>
  <c r="B66" i="7"/>
  <c r="R57" i="9"/>
  <c r="C66" i="7"/>
  <c r="D57" i="9"/>
  <c r="I66" i="7"/>
  <c r="C57" i="9"/>
  <c r="B58" i="9"/>
  <c r="D66" i="7" l="1"/>
  <c r="E57" i="9"/>
  <c r="V58" i="9"/>
  <c r="S58" i="9" s="1"/>
  <c r="T57" i="9"/>
  <c r="U57" i="9" s="1"/>
  <c r="J57" i="9"/>
  <c r="F57" i="9" s="1"/>
  <c r="G58" i="7"/>
  <c r="F59" i="7" s="1"/>
  <c r="B67" i="7"/>
  <c r="E66" i="7"/>
  <c r="A59" i="9"/>
  <c r="G57" i="9"/>
  <c r="R58" i="9"/>
  <c r="I67" i="7"/>
  <c r="C58" i="9"/>
  <c r="B59" i="9"/>
  <c r="C67" i="7"/>
  <c r="D58" i="9"/>
  <c r="E58" i="9" l="1"/>
  <c r="J58" i="9"/>
  <c r="F58" i="9" s="1"/>
  <c r="G58" i="9" s="1"/>
  <c r="D67" i="7"/>
  <c r="E67" i="7" s="1"/>
  <c r="V59" i="9"/>
  <c r="S59" i="9" s="1"/>
  <c r="T58" i="9"/>
  <c r="U58" i="9" s="1"/>
  <c r="G59" i="7"/>
  <c r="F60" i="7" s="1"/>
  <c r="A60" i="9"/>
  <c r="B68" i="7"/>
  <c r="B60" i="9"/>
  <c r="C68" i="7"/>
  <c r="D59" i="9"/>
  <c r="I68" i="7"/>
  <c r="C59" i="9"/>
  <c r="R59" i="9"/>
  <c r="T59" i="9" l="1"/>
  <c r="U59" i="9" s="1"/>
  <c r="D68" i="7"/>
  <c r="E68" i="7" s="1"/>
  <c r="J59" i="9"/>
  <c r="F59" i="9" s="1"/>
  <c r="V60" i="9"/>
  <c r="S60" i="9" s="1"/>
  <c r="B69" i="7"/>
  <c r="A61" i="9"/>
  <c r="G60" i="7"/>
  <c r="F61" i="7" s="1"/>
  <c r="E59" i="9"/>
  <c r="B61" i="9"/>
  <c r="C69" i="7"/>
  <c r="D60" i="9"/>
  <c r="I69" i="7"/>
  <c r="R60" i="9"/>
  <c r="C60" i="9"/>
  <c r="E60" i="9" l="1"/>
  <c r="J60" i="9"/>
  <c r="F60" i="9" s="1"/>
  <c r="T60" i="9"/>
  <c r="U60" i="9" s="1"/>
  <c r="D69" i="7"/>
  <c r="E69" i="7" s="1"/>
  <c r="V61" i="9"/>
  <c r="S61" i="9" s="1"/>
  <c r="G59" i="9"/>
  <c r="G61" i="7"/>
  <c r="F62" i="7" s="1"/>
  <c r="G60" i="9"/>
  <c r="A62" i="9"/>
  <c r="B70" i="7"/>
  <c r="R61" i="9"/>
  <c r="I70" i="7"/>
  <c r="C70" i="7"/>
  <c r="C61" i="9"/>
  <c r="D61" i="9"/>
  <c r="B62" i="9"/>
  <c r="J61" i="9" l="1"/>
  <c r="F61" i="9" s="1"/>
  <c r="T61" i="9"/>
  <c r="U61" i="9" s="1"/>
  <c r="E61" i="9"/>
  <c r="V62" i="9"/>
  <c r="S62" i="9" s="1"/>
  <c r="D70" i="7"/>
  <c r="E70" i="7" s="1"/>
  <c r="G62" i="7"/>
  <c r="F63" i="7" s="1"/>
  <c r="B71" i="7"/>
  <c r="A63" i="9"/>
  <c r="G61" i="9"/>
  <c r="D62" i="9"/>
  <c r="C71" i="7"/>
  <c r="R62" i="9"/>
  <c r="B63" i="9"/>
  <c r="I71" i="7"/>
  <c r="C62" i="9"/>
  <c r="V63" i="9" l="1"/>
  <c r="S63" i="9" s="1"/>
  <c r="E62" i="9"/>
  <c r="J62" i="9"/>
  <c r="F62" i="9" s="1"/>
  <c r="G62" i="9" s="1"/>
  <c r="T62" i="9"/>
  <c r="U62" i="9" s="1"/>
  <c r="D71" i="7"/>
  <c r="G63" i="7"/>
  <c r="F64" i="7" s="1"/>
  <c r="A64" i="9"/>
  <c r="B72" i="7"/>
  <c r="E71" i="7"/>
  <c r="D63" i="9"/>
  <c r="R63" i="9"/>
  <c r="I72" i="7"/>
  <c r="C63" i="9"/>
  <c r="C72" i="7"/>
  <c r="B64" i="9"/>
  <c r="T63" i="9" l="1"/>
  <c r="U63" i="9" s="1"/>
  <c r="D72" i="7"/>
  <c r="J63" i="9"/>
  <c r="F63" i="9" s="1"/>
  <c r="V64" i="9"/>
  <c r="S64" i="9" s="1"/>
  <c r="A65" i="9"/>
  <c r="B73" i="7"/>
  <c r="E72" i="7"/>
  <c r="G64" i="7"/>
  <c r="F65" i="7" s="1"/>
  <c r="E63" i="9"/>
  <c r="G63" i="9" s="1"/>
  <c r="D64" i="9"/>
  <c r="C73" i="7"/>
  <c r="C64" i="9"/>
  <c r="R64" i="9"/>
  <c r="B65" i="9"/>
  <c r="I73" i="7"/>
  <c r="T64" i="9" l="1"/>
  <c r="U64" i="9" s="1"/>
  <c r="D73" i="7"/>
  <c r="J64" i="9"/>
  <c r="F64" i="9" s="1"/>
  <c r="V65" i="9"/>
  <c r="S65" i="9" s="1"/>
  <c r="G65" i="7"/>
  <c r="F66" i="7" s="1"/>
  <c r="A66" i="9"/>
  <c r="B74" i="7"/>
  <c r="E73" i="7"/>
  <c r="E64" i="9"/>
  <c r="G64" i="9" s="1"/>
  <c r="D65" i="9"/>
  <c r="C65" i="9"/>
  <c r="C74" i="7"/>
  <c r="R65" i="9"/>
  <c r="I74" i="7"/>
  <c r="B66" i="9"/>
  <c r="E65" i="9" l="1"/>
  <c r="T65" i="9"/>
  <c r="U65" i="9" s="1"/>
  <c r="D74" i="7"/>
  <c r="V66" i="9"/>
  <c r="S66" i="9" s="1"/>
  <c r="J65" i="9"/>
  <c r="F65" i="9" s="1"/>
  <c r="A67" i="9"/>
  <c r="B75" i="7"/>
  <c r="E74" i="7"/>
  <c r="G66" i="7"/>
  <c r="F67" i="7" s="1"/>
  <c r="G65" i="9"/>
  <c r="B67" i="9"/>
  <c r="D66" i="9"/>
  <c r="C66" i="9"/>
  <c r="R66" i="9"/>
  <c r="C75" i="7"/>
  <c r="I75" i="7"/>
  <c r="T66" i="9" l="1"/>
  <c r="U66" i="9" s="1"/>
  <c r="J66" i="9"/>
  <c r="F66" i="9" s="1"/>
  <c r="D75" i="7"/>
  <c r="E75" i="7" s="1"/>
  <c r="E66" i="9"/>
  <c r="V67" i="9"/>
  <c r="S67" i="9" s="1"/>
  <c r="G67" i="7"/>
  <c r="F68" i="7" s="1"/>
  <c r="B76" i="7"/>
  <c r="A68" i="9"/>
  <c r="R67" i="9"/>
  <c r="D67" i="9"/>
  <c r="I76" i="7"/>
  <c r="B68" i="9"/>
  <c r="C76" i="7"/>
  <c r="C67" i="9"/>
  <c r="J67" i="9" l="1"/>
  <c r="F67" i="9" s="1"/>
  <c r="V68" i="9"/>
  <c r="S68" i="9" s="1"/>
  <c r="T67" i="9"/>
  <c r="U67" i="9" s="1"/>
  <c r="D76" i="7"/>
  <c r="E76" i="7" s="1"/>
  <c r="G66" i="9"/>
  <c r="B77" i="7"/>
  <c r="G68" i="7"/>
  <c r="F69" i="7" s="1"/>
  <c r="E67" i="9"/>
  <c r="G67" i="9" s="1"/>
  <c r="A69" i="9"/>
  <c r="D68" i="9"/>
  <c r="B69" i="9"/>
  <c r="R68" i="9"/>
  <c r="I77" i="7"/>
  <c r="C68" i="9"/>
  <c r="C77" i="7"/>
  <c r="D77" i="7" l="1"/>
  <c r="V69" i="9"/>
  <c r="S69" i="9" s="1"/>
  <c r="T68" i="9"/>
  <c r="U68" i="9" s="1"/>
  <c r="J68" i="9"/>
  <c r="F68" i="9" s="1"/>
  <c r="G69" i="7"/>
  <c r="F70" i="7" s="1"/>
  <c r="A70" i="9"/>
  <c r="E68" i="9"/>
  <c r="G68" i="9" s="1"/>
  <c r="B78" i="7"/>
  <c r="E77" i="7"/>
  <c r="I78" i="7"/>
  <c r="D69" i="9"/>
  <c r="C69" i="9"/>
  <c r="R69" i="9"/>
  <c r="C78" i="7"/>
  <c r="B70" i="9"/>
  <c r="E69" i="9" l="1"/>
  <c r="V70" i="9"/>
  <c r="S70" i="9" s="1"/>
  <c r="D78" i="7"/>
  <c r="E78" i="7" s="1"/>
  <c r="T69" i="9"/>
  <c r="U69" i="9" s="1"/>
  <c r="J69" i="9"/>
  <c r="F69" i="9" s="1"/>
  <c r="B79" i="7"/>
  <c r="G70" i="7"/>
  <c r="F71" i="7" s="1"/>
  <c r="A71" i="9"/>
  <c r="G69" i="9"/>
  <c r="R70" i="9"/>
  <c r="D70" i="9"/>
  <c r="B71" i="9"/>
  <c r="C70" i="9"/>
  <c r="C79" i="7"/>
  <c r="I79" i="7"/>
  <c r="V71" i="9" l="1"/>
  <c r="S71" i="9" s="1"/>
  <c r="T70" i="9"/>
  <c r="U70" i="9" s="1"/>
  <c r="E70" i="9"/>
  <c r="J70" i="9"/>
  <c r="F70" i="9" s="1"/>
  <c r="G70" i="9" s="1"/>
  <c r="D79" i="7"/>
  <c r="G71" i="7"/>
  <c r="F72" i="7" s="1"/>
  <c r="B80" i="7"/>
  <c r="E79" i="7"/>
  <c r="A72" i="9"/>
  <c r="R71" i="9"/>
  <c r="D71" i="9"/>
  <c r="B72" i="9"/>
  <c r="C80" i="7"/>
  <c r="I80" i="7"/>
  <c r="C71" i="9"/>
  <c r="E71" i="9" l="1"/>
  <c r="J71" i="9"/>
  <c r="F71" i="9" s="1"/>
  <c r="V72" i="9"/>
  <c r="S72" i="9" s="1"/>
  <c r="T71" i="9"/>
  <c r="U71" i="9" s="1"/>
  <c r="D80" i="7"/>
  <c r="G72" i="7"/>
  <c r="F73" i="7" s="1"/>
  <c r="A73" i="9"/>
  <c r="B81" i="7"/>
  <c r="E80" i="7"/>
  <c r="G71" i="9"/>
  <c r="C72" i="9"/>
  <c r="B73" i="9"/>
  <c r="C81" i="7"/>
  <c r="D72" i="9"/>
  <c r="I81" i="7"/>
  <c r="R72" i="9"/>
  <c r="V73" i="9" l="1"/>
  <c r="S73" i="9" s="1"/>
  <c r="T72" i="9"/>
  <c r="U72" i="9" s="1"/>
  <c r="D81" i="7"/>
  <c r="E81" i="7" s="1"/>
  <c r="J72" i="9"/>
  <c r="F72" i="9" s="1"/>
  <c r="G73" i="7"/>
  <c r="F74" i="7" s="1"/>
  <c r="A74" i="9"/>
  <c r="B82" i="7"/>
  <c r="E72" i="9"/>
  <c r="G72" i="9" s="1"/>
  <c r="C73" i="9"/>
  <c r="D73" i="9"/>
  <c r="B74" i="9"/>
  <c r="C82" i="7"/>
  <c r="R73" i="9"/>
  <c r="I82" i="7"/>
  <c r="T73" i="9" l="1"/>
  <c r="U73" i="9" s="1"/>
  <c r="J73" i="9"/>
  <c r="F73" i="9" s="1"/>
  <c r="D82" i="7"/>
  <c r="E82" i="7" s="1"/>
  <c r="E73" i="9"/>
  <c r="G73" i="9" s="1"/>
  <c r="V74" i="9"/>
  <c r="S74" i="9" s="1"/>
  <c r="B83" i="7"/>
  <c r="G74" i="7"/>
  <c r="F75" i="7" s="1"/>
  <c r="A75" i="9"/>
  <c r="R74" i="9"/>
  <c r="C74" i="9"/>
  <c r="C83" i="7"/>
  <c r="I83" i="7"/>
  <c r="B75" i="9"/>
  <c r="D74" i="9"/>
  <c r="T74" i="9" l="1"/>
  <c r="U74" i="9" s="1"/>
  <c r="V75" i="9"/>
  <c r="S75" i="9" s="1"/>
  <c r="J74" i="9"/>
  <c r="F74" i="9" s="1"/>
  <c r="D83" i="7"/>
  <c r="E83" i="7" s="1"/>
  <c r="E74" i="9"/>
  <c r="G75" i="7"/>
  <c r="F76" i="7" s="1"/>
  <c r="A76" i="9"/>
  <c r="B84" i="7"/>
  <c r="C84" i="7"/>
  <c r="B76" i="9"/>
  <c r="R75" i="9"/>
  <c r="C75" i="9"/>
  <c r="I84" i="7"/>
  <c r="D75" i="9"/>
  <c r="G74" i="9" l="1"/>
  <c r="E75" i="9"/>
  <c r="T75" i="9"/>
  <c r="U75" i="9" s="1"/>
  <c r="D84" i="7"/>
  <c r="E84" i="7" s="1"/>
  <c r="J75" i="9"/>
  <c r="F75" i="9" s="1"/>
  <c r="G75" i="9" s="1"/>
  <c r="V76" i="9"/>
  <c r="S76" i="9" s="1"/>
  <c r="A77" i="9"/>
  <c r="G76" i="7"/>
  <c r="F77" i="7" s="1"/>
  <c r="B85" i="7"/>
  <c r="C76" i="9"/>
  <c r="I85" i="7"/>
  <c r="B77" i="9"/>
  <c r="C85" i="7"/>
  <c r="D76" i="9"/>
  <c r="R76" i="9"/>
  <c r="J76" i="9" l="1"/>
  <c r="F76" i="9" s="1"/>
  <c r="T76" i="9"/>
  <c r="U76" i="9" s="1"/>
  <c r="D85" i="7"/>
  <c r="E85" i="7" s="1"/>
  <c r="V77" i="9"/>
  <c r="S77" i="9" s="1"/>
  <c r="G77" i="7"/>
  <c r="F78" i="7" s="1"/>
  <c r="A78" i="9"/>
  <c r="E76" i="9"/>
  <c r="G76" i="9" s="1"/>
  <c r="B86" i="7"/>
  <c r="B78" i="9"/>
  <c r="I86" i="7"/>
  <c r="R77" i="9"/>
  <c r="D77" i="9"/>
  <c r="C86" i="7"/>
  <c r="C77" i="9"/>
  <c r="J77" i="9" l="1"/>
  <c r="F77" i="9" s="1"/>
  <c r="V78" i="9"/>
  <c r="S78" i="9" s="1"/>
  <c r="D86" i="7"/>
  <c r="E86" i="7" s="1"/>
  <c r="T77" i="9"/>
  <c r="U77" i="9" s="1"/>
  <c r="G78" i="7"/>
  <c r="F79" i="7" s="1"/>
  <c r="A79" i="9"/>
  <c r="E77" i="9"/>
  <c r="G77" i="9" s="1"/>
  <c r="B87" i="7"/>
  <c r="C87" i="7"/>
  <c r="R78" i="9"/>
  <c r="I87" i="7"/>
  <c r="D78" i="9"/>
  <c r="C78" i="9"/>
  <c r="B79" i="9"/>
  <c r="V79" i="9" l="1"/>
  <c r="S79" i="9" s="1"/>
  <c r="D87" i="7"/>
  <c r="E87" i="7" s="1"/>
  <c r="J78" i="9"/>
  <c r="F78" i="9" s="1"/>
  <c r="T78" i="9"/>
  <c r="U78" i="9" s="1"/>
  <c r="G79" i="7"/>
  <c r="F80" i="7" s="1"/>
  <c r="A80" i="9"/>
  <c r="B88" i="7"/>
  <c r="E78" i="9"/>
  <c r="G78" i="9" s="1"/>
  <c r="R79" i="9"/>
  <c r="C88" i="7"/>
  <c r="D79" i="9"/>
  <c r="I88" i="7"/>
  <c r="C79" i="9"/>
  <c r="B80" i="9"/>
  <c r="E79" i="9" l="1"/>
  <c r="T79" i="9"/>
  <c r="U79" i="9" s="1"/>
  <c r="D88" i="7"/>
  <c r="E88" i="7" s="1"/>
  <c r="V80" i="9"/>
  <c r="S80" i="9" s="1"/>
  <c r="J79" i="9"/>
  <c r="F79" i="9" s="1"/>
  <c r="A81" i="9"/>
  <c r="G80" i="7"/>
  <c r="F81" i="7" s="1"/>
  <c r="B89" i="7"/>
  <c r="G79" i="9"/>
  <c r="B81" i="9"/>
  <c r="R80" i="9"/>
  <c r="C89" i="7"/>
  <c r="I89" i="7"/>
  <c r="C80" i="9"/>
  <c r="D80" i="9"/>
  <c r="D89" i="7" l="1"/>
  <c r="J80" i="9"/>
  <c r="F80" i="9" s="1"/>
  <c r="T80" i="9"/>
  <c r="U80" i="9" s="1"/>
  <c r="V81" i="9"/>
  <c r="S81" i="9" s="1"/>
  <c r="G81" i="7"/>
  <c r="F82" i="7" s="1"/>
  <c r="E80" i="9"/>
  <c r="G80" i="9" s="1"/>
  <c r="B90" i="7"/>
  <c r="E89" i="7"/>
  <c r="A82" i="9"/>
  <c r="D81" i="9"/>
  <c r="C90" i="7"/>
  <c r="R81" i="9"/>
  <c r="B82" i="9"/>
  <c r="I90" i="7"/>
  <c r="C81" i="9"/>
  <c r="T81" i="9" l="1"/>
  <c r="U81" i="9" s="1"/>
  <c r="D90" i="7"/>
  <c r="J81" i="9"/>
  <c r="F81" i="9" s="1"/>
  <c r="V82" i="9"/>
  <c r="S82" i="9" s="1"/>
  <c r="A83" i="9"/>
  <c r="G82" i="7"/>
  <c r="F83" i="7" s="1"/>
  <c r="B91" i="7"/>
  <c r="E90" i="7"/>
  <c r="E81" i="9"/>
  <c r="G81" i="9" s="1"/>
  <c r="D82" i="9"/>
  <c r="I91" i="7"/>
  <c r="R82" i="9"/>
  <c r="C82" i="9"/>
  <c r="C91" i="7"/>
  <c r="B83" i="9"/>
  <c r="T82" i="9" l="1"/>
  <c r="U82" i="9" s="1"/>
  <c r="V83" i="9"/>
  <c r="S83" i="9" s="1"/>
  <c r="E82" i="9"/>
  <c r="D91" i="7"/>
  <c r="E91" i="7" s="1"/>
  <c r="J82" i="9"/>
  <c r="F82" i="9" s="1"/>
  <c r="G82" i="9" s="1"/>
  <c r="G83" i="7"/>
  <c r="F84" i="7" s="1"/>
  <c r="B92" i="7"/>
  <c r="A84" i="9"/>
  <c r="C83" i="9"/>
  <c r="D83" i="9"/>
  <c r="I92" i="7"/>
  <c r="R83" i="9"/>
  <c r="C92" i="7"/>
  <c r="B84" i="9"/>
  <c r="D92" i="7" l="1"/>
  <c r="V84" i="9"/>
  <c r="S84" i="9" s="1"/>
  <c r="J83" i="9"/>
  <c r="F83" i="9" s="1"/>
  <c r="G83" i="9" s="1"/>
  <c r="T83" i="9"/>
  <c r="U83" i="9" s="1"/>
  <c r="E83" i="9"/>
  <c r="G84" i="7"/>
  <c r="F85" i="7" s="1"/>
  <c r="B93" i="7"/>
  <c r="E92" i="7"/>
  <c r="A85" i="9"/>
  <c r="C84" i="9"/>
  <c r="D84" i="9"/>
  <c r="I93" i="7"/>
  <c r="C93" i="7"/>
  <c r="B85" i="9"/>
  <c r="R84" i="9"/>
  <c r="T84" i="9" l="1"/>
  <c r="U84" i="9" s="1"/>
  <c r="V85" i="9"/>
  <c r="S85" i="9" s="1"/>
  <c r="D93" i="7"/>
  <c r="E93" i="7" s="1"/>
  <c r="E84" i="9"/>
  <c r="J84" i="9"/>
  <c r="F84" i="9" s="1"/>
  <c r="G84" i="9" s="1"/>
  <c r="G85" i="7"/>
  <c r="F86" i="7" s="1"/>
  <c r="B94" i="7"/>
  <c r="A86" i="9"/>
  <c r="C94" i="7"/>
  <c r="B86" i="9"/>
  <c r="C85" i="9"/>
  <c r="D85" i="9"/>
  <c r="I94" i="7"/>
  <c r="R85" i="9"/>
  <c r="E85" i="9" l="1"/>
  <c r="J85" i="9"/>
  <c r="F85" i="9" s="1"/>
  <c r="G85" i="9" s="1"/>
  <c r="T85" i="9"/>
  <c r="U85" i="9" s="1"/>
  <c r="D94" i="7"/>
  <c r="E94" i="7" s="1"/>
  <c r="V86" i="9"/>
  <c r="S86" i="9" s="1"/>
  <c r="A87" i="9"/>
  <c r="G86" i="7"/>
  <c r="F87" i="7" s="1"/>
  <c r="B95" i="7"/>
  <c r="B87" i="9"/>
  <c r="R86" i="9"/>
  <c r="D86" i="9"/>
  <c r="C95" i="7"/>
  <c r="I95" i="7"/>
  <c r="C86" i="9"/>
  <c r="D95" i="7" l="1"/>
  <c r="J86" i="9"/>
  <c r="F86" i="9" s="1"/>
  <c r="V87" i="9"/>
  <c r="S87" i="9" s="1"/>
  <c r="T86" i="9"/>
  <c r="U86" i="9" s="1"/>
  <c r="G87" i="7"/>
  <c r="F88" i="7" s="1"/>
  <c r="B96" i="7"/>
  <c r="E95" i="7"/>
  <c r="A88" i="9"/>
  <c r="E86" i="9"/>
  <c r="G86" i="9" s="1"/>
  <c r="C87" i="9"/>
  <c r="R87" i="9"/>
  <c r="B88" i="9"/>
  <c r="I96" i="7"/>
  <c r="C96" i="7"/>
  <c r="D87" i="9"/>
  <c r="V88" i="9" l="1"/>
  <c r="S88" i="9" s="1"/>
  <c r="E87" i="9"/>
  <c r="J87" i="9"/>
  <c r="F87" i="9" s="1"/>
  <c r="G87" i="9" s="1"/>
  <c r="T87" i="9"/>
  <c r="U87" i="9" s="1"/>
  <c r="D96" i="7"/>
  <c r="G88" i="7"/>
  <c r="F89" i="7" s="1"/>
  <c r="A89" i="9"/>
  <c r="B97" i="7"/>
  <c r="E96" i="7"/>
  <c r="B89" i="9"/>
  <c r="D88" i="9"/>
  <c r="C97" i="7"/>
  <c r="C88" i="9"/>
  <c r="I97" i="7"/>
  <c r="R88" i="9"/>
  <c r="D97" i="7" l="1"/>
  <c r="E88" i="9"/>
  <c r="J88" i="9"/>
  <c r="F88" i="9" s="1"/>
  <c r="G88" i="9" s="1"/>
  <c r="V89" i="9"/>
  <c r="S89" i="9" s="1"/>
  <c r="T88" i="9"/>
  <c r="U88" i="9" s="1"/>
  <c r="G89" i="7"/>
  <c r="F90" i="7" s="1"/>
  <c r="A90" i="9"/>
  <c r="B98" i="7"/>
  <c r="E97" i="7"/>
  <c r="B90" i="9"/>
  <c r="D89" i="9"/>
  <c r="C89" i="9"/>
  <c r="C98" i="7"/>
  <c r="I98" i="7"/>
  <c r="R89" i="9"/>
  <c r="J89" i="9" l="1"/>
  <c r="F89" i="9" s="1"/>
  <c r="T89" i="9"/>
  <c r="U89" i="9" s="1"/>
  <c r="D98" i="7"/>
  <c r="E98" i="7" s="1"/>
  <c r="E89" i="9"/>
  <c r="G89" i="9" s="1"/>
  <c r="V90" i="9"/>
  <c r="S90" i="9" s="1"/>
  <c r="B99" i="7"/>
  <c r="G90" i="7"/>
  <c r="F91" i="7" s="1"/>
  <c r="A91" i="9"/>
  <c r="B91" i="9"/>
  <c r="I99" i="7"/>
  <c r="D90" i="9"/>
  <c r="C99" i="7"/>
  <c r="C90" i="9"/>
  <c r="R90" i="9"/>
  <c r="T90" i="9" l="1"/>
  <c r="U90" i="9" s="1"/>
  <c r="D99" i="7"/>
  <c r="E99" i="7" s="1"/>
  <c r="J90" i="9"/>
  <c r="F90" i="9" s="1"/>
  <c r="V91" i="9"/>
  <c r="S91" i="9" s="1"/>
  <c r="A92" i="9"/>
  <c r="G91" i="7"/>
  <c r="F92" i="7" s="1"/>
  <c r="E90" i="9"/>
  <c r="G90" i="9" s="1"/>
  <c r="B100" i="7"/>
  <c r="B92" i="9"/>
  <c r="I100" i="7"/>
  <c r="R91" i="9"/>
  <c r="D91" i="9"/>
  <c r="C100" i="7"/>
  <c r="C91" i="9"/>
  <c r="T91" i="9" l="1"/>
  <c r="U91" i="9" s="1"/>
  <c r="D100" i="7"/>
  <c r="E100" i="7" s="1"/>
  <c r="J91" i="9"/>
  <c r="F91" i="9" s="1"/>
  <c r="V92" i="9"/>
  <c r="S92" i="9" s="1"/>
  <c r="B101" i="7"/>
  <c r="G92" i="7"/>
  <c r="F93" i="7" s="1"/>
  <c r="A93" i="9"/>
  <c r="E91" i="9"/>
  <c r="G91" i="9" s="1"/>
  <c r="B93" i="9"/>
  <c r="R92" i="9"/>
  <c r="C92" i="9"/>
  <c r="I101" i="7"/>
  <c r="D92" i="9"/>
  <c r="C101" i="7"/>
  <c r="V93" i="9" l="1"/>
  <c r="S93" i="9" s="1"/>
  <c r="J92" i="9"/>
  <c r="F92" i="9" s="1"/>
  <c r="D101" i="7"/>
  <c r="E101" i="7" s="1"/>
  <c r="E92" i="9"/>
  <c r="T92" i="9"/>
  <c r="U92" i="9" s="1"/>
  <c r="G93" i="7"/>
  <c r="F94" i="7" s="1"/>
  <c r="B102" i="7"/>
  <c r="A94" i="9"/>
  <c r="D93" i="9"/>
  <c r="C102" i="7"/>
  <c r="R93" i="9"/>
  <c r="C93" i="9"/>
  <c r="I102" i="7"/>
  <c r="B94" i="9"/>
  <c r="G92" i="9" l="1"/>
  <c r="T93" i="9"/>
  <c r="U93" i="9" s="1"/>
  <c r="D102" i="7"/>
  <c r="E93" i="9"/>
  <c r="J93" i="9"/>
  <c r="F93" i="9" s="1"/>
  <c r="G93" i="9" s="1"/>
  <c r="V94" i="9"/>
  <c r="S94" i="9" s="1"/>
  <c r="G94" i="7"/>
  <c r="F95" i="7" s="1"/>
  <c r="B103" i="7"/>
  <c r="E102" i="7"/>
  <c r="A95" i="9"/>
  <c r="D94" i="9"/>
  <c r="R94" i="9"/>
  <c r="I103" i="7"/>
  <c r="B95" i="9"/>
  <c r="C103" i="7"/>
  <c r="C94" i="9"/>
  <c r="J94" i="9" l="1"/>
  <c r="F94" i="9" s="1"/>
  <c r="D103" i="7"/>
  <c r="E103" i="7" s="1"/>
  <c r="T94" i="9"/>
  <c r="U94" i="9" s="1"/>
  <c r="E94" i="9"/>
  <c r="G94" i="9" s="1"/>
  <c r="V95" i="9"/>
  <c r="S95" i="9" s="1"/>
  <c r="G95" i="7"/>
  <c r="F96" i="7" s="1"/>
  <c r="B104" i="7"/>
  <c r="A96" i="9"/>
  <c r="C104" i="7"/>
  <c r="D95" i="9"/>
  <c r="R95" i="9"/>
  <c r="C95" i="9"/>
  <c r="I104" i="7"/>
  <c r="B96" i="9"/>
  <c r="D104" i="7" l="1"/>
  <c r="E104" i="7" s="1"/>
  <c r="T95" i="9"/>
  <c r="U95" i="9" s="1"/>
  <c r="E95" i="9"/>
  <c r="V96" i="9"/>
  <c r="S96" i="9" s="1"/>
  <c r="J95" i="9"/>
  <c r="F95" i="9" s="1"/>
  <c r="B105" i="7"/>
  <c r="G96" i="7"/>
  <c r="F97" i="7" s="1"/>
  <c r="A97" i="9"/>
  <c r="G95" i="9"/>
  <c r="R96" i="9"/>
  <c r="C96" i="9"/>
  <c r="I105" i="7"/>
  <c r="B97" i="9"/>
  <c r="D96" i="9"/>
  <c r="C105" i="7"/>
  <c r="D105" i="7" l="1"/>
  <c r="J96" i="9"/>
  <c r="F96" i="9" s="1"/>
  <c r="V97" i="9"/>
  <c r="S97" i="9" s="1"/>
  <c r="T96" i="9"/>
  <c r="U96" i="9" s="1"/>
  <c r="G97" i="7"/>
  <c r="F98" i="7" s="1"/>
  <c r="A98" i="9"/>
  <c r="E96" i="9"/>
  <c r="G96" i="9" s="1"/>
  <c r="B106" i="7"/>
  <c r="E105" i="7"/>
  <c r="R97" i="9"/>
  <c r="I106" i="7"/>
  <c r="C97" i="9"/>
  <c r="D97" i="9"/>
  <c r="B98" i="9"/>
  <c r="C106" i="7"/>
  <c r="D106" i="7" l="1"/>
  <c r="J97" i="9"/>
  <c r="F97" i="9" s="1"/>
  <c r="T97" i="9"/>
  <c r="U97" i="9" s="1"/>
  <c r="E97" i="9"/>
  <c r="V98" i="9"/>
  <c r="S98" i="9" s="1"/>
  <c r="A99" i="9"/>
  <c r="B107" i="7"/>
  <c r="E106" i="7"/>
  <c r="G97" i="9"/>
  <c r="G98" i="7"/>
  <c r="F99" i="7" s="1"/>
  <c r="C98" i="9"/>
  <c r="C107" i="7"/>
  <c r="B99" i="9"/>
  <c r="D98" i="9"/>
  <c r="I107" i="7"/>
  <c r="R98" i="9"/>
  <c r="T98" i="9" l="1"/>
  <c r="U98" i="9" s="1"/>
  <c r="D107" i="7"/>
  <c r="E107" i="7" s="1"/>
  <c r="V99" i="9"/>
  <c r="S99" i="9" s="1"/>
  <c r="J98" i="9"/>
  <c r="F98" i="9" s="1"/>
  <c r="G99" i="7"/>
  <c r="F100" i="7" s="1"/>
  <c r="B108" i="7"/>
  <c r="A100" i="9"/>
  <c r="E98" i="9"/>
  <c r="G98" i="9" s="1"/>
  <c r="C99" i="9"/>
  <c r="C108" i="7"/>
  <c r="D99" i="9"/>
  <c r="I108" i="7"/>
  <c r="B100" i="9"/>
  <c r="R99" i="9"/>
  <c r="T99" i="9" l="1"/>
  <c r="U99" i="9" s="1"/>
  <c r="D108" i="7"/>
  <c r="E108" i="7" s="1"/>
  <c r="V100" i="9"/>
  <c r="S100" i="9" s="1"/>
  <c r="J99" i="9"/>
  <c r="F99" i="9" s="1"/>
  <c r="G99" i="9" s="1"/>
  <c r="B109" i="7"/>
  <c r="A101" i="9"/>
  <c r="G100" i="7"/>
  <c r="F101" i="7" s="1"/>
  <c r="E99" i="9"/>
  <c r="R100" i="9"/>
  <c r="B101" i="9"/>
  <c r="C100" i="9"/>
  <c r="I109" i="7"/>
  <c r="D100" i="9"/>
  <c r="C109" i="7"/>
  <c r="E100" i="9" l="1"/>
  <c r="D109" i="7"/>
  <c r="E109" i="7" s="1"/>
  <c r="V101" i="9"/>
  <c r="S101" i="9" s="1"/>
  <c r="J100" i="9"/>
  <c r="F100" i="9" s="1"/>
  <c r="T100" i="9"/>
  <c r="U100" i="9" s="1"/>
  <c r="G101" i="7"/>
  <c r="F102" i="7" s="1"/>
  <c r="B110" i="7"/>
  <c r="G100" i="9"/>
  <c r="A102" i="9"/>
  <c r="R101" i="9"/>
  <c r="B102" i="9"/>
  <c r="C110" i="7"/>
  <c r="D101" i="9"/>
  <c r="I110" i="7"/>
  <c r="C101" i="9"/>
  <c r="T101" i="9" l="1"/>
  <c r="U101" i="9" s="1"/>
  <c r="V102" i="9"/>
  <c r="S102" i="9" s="1"/>
  <c r="J101" i="9"/>
  <c r="F101" i="9" s="1"/>
  <c r="D110" i="7"/>
  <c r="E110" i="7" s="1"/>
  <c r="B111" i="7"/>
  <c r="G102" i="7"/>
  <c r="F103" i="7" s="1"/>
  <c r="A103" i="9"/>
  <c r="E101" i="9"/>
  <c r="C102" i="9"/>
  <c r="C111" i="7"/>
  <c r="B103" i="9"/>
  <c r="R102" i="9"/>
  <c r="I111" i="7"/>
  <c r="D102" i="9"/>
  <c r="G101" i="9" l="1"/>
  <c r="J102" i="9"/>
  <c r="F102" i="9" s="1"/>
  <c r="V103" i="9"/>
  <c r="S103" i="9" s="1"/>
  <c r="D111" i="7"/>
  <c r="E111" i="7" s="1"/>
  <c r="T102" i="9"/>
  <c r="U102" i="9" s="1"/>
  <c r="E102" i="9"/>
  <c r="G102" i="9" s="1"/>
  <c r="G103" i="7"/>
  <c r="F104" i="7" s="1"/>
  <c r="B112" i="7"/>
  <c r="C112" i="7" s="1"/>
  <c r="D112" i="7" s="1"/>
  <c r="E112" i="7" s="1"/>
  <c r="A104" i="9"/>
  <c r="R103" i="9"/>
  <c r="D103" i="9"/>
  <c r="B104" i="9"/>
  <c r="C103" i="9"/>
  <c r="E103" i="9" l="1"/>
  <c r="J103" i="9"/>
  <c r="F103" i="9" s="1"/>
  <c r="V104" i="9"/>
  <c r="S104" i="9" s="1"/>
  <c r="T103" i="9"/>
  <c r="U103" i="9" s="1"/>
  <c r="A105" i="9"/>
  <c r="G104" i="7"/>
  <c r="F105" i="7" s="1"/>
  <c r="G103" i="9"/>
  <c r="D104" i="9"/>
  <c r="R104" i="9"/>
  <c r="C104" i="9"/>
  <c r="B105" i="9"/>
  <c r="T104" i="9" l="1"/>
  <c r="U104" i="9" s="1"/>
  <c r="V105" i="9"/>
  <c r="S105" i="9" s="1"/>
  <c r="E104" i="9"/>
  <c r="J104" i="9"/>
  <c r="F104" i="9" s="1"/>
  <c r="G105" i="7"/>
  <c r="F106" i="7" s="1"/>
  <c r="A106" i="9"/>
  <c r="B106" i="9"/>
  <c r="C105" i="9"/>
  <c r="D105" i="9"/>
  <c r="R105" i="9"/>
  <c r="G104" i="9" l="1"/>
  <c r="V106" i="9"/>
  <c r="S106" i="9" s="1"/>
  <c r="T105" i="9"/>
  <c r="U105" i="9" s="1"/>
  <c r="E105" i="9"/>
  <c r="J105" i="9"/>
  <c r="F105" i="9" s="1"/>
  <c r="A107" i="9"/>
  <c r="G105" i="9"/>
  <c r="G106" i="7"/>
  <c r="F107" i="7" s="1"/>
  <c r="D106" i="9"/>
  <c r="C106" i="9"/>
  <c r="B107" i="9"/>
  <c r="R106" i="9"/>
  <c r="V107" i="9" l="1"/>
  <c r="S107" i="9" s="1"/>
  <c r="T106" i="9"/>
  <c r="U106" i="9" s="1"/>
  <c r="E106" i="9"/>
  <c r="J106" i="9"/>
  <c r="F106" i="9" s="1"/>
  <c r="G107" i="7"/>
  <c r="F108" i="7" s="1"/>
  <c r="A108" i="9"/>
  <c r="D107" i="9"/>
  <c r="R107" i="9"/>
  <c r="B108" i="9"/>
  <c r="C107" i="9"/>
  <c r="G106" i="9" l="1"/>
  <c r="T107" i="9"/>
  <c r="U107" i="9" s="1"/>
  <c r="E107" i="9"/>
  <c r="J107" i="9"/>
  <c r="F107" i="9" s="1"/>
  <c r="V108" i="9"/>
  <c r="S108" i="9" s="1"/>
  <c r="A109" i="9"/>
  <c r="G108" i="7"/>
  <c r="F109" i="7" s="1"/>
  <c r="G107" i="9"/>
  <c r="B109" i="9"/>
  <c r="D108" i="9"/>
  <c r="C108" i="9"/>
  <c r="R108" i="9"/>
  <c r="E108" i="9" l="1"/>
  <c r="T108" i="9"/>
  <c r="U108" i="9" s="1"/>
  <c r="J108" i="9"/>
  <c r="F108" i="9" s="1"/>
  <c r="G108" i="9" s="1"/>
  <c r="V109" i="9"/>
  <c r="S109" i="9" s="1"/>
  <c r="G109" i="7"/>
  <c r="F110" i="7"/>
  <c r="A110" i="9"/>
  <c r="C109" i="9"/>
  <c r="R109" i="9"/>
  <c r="B110" i="9"/>
  <c r="D109" i="9"/>
  <c r="V110" i="9" l="1"/>
  <c r="S110" i="9" s="1"/>
  <c r="J109" i="9"/>
  <c r="F109" i="9" s="1"/>
  <c r="T109" i="9"/>
  <c r="U109" i="9" s="1"/>
  <c r="G110" i="7"/>
  <c r="F111" i="7" s="1"/>
  <c r="A111" i="9"/>
  <c r="E109" i="9"/>
  <c r="C110" i="9"/>
  <c r="D110" i="9"/>
  <c r="B111" i="9"/>
  <c r="R110" i="9"/>
  <c r="V111" i="9" l="1"/>
  <c r="S111" i="9" s="1"/>
  <c r="J110" i="9"/>
  <c r="F110" i="9" s="1"/>
  <c r="T110" i="9"/>
  <c r="U110" i="9" s="1"/>
  <c r="G109" i="9"/>
  <c r="G111" i="7"/>
  <c r="F112" i="7" s="1"/>
  <c r="A112" i="9"/>
  <c r="E110" i="9"/>
  <c r="C111" i="9"/>
  <c r="D111" i="9"/>
  <c r="R111" i="9"/>
  <c r="B112" i="9"/>
  <c r="T111" i="9" l="1"/>
  <c r="U111" i="9" s="1"/>
  <c r="J111" i="9"/>
  <c r="F111" i="9" s="1"/>
  <c r="V112" i="9"/>
  <c r="S112" i="9" s="1"/>
  <c r="G110" i="9"/>
  <c r="F1" i="7"/>
  <c r="F3" i="7" s="1"/>
  <c r="G112" i="7"/>
  <c r="A113" i="9"/>
  <c r="E111" i="9"/>
  <c r="G111" i="9" s="1"/>
  <c r="B113" i="9"/>
  <c r="R112" i="9"/>
  <c r="C112" i="9"/>
  <c r="D112" i="9"/>
  <c r="J112" i="9" l="1"/>
  <c r="F112" i="9" s="1"/>
  <c r="T112" i="9"/>
  <c r="U112" i="9" s="1"/>
  <c r="V113" i="9"/>
  <c r="S113" i="9" s="1"/>
  <c r="A114" i="9"/>
  <c r="E112" i="9"/>
  <c r="G112" i="9" s="1"/>
  <c r="R113" i="9"/>
  <c r="C113" i="9"/>
  <c r="B114" i="9"/>
  <c r="D113" i="9"/>
  <c r="V114" i="9" l="1"/>
  <c r="S114" i="9" s="1"/>
  <c r="T113" i="9"/>
  <c r="U113" i="9" s="1"/>
  <c r="E113" i="9"/>
  <c r="J113" i="9"/>
  <c r="F113" i="9" s="1"/>
  <c r="G113" i="9" s="1"/>
  <c r="A115" i="9"/>
  <c r="D114" i="9"/>
  <c r="R114" i="9"/>
  <c r="B115" i="9"/>
  <c r="C114" i="9"/>
  <c r="T114" i="9" l="1"/>
  <c r="U114" i="9" s="1"/>
  <c r="E114" i="9"/>
  <c r="J114" i="9"/>
  <c r="F114" i="9" s="1"/>
  <c r="V115" i="9"/>
  <c r="S115" i="9" s="1"/>
  <c r="A116" i="9"/>
  <c r="G114" i="9"/>
  <c r="B116" i="9"/>
  <c r="D115" i="9"/>
  <c r="C115" i="9"/>
  <c r="R115" i="9"/>
  <c r="J115" i="9" l="1"/>
  <c r="F115" i="9" s="1"/>
  <c r="E115" i="9"/>
  <c r="T115" i="9"/>
  <c r="U115" i="9" s="1"/>
  <c r="V116" i="9"/>
  <c r="S116" i="9" s="1"/>
  <c r="G115" i="9"/>
  <c r="A117" i="9"/>
  <c r="C116" i="9"/>
  <c r="B117" i="9"/>
  <c r="D116" i="9"/>
  <c r="R116" i="9"/>
  <c r="J116" i="9" l="1"/>
  <c r="F116" i="9" s="1"/>
  <c r="V117" i="9"/>
  <c r="S117" i="9" s="1"/>
  <c r="T116" i="9"/>
  <c r="U116" i="9" s="1"/>
  <c r="E116" i="9"/>
  <c r="A118" i="9"/>
  <c r="G116" i="9"/>
  <c r="C117" i="9"/>
  <c r="R117" i="9"/>
  <c r="D117" i="9"/>
  <c r="B118" i="9"/>
  <c r="V118" i="9" l="1"/>
  <c r="S118" i="9" s="1"/>
  <c r="E117" i="9"/>
  <c r="J117" i="9"/>
  <c r="F117" i="9" s="1"/>
  <c r="G117" i="9" s="1"/>
  <c r="T117" i="9"/>
  <c r="U117" i="9" s="1"/>
  <c r="A119" i="9"/>
  <c r="B119" i="9"/>
  <c r="R118" i="9"/>
  <c r="C118" i="9"/>
  <c r="D118" i="9"/>
  <c r="J118" i="9" l="1"/>
  <c r="F118" i="9" s="1"/>
  <c r="T118" i="9"/>
  <c r="U118" i="9" s="1"/>
  <c r="E118" i="9"/>
  <c r="G118" i="9" s="1"/>
  <c r="V119" i="9"/>
  <c r="S119" i="9" s="1"/>
  <c r="A120" i="9"/>
  <c r="B120" i="9"/>
  <c r="R119" i="9"/>
  <c r="C119" i="9"/>
  <c r="D119" i="9"/>
  <c r="J119" i="9" l="1"/>
  <c r="F119" i="9" s="1"/>
  <c r="V120" i="9"/>
  <c r="S120" i="9" s="1"/>
  <c r="T119" i="9"/>
  <c r="U119" i="9" s="1"/>
  <c r="E119" i="9"/>
  <c r="A121" i="9"/>
  <c r="B121" i="9"/>
  <c r="C120" i="9"/>
  <c r="R120" i="9"/>
  <c r="D120" i="9"/>
  <c r="E120" i="9" l="1"/>
  <c r="J120" i="9"/>
  <c r="F120" i="9" s="1"/>
  <c r="T120" i="9"/>
  <c r="U120" i="9" s="1"/>
  <c r="V121" i="9"/>
  <c r="S121" i="9" s="1"/>
  <c r="G119" i="9"/>
  <c r="A122" i="9"/>
  <c r="G120" i="9"/>
  <c r="C121" i="9"/>
  <c r="D121" i="9"/>
  <c r="B122" i="9"/>
  <c r="R121" i="9"/>
  <c r="V122" i="9" l="1"/>
  <c r="S122" i="9" s="1"/>
  <c r="J121" i="9"/>
  <c r="F121" i="9" s="1"/>
  <c r="T121" i="9"/>
  <c r="U121" i="9" s="1"/>
  <c r="A123" i="9"/>
  <c r="E121" i="9"/>
  <c r="G121" i="9" s="1"/>
  <c r="B123" i="9"/>
  <c r="R122" i="9"/>
  <c r="C122" i="9"/>
  <c r="D122" i="9"/>
  <c r="J122" i="9" l="1"/>
  <c r="F122" i="9" s="1"/>
  <c r="V123" i="9"/>
  <c r="S123" i="9" s="1"/>
  <c r="T122" i="9"/>
  <c r="U122" i="9" s="1"/>
  <c r="A124" i="9"/>
  <c r="E122" i="9"/>
  <c r="G122" i="9" s="1"/>
  <c r="C123" i="9"/>
  <c r="D123" i="9"/>
  <c r="B124" i="9"/>
  <c r="R123" i="9"/>
  <c r="J123" i="9" l="1"/>
  <c r="F123" i="9" s="1"/>
  <c r="T123" i="9"/>
  <c r="U123" i="9" s="1"/>
  <c r="V124" i="9"/>
  <c r="S124" i="9" s="1"/>
  <c r="A125" i="9"/>
  <c r="E123" i="9"/>
  <c r="G123" i="9" s="1"/>
  <c r="C124" i="9"/>
  <c r="R124" i="9"/>
  <c r="D124" i="9"/>
  <c r="B125" i="9"/>
  <c r="J124" i="9" l="1"/>
  <c r="F124" i="9" s="1"/>
  <c r="T124" i="9"/>
  <c r="U124" i="9" s="1"/>
  <c r="V125" i="9"/>
  <c r="S125" i="9" s="1"/>
  <c r="E124" i="9"/>
  <c r="A126" i="9"/>
  <c r="G124" i="9"/>
  <c r="D125" i="9"/>
  <c r="R125" i="9"/>
  <c r="C125" i="9"/>
  <c r="B126" i="9"/>
  <c r="T125" i="9" l="1"/>
  <c r="U125" i="9" s="1"/>
  <c r="V126" i="9"/>
  <c r="S126" i="9" s="1"/>
  <c r="J125" i="9"/>
  <c r="F125" i="9" s="1"/>
  <c r="A127" i="9"/>
  <c r="E125" i="9"/>
  <c r="B127" i="9"/>
  <c r="C126" i="9"/>
  <c r="R126" i="9"/>
  <c r="D126" i="9"/>
  <c r="J126" i="9" l="1"/>
  <c r="F126" i="9" s="1"/>
  <c r="T126" i="9"/>
  <c r="U126" i="9" s="1"/>
  <c r="V127" i="9"/>
  <c r="S127" i="9" s="1"/>
  <c r="E126" i="9"/>
  <c r="G125" i="9"/>
  <c r="A128" i="9"/>
  <c r="G126" i="9"/>
  <c r="R127" i="9"/>
  <c r="B128" i="9"/>
  <c r="D127" i="9"/>
  <c r="C127" i="9"/>
  <c r="V128" i="9" l="1"/>
  <c r="S128" i="9" s="1"/>
  <c r="J127" i="9"/>
  <c r="F127" i="9" s="1"/>
  <c r="T127" i="9"/>
  <c r="U127" i="9" s="1"/>
  <c r="A129" i="9"/>
  <c r="E127" i="9"/>
  <c r="G127" i="9" s="1"/>
  <c r="C128" i="9"/>
  <c r="D128" i="9"/>
  <c r="R128" i="9"/>
  <c r="B129" i="9"/>
  <c r="J128" i="9" l="1"/>
  <c r="F128" i="9" s="1"/>
  <c r="T128" i="9"/>
  <c r="U128" i="9" s="1"/>
  <c r="E128" i="9"/>
  <c r="V129" i="9"/>
  <c r="S129" i="9" s="1"/>
  <c r="A130" i="9"/>
  <c r="G128" i="9"/>
  <c r="B130" i="9"/>
  <c r="D129" i="9"/>
  <c r="R129" i="9"/>
  <c r="C129" i="9"/>
  <c r="T129" i="9" l="1"/>
  <c r="U129" i="9" s="1"/>
  <c r="V130" i="9"/>
  <c r="S130" i="9" s="1"/>
  <c r="J129" i="9"/>
  <c r="F129" i="9" s="1"/>
  <c r="A131" i="9"/>
  <c r="E129" i="9"/>
  <c r="C130" i="9"/>
  <c r="R130" i="9"/>
  <c r="D130" i="9"/>
  <c r="B131" i="9"/>
  <c r="T130" i="9" l="1"/>
  <c r="U130" i="9" s="1"/>
  <c r="V131" i="9"/>
  <c r="S131" i="9" s="1"/>
  <c r="J130" i="9"/>
  <c r="F130" i="9" s="1"/>
  <c r="G129" i="9"/>
  <c r="E130" i="9"/>
  <c r="A132" i="9"/>
  <c r="C131" i="9"/>
  <c r="R131" i="9"/>
  <c r="B132" i="9"/>
  <c r="D131" i="9"/>
  <c r="T131" i="9" l="1"/>
  <c r="U131" i="9" s="1"/>
  <c r="V132" i="9"/>
  <c r="S132" i="9" s="1"/>
  <c r="J131" i="9"/>
  <c r="F131" i="9" s="1"/>
  <c r="G130" i="9"/>
  <c r="A133" i="9"/>
  <c r="E131" i="9"/>
  <c r="G131" i="9" s="1"/>
  <c r="R132" i="9"/>
  <c r="C132" i="9"/>
  <c r="D132" i="9"/>
  <c r="B133" i="9"/>
  <c r="V133" i="9" l="1"/>
  <c r="S133" i="9" s="1"/>
  <c r="E132" i="9"/>
  <c r="J132" i="9"/>
  <c r="F132" i="9" s="1"/>
  <c r="G132" i="9" s="1"/>
  <c r="T132" i="9"/>
  <c r="U132" i="9" s="1"/>
  <c r="A134" i="9"/>
  <c r="B134" i="9"/>
  <c r="D133" i="9"/>
  <c r="R133" i="9"/>
  <c r="C133" i="9"/>
  <c r="E133" i="9" l="1"/>
  <c r="J133" i="9"/>
  <c r="F133" i="9" s="1"/>
  <c r="T133" i="9"/>
  <c r="U133" i="9" s="1"/>
  <c r="V134" i="9"/>
  <c r="S134" i="9" s="1"/>
  <c r="A135" i="9"/>
  <c r="G133" i="9"/>
  <c r="B135" i="9"/>
  <c r="D134" i="9"/>
  <c r="C134" i="9"/>
  <c r="R134" i="9"/>
  <c r="T134" i="9" l="1"/>
  <c r="U134" i="9" s="1"/>
  <c r="J134" i="9"/>
  <c r="F134" i="9" s="1"/>
  <c r="V135" i="9"/>
  <c r="S135" i="9" s="1"/>
  <c r="A136" i="9"/>
  <c r="E134" i="9"/>
  <c r="G134" i="9" s="1"/>
  <c r="R135" i="9"/>
  <c r="C135" i="9"/>
  <c r="B136" i="9"/>
  <c r="D135" i="9"/>
  <c r="V136" i="9" l="1"/>
  <c r="S136" i="9" s="1"/>
  <c r="J135" i="9"/>
  <c r="F135" i="9" s="1"/>
  <c r="T135" i="9"/>
  <c r="U135" i="9" s="1"/>
  <c r="E135" i="9"/>
  <c r="A137" i="9"/>
  <c r="G135" i="9"/>
  <c r="B137" i="9"/>
  <c r="D136" i="9"/>
  <c r="R136" i="9"/>
  <c r="C136" i="9"/>
  <c r="T136" i="9" l="1"/>
  <c r="U136" i="9" s="1"/>
  <c r="J136" i="9"/>
  <c r="F136" i="9" s="1"/>
  <c r="V137" i="9"/>
  <c r="S137" i="9" s="1"/>
  <c r="A138" i="9"/>
  <c r="E136" i="9"/>
  <c r="D137" i="9"/>
  <c r="C137" i="9"/>
  <c r="B138" i="9"/>
  <c r="R137" i="9"/>
  <c r="J137" i="9" l="1"/>
  <c r="F137" i="9" s="1"/>
  <c r="T137" i="9"/>
  <c r="U137" i="9" s="1"/>
  <c r="V138" i="9"/>
  <c r="S138" i="9" s="1"/>
  <c r="E137" i="9"/>
  <c r="G136" i="9"/>
  <c r="A139" i="9"/>
  <c r="G137" i="9"/>
  <c r="D138" i="9"/>
  <c r="B139" i="9"/>
  <c r="R138" i="9"/>
  <c r="C138" i="9"/>
  <c r="V139" i="9" l="1"/>
  <c r="S139" i="9" s="1"/>
  <c r="J138" i="9"/>
  <c r="F138" i="9" s="1"/>
  <c r="T138" i="9"/>
  <c r="U138" i="9" s="1"/>
  <c r="E138" i="9"/>
  <c r="A140" i="9"/>
  <c r="D139" i="9"/>
  <c r="R139" i="9"/>
  <c r="C139" i="9"/>
  <c r="B140" i="9"/>
  <c r="J139" i="9" l="1"/>
  <c r="F139" i="9" s="1"/>
  <c r="V140" i="9"/>
  <c r="S140" i="9" s="1"/>
  <c r="T139" i="9"/>
  <c r="U139" i="9" s="1"/>
  <c r="G138" i="9"/>
  <c r="A141" i="9"/>
  <c r="E139" i="9"/>
  <c r="G139" i="9" s="1"/>
  <c r="R140" i="9"/>
  <c r="B141" i="9"/>
  <c r="C140" i="9"/>
  <c r="D140" i="9"/>
  <c r="J140" i="9" l="1"/>
  <c r="F140" i="9" s="1"/>
  <c r="V141" i="9"/>
  <c r="S141" i="9" s="1"/>
  <c r="E140" i="9"/>
  <c r="G140" i="9" s="1"/>
  <c r="T140" i="9"/>
  <c r="U140" i="9" s="1"/>
  <c r="A142" i="9"/>
  <c r="R141" i="9"/>
  <c r="C141" i="9"/>
  <c r="D141" i="9"/>
  <c r="B142" i="9"/>
  <c r="J141" i="9" l="1"/>
  <c r="F141" i="9" s="1"/>
  <c r="T141" i="9"/>
  <c r="U141" i="9" s="1"/>
  <c r="V142" i="9"/>
  <c r="S142" i="9" s="1"/>
  <c r="E141" i="9"/>
  <c r="G141" i="9"/>
  <c r="A143" i="9"/>
  <c r="C142" i="9"/>
  <c r="B143" i="9"/>
  <c r="R142" i="9"/>
  <c r="D142" i="9"/>
  <c r="T142" i="9" l="1"/>
  <c r="U142" i="9" s="1"/>
  <c r="J142" i="9"/>
  <c r="F142" i="9" s="1"/>
  <c r="V143" i="9"/>
  <c r="S143" i="9" s="1"/>
  <c r="E142" i="9"/>
  <c r="A144" i="9"/>
  <c r="C143" i="9"/>
  <c r="B144" i="9"/>
  <c r="D143" i="9"/>
  <c r="R143" i="9"/>
  <c r="G142" i="9" l="1"/>
  <c r="J143" i="9"/>
  <c r="F143" i="9" s="1"/>
  <c r="T143" i="9"/>
  <c r="U143" i="9" s="1"/>
  <c r="V144" i="9"/>
  <c r="S144" i="9" s="1"/>
  <c r="E143" i="9"/>
  <c r="G143" i="9"/>
  <c r="A145" i="9"/>
  <c r="B145" i="9"/>
  <c r="D144" i="9"/>
  <c r="R144" i="9"/>
  <c r="C144" i="9"/>
  <c r="J144" i="9" l="1"/>
  <c r="F144" i="9" s="1"/>
  <c r="T144" i="9"/>
  <c r="U144" i="9" s="1"/>
  <c r="V145" i="9"/>
  <c r="S145" i="9" s="1"/>
  <c r="A146" i="9"/>
  <c r="E144" i="9"/>
  <c r="G144" i="9" s="1"/>
  <c r="D145" i="9"/>
  <c r="C145" i="9"/>
  <c r="R145" i="9"/>
  <c r="B146" i="9"/>
  <c r="E145" i="9" l="1"/>
  <c r="V146" i="9"/>
  <c r="S146" i="9" s="1"/>
  <c r="J145" i="9"/>
  <c r="F145" i="9" s="1"/>
  <c r="G145" i="9" s="1"/>
  <c r="T145" i="9"/>
  <c r="U145" i="9" s="1"/>
  <c r="A147" i="9"/>
  <c r="D146" i="9"/>
  <c r="C146" i="9"/>
  <c r="R146" i="9"/>
  <c r="B147" i="9"/>
  <c r="T146" i="9" l="1"/>
  <c r="U146" i="9" s="1"/>
  <c r="V147" i="9"/>
  <c r="S147" i="9" s="1"/>
  <c r="J146" i="9"/>
  <c r="F146" i="9" s="1"/>
  <c r="E146" i="9"/>
  <c r="A148" i="9"/>
  <c r="R147" i="9"/>
  <c r="C147" i="9"/>
  <c r="D147" i="9"/>
  <c r="B148" i="9"/>
  <c r="V148" i="9" l="1"/>
  <c r="S148" i="9" s="1"/>
  <c r="J147" i="9"/>
  <c r="F147" i="9" s="1"/>
  <c r="T147" i="9"/>
  <c r="U147" i="9" s="1"/>
  <c r="G146" i="9"/>
  <c r="A149" i="9"/>
  <c r="E147" i="9"/>
  <c r="G147" i="9" s="1"/>
  <c r="B149" i="9"/>
  <c r="R148" i="9"/>
  <c r="C148" i="9"/>
  <c r="D148" i="9"/>
  <c r="J148" i="9" l="1"/>
  <c r="F148" i="9" s="1"/>
  <c r="T148" i="9"/>
  <c r="U148" i="9" s="1"/>
  <c r="V149" i="9"/>
  <c r="S149" i="9" s="1"/>
  <c r="E148" i="9"/>
  <c r="G148" i="9" s="1"/>
  <c r="A150" i="9"/>
  <c r="R149" i="9"/>
  <c r="B150" i="9"/>
  <c r="C149" i="9"/>
  <c r="D149" i="9"/>
  <c r="V150" i="9" l="1"/>
  <c r="S150" i="9" s="1"/>
  <c r="J149" i="9"/>
  <c r="F149" i="9" s="1"/>
  <c r="G149" i="9" s="1"/>
  <c r="T149" i="9"/>
  <c r="U149" i="9" s="1"/>
  <c r="A151" i="9"/>
  <c r="E149" i="9"/>
  <c r="B151" i="9"/>
  <c r="C150" i="9"/>
  <c r="D150" i="9"/>
  <c r="R150" i="9"/>
  <c r="J150" i="9" l="1"/>
  <c r="F150" i="9" s="1"/>
  <c r="T150" i="9"/>
  <c r="U150" i="9" s="1"/>
  <c r="V151" i="9"/>
  <c r="S151" i="9" s="1"/>
  <c r="A152" i="9"/>
  <c r="E150" i="9"/>
  <c r="G150" i="9" s="1"/>
  <c r="R151" i="9"/>
  <c r="B152" i="9"/>
  <c r="D151" i="9"/>
  <c r="C151" i="9"/>
  <c r="E151" i="9" l="1"/>
  <c r="V152" i="9"/>
  <c r="S152" i="9" s="1"/>
  <c r="J151" i="9"/>
  <c r="F151" i="9" s="1"/>
  <c r="G151" i="9" s="1"/>
  <c r="T151" i="9"/>
  <c r="U151" i="9" s="1"/>
  <c r="A153" i="9"/>
  <c r="R152" i="9"/>
  <c r="D152" i="9"/>
  <c r="B153" i="9"/>
  <c r="C152" i="9"/>
  <c r="E152" i="9" l="1"/>
  <c r="J152" i="9"/>
  <c r="F152" i="9" s="1"/>
  <c r="V153" i="9"/>
  <c r="S153" i="9" s="1"/>
  <c r="T152" i="9"/>
  <c r="U152" i="9" s="1"/>
  <c r="A154" i="9"/>
  <c r="G152" i="9"/>
  <c r="D153" i="9"/>
  <c r="B154" i="9"/>
  <c r="C153" i="9"/>
  <c r="R153" i="9"/>
  <c r="V154" i="9" l="1"/>
  <c r="S154" i="9" s="1"/>
  <c r="T153" i="9"/>
  <c r="U153" i="9" s="1"/>
  <c r="J153" i="9"/>
  <c r="F153" i="9" s="1"/>
  <c r="A155" i="9"/>
  <c r="E153" i="9"/>
  <c r="B155" i="9"/>
  <c r="C154" i="9"/>
  <c r="R154" i="9"/>
  <c r="D154" i="9"/>
  <c r="J154" i="9" l="1"/>
  <c r="F154" i="9" s="1"/>
  <c r="T154" i="9"/>
  <c r="U154" i="9" s="1"/>
  <c r="V155" i="9"/>
  <c r="S155" i="9" s="1"/>
  <c r="G153" i="9"/>
  <c r="A156" i="9"/>
  <c r="E154" i="9"/>
  <c r="G154" i="9" s="1"/>
  <c r="D155" i="9"/>
  <c r="B156" i="9"/>
  <c r="C155" i="9"/>
  <c r="R155" i="9"/>
  <c r="V156" i="9" l="1"/>
  <c r="S156" i="9" s="1"/>
  <c r="T155" i="9"/>
  <c r="U155" i="9" s="1"/>
  <c r="E155" i="9"/>
  <c r="J155" i="9"/>
  <c r="F155" i="9" s="1"/>
  <c r="A157" i="9"/>
  <c r="G155" i="9"/>
  <c r="B157" i="9"/>
  <c r="R156" i="9"/>
  <c r="D156" i="9"/>
  <c r="C156" i="9"/>
  <c r="T156" i="9" l="1"/>
  <c r="U156" i="9" s="1"/>
  <c r="J156" i="9"/>
  <c r="F156" i="9" s="1"/>
  <c r="V157" i="9"/>
  <c r="S157" i="9" s="1"/>
  <c r="A158" i="9"/>
  <c r="E156" i="9"/>
  <c r="G156" i="9" s="1"/>
  <c r="R157" i="9"/>
  <c r="C157" i="9"/>
  <c r="B158" i="9"/>
  <c r="D157" i="9"/>
  <c r="V158" i="9" l="1"/>
  <c r="S158" i="9" s="1"/>
  <c r="J157" i="9"/>
  <c r="F157" i="9" s="1"/>
  <c r="T157" i="9"/>
  <c r="U157" i="9" s="1"/>
  <c r="E157" i="9"/>
  <c r="A159" i="9"/>
  <c r="B159" i="9"/>
  <c r="R158" i="9"/>
  <c r="D158" i="9"/>
  <c r="C158" i="9"/>
  <c r="G157" i="9" l="1"/>
  <c r="T158" i="9"/>
  <c r="U158" i="9" s="1"/>
  <c r="J158" i="9"/>
  <c r="F158" i="9" s="1"/>
  <c r="V159" i="9"/>
  <c r="S159" i="9" s="1"/>
  <c r="A160" i="9"/>
  <c r="E158" i="9"/>
  <c r="G158" i="9" s="1"/>
  <c r="C159" i="9"/>
  <c r="R159" i="9"/>
  <c r="D159" i="9"/>
  <c r="B160" i="9"/>
  <c r="V160" i="9" l="1"/>
  <c r="S160" i="9" s="1"/>
  <c r="T159" i="9"/>
  <c r="U159" i="9" s="1"/>
  <c r="J159" i="9"/>
  <c r="F159" i="9" s="1"/>
  <c r="A161" i="9"/>
  <c r="E159" i="9"/>
  <c r="B161" i="9"/>
  <c r="D160" i="9"/>
  <c r="R160" i="9"/>
  <c r="C160" i="9"/>
  <c r="J160" i="9" l="1"/>
  <c r="F160" i="9" s="1"/>
  <c r="T160" i="9"/>
  <c r="U160" i="9" s="1"/>
  <c r="V161" i="9"/>
  <c r="S161" i="9" s="1"/>
  <c r="G159" i="9"/>
  <c r="E160" i="9"/>
  <c r="G160" i="9" s="1"/>
  <c r="A162" i="9"/>
  <c r="R161" i="9"/>
  <c r="C161" i="9"/>
  <c r="D161" i="9"/>
  <c r="B162" i="9"/>
  <c r="J161" i="9" l="1"/>
  <c r="F161" i="9" s="1"/>
  <c r="T161" i="9"/>
  <c r="U161" i="9" s="1"/>
  <c r="V162" i="9"/>
  <c r="S162" i="9" s="1"/>
  <c r="A163" i="9"/>
  <c r="E161" i="9"/>
  <c r="G161" i="9" s="1"/>
  <c r="R162" i="9"/>
  <c r="C162" i="9"/>
  <c r="D162" i="9"/>
  <c r="B163" i="9"/>
  <c r="V163" i="9" l="1"/>
  <c r="S163" i="9" s="1"/>
  <c r="J162" i="9"/>
  <c r="F162" i="9" s="1"/>
  <c r="T162" i="9"/>
  <c r="U162" i="9" s="1"/>
  <c r="A164" i="9"/>
  <c r="E162" i="9"/>
  <c r="G162" i="9" s="1"/>
  <c r="R163" i="9"/>
  <c r="C163" i="9"/>
  <c r="B164" i="9"/>
  <c r="D163" i="9"/>
  <c r="T163" i="9" l="1"/>
  <c r="U163" i="9" s="1"/>
  <c r="J163" i="9"/>
  <c r="F163" i="9" s="1"/>
  <c r="V164" i="9"/>
  <c r="S164" i="9" s="1"/>
  <c r="A165" i="9"/>
  <c r="E163" i="9"/>
  <c r="G163" i="9" s="1"/>
  <c r="B165" i="9"/>
  <c r="R164" i="9"/>
  <c r="C164" i="9"/>
  <c r="D164" i="9"/>
  <c r="E164" i="9" l="1"/>
  <c r="V165" i="9"/>
  <c r="S165" i="9" s="1"/>
  <c r="J164" i="9"/>
  <c r="F164" i="9" s="1"/>
  <c r="G164" i="9" s="1"/>
  <c r="T164" i="9"/>
  <c r="U164" i="9" s="1"/>
  <c r="A166" i="9"/>
  <c r="C165" i="9"/>
  <c r="R165" i="9"/>
  <c r="B166" i="9"/>
  <c r="D165" i="9"/>
  <c r="V166" i="9" l="1"/>
  <c r="S166" i="9" s="1"/>
  <c r="J165" i="9"/>
  <c r="F165" i="9" s="1"/>
  <c r="G165" i="9" s="1"/>
  <c r="T165" i="9"/>
  <c r="U165" i="9" s="1"/>
  <c r="E165" i="9"/>
  <c r="A167" i="9"/>
  <c r="B167" i="9"/>
  <c r="D166" i="9"/>
  <c r="C166" i="9"/>
  <c r="R166" i="9"/>
  <c r="J166" i="9" l="1"/>
  <c r="F166" i="9" s="1"/>
  <c r="T166" i="9"/>
  <c r="U166" i="9" s="1"/>
  <c r="V167" i="9"/>
  <c r="S167" i="9" s="1"/>
  <c r="E166" i="9"/>
  <c r="A168" i="9"/>
  <c r="R167" i="9"/>
  <c r="B168" i="9"/>
  <c r="C167" i="9"/>
  <c r="D167" i="9"/>
  <c r="G166" i="9" l="1"/>
  <c r="V168" i="9"/>
  <c r="S168" i="9" s="1"/>
  <c r="J167" i="9"/>
  <c r="F167" i="9" s="1"/>
  <c r="T167" i="9"/>
  <c r="U167" i="9" s="1"/>
  <c r="A169" i="9"/>
  <c r="E167" i="9"/>
  <c r="B169" i="9"/>
  <c r="D168" i="9"/>
  <c r="C168" i="9"/>
  <c r="R168" i="9"/>
  <c r="J168" i="9" l="1"/>
  <c r="F168" i="9" s="1"/>
  <c r="T168" i="9"/>
  <c r="U168" i="9" s="1"/>
  <c r="V169" i="9"/>
  <c r="S169" i="9" s="1"/>
  <c r="G167" i="9"/>
  <c r="A170" i="9"/>
  <c r="E168" i="9"/>
  <c r="G168" i="9" s="1"/>
  <c r="C169" i="9"/>
  <c r="D169" i="9"/>
  <c r="B170" i="9"/>
  <c r="R169" i="9"/>
  <c r="V170" i="9" l="1"/>
  <c r="S170" i="9" s="1"/>
  <c r="T169" i="9"/>
  <c r="U169" i="9" s="1"/>
  <c r="E169" i="9"/>
  <c r="J169" i="9"/>
  <c r="F169" i="9" s="1"/>
  <c r="A171" i="9"/>
  <c r="C170" i="9"/>
  <c r="B171" i="9"/>
  <c r="D170" i="9"/>
  <c r="R170" i="9"/>
  <c r="J170" i="9" l="1"/>
  <c r="F170" i="9" s="1"/>
  <c r="T170" i="9"/>
  <c r="U170" i="9" s="1"/>
  <c r="E170" i="9"/>
  <c r="V171" i="9"/>
  <c r="S171" i="9" s="1"/>
  <c r="G169" i="9"/>
  <c r="A172" i="9"/>
  <c r="R171" i="9"/>
  <c r="B172" i="9"/>
  <c r="D171" i="9"/>
  <c r="C171" i="9"/>
  <c r="V172" i="9" l="1"/>
  <c r="S172" i="9" s="1"/>
  <c r="J171" i="9"/>
  <c r="F171" i="9" s="1"/>
  <c r="T171" i="9"/>
  <c r="U171" i="9" s="1"/>
  <c r="G170" i="9"/>
  <c r="A173" i="9"/>
  <c r="E171" i="9"/>
  <c r="G171" i="9" s="1"/>
  <c r="D172" i="9"/>
  <c r="B173" i="9"/>
  <c r="C172" i="9"/>
  <c r="R172" i="9"/>
  <c r="T172" i="9" l="1"/>
  <c r="U172" i="9" s="1"/>
  <c r="V173" i="9"/>
  <c r="S173" i="9" s="1"/>
  <c r="E172" i="9"/>
  <c r="J172" i="9"/>
  <c r="F172" i="9" s="1"/>
  <c r="A174" i="9"/>
  <c r="G172" i="9"/>
  <c r="R173" i="9"/>
  <c r="B174" i="9"/>
  <c r="D173" i="9"/>
  <c r="C173" i="9"/>
  <c r="V174" i="9" l="1"/>
  <c r="S174" i="9" s="1"/>
  <c r="T173" i="9"/>
  <c r="U173" i="9" s="1"/>
  <c r="J173" i="9"/>
  <c r="F173" i="9" s="1"/>
  <c r="A175" i="9"/>
  <c r="E173" i="9"/>
  <c r="B175" i="9"/>
  <c r="D174" i="9"/>
  <c r="C174" i="9"/>
  <c r="R174" i="9"/>
  <c r="J174" i="9" l="1"/>
  <c r="F174" i="9" s="1"/>
  <c r="T174" i="9"/>
  <c r="U174" i="9" s="1"/>
  <c r="E174" i="9"/>
  <c r="V175" i="9"/>
  <c r="S175" i="9" s="1"/>
  <c r="G173" i="9"/>
  <c r="A176" i="9"/>
  <c r="G174" i="9"/>
  <c r="B176" i="9"/>
  <c r="R175" i="9"/>
  <c r="C175" i="9"/>
  <c r="D175" i="9"/>
  <c r="J175" i="9" l="1"/>
  <c r="F175" i="9" s="1"/>
  <c r="V176" i="9"/>
  <c r="S176" i="9" s="1"/>
  <c r="T175" i="9"/>
  <c r="U175" i="9" s="1"/>
  <c r="A177" i="9"/>
  <c r="E175" i="9"/>
  <c r="G175" i="9" s="1"/>
  <c r="C176" i="9"/>
  <c r="B177" i="9"/>
  <c r="R176" i="9"/>
  <c r="D176" i="9"/>
  <c r="J176" i="9" l="1"/>
  <c r="F176" i="9" s="1"/>
  <c r="V177" i="9"/>
  <c r="S177" i="9" s="1"/>
  <c r="T176" i="9"/>
  <c r="U176" i="9" s="1"/>
  <c r="E176" i="9"/>
  <c r="A178" i="9"/>
  <c r="G176" i="9"/>
  <c r="R177" i="9"/>
  <c r="C177" i="9"/>
  <c r="B178" i="9"/>
  <c r="D177" i="9"/>
  <c r="E177" i="9" l="1"/>
  <c r="J177" i="9"/>
  <c r="F177" i="9" s="1"/>
  <c r="V178" i="9"/>
  <c r="S178" i="9" s="1"/>
  <c r="T177" i="9"/>
  <c r="U177" i="9" s="1"/>
  <c r="A179" i="9"/>
  <c r="G177" i="9"/>
  <c r="C178" i="9"/>
  <c r="D178" i="9"/>
  <c r="B179" i="9"/>
  <c r="R178" i="9"/>
  <c r="T178" i="9" l="1"/>
  <c r="U178" i="9" s="1"/>
  <c r="V179" i="9"/>
  <c r="S179" i="9" s="1"/>
  <c r="J178" i="9"/>
  <c r="F178" i="9" s="1"/>
  <c r="E178" i="9"/>
  <c r="A180" i="9"/>
  <c r="R179" i="9"/>
  <c r="B180" i="9"/>
  <c r="C179" i="9"/>
  <c r="D179" i="9"/>
  <c r="J179" i="9" l="1"/>
  <c r="F179" i="9" s="1"/>
  <c r="V180" i="9"/>
  <c r="S180" i="9" s="1"/>
  <c r="T179" i="9"/>
  <c r="U179" i="9" s="1"/>
  <c r="G178" i="9"/>
  <c r="A181" i="9"/>
  <c r="E179" i="9"/>
  <c r="G179" i="9" s="1"/>
  <c r="C180" i="9"/>
  <c r="D180" i="9"/>
  <c r="B181" i="9"/>
  <c r="R180" i="9"/>
  <c r="V181" i="9" l="1"/>
  <c r="S181" i="9" s="1"/>
  <c r="T180" i="9"/>
  <c r="U180" i="9" s="1"/>
  <c r="J180" i="9"/>
  <c r="F180" i="9" s="1"/>
  <c r="A182" i="9"/>
  <c r="E180" i="9"/>
  <c r="B182" i="9"/>
  <c r="C181" i="9"/>
  <c r="R181" i="9"/>
  <c r="D181" i="9"/>
  <c r="E181" i="9" l="1"/>
  <c r="J181" i="9"/>
  <c r="F181" i="9" s="1"/>
  <c r="G181" i="9" s="1"/>
  <c r="T181" i="9"/>
  <c r="U181" i="9" s="1"/>
  <c r="V182" i="9"/>
  <c r="S182" i="9" s="1"/>
  <c r="G180" i="9"/>
  <c r="A183" i="9"/>
  <c r="C182" i="9"/>
  <c r="B183" i="9"/>
  <c r="R182" i="9"/>
  <c r="D182" i="9"/>
  <c r="J182" i="9" l="1"/>
  <c r="F182" i="9" s="1"/>
  <c r="V183" i="9"/>
  <c r="S183" i="9" s="1"/>
  <c r="T182" i="9"/>
  <c r="U182" i="9" s="1"/>
  <c r="E182" i="9"/>
  <c r="A184" i="9"/>
  <c r="G182" i="9"/>
  <c r="C183" i="9"/>
  <c r="B184" i="9"/>
  <c r="D183" i="9"/>
  <c r="R183" i="9"/>
  <c r="V184" i="9" l="1"/>
  <c r="S184" i="9" s="1"/>
  <c r="T183" i="9"/>
  <c r="U183" i="9" s="1"/>
  <c r="J183" i="9"/>
  <c r="F183" i="9" s="1"/>
  <c r="A185" i="9"/>
  <c r="E183" i="9"/>
  <c r="B185" i="9"/>
  <c r="C184" i="9"/>
  <c r="D184" i="9"/>
  <c r="R184" i="9"/>
  <c r="J184" i="9" l="1"/>
  <c r="F184" i="9" s="1"/>
  <c r="T184" i="9"/>
  <c r="U184" i="9" s="1"/>
  <c r="E184" i="9"/>
  <c r="G184" i="9" s="1"/>
  <c r="V185" i="9"/>
  <c r="S185" i="9" s="1"/>
  <c r="G183" i="9"/>
  <c r="A186" i="9"/>
  <c r="R185" i="9"/>
  <c r="D185" i="9"/>
  <c r="B186" i="9"/>
  <c r="C185" i="9"/>
  <c r="V186" i="9" l="1"/>
  <c r="S186" i="9" s="1"/>
  <c r="J185" i="9"/>
  <c r="F185" i="9" s="1"/>
  <c r="T185" i="9"/>
  <c r="U185" i="9" s="1"/>
  <c r="A187" i="9"/>
  <c r="E185" i="9"/>
  <c r="G185" i="9" s="1"/>
  <c r="B187" i="9"/>
  <c r="D186" i="9"/>
  <c r="R186" i="9"/>
  <c r="C186" i="9"/>
  <c r="T186" i="9" l="1"/>
  <c r="U186" i="9" s="1"/>
  <c r="J186" i="9"/>
  <c r="F186" i="9" s="1"/>
  <c r="G186" i="9" s="1"/>
  <c r="E186" i="9"/>
  <c r="V187" i="9"/>
  <c r="S187" i="9" s="1"/>
  <c r="A188" i="9"/>
  <c r="D187" i="9"/>
  <c r="C187" i="9"/>
  <c r="R187" i="9"/>
  <c r="B188" i="9"/>
  <c r="T187" i="9" l="1"/>
  <c r="U187" i="9" s="1"/>
  <c r="V188" i="9"/>
  <c r="S188" i="9" s="1"/>
  <c r="J187" i="9"/>
  <c r="F187" i="9" s="1"/>
  <c r="A189" i="9"/>
  <c r="E187" i="9"/>
  <c r="C188" i="9"/>
  <c r="D188" i="9"/>
  <c r="B189" i="9"/>
  <c r="R188" i="9"/>
  <c r="J188" i="9" l="1"/>
  <c r="F188" i="9" s="1"/>
  <c r="T188" i="9"/>
  <c r="U188" i="9" s="1"/>
  <c r="V189" i="9"/>
  <c r="S189" i="9" s="1"/>
  <c r="E188" i="9"/>
  <c r="G187" i="9"/>
  <c r="A190" i="9"/>
  <c r="G188" i="9"/>
  <c r="R189" i="9"/>
  <c r="B190" i="9"/>
  <c r="C189" i="9"/>
  <c r="D189" i="9"/>
  <c r="V190" i="9" l="1"/>
  <c r="S190" i="9" s="1"/>
  <c r="J189" i="9"/>
  <c r="F189" i="9" s="1"/>
  <c r="T189" i="9"/>
  <c r="U189" i="9" s="1"/>
  <c r="A191" i="9"/>
  <c r="E189" i="9"/>
  <c r="B191" i="9"/>
  <c r="C190" i="9"/>
  <c r="R190" i="9"/>
  <c r="D190" i="9"/>
  <c r="J190" i="9" l="1"/>
  <c r="F190" i="9" s="1"/>
  <c r="T190" i="9"/>
  <c r="U190" i="9" s="1"/>
  <c r="V191" i="9"/>
  <c r="S191" i="9" s="1"/>
  <c r="G189" i="9"/>
  <c r="A192" i="9"/>
  <c r="E190" i="9"/>
  <c r="G190" i="9" s="1"/>
  <c r="R191" i="9"/>
  <c r="B192" i="9"/>
  <c r="D191" i="9"/>
  <c r="C191" i="9"/>
  <c r="V192" i="9" l="1"/>
  <c r="S192" i="9" s="1"/>
  <c r="J191" i="9"/>
  <c r="F191" i="9" s="1"/>
  <c r="T191" i="9"/>
  <c r="U191" i="9" s="1"/>
  <c r="E191" i="9"/>
  <c r="A193" i="9"/>
  <c r="B193" i="9"/>
  <c r="C192" i="9"/>
  <c r="R192" i="9"/>
  <c r="D192" i="9"/>
  <c r="J192" i="9" l="1"/>
  <c r="F192" i="9" s="1"/>
  <c r="T192" i="9"/>
  <c r="U192" i="9" s="1"/>
  <c r="V193" i="9"/>
  <c r="S193" i="9" s="1"/>
  <c r="G191" i="9"/>
  <c r="A194" i="9"/>
  <c r="E192" i="9"/>
  <c r="G192" i="9" s="1"/>
  <c r="C193" i="9"/>
  <c r="D193" i="9"/>
  <c r="R193" i="9"/>
  <c r="B194" i="9"/>
  <c r="V194" i="9" l="1"/>
  <c r="S194" i="9" s="1"/>
  <c r="J193" i="9"/>
  <c r="F193" i="9" s="1"/>
  <c r="E193" i="9"/>
  <c r="T193" i="9"/>
  <c r="U193" i="9" s="1"/>
  <c r="A195" i="9"/>
  <c r="R194" i="9"/>
  <c r="B195" i="9"/>
  <c r="C194" i="9"/>
  <c r="D194" i="9"/>
  <c r="E194" i="9" l="1"/>
  <c r="J194" i="9"/>
  <c r="F194" i="9" s="1"/>
  <c r="T194" i="9"/>
  <c r="U194" i="9" s="1"/>
  <c r="V195" i="9"/>
  <c r="S195" i="9" s="1"/>
  <c r="G193" i="9"/>
  <c r="A196" i="9"/>
  <c r="G194" i="9"/>
  <c r="B196" i="9"/>
  <c r="D195" i="9"/>
  <c r="C195" i="9"/>
  <c r="R195" i="9"/>
  <c r="V196" i="9" l="1"/>
  <c r="S196" i="9" s="1"/>
  <c r="J195" i="9"/>
  <c r="F195" i="9" s="1"/>
  <c r="T195" i="9"/>
  <c r="U195" i="9" s="1"/>
  <c r="A197" i="9"/>
  <c r="E195" i="9"/>
  <c r="G195" i="9" s="1"/>
  <c r="R196" i="9"/>
  <c r="D196" i="9"/>
  <c r="B197" i="9"/>
  <c r="C196" i="9"/>
  <c r="V197" i="9" l="1"/>
  <c r="S197" i="9" s="1"/>
  <c r="E196" i="9"/>
  <c r="T196" i="9"/>
  <c r="U196" i="9" s="1"/>
  <c r="J196" i="9"/>
  <c r="F196" i="9" s="1"/>
  <c r="A198" i="9"/>
  <c r="B198" i="9"/>
  <c r="C197" i="9"/>
  <c r="R197" i="9"/>
  <c r="D197" i="9"/>
  <c r="G196" i="9" l="1"/>
  <c r="T197" i="9"/>
  <c r="U197" i="9" s="1"/>
  <c r="J197" i="9"/>
  <c r="F197" i="9" s="1"/>
  <c r="E197" i="9"/>
  <c r="V198" i="9"/>
  <c r="S198" i="9" s="1"/>
  <c r="A199" i="9"/>
  <c r="D198" i="9"/>
  <c r="C198" i="9"/>
  <c r="R198" i="9"/>
  <c r="B199" i="9"/>
  <c r="G197" i="9" l="1"/>
  <c r="T198" i="9"/>
  <c r="U198" i="9" s="1"/>
  <c r="J198" i="9"/>
  <c r="F198" i="9" s="1"/>
  <c r="V199" i="9"/>
  <c r="S199" i="9" s="1"/>
  <c r="E198" i="9"/>
  <c r="A200" i="9"/>
  <c r="D199" i="9"/>
  <c r="R199" i="9"/>
  <c r="B200" i="9"/>
  <c r="C199" i="9"/>
  <c r="V200" i="9" l="1"/>
  <c r="S200" i="9" s="1"/>
  <c r="E199" i="9"/>
  <c r="J199" i="9"/>
  <c r="F199" i="9" s="1"/>
  <c r="G199" i="9" s="1"/>
  <c r="T199" i="9"/>
  <c r="U199" i="9" s="1"/>
  <c r="G198" i="9"/>
  <c r="A201" i="9"/>
  <c r="B201" i="9"/>
  <c r="C200" i="9"/>
  <c r="D200" i="9"/>
  <c r="R200" i="9"/>
  <c r="T200" i="9" l="1"/>
  <c r="U200" i="9" s="1"/>
  <c r="J200" i="9"/>
  <c r="F200" i="9" s="1"/>
  <c r="V201" i="9"/>
  <c r="S201" i="9" s="1"/>
  <c r="A202" i="9"/>
  <c r="E200" i="9"/>
  <c r="G200" i="9"/>
  <c r="C201" i="9"/>
  <c r="B202" i="9"/>
  <c r="D201" i="9"/>
  <c r="R201" i="9"/>
  <c r="J201" i="9" l="1"/>
  <c r="F201" i="9" s="1"/>
  <c r="V202" i="9"/>
  <c r="S202" i="9" s="1"/>
  <c r="T201" i="9"/>
  <c r="U201" i="9" s="1"/>
  <c r="A203" i="9"/>
  <c r="E201" i="9"/>
  <c r="G201" i="9" s="1"/>
  <c r="R202" i="9"/>
  <c r="C202" i="9"/>
  <c r="D202" i="9"/>
  <c r="B203" i="9"/>
  <c r="J202" i="9" l="1"/>
  <c r="F202" i="9" s="1"/>
  <c r="V203" i="9"/>
  <c r="S203" i="9" s="1"/>
  <c r="T202" i="9"/>
  <c r="U202" i="9" s="1"/>
  <c r="E202" i="9"/>
  <c r="A204" i="9"/>
  <c r="G202" i="9"/>
  <c r="R203" i="9"/>
  <c r="B204" i="9"/>
  <c r="D203" i="9"/>
  <c r="C203" i="9"/>
  <c r="J203" i="9" l="1"/>
  <c r="F203" i="9" s="1"/>
  <c r="E203" i="9"/>
  <c r="V204" i="9"/>
  <c r="S204" i="9" s="1"/>
  <c r="T203" i="9"/>
  <c r="U203" i="9" s="1"/>
  <c r="A205" i="9"/>
  <c r="C204" i="9"/>
  <c r="B205" i="9"/>
  <c r="D204" i="9"/>
  <c r="R204" i="9"/>
  <c r="T204" i="9" l="1"/>
  <c r="U204" i="9" s="1"/>
  <c r="V205" i="9"/>
  <c r="S205" i="9" s="1"/>
  <c r="J204" i="9"/>
  <c r="F204" i="9" s="1"/>
  <c r="G203" i="9"/>
  <c r="A206" i="9"/>
  <c r="E204" i="9"/>
  <c r="C205" i="9"/>
  <c r="R205" i="9"/>
  <c r="D205" i="9"/>
  <c r="B206" i="9"/>
  <c r="J205" i="9" l="1"/>
  <c r="F205" i="9" s="1"/>
  <c r="V206" i="9"/>
  <c r="S206" i="9" s="1"/>
  <c r="T205" i="9"/>
  <c r="U205" i="9" s="1"/>
  <c r="G204" i="9"/>
  <c r="A207" i="9"/>
  <c r="E205" i="9"/>
  <c r="G205" i="9" s="1"/>
  <c r="D206" i="9"/>
  <c r="B207" i="9"/>
  <c r="R206" i="9"/>
  <c r="C206" i="9"/>
  <c r="T206" i="9" l="1"/>
  <c r="U206" i="9" s="1"/>
  <c r="E206" i="9"/>
  <c r="V207" i="9"/>
  <c r="S207" i="9" s="1"/>
  <c r="J206" i="9"/>
  <c r="F206" i="9" s="1"/>
  <c r="G206" i="9" s="1"/>
  <c r="A208" i="9"/>
  <c r="D207" i="9"/>
  <c r="R207" i="9"/>
  <c r="B208" i="9"/>
  <c r="C207" i="9"/>
  <c r="T207" i="9" l="1"/>
  <c r="U207" i="9" s="1"/>
  <c r="V208" i="9"/>
  <c r="S208" i="9" s="1"/>
  <c r="J207" i="9"/>
  <c r="F207" i="9" s="1"/>
  <c r="A209" i="9"/>
  <c r="E207" i="9"/>
  <c r="B209" i="9"/>
  <c r="C208" i="9"/>
  <c r="D208" i="9"/>
  <c r="R208" i="9"/>
  <c r="J208" i="9" l="1"/>
  <c r="F208" i="9" s="1"/>
  <c r="T208" i="9"/>
  <c r="U208" i="9" s="1"/>
  <c r="V209" i="9"/>
  <c r="S209" i="9" s="1"/>
  <c r="E208" i="9"/>
  <c r="G207" i="9"/>
  <c r="A210" i="9"/>
  <c r="G208" i="9"/>
  <c r="R209" i="9"/>
  <c r="C209" i="9"/>
  <c r="D209" i="9"/>
  <c r="B210" i="9"/>
  <c r="V210" i="9" l="1"/>
  <c r="S210" i="9" s="1"/>
  <c r="J209" i="9"/>
  <c r="F209" i="9" s="1"/>
  <c r="T209" i="9"/>
  <c r="U209" i="9" s="1"/>
  <c r="A211" i="9"/>
  <c r="E209" i="9"/>
  <c r="G209" i="9" s="1"/>
  <c r="C210" i="9"/>
  <c r="D210" i="9"/>
  <c r="B211" i="9"/>
  <c r="R210" i="9"/>
  <c r="J210" i="9" l="1"/>
  <c r="F210" i="9" s="1"/>
  <c r="T210" i="9"/>
  <c r="U210" i="9" s="1"/>
  <c r="E210" i="9"/>
  <c r="C211" i="9"/>
  <c r="V211" i="9"/>
  <c r="S211" i="9" s="1"/>
  <c r="D211" i="9"/>
  <c r="J211" i="9" s="1"/>
  <c r="F211" i="9" s="1"/>
  <c r="G210" i="9"/>
  <c r="T211" i="9" l="1"/>
  <c r="U211" i="9" s="1"/>
  <c r="U4" i="9" s="1"/>
  <c r="E211" i="9"/>
  <c r="G211" i="9"/>
  <c r="H5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C14" authorId="0" shapeId="0" xr:uid="{00000000-0006-0000-0000-000001000000}">
      <text>
        <r>
          <rPr>
            <sz val="10"/>
            <color indexed="81"/>
            <rFont val="Calibri"/>
            <family val="2"/>
          </rPr>
          <t>=CallDelta(B14,BS_IVLow,0,BS_r,BS_K,BS_T)</t>
        </r>
      </text>
    </comment>
    <comment ref="E14" authorId="0" shapeId="0" xr:uid="{00000000-0006-0000-0000-000002000000}">
      <text>
        <r>
          <rPr>
            <sz val="10"/>
            <color indexed="81"/>
            <rFont val="Calibri"/>
            <family val="2"/>
          </rPr>
          <t>=CallGamma(B14,BS_IVLow,0,BS_r,BS_K,BS_T)</t>
        </r>
      </text>
    </comment>
  </commentList>
</comments>
</file>

<file path=xl/sharedStrings.xml><?xml version="1.0" encoding="utf-8"?>
<sst xmlns="http://schemas.openxmlformats.org/spreadsheetml/2006/main" count="113" uniqueCount="101">
  <si>
    <t>Interest Rate</t>
  </si>
  <si>
    <t>Volatility+</t>
  </si>
  <si>
    <t>Volatility-</t>
  </si>
  <si>
    <t>Asset Price</t>
  </si>
  <si>
    <t>Strike</t>
  </si>
  <si>
    <t>Option Type</t>
  </si>
  <si>
    <t>Call</t>
  </si>
  <si>
    <t>Maturity</t>
  </si>
  <si>
    <t>Bid</t>
  </si>
  <si>
    <t>Ask</t>
  </si>
  <si>
    <t>Quantity</t>
  </si>
  <si>
    <t>Asst Step</t>
  </si>
  <si>
    <t>payoff</t>
  </si>
  <si>
    <t>Worst Case</t>
  </si>
  <si>
    <t>Best Case</t>
  </si>
  <si>
    <t>Const Vol+</t>
  </si>
  <si>
    <t>Const Vol-</t>
  </si>
  <si>
    <t>BS</t>
  </si>
  <si>
    <t>BS Price</t>
  </si>
  <si>
    <t>Shares</t>
  </si>
  <si>
    <t>Delta</t>
  </si>
  <si>
    <t>Week</t>
  </si>
  <si>
    <t>Hedging Cost</t>
  </si>
  <si>
    <t>S</t>
  </si>
  <si>
    <t>Delta+</t>
  </si>
  <si>
    <t>Gamma</t>
  </si>
  <si>
    <t>Gamma+</t>
  </si>
  <si>
    <t>Asset</t>
    <phoneticPr fontId="2" type="noConversion"/>
  </si>
  <si>
    <t>Interest rate</t>
    <phoneticPr fontId="2" type="noConversion"/>
  </si>
  <si>
    <t>Strike</t>
    <phoneticPr fontId="2" type="noConversion"/>
  </si>
  <si>
    <t>Expiry</t>
    <phoneticPr fontId="2" type="noConversion"/>
  </si>
  <si>
    <t>Time Step</t>
    <phoneticPr fontId="2" type="noConversion"/>
  </si>
  <si>
    <t>Time</t>
  </si>
  <si>
    <t>Theoretical P&amp;L</t>
  </si>
  <si>
    <t>Actual P&amp;L</t>
  </si>
  <si>
    <t>These data have been generated by using different inputs to OneOptionPricing() function.</t>
  </si>
  <si>
    <t>UV</t>
  </si>
  <si>
    <t>Used for Black-Scholes</t>
  </si>
  <si>
    <t>Asset Path (sigma_a)</t>
  </si>
  <si>
    <t>Option (sigma_i)</t>
  </si>
  <si>
    <t>dDelta *S</t>
  </si>
  <si>
    <t>Vi</t>
  </si>
  <si>
    <t>Portfolio</t>
  </si>
  <si>
    <t>Ctrl+Q for CQF Macro</t>
  </si>
  <si>
    <t>Portfolio + Cash</t>
  </si>
  <si>
    <t>Delta_BS</t>
  </si>
  <si>
    <t>Rate</t>
  </si>
  <si>
    <t>Volatility</t>
  </si>
  <si>
    <t>dDelta</t>
  </si>
  <si>
    <t>Interest</t>
  </si>
  <si>
    <t>dDelta*S</t>
  </si>
  <si>
    <t>(Bank Account)</t>
  </si>
  <si>
    <t>Bought/Sold</t>
  </si>
  <si>
    <t>Replicating Vol</t>
  </si>
  <si>
    <t>V - Delta*S</t>
  </si>
  <si>
    <t>Actual or Implied? SELECT</t>
  </si>
  <si>
    <t>CallGamma(asset, Vol, DivYld, IntRate, Strike, expiry)</t>
  </si>
  <si>
    <t>Volatility_BS</t>
  </si>
  <si>
    <t>Total P&amp;L</t>
  </si>
  <si>
    <r>
      <t xml:space="preserve">Example to the right: </t>
    </r>
    <r>
      <rPr>
        <sz val="12"/>
        <rFont val="Arial"/>
        <family val="2"/>
      </rPr>
      <t>use 10% vs 40% IV to observe difference (very low IV gives gamma maximised closer to ATM)</t>
    </r>
  </si>
  <si>
    <t>Value</t>
  </si>
  <si>
    <t>Market Price</t>
  </si>
  <si>
    <t>Delta  Replicating Vol</t>
  </si>
  <si>
    <t>Actual Volatility</t>
  </si>
  <si>
    <t>Implied Volatility</t>
  </si>
  <si>
    <t>Total Profit from selling V_i and replicating (with sigma_a)</t>
  </si>
  <si>
    <t>P&amp;L cumulative</t>
  </si>
  <si>
    <r>
      <rPr>
        <b/>
        <u/>
        <sz val="10"/>
        <rFont val="Arial"/>
        <family val="2"/>
      </rPr>
      <t>Cashflow</t>
    </r>
    <r>
      <rPr>
        <b/>
        <sz val="10"/>
        <rFont val="Arial"/>
        <family val="2"/>
      </rPr>
      <t xml:space="preserve"> from Replication</t>
    </r>
  </si>
  <si>
    <t>Cash on account</t>
  </si>
  <si>
    <r>
      <rPr>
        <b/>
        <sz val="10"/>
        <rFont val="Arial"/>
        <family val="2"/>
      </rPr>
      <t>IF asset UP = we sell even more stock = cashflow positive</t>
    </r>
    <r>
      <rPr>
        <sz val="10"/>
        <rFont val="Arial"/>
        <family val="2"/>
      </rPr>
      <t xml:space="preserve"> = delta increased</t>
    </r>
  </si>
  <si>
    <t>DeltaMin</t>
  </si>
  <si>
    <t>DeltaMax</t>
  </si>
  <si>
    <t>IF asset DOWN = we buy stock back = cashflow negative</t>
  </si>
  <si>
    <t>Call Strike</t>
  </si>
  <si>
    <t>Asset Return</t>
  </si>
  <si>
    <t>Option P&amp;L   (sigma_a)</t>
  </si>
  <si>
    <t>if S_T &gt; K this gives call payoff + P&amp;L</t>
  </si>
  <si>
    <t>Gamma_BS</t>
  </si>
  <si>
    <t>Cum P&amp;L</t>
  </si>
  <si>
    <t>Money from replication</t>
  </si>
  <si>
    <t>sigma_a=sigma_i</t>
  </si>
  <si>
    <t>BS option price (premium)</t>
  </si>
  <si>
    <t>IF Delta decreased we reduce position (negative cash flow)</t>
  </si>
  <si>
    <t>IF Delta increased we sell even more (positive cash flow/Cum P&amp;L increases)</t>
  </si>
  <si>
    <t>Replication means that we SELL shares to match call payoff.</t>
  </si>
  <si>
    <t>MtM</t>
  </si>
  <si>
    <t>MtM Notes (P&amp;L over dt)</t>
  </si>
  <si>
    <t xml:space="preserve"> (Forward)</t>
  </si>
  <si>
    <t>dt</t>
  </si>
  <si>
    <t>IF Gamma decreases (over time) we make P&amp;L relatively safely</t>
  </si>
  <si>
    <t>Spikes in Gamma reduce Cum P&amp;L</t>
  </si>
  <si>
    <r>
      <t xml:space="preserve">3.  IF realised &lt; option volatility, </t>
    </r>
    <r>
      <rPr>
        <b/>
        <u/>
        <sz val="11"/>
        <rFont val="Arial"/>
        <family val="2"/>
      </rPr>
      <t>P&amp;L over dt</t>
    </r>
    <r>
      <rPr>
        <b/>
        <sz val="11"/>
        <rFont val="Arial"/>
        <family val="2"/>
      </rPr>
      <t xml:space="preserve"> is NEGATIVE</t>
    </r>
  </si>
  <si>
    <t>1.  Call Gamma &gt; 0 allows to earn money</t>
  </si>
  <si>
    <t>Made Money? r^2 &lt; vol</t>
  </si>
  <si>
    <t>But, the jackpot hit when Gamma high-value and r^2-vol^2 positive.</t>
  </si>
  <si>
    <t>2.  High Gamma/Low Volatility, a risky combination</t>
  </si>
  <si>
    <t xml:space="preserve">  Va</t>
  </si>
  <si>
    <t xml:space="preserve">  Vi</t>
  </si>
  <si>
    <t xml:space="preserve">  Va - Vi</t>
  </si>
  <si>
    <t>Replicating with Implied Vol gives increasing P&amp;L but uncertain cumultive</t>
  </si>
  <si>
    <t>CallDelta(asset, Vol, DivYld, IntRate, Strike, expiry)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</si>
</sst>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"/>
    <numFmt numFmtId="177" formatCode="#,##0.0000"/>
    <numFmt numFmtId="178" formatCode="0.000"/>
    <numFmt numFmtId="179" formatCode="#,##0.000"/>
  </numFmts>
  <fonts count="19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name val="NSimSun"/>
      <family val="3"/>
      <charset val="134"/>
    </font>
    <font>
      <i/>
      <sz val="10"/>
      <name val="Arial"/>
      <family val="2"/>
    </font>
    <font>
      <b/>
      <sz val="10"/>
      <color rgb="FFC0000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rgb="FF000000"/>
      <name val="Menlo"/>
      <family val="2"/>
    </font>
    <font>
      <b/>
      <u/>
      <sz val="12"/>
      <name val="Arial"/>
      <family val="2"/>
    </font>
    <font>
      <sz val="10"/>
      <color indexed="81"/>
      <name val="Calibri"/>
      <family val="2"/>
    </font>
    <font>
      <b/>
      <u/>
      <sz val="10"/>
      <name val="Arial"/>
      <family val="2"/>
    </font>
    <font>
      <b/>
      <sz val="11"/>
      <name val="Arial"/>
      <family val="2"/>
    </font>
    <font>
      <b/>
      <u/>
      <sz val="11"/>
      <name val="Arial"/>
      <family val="2"/>
    </font>
    <font>
      <sz val="12"/>
      <color rgb="FF000000"/>
      <name val="Helvetica"/>
    </font>
    <font>
      <sz val="9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2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65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9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center"/>
    </xf>
    <xf numFmtId="176" fontId="1" fillId="4" borderId="0" xfId="0" applyNumberFormat="1" applyFont="1" applyFill="1" applyAlignment="1">
      <alignment horizontal="center"/>
    </xf>
    <xf numFmtId="176" fontId="1" fillId="5" borderId="0" xfId="0" applyNumberFormat="1" applyFont="1" applyFill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176" fontId="0" fillId="2" borderId="0" xfId="0" applyNumberFormat="1" applyFill="1" applyAlignment="1">
      <alignment horizontal="center"/>
    </xf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2" borderId="0" xfId="0" applyFont="1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2" borderId="0" xfId="0" applyFill="1" applyAlignment="1">
      <alignment vertical="top" wrapText="1"/>
    </xf>
    <xf numFmtId="0" fontId="0" fillId="2" borderId="0" xfId="0" quotePrefix="1" applyFill="1" applyAlignment="1">
      <alignment horizontal="left" vertical="center"/>
    </xf>
    <xf numFmtId="9" fontId="3" fillId="7" borderId="0" xfId="0" applyNumberFormat="1" applyFont="1" applyFill="1" applyAlignment="1">
      <alignment horizontal="center"/>
    </xf>
    <xf numFmtId="0" fontId="0" fillId="2" borderId="0" xfId="0" applyFill="1" applyAlignment="1">
      <alignment horizontal="left"/>
    </xf>
    <xf numFmtId="0" fontId="3" fillId="9" borderId="0" xfId="0" applyFont="1" applyFill="1" applyAlignment="1">
      <alignment horizontal="center"/>
    </xf>
    <xf numFmtId="9" fontId="3" fillId="9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/>
    </xf>
    <xf numFmtId="9" fontId="6" fillId="2" borderId="0" xfId="0" applyNumberFormat="1" applyFont="1" applyFill="1" applyAlignment="1">
      <alignment horizontal="left"/>
    </xf>
    <xf numFmtId="0" fontId="3" fillId="8" borderId="0" xfId="0" applyFont="1" applyFill="1"/>
    <xf numFmtId="0" fontId="0" fillId="9" borderId="0" xfId="0" applyFill="1"/>
    <xf numFmtId="2" fontId="0" fillId="9" borderId="0" xfId="0" applyNumberFormat="1" applyFill="1"/>
    <xf numFmtId="0" fontId="0" fillId="8" borderId="0" xfId="0" applyFill="1"/>
    <xf numFmtId="2" fontId="3" fillId="9" borderId="0" xfId="0" applyNumberFormat="1" applyFont="1" applyFill="1"/>
    <xf numFmtId="177" fontId="0" fillId="10" borderId="0" xfId="0" applyNumberFormat="1" applyFill="1"/>
    <xf numFmtId="177" fontId="0" fillId="11" borderId="0" xfId="0" applyNumberFormat="1" applyFill="1"/>
    <xf numFmtId="0" fontId="3" fillId="2" borderId="1" xfId="0" applyFont="1" applyFill="1" applyBorder="1" applyAlignment="1">
      <alignment horizontal="center"/>
    </xf>
    <xf numFmtId="0" fontId="0" fillId="2" borderId="0" xfId="0" applyFill="1" applyAlignment="1">
      <alignment vertical="top"/>
    </xf>
    <xf numFmtId="0" fontId="11" fillId="0" borderId="0" xfId="0" applyFont="1"/>
    <xf numFmtId="9" fontId="3" fillId="2" borderId="0" xfId="11" applyFont="1" applyFill="1" applyAlignment="1">
      <alignment horizontal="center"/>
    </xf>
    <xf numFmtId="9" fontId="3" fillId="9" borderId="0" xfId="11" applyFont="1" applyFill="1" applyAlignment="1">
      <alignment horizontal="center"/>
    </xf>
    <xf numFmtId="2" fontId="0" fillId="8" borderId="0" xfId="0" applyNumberFormat="1" applyFill="1"/>
    <xf numFmtId="0" fontId="0" fillId="11" borderId="0" xfId="0" applyFill="1" applyAlignment="1">
      <alignment horizontal="center"/>
    </xf>
    <xf numFmtId="0" fontId="12" fillId="8" borderId="0" xfId="0" applyFont="1" applyFill="1"/>
    <xf numFmtId="0" fontId="3" fillId="0" borderId="0" xfId="0" applyFont="1" applyFill="1" applyAlignment="1">
      <alignment horizontal="center"/>
    </xf>
    <xf numFmtId="10" fontId="3" fillId="9" borderId="0" xfId="0" applyNumberFormat="1" applyFont="1" applyFill="1" applyAlignment="1">
      <alignment horizontal="center"/>
    </xf>
    <xf numFmtId="10" fontId="0" fillId="9" borderId="0" xfId="0" applyNumberFormat="1" applyFill="1"/>
    <xf numFmtId="178" fontId="0" fillId="2" borderId="0" xfId="0" applyNumberFormat="1" applyFill="1" applyAlignment="1">
      <alignment horizontal="center"/>
    </xf>
    <xf numFmtId="178" fontId="0" fillId="12" borderId="0" xfId="0" applyNumberFormat="1" applyFill="1" applyAlignment="1" applyProtection="1">
      <alignment horizontal="center"/>
    </xf>
    <xf numFmtId="0" fontId="0" fillId="2" borderId="0" xfId="0" applyFill="1" applyAlignment="1">
      <alignment horizontal="left" vertical="top"/>
    </xf>
    <xf numFmtId="2" fontId="0" fillId="2" borderId="0" xfId="0" applyNumberFormat="1" applyFill="1" applyAlignment="1">
      <alignment horizontal="center"/>
    </xf>
    <xf numFmtId="178" fontId="3" fillId="8" borderId="0" xfId="0" applyNumberFormat="1" applyFont="1" applyFill="1" applyAlignment="1">
      <alignment horizontal="center"/>
    </xf>
    <xf numFmtId="178" fontId="3" fillId="6" borderId="0" xfId="0" applyNumberFormat="1" applyFont="1" applyFill="1" applyAlignment="1">
      <alignment horizontal="center"/>
    </xf>
    <xf numFmtId="176" fontId="3" fillId="3" borderId="0" xfId="0" applyNumberFormat="1" applyFont="1" applyFill="1" applyAlignment="1">
      <alignment horizontal="center" vertical="center" wrapText="1"/>
    </xf>
    <xf numFmtId="0" fontId="15" fillId="2" borderId="0" xfId="0" quotePrefix="1" applyFont="1" applyFill="1" applyAlignment="1">
      <alignment horizontal="left" vertical="center"/>
    </xf>
    <xf numFmtId="179" fontId="0" fillId="2" borderId="0" xfId="0" applyNumberFormat="1" applyFill="1" applyAlignment="1">
      <alignment horizontal="center"/>
    </xf>
    <xf numFmtId="4" fontId="0" fillId="2" borderId="0" xfId="0" applyNumberFormat="1" applyFill="1" applyAlignment="1">
      <alignment horizontal="center"/>
    </xf>
    <xf numFmtId="178" fontId="0" fillId="12" borderId="0" xfId="0" applyNumberFormat="1" applyFont="1" applyFill="1" applyAlignment="1">
      <alignment horizontal="center"/>
    </xf>
    <xf numFmtId="0" fontId="0" fillId="2" borderId="0" xfId="0" quotePrefix="1" applyFill="1"/>
    <xf numFmtId="0" fontId="14" fillId="2" borderId="0" xfId="0" applyFont="1" applyFill="1" applyAlignment="1">
      <alignment horizontal="left" vertical="top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2" fontId="0" fillId="12" borderId="0" xfId="0" applyNumberFormat="1" applyFill="1" applyAlignment="1">
      <alignment horizontal="center"/>
    </xf>
    <xf numFmtId="0" fontId="3" fillId="2" borderId="0" xfId="0" applyFont="1" applyFill="1" applyAlignment="1">
      <alignment vertical="top" wrapText="1"/>
    </xf>
    <xf numFmtId="0" fontId="0" fillId="2" borderId="0" xfId="0" applyFill="1" applyAlignment="1">
      <alignment horizontal="center" wrapText="1"/>
    </xf>
    <xf numFmtId="0" fontId="10" fillId="2" borderId="0" xfId="0" applyFont="1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</cellXfs>
  <cellStyles count="12">
    <cellStyle name="百分比" xfId="11" builtinId="5"/>
    <cellStyle name="常规" xfId="0" builtinId="0"/>
    <cellStyle name="超链接" xfId="1" builtinId="8" hidden="1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已访问的超链接" xfId="2" builtinId="9" hidden="1"/>
    <cellStyle name="已访问的超链接" xfId="4" builtinId="9" hidden="1"/>
    <cellStyle name="已访问的超链接" xfId="6" builtinId="9" hidden="1"/>
    <cellStyle name="已访问的超链接" xfId="8" builtinId="9" hidden="1"/>
    <cellStyle name="已访问的超链接" xfId="10" builtinId="9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932241654446"/>
          <c:y val="8.2539938429868606E-2"/>
          <c:w val="0.80857988496118804"/>
          <c:h val="0.8348363667656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Greeks!$C$13</c:f>
              <c:strCache>
                <c:ptCount val="1"/>
                <c:pt idx="0">
                  <c:v>Delta</c:v>
                </c:pt>
              </c:strCache>
            </c:strRef>
          </c:tx>
          <c:spPr>
            <a:ln w="15875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Greeks!$B$14:$B$113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Greeks!$C$14:$C$113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1.7763568394002505E-15</c:v>
                </c:pt>
                <c:pt idx="10">
                  <c:v>7.0943251273547503E-14</c:v>
                </c:pt>
                <c:pt idx="11">
                  <c:v>1.7051915435217779E-12</c:v>
                </c:pt>
                <c:pt idx="12">
                  <c:v>2.6974533717805116E-11</c:v>
                </c:pt>
                <c:pt idx="13">
                  <c:v>3.023733485818525E-10</c:v>
                </c:pt>
                <c:pt idx="14">
                  <c:v>2.5430513250768172E-9</c:v>
                </c:pt>
                <c:pt idx="15">
                  <c:v>1.6783817557985969E-8</c:v>
                </c:pt>
                <c:pt idx="16">
                  <c:v>9.0096980542853089E-8</c:v>
                </c:pt>
                <c:pt idx="17">
                  <c:v>4.0494857611594881E-7</c:v>
                </c:pt>
                <c:pt idx="18">
                  <c:v>1.5605032926968576E-6</c:v>
                </c:pt>
                <c:pt idx="19">
                  <c:v>5.2581535181506212E-6</c:v>
                </c:pt>
                <c:pt idx="20">
                  <c:v>1.5748253469505258E-5</c:v>
                </c:pt>
                <c:pt idx="21">
                  <c:v>4.2507888714959918E-5</c:v>
                </c:pt>
                <c:pt idx="22">
                  <c:v>1.0462817930068091E-4</c:v>
                </c:pt>
                <c:pt idx="23">
                  <c:v>2.3721246156616083E-4</c:v>
                </c:pt>
                <c:pt idx="24">
                  <c:v>4.9968737837191579E-4</c:v>
                </c:pt>
                <c:pt idx="25">
                  <c:v>9.8535318400039262E-4</c:v>
                </c:pt>
                <c:pt idx="26">
                  <c:v>1.8308797953699996E-3</c:v>
                </c:pt>
                <c:pt idx="27">
                  <c:v>3.223974833830523E-3</c:v>
                </c:pt>
                <c:pt idx="28">
                  <c:v>5.4072817726963374E-3</c:v>
                </c:pt>
                <c:pt idx="29">
                  <c:v>8.6768100215708355E-3</c:v>
                </c:pt>
                <c:pt idx="30">
                  <c:v>1.3373844404928614E-2</c:v>
                </c:pt>
                <c:pt idx="31">
                  <c:v>1.9870211041530972E-2</c:v>
                </c:pt>
                <c:pt idx="32">
                  <c:v>2.8547800039548488E-2</c:v>
                </c:pt>
                <c:pt idx="33">
                  <c:v>3.9774155003621359E-2</c:v>
                </c:pt>
                <c:pt idx="34">
                  <c:v>5.3876563103812392E-2</c:v>
                </c:pt>
                <c:pt idx="35">
                  <c:v>7.1117317743735864E-2</c:v>
                </c:pt>
                <c:pt idx="36">
                  <c:v>9.1672664336472587E-2</c:v>
                </c:pt>
                <c:pt idx="37">
                  <c:v>0.11561743985783657</c:v>
                </c:pt>
                <c:pt idx="38">
                  <c:v>0.14291669145439878</c:v>
                </c:pt>
                <c:pt idx="39">
                  <c:v>0.17342474197829993</c:v>
                </c:pt>
                <c:pt idx="40">
                  <c:v>0.20689138715976574</c:v>
                </c:pt>
                <c:pt idx="41">
                  <c:v>0.24297425892854385</c:v>
                </c:pt>
                <c:pt idx="42">
                  <c:v>0.28125593297578677</c:v>
                </c:pt>
                <c:pt idx="43">
                  <c:v>0.32126411780956554</c:v>
                </c:pt>
                <c:pt idx="44">
                  <c:v>0.36249322583732646</c:v>
                </c:pt>
                <c:pt idx="45">
                  <c:v>0.40442575930731917</c:v>
                </c:pt>
                <c:pt idx="46">
                  <c:v>0.44655219723075135</c:v>
                </c:pt>
                <c:pt idx="47">
                  <c:v>0.48838839242555199</c:v>
                </c:pt>
                <c:pt idx="48">
                  <c:v>0.52948948772755444</c:v>
                </c:pt>
                <c:pt idx="49">
                  <c:v>0.5694601777375784</c:v>
                </c:pt>
                <c:pt idx="50">
                  <c:v>0.60796267377573388</c:v>
                </c:pt>
                <c:pt idx="51">
                  <c:v>0.64471974415599365</c:v>
                </c:pt>
                <c:pt idx="52">
                  <c:v>0.67951553458600267</c:v>
                </c:pt>
                <c:pt idx="53">
                  <c:v>0.71219387801908485</c:v>
                </c:pt>
                <c:pt idx="54">
                  <c:v>0.74265459972125114</c:v>
                </c:pt>
                <c:pt idx="55">
                  <c:v>0.77084836923665034</c:v>
                </c:pt>
                <c:pt idx="56">
                  <c:v>0.79677060951779122</c:v>
                </c:pt>
                <c:pt idx="57">
                  <c:v>0.82045491193554676</c:v>
                </c:pt>
                <c:pt idx="58">
                  <c:v>0.84196633288257072</c:v>
                </c:pt>
                <c:pt idx="59">
                  <c:v>0.8613948706635034</c:v>
                </c:pt>
                <c:pt idx="60">
                  <c:v>0.878849346168592</c:v>
                </c:pt>
                <c:pt idx="61">
                  <c:v>0.89445184164363079</c:v>
                </c:pt>
                <c:pt idx="62">
                  <c:v>0.90833279135367839</c:v>
                </c:pt>
                <c:pt idx="63">
                  <c:v>0.9206267674380274</c:v>
                </c:pt>
                <c:pt idx="64">
                  <c:v>0.93146896408188373</c:v>
                </c:pt>
                <c:pt idx="65">
                  <c:v>0.94099235284194527</c:v>
                </c:pt>
                <c:pt idx="66">
                  <c:v>0.94932546061190171</c:v>
                </c:pt>
                <c:pt idx="67">
                  <c:v>0.95659070806614588</c:v>
                </c:pt>
                <c:pt idx="68">
                  <c:v>0.96290323912519016</c:v>
                </c:pt>
                <c:pt idx="69">
                  <c:v>0.96837016970267209</c:v>
                </c:pt>
                <c:pt idx="70">
                  <c:v>0.97309018547362747</c:v>
                </c:pt>
                <c:pt idx="71">
                  <c:v>0.97715342254464865</c:v>
                </c:pt>
                <c:pt idx="72">
                  <c:v>0.98064157077676761</c:v>
                </c:pt>
                <c:pt idx="73">
                  <c:v>0.98362814635531548</c:v>
                </c:pt>
                <c:pt idx="74">
                  <c:v>0.98617888742905679</c:v>
                </c:pt>
                <c:pt idx="75">
                  <c:v>0.9883522338160714</c:v>
                </c:pt>
                <c:pt idx="76">
                  <c:v>0.99019985858867154</c:v>
                </c:pt>
                <c:pt idx="77">
                  <c:v>0.99176722560426755</c:v>
                </c:pt>
                <c:pt idx="78">
                  <c:v>0.99309415262942236</c:v>
                </c:pt>
                <c:pt idx="79">
                  <c:v>0.99421536456192738</c:v>
                </c:pt>
                <c:pt idx="80">
                  <c:v>0.99516102539035345</c:v>
                </c:pt>
                <c:pt idx="81">
                  <c:v>0.99595724097533522</c:v>
                </c:pt>
                <c:pt idx="82">
                  <c:v>0.99662652754656567</c:v>
                </c:pt>
                <c:pt idx="83">
                  <c:v>0.9971882430510477</c:v>
                </c:pt>
                <c:pt idx="84">
                  <c:v>0.99765898023370114</c:v>
                </c:pt>
                <c:pt idx="85">
                  <c:v>0.99805292165328097</c:v>
                </c:pt>
                <c:pt idx="86">
                  <c:v>0.9983821578037001</c:v>
                </c:pt>
                <c:pt idx="87">
                  <c:v>0.99865697018678878</c:v>
                </c:pt>
                <c:pt idx="88">
                  <c:v>0.99888608162405645</c:v>
                </c:pt>
                <c:pt idx="89">
                  <c:v>0.99907687635173803</c:v>
                </c:pt>
                <c:pt idx="90">
                  <c:v>0.99923559255770567</c:v>
                </c:pt>
                <c:pt idx="91">
                  <c:v>0.99936749002627057</c:v>
                </c:pt>
                <c:pt idx="92">
                  <c:v>0.99947699548675673</c:v>
                </c:pt>
                <c:pt idx="93">
                  <c:v>0.99956782813769129</c:v>
                </c:pt>
                <c:pt idx="94">
                  <c:v>0.99964310765931486</c:v>
                </c:pt>
                <c:pt idx="95">
                  <c:v>0.9997054468475165</c:v>
                </c:pt>
                <c:pt idx="96">
                  <c:v>0.99975703081337397</c:v>
                </c:pt>
                <c:pt idx="97">
                  <c:v>0.99979968450249335</c:v>
                </c:pt>
                <c:pt idx="98">
                  <c:v>0.9998349301032301</c:v>
                </c:pt>
                <c:pt idx="99">
                  <c:v>0.99986403573669724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10-D04B-B275-12561F5BA618}"/>
            </c:ext>
          </c:extLst>
        </c:ser>
        <c:ser>
          <c:idx val="1"/>
          <c:order val="1"/>
          <c:tx>
            <c:strRef>
              <c:f>Greeks!$D$13</c:f>
              <c:strCache>
                <c:ptCount val="1"/>
                <c:pt idx="0">
                  <c:v>Delta+</c:v>
                </c:pt>
              </c:strCache>
            </c:strRef>
          </c:tx>
          <c:spPr>
            <a:ln w="15875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Greeks!$B$14:$B$113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Greeks!$D$14:$D$113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1.1102230246251565E-16</c:v>
                </c:pt>
                <c:pt idx="4">
                  <c:v>3.8857805861880479E-14</c:v>
                </c:pt>
                <c:pt idx="5">
                  <c:v>3.2855940190756883E-12</c:v>
                </c:pt>
                <c:pt idx="6">
                  <c:v>1.055658893633904E-10</c:v>
                </c:pt>
                <c:pt idx="7">
                  <c:v>1.7308836586238385E-9</c:v>
                </c:pt>
                <c:pt idx="8">
                  <c:v>1.7383955719374455E-8</c:v>
                </c:pt>
                <c:pt idx="9">
                  <c:v>1.2057497056350286E-7</c:v>
                </c:pt>
                <c:pt idx="10">
                  <c:v>6.2727009886298646E-7</c:v>
                </c:pt>
                <c:pt idx="11">
                  <c:v>2.5963548941909664E-6</c:v>
                </c:pt>
                <c:pt idx="12">
                  <c:v>8.9300945940173904E-6</c:v>
                </c:pt>
                <c:pt idx="13">
                  <c:v>2.6374325522215969E-5</c:v>
                </c:pt>
                <c:pt idx="14">
                  <c:v>6.8601310663440884E-5</c:v>
                </c:pt>
                <c:pt idx="15">
                  <c:v>1.6030364910302186E-4</c:v>
                </c:pt>
                <c:pt idx="16">
                  <c:v>3.4190341720030659E-4</c:v>
                </c:pt>
                <c:pt idx="17">
                  <c:v>6.7419436582238923E-4</c:v>
                </c:pt>
                <c:pt idx="18">
                  <c:v>1.2420840787992216E-3</c:v>
                </c:pt>
                <c:pt idx="19">
                  <c:v>2.156636855717653E-3</c:v>
                </c:pt>
                <c:pt idx="20">
                  <c:v>3.5548262182437673E-3</c:v>
                </c:pt>
                <c:pt idx="21">
                  <c:v>5.5967309987204894E-3</c:v>
                </c:pt>
                <c:pt idx="22">
                  <c:v>8.4602722786122353E-3</c:v>
                </c:pt>
                <c:pt idx="23">
                  <c:v>1.2333915364678649E-2</c:v>
                </c:pt>
                <c:pt idx="24">
                  <c:v>1.7407998105221423E-2</c:v>
                </c:pt>
                <c:pt idx="25">
                  <c:v>2.3865468695874359E-2</c:v>
                </c:pt>
                <c:pt idx="26">
                  <c:v>3.1872823267600991E-2</c:v>
                </c:pt>
                <c:pt idx="27">
                  <c:v>4.1571945509283559E-2</c:v>
                </c:pt>
                <c:pt idx="28">
                  <c:v>5.307339710661052E-2</c:v>
                </c:pt>
                <c:pt idx="29">
                  <c:v>6.6451520980826517E-2</c:v>
                </c:pt>
                <c:pt idx="30">
                  <c:v>8.1741527900126454E-2</c:v>
                </c:pt>
                <c:pt idx="31">
                  <c:v>9.8938563063660778E-2</c:v>
                </c:pt>
                <c:pt idx="32">
                  <c:v>0.1179986069840071</c:v>
                </c:pt>
                <c:pt idx="33">
                  <c:v>0.1388409613158299</c:v>
                </c:pt>
                <c:pt idx="34">
                  <c:v>0.16135200606804967</c:v>
                </c:pt>
                <c:pt idx="35">
                  <c:v>0.18538988644935173</c:v>
                </c:pt>
                <c:pt idx="36">
                  <c:v>0.21078978936497972</c:v>
                </c:pt>
                <c:pt idx="37">
                  <c:v>0.23736949406621743</c:v>
                </c:pt>
                <c:pt idx="38">
                  <c:v>0.26493492134162133</c:v>
                </c:pt>
                <c:pt idx="39">
                  <c:v>0.29328545429089004</c:v>
                </c:pt>
                <c:pt idx="40">
                  <c:v>0.32221885559192176</c:v>
                </c:pt>
                <c:pt idx="41">
                  <c:v>0.3515356569761835</c:v>
                </c:pt>
                <c:pt idx="42">
                  <c:v>0.38104294333641653</c:v>
                </c:pt>
                <c:pt idx="43">
                  <c:v>0.41055749459972135</c:v>
                </c:pt>
                <c:pt idx="44">
                  <c:v>0.43990828224324918</c:v>
                </c:pt>
                <c:pt idx="45">
                  <c:v>0.46893834387547484</c:v>
                </c:pt>
                <c:pt idx="46">
                  <c:v>0.49750607894908017</c:v>
                </c:pt>
                <c:pt idx="47">
                  <c:v>0.52548576474819098</c:v>
                </c:pt>
                <c:pt idx="48">
                  <c:v>0.55276795922856981</c:v>
                </c:pt>
                <c:pt idx="49">
                  <c:v>0.57925968418588936</c:v>
                </c:pt>
                <c:pt idx="50">
                  <c:v>0.60488370713870776</c:v>
                </c:pt>
                <c:pt idx="51">
                  <c:v>0.62957787014960431</c:v>
                </c:pt>
                <c:pt idx="52">
                  <c:v>0.65329421776055885</c:v>
                </c:pt>
                <c:pt idx="53">
                  <c:v>0.67599797440917719</c:v>
                </c:pt>
                <c:pt idx="54">
                  <c:v>0.69766642335182638</c:v>
                </c:pt>
                <c:pt idx="55">
                  <c:v>0.71828773121410616</c:v>
                </c:pt>
                <c:pt idx="56">
                  <c:v>0.73785975480038324</c:v>
                </c:pt>
                <c:pt idx="57">
                  <c:v>0.75638885986171234</c:v>
                </c:pt>
                <c:pt idx="58">
                  <c:v>0.77388877523708854</c:v>
                </c:pt>
                <c:pt idx="59">
                  <c:v>0.79037950019639835</c:v>
                </c:pt>
                <c:pt idx="60">
                  <c:v>0.80588627793943846</c:v>
                </c:pt>
                <c:pt idx="61">
                  <c:v>0.8204386440311543</c:v>
                </c:pt>
                <c:pt idx="62">
                  <c:v>0.83406955504535951</c:v>
                </c:pt>
                <c:pt idx="63">
                  <c:v>0.84681459979984319</c:v>
                </c:pt>
                <c:pt idx="64">
                  <c:v>0.85871129323812656</c:v>
                </c:pt>
                <c:pt idx="65">
                  <c:v>0.86979845118568444</c:v>
                </c:pt>
                <c:pt idx="66">
                  <c:v>0.88011564281846366</c:v>
                </c:pt>
                <c:pt idx="67">
                  <c:v>0.88970271666757361</c:v>
                </c:pt>
                <c:pt idx="68">
                  <c:v>0.89859939528780586</c:v>
                </c:pt>
                <c:pt idx="69">
                  <c:v>0.90684493328530058</c:v>
                </c:pt>
                <c:pt idx="70">
                  <c:v>0.91447783318237097</c:v>
                </c:pt>
                <c:pt idx="71">
                  <c:v>0.9215356135519176</c:v>
                </c:pt>
                <c:pt idx="72">
                  <c:v>0.92805462394207927</c:v>
                </c:pt>
                <c:pt idx="73">
                  <c:v>0.93406990130124701</c:v>
                </c:pt>
                <c:pt idx="74">
                  <c:v>0.93961506287670304</c:v>
                </c:pt>
                <c:pt idx="75">
                  <c:v>0.94472223087395357</c:v>
                </c:pt>
                <c:pt idx="76">
                  <c:v>0.94942198450944681</c:v>
                </c:pt>
                <c:pt idx="77">
                  <c:v>0.95374333545157941</c:v>
                </c:pt>
                <c:pt idx="78">
                  <c:v>0.95771372301168167</c:v>
                </c:pt>
                <c:pt idx="79">
                  <c:v>0.96135902580874</c:v>
                </c:pt>
                <c:pt idx="80">
                  <c:v>0.96470358698197745</c:v>
                </c:pt>
                <c:pt idx="81">
                  <c:v>0.9677702503590363</c:v>
                </c:pt>
                <c:pt idx="82">
                  <c:v>0.97058040530092526</c:v>
                </c:pt>
                <c:pt idx="83">
                  <c:v>0.97315403823595403</c:v>
                </c:pt>
                <c:pt idx="84">
                  <c:v>0.97550978916243924</c:v>
                </c:pt>
                <c:pt idx="85">
                  <c:v>0.97766501164370723</c:v>
                </c:pt>
                <c:pt idx="86">
                  <c:v>0.97963583503912999</c:v>
                </c:pt>
                <c:pt idx="87">
                  <c:v>0.98143722791235843</c:v>
                </c:pt>
                <c:pt idx="88">
                  <c:v>0.9830830617336499</c:v>
                </c:pt>
                <c:pt idx="89">
                  <c:v>0.98458617414852001</c:v>
                </c:pt>
                <c:pt idx="90">
                  <c:v>0.98595843122133209</c:v>
                </c:pt>
                <c:pt idx="91">
                  <c:v>0.98721078818137398</c:v>
                </c:pt>
                <c:pt idx="92">
                  <c:v>0.98835334830200838</c:v>
                </c:pt>
                <c:pt idx="93">
                  <c:v>0.98939541963211264</c:v>
                </c:pt>
                <c:pt idx="94">
                  <c:v>0.99034556937472329</c:v>
                </c:pt>
                <c:pt idx="95">
                  <c:v>0.99121167577195213</c:v>
                </c:pt>
                <c:pt idx="96">
                  <c:v>0.9920009774091525</c:v>
                </c:pt>
                <c:pt idx="97">
                  <c:v>0.99272011989620179</c:v>
                </c:pt>
                <c:pt idx="98">
                  <c:v>0.99337519992074341</c:v>
                </c:pt>
                <c:pt idx="99">
                  <c:v>0.99397180669831686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10-D04B-B275-12561F5BA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70896752"/>
        <c:axId val="-1003432848"/>
      </c:scatterChart>
      <c:valAx>
        <c:axId val="-970896752"/>
        <c:scaling>
          <c:orientation val="minMax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Asset</a:t>
                </a:r>
              </a:p>
            </c:rich>
          </c:tx>
          <c:layout>
            <c:manualLayout>
              <c:xMode val="edge"/>
              <c:yMode val="edge"/>
              <c:x val="0.45372163585934699"/>
              <c:y val="0.918711931500366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1003432848"/>
        <c:crosses val="autoZero"/>
        <c:crossBetween val="midCat"/>
      </c:valAx>
      <c:valAx>
        <c:axId val="-1003432848"/>
        <c:scaling>
          <c:orientation val="minMax"/>
          <c:max val="1.25"/>
          <c:min val="-0.25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Delta</a:t>
                </a:r>
              </a:p>
            </c:rich>
          </c:tx>
          <c:layout>
            <c:manualLayout>
              <c:xMode val="edge"/>
              <c:yMode val="edge"/>
              <c:x val="2.58481785521491E-2"/>
              <c:y val="0.406350501269308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970896752"/>
        <c:crosses val="autoZero"/>
        <c:crossBetween val="midCat"/>
        <c:majorUnit val="0.25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072166384349704"/>
          <c:y val="0.55445295944545803"/>
          <c:w val="0.13861370283909899"/>
          <c:h val="0.1365084118583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54938388954599"/>
          <c:y val="8.2539938429868606E-2"/>
          <c:w val="0.80432561719258799"/>
          <c:h val="0.80000233304170298"/>
        </c:manualLayout>
      </c:layout>
      <c:scatterChart>
        <c:scatterStyle val="smoothMarker"/>
        <c:varyColors val="0"/>
        <c:ser>
          <c:idx val="2"/>
          <c:order val="0"/>
          <c:tx>
            <c:strRef>
              <c:f>Greeks!$E$13</c:f>
              <c:strCache>
                <c:ptCount val="1"/>
                <c:pt idx="0">
                  <c:v>Gamma</c:v>
                </c:pt>
              </c:strCache>
            </c:strRef>
          </c:tx>
          <c:spPr>
            <a:ln w="15875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Greeks!$B$14:$B$113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Greeks!$E$14:$E$113</c:f>
              <c:numCache>
                <c:formatCode>General</c:formatCode>
                <c:ptCount val="100"/>
                <c:pt idx="0">
                  <c:v>5.0084911673274488E-82</c:v>
                </c:pt>
                <c:pt idx="1">
                  <c:v>9.2887274480900552E-56</c:v>
                </c:pt>
                <c:pt idx="2">
                  <c:v>8.2356287383920902E-43</c:v>
                </c:pt>
                <c:pt idx="3">
                  <c:v>1.0465336777613854E-34</c:v>
                </c:pt>
                <c:pt idx="4">
                  <c:v>4.8634703532361778E-29</c:v>
                </c:pt>
                <c:pt idx="5">
                  <c:v>8.2426100780573973E-25</c:v>
                </c:pt>
                <c:pt idx="6">
                  <c:v>1.6224143689431844E-21</c:v>
                </c:pt>
                <c:pt idx="7">
                  <c:v>7.1630482801383905E-19</c:v>
                </c:pt>
                <c:pt idx="8">
                  <c:v>1.065135275746814E-16</c:v>
                </c:pt>
                <c:pt idx="9">
                  <c:v>6.965758049653437E-15</c:v>
                </c:pt>
                <c:pt idx="10">
                  <c:v>2.4072251785235818E-13</c:v>
                </c:pt>
                <c:pt idx="11">
                  <c:v>5.0116465228976473E-12</c:v>
                </c:pt>
                <c:pt idx="12">
                  <c:v>6.9224540075018397E-11</c:v>
                </c:pt>
                <c:pt idx="13">
                  <c:v>6.8230412732342997E-10</c:v>
                </c:pt>
                <c:pt idx="14">
                  <c:v>5.0758667977619702E-9</c:v>
                </c:pt>
                <c:pt idx="15">
                  <c:v>2.9784494191315159E-8</c:v>
                </c:pt>
                <c:pt idx="16">
                  <c:v>1.4278203918525825E-7</c:v>
                </c:pt>
                <c:pt idx="17">
                  <c:v>5.7529612809118231E-7</c:v>
                </c:pt>
                <c:pt idx="18">
                  <c:v>1.994032342016128E-6</c:v>
                </c:pt>
                <c:pt idx="19">
                  <c:v>6.0609148017800238E-6</c:v>
                </c:pt>
                <c:pt idx="20">
                  <c:v>1.6416264277605462E-5</c:v>
                </c:pt>
                <c:pt idx="21">
                  <c:v>4.0161131085423058E-5</c:v>
                </c:pt>
                <c:pt idx="22">
                  <c:v>8.9765786773274479E-5</c:v>
                </c:pt>
                <c:pt idx="23">
                  <c:v>1.8511592842770743E-4</c:v>
                </c:pt>
                <c:pt idx="24">
                  <c:v>3.5519350655899962E-4</c:v>
                </c:pt>
                <c:pt idx="25">
                  <c:v>6.3876636209564354E-4</c:v>
                </c:pt>
                <c:pt idx="26">
                  <c:v>1.0835050388420489E-3</c:v>
                </c:pt>
                <c:pt idx="27">
                  <c:v>1.7431786325016383E-3</c:v>
                </c:pt>
                <c:pt idx="28">
                  <c:v>2.6729598579908567E-3</c:v>
                </c:pt>
                <c:pt idx="29">
                  <c:v>3.9232954716652219E-3</c:v>
                </c:pt>
                <c:pt idx="30">
                  <c:v>5.533156513490017E-3</c:v>
                </c:pt>
                <c:pt idx="31">
                  <c:v>7.5236790529149399E-3</c:v>
                </c:pt>
                <c:pt idx="32">
                  <c:v>9.8931942041304809E-3</c:v>
                </c:pt>
                <c:pt idx="33">
                  <c:v>1.2614436966213801E-2</c:v>
                </c:pt>
                <c:pt idx="34">
                  <c:v>1.563437453225024E-2</c:v>
                </c:pt>
                <c:pt idx="35">
                  <c:v>1.8876688756397735E-2</c:v>
                </c:pt>
                <c:pt idx="36">
                  <c:v>2.2246567988949247E-2</c:v>
                </c:pt>
                <c:pt idx="37">
                  <c:v>2.563717556258361E-2</c:v>
                </c:pt>
                <c:pt idx="38">
                  <c:v>2.8937001985425342E-2</c:v>
                </c:pt>
                <c:pt idx="39">
                  <c:v>3.2037281254222796E-2</c:v>
                </c:pt>
                <c:pt idx="40">
                  <c:v>3.4838739892415434E-2</c:v>
                </c:pt>
                <c:pt idx="41">
                  <c:v>3.7257116259317685E-2</c:v>
                </c:pt>
                <c:pt idx="42">
                  <c:v>3.9227097812904552E-2</c:v>
                </c:pt>
                <c:pt idx="43">
                  <c:v>4.0704538488218693E-2</c:v>
                </c:pt>
                <c:pt idx="44">
                  <c:v>4.1667008388513518E-2</c:v>
                </c:pt>
                <c:pt idx="45">
                  <c:v>4.2112875244039207E-2</c:v>
                </c:pt>
                <c:pt idx="46">
                  <c:v>4.205921361966606E-2</c:v>
                </c:pt>
                <c:pt idx="47">
                  <c:v>4.1538884339160621E-2</c:v>
                </c:pt>
                <c:pt idx="48">
                  <c:v>4.0597129829167196E-2</c:v>
                </c:pt>
                <c:pt idx="49">
                  <c:v>3.9288001279828448E-2</c:v>
                </c:pt>
                <c:pt idx="50">
                  <c:v>3.7670881971642839E-2</c:v>
                </c:pt>
                <c:pt idx="51">
                  <c:v>3.5807308474253681E-2</c:v>
                </c:pt>
                <c:pt idx="52">
                  <c:v>3.3758226572263079E-2</c:v>
                </c:pt>
                <c:pt idx="53">
                  <c:v>3.1581758334776756E-2</c:v>
                </c:pt>
                <c:pt idx="54">
                  <c:v>2.933150500522556E-2</c:v>
                </c:pt>
                <c:pt idx="55">
                  <c:v>2.7055369542696904E-2</c:v>
                </c:pt>
                <c:pt idx="56">
                  <c:v>2.4794853213882643E-2</c:v>
                </c:pt>
                <c:pt idx="57">
                  <c:v>2.2584761924138205E-2</c:v>
                </c:pt>
                <c:pt idx="58">
                  <c:v>2.0453248533361779E-2</c:v>
                </c:pt>
                <c:pt idx="59">
                  <c:v>1.8422115393202303E-2</c:v>
                </c:pt>
                <c:pt idx="60">
                  <c:v>1.6507304845899923E-2</c:v>
                </c:pt>
                <c:pt idx="61">
                  <c:v>1.4719512639483826E-2</c:v>
                </c:pt>
                <c:pt idx="62">
                  <c:v>1.3064868579177239E-2</c:v>
                </c:pt>
                <c:pt idx="63">
                  <c:v>1.154563899221649E-2</c:v>
                </c:pt>
                <c:pt idx="64">
                  <c:v>1.01609157866172E-2</c:v>
                </c:pt>
                <c:pt idx="65">
                  <c:v>8.9072663781394629E-3</c:v>
                </c:pt>
                <c:pt idx="66">
                  <c:v>7.7793271386688446E-3</c:v>
                </c:pt>
                <c:pt idx="67">
                  <c:v>6.7703300802239141E-3</c:v>
                </c:pt>
                <c:pt idx="68">
                  <c:v>5.8725581812406015E-3</c:v>
                </c:pt>
                <c:pt idx="69">
                  <c:v>5.0777291424090798E-3</c:v>
                </c:pt>
                <c:pt idx="70">
                  <c:v>4.3773105535196335E-3</c:v>
                </c:pt>
                <c:pt idx="71">
                  <c:v>3.7627716234435327E-3</c:v>
                </c:pt>
                <c:pt idx="72">
                  <c:v>3.2257779495648087E-3</c:v>
                </c:pt>
                <c:pt idx="73">
                  <c:v>2.7583364551895823E-3</c:v>
                </c:pt>
                <c:pt idx="74">
                  <c:v>2.3528977648414238E-3</c:v>
                </c:pt>
                <c:pt idx="75">
                  <c:v>2.0024230594804411E-3</c:v>
                </c:pt>
                <c:pt idx="76">
                  <c:v>1.7004219758287615E-3</c:v>
                </c:pt>
                <c:pt idx="77">
                  <c:v>1.4409674828225996E-3</c:v>
                </c:pt>
                <c:pt idx="78">
                  <c:v>1.2186929591767579E-3</c:v>
                </c:pt>
                <c:pt idx="79">
                  <c:v>1.0287759656336323E-3</c:v>
                </c:pt>
                <c:pt idx="80">
                  <c:v>8.6691249398593241E-4</c:v>
                </c:pt>
                <c:pt idx="81">
                  <c:v>7.2928480940597906E-4</c:v>
                </c:pt>
                <c:pt idx="82">
                  <c:v>6.1252539940318961E-4</c:v>
                </c:pt>
                <c:pt idx="83">
                  <c:v>5.1367901018025655E-4</c:v>
                </c:pt>
                <c:pt idx="84">
                  <c:v>4.3016429161391744E-4</c:v>
                </c:pt>
                <c:pt idx="85">
                  <c:v>3.5973618370293528E-4</c:v>
                </c:pt>
                <c:pt idx="86">
                  <c:v>3.0044985549615351E-4</c:v>
                </c:pt>
                <c:pt idx="87">
                  <c:v>2.5062674598046674E-4</c:v>
                </c:pt>
                <c:pt idx="88">
                  <c:v>2.0882304810264558E-4</c:v>
                </c:pt>
                <c:pt idx="89">
                  <c:v>1.7380081474370853E-4</c:v>
                </c:pt>
                <c:pt idx="90">
                  <c:v>1.445017419939534E-4</c:v>
                </c:pt>
                <c:pt idx="91">
                  <c:v>1.2002359390473972E-4</c:v>
                </c:pt>
                <c:pt idx="92">
                  <c:v>9.9599168069981102E-5</c:v>
                </c:pt>
                <c:pt idx="93">
                  <c:v>8.2577657675860744E-5</c:v>
                </c:pt>
                <c:pt idx="94">
                  <c:v>6.8408238534677294E-5</c:v>
                </c:pt>
                <c:pt idx="95">
                  <c:v>5.6625695268417235E-5</c:v>
                </c:pt>
                <c:pt idx="96">
                  <c:v>4.6837896056140886E-5</c:v>
                </c:pt>
                <c:pt idx="97">
                  <c:v>3.8714927613947964E-5</c:v>
                </c:pt>
                <c:pt idx="98">
                  <c:v>3.1979709254048464E-5</c:v>
                </c:pt>
                <c:pt idx="99">
                  <c:v>2.6399915325170486E-5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36-574C-924A-049B6B54DAB6}"/>
            </c:ext>
          </c:extLst>
        </c:ser>
        <c:ser>
          <c:idx val="3"/>
          <c:order val="1"/>
          <c:tx>
            <c:strRef>
              <c:f>Greeks!$F$13</c:f>
              <c:strCache>
                <c:ptCount val="1"/>
                <c:pt idx="0">
                  <c:v>Gamma+</c:v>
                </c:pt>
              </c:strCache>
            </c:strRef>
          </c:tx>
          <c:spPr>
            <a:ln w="15875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Greeks!$B$14:$B$113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Greeks!$F$14:$F$113</c:f>
              <c:numCache>
                <c:formatCode>General</c:formatCode>
                <c:ptCount val="100"/>
                <c:pt idx="0">
                  <c:v>2.1049947902087335E-36</c:v>
                </c:pt>
                <c:pt idx="1">
                  <c:v>5.5868905792686009E-25</c:v>
                </c:pt>
                <c:pt idx="2">
                  <c:v>2.2645337680339111E-19</c:v>
                </c:pt>
                <c:pt idx="3">
                  <c:v>7.1230509888636144E-16</c:v>
                </c:pt>
                <c:pt idx="4">
                  <c:v>1.9528108615958928E-13</c:v>
                </c:pt>
                <c:pt idx="5">
                  <c:v>1.2714053216316235E-11</c:v>
                </c:pt>
                <c:pt idx="6">
                  <c:v>3.2549037989507448E-10</c:v>
                </c:pt>
                <c:pt idx="7">
                  <c:v>4.3625326244918549E-9</c:v>
                </c:pt>
                <c:pt idx="8">
                  <c:v>3.6524250652014322E-8</c:v>
                </c:pt>
                <c:pt idx="9">
                  <c:v>2.1447033771891672E-7</c:v>
                </c:pt>
                <c:pt idx="10">
                  <c:v>9.564727246342566E-7</c:v>
                </c:pt>
                <c:pt idx="11">
                  <c:v>3.4289882409020124E-6</c:v>
                </c:pt>
                <c:pt idx="12">
                  <c:v>1.0303589030426439E-5</c:v>
                </c:pt>
                <c:pt idx="13">
                  <c:v>2.6780603969057632E-5</c:v>
                </c:pt>
                <c:pt idx="14">
                  <c:v>6.1687712630331936E-5</c:v>
                </c:pt>
                <c:pt idx="15">
                  <c:v>1.2834769380510469E-4</c:v>
                </c:pt>
                <c:pt idx="16">
                  <c:v>2.4489122351713965E-4</c:v>
                </c:pt>
                <c:pt idx="17">
                  <c:v>4.3378309359817633E-4</c:v>
                </c:pt>
                <c:pt idx="18">
                  <c:v>7.2050046038419464E-4</c:v>
                </c:pt>
                <c:pt idx="19">
                  <c:v>1.1314908243522483E-3</c:v>
                </c:pt>
                <c:pt idx="20">
                  <c:v>1.6916887749530585E-3</c:v>
                </c:pt>
                <c:pt idx="21">
                  <c:v>2.4219491680991011E-3</c:v>
                </c:pt>
                <c:pt idx="22">
                  <c:v>3.3367526919931144E-3</c:v>
                </c:pt>
                <c:pt idx="23">
                  <c:v>4.4424721491793826E-3</c:v>
                </c:pt>
                <c:pt idx="24">
                  <c:v>5.7363805399154337E-3</c:v>
                </c:pt>
                <c:pt idx="25">
                  <c:v>7.2064633128603181E-3</c:v>
                </c:pt>
                <c:pt idx="26">
                  <c:v>8.8319899349429618E-3</c:v>
                </c:pt>
                <c:pt idx="27">
                  <c:v>1.0584718789079526E-2</c:v>
                </c:pt>
                <c:pt idx="28">
                  <c:v>1.243056029836833E-2</c:v>
                </c:pt>
                <c:pt idx="29">
                  <c:v>1.4331505149343865E-2</c:v>
                </c:pt>
                <c:pt idx="30">
                  <c:v>1.6247632122943275E-2</c:v>
                </c:pt>
                <c:pt idx="31">
                  <c:v>1.8139035819036722E-2</c:v>
                </c:pt>
                <c:pt idx="32">
                  <c:v>1.9967550725160488E-2</c:v>
                </c:pt>
                <c:pt idx="33">
                  <c:v>2.1698187862371453E-2</c:v>
                </c:pt>
                <c:pt idx="34">
                  <c:v>2.3300238466598282E-2</c:v>
                </c:pt>
                <c:pt idx="35">
                  <c:v>2.4748032402144446E-2</c:v>
                </c:pt>
                <c:pt idx="36">
                  <c:v>2.6021365414559964E-2</c:v>
                </c:pt>
                <c:pt idx="37">
                  <c:v>2.7105628349424322E-2</c:v>
                </c:pt>
                <c:pt idx="38">
                  <c:v>2.7991683441833011E-2</c:v>
                </c:pt>
                <c:pt idx="39">
                  <c:v>2.8675538638672005E-2</c:v>
                </c:pt>
                <c:pt idx="40">
                  <c:v>2.9157871855842326E-2</c:v>
                </c:pt>
                <c:pt idx="41">
                  <c:v>2.9443454367821725E-2</c:v>
                </c:pt>
                <c:pt idx="42">
                  <c:v>2.9540517373126074E-2</c:v>
                </c:pt>
                <c:pt idx="43">
                  <c:v>2.9460099210310241E-2</c:v>
                </c:pt>
                <c:pt idx="44">
                  <c:v>2.9215403548493515E-2</c:v>
                </c:pt>
                <c:pt idx="45">
                  <c:v>2.8821191771089182E-2</c:v>
                </c:pt>
                <c:pt idx="46">
                  <c:v>2.8293226147726089E-2</c:v>
                </c:pt>
                <c:pt idx="47">
                  <c:v>2.7647774519859444E-2</c:v>
                </c:pt>
                <c:pt idx="48">
                  <c:v>2.6901182251041794E-2</c:v>
                </c:pt>
                <c:pt idx="49">
                  <c:v>2.6069513154046032E-2</c:v>
                </c:pt>
                <c:pt idx="50">
                  <c:v>2.5168257973773599E-2</c:v>
                </c:pt>
                <c:pt idx="51">
                  <c:v>2.4212106700534339E-2</c:v>
                </c:pt>
                <c:pt idx="52">
                  <c:v>2.3214779409627313E-2</c:v>
                </c:pt>
                <c:pt idx="53">
                  <c:v>2.2188909355409958E-2</c:v>
                </c:pt>
                <c:pt idx="54">
                  <c:v>2.1145971575717421E-2</c:v>
                </c:pt>
                <c:pt idx="55">
                  <c:v>2.0096250176641534E-2</c:v>
                </c:pt>
                <c:pt idx="56">
                  <c:v>1.9048837670345431E-2</c:v>
                </c:pt>
                <c:pt idx="57">
                  <c:v>1.8011660145076283E-2</c:v>
                </c:pt>
                <c:pt idx="58">
                  <c:v>1.6991522586093426E-2</c:v>
                </c:pt>
                <c:pt idx="59">
                  <c:v>1.5994169281665242E-2</c:v>
                </c:pt>
                <c:pt idx="60">
                  <c:v>1.5024354894916148E-2</c:v>
                </c:pt>
                <c:pt idx="61">
                  <c:v>1.4085922426483965E-2</c:v>
                </c:pt>
                <c:pt idx="62">
                  <c:v>1.3181884910482453E-2</c:v>
                </c:pt>
                <c:pt idx="63">
                  <c:v>1.2314508260778428E-2</c:v>
                </c:pt>
                <c:pt idx="64">
                  <c:v>1.1485393206015179E-2</c:v>
                </c:pt>
                <c:pt idx="65">
                  <c:v>1.0695554714988668E-2</c:v>
                </c:pt>
                <c:pt idx="66">
                  <c:v>9.9454977174777363E-3</c:v>
                </c:pt>
                <c:pt idx="67">
                  <c:v>9.2352882707186293E-3</c:v>
                </c:pt>
                <c:pt idx="68">
                  <c:v>8.5646196115461565E-3</c:v>
                </c:pt>
                <c:pt idx="69">
                  <c:v>7.9328727731510142E-3</c:v>
                </c:pt>
                <c:pt idx="70">
                  <c:v>7.3391716384648351E-3</c:v>
                </c:pt>
                <c:pt idx="71">
                  <c:v>6.7824324547056903E-3</c:v>
                </c:pt>
                <c:pt idx="72">
                  <c:v>6.261407950925597E-3</c:v>
                </c:pt>
                <c:pt idx="73">
                  <c:v>5.7747262876173631E-3</c:v>
                </c:pt>
                <c:pt idx="74">
                  <c:v>5.3209251293448168E-3</c:v>
                </c:pt>
                <c:pt idx="75">
                  <c:v>4.8984811723197077E-3</c:v>
                </c:pt>
                <c:pt idx="76">
                  <c:v>4.5058354827609811E-3</c:v>
                </c:pt>
                <c:pt idx="77">
                  <c:v>4.1414150121673226E-3</c:v>
                </c:pt>
                <c:pt idx="78">
                  <c:v>3.8036506552792432E-3</c:v>
                </c:pt>
                <c:pt idx="79">
                  <c:v>3.4909922080341451E-3</c:v>
                </c:pt>
                <c:pt idx="80">
                  <c:v>3.2019205683557761E-3</c:v>
                </c:pt>
                <c:pt idx="81">
                  <c:v>2.9349575039334208E-3</c:v>
                </c:pt>
                <c:pt idx="82">
                  <c:v>2.6886732896791708E-3</c:v>
                </c:pt>
                <c:pt idx="83">
                  <c:v>2.4616924944637032E-3</c:v>
                </c:pt>
                <c:pt idx="84">
                  <c:v>2.2526981729397147E-3</c:v>
                </c:pt>
                <c:pt idx="85">
                  <c:v>2.0604346944779238E-3</c:v>
                </c:pt>
                <c:pt idx="86">
                  <c:v>1.8837094179992343E-3</c:v>
                </c:pt>
                <c:pt idx="87">
                  <c:v>1.7213933991809039E-3</c:v>
                </c:pt>
                <c:pt idx="88">
                  <c:v>1.5724212954178059E-3</c:v>
                </c:pt>
                <c:pt idx="89">
                  <c:v>1.4357906142104184E-3</c:v>
                </c:pt>
                <c:pt idx="90">
                  <c:v>1.3105604324315722E-3</c:v>
                </c:pt>
                <c:pt idx="91">
                  <c:v>1.195849697236484E-3</c:v>
                </c:pt>
                <c:pt idx="92">
                  <c:v>1.0908352042227529E-3</c:v>
                </c:pt>
                <c:pt idx="93">
                  <c:v>9.9474933478141056E-4</c:v>
                </c:pt>
                <c:pt idx="94">
                  <c:v>9.0687762234530447E-4</c:v>
                </c:pt>
                <c:pt idx="95">
                  <c:v>8.2655620635819344E-4</c:v>
                </c:pt>
                <c:pt idx="96">
                  <c:v>7.5316922316741677E-4</c:v>
                </c:pt>
                <c:pt idx="97">
                  <c:v>6.8614617458907323E-4</c:v>
                </c:pt>
                <c:pt idx="98">
                  <c:v>6.2495930750941303E-4</c:v>
                </c:pt>
                <c:pt idx="99">
                  <c:v>5.6912103147197998E-4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36-574C-924A-049B6B54D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8698176"/>
        <c:axId val="-968694784"/>
      </c:scatterChart>
      <c:valAx>
        <c:axId val="-968698176"/>
        <c:scaling>
          <c:orientation val="minMax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Asset</a:t>
                </a:r>
              </a:p>
            </c:rich>
          </c:tx>
          <c:layout>
            <c:manualLayout>
              <c:xMode val="edge"/>
              <c:yMode val="edge"/>
              <c:x val="0.478739971662834"/>
              <c:y val="0.90476465951960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968694784"/>
        <c:crosses val="autoZero"/>
        <c:crossBetween val="midCat"/>
      </c:valAx>
      <c:valAx>
        <c:axId val="-9686947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Gamma</a:t>
                </a:r>
              </a:p>
            </c:rich>
          </c:tx>
          <c:layout>
            <c:manualLayout>
              <c:xMode val="edge"/>
              <c:yMode val="edge"/>
              <c:x val="2.5848140663833001E-2"/>
              <c:y val="0.377779206170657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968698176"/>
        <c:crosses val="autoZero"/>
        <c:crossBetween val="midCat"/>
        <c:majorUnit val="0.0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863637048558398"/>
          <c:y val="0.49477909181851099"/>
          <c:w val="0.145396046733096"/>
          <c:h val="0.1365083446201879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570113001787694E-2"/>
          <c:y val="4.8652303480053699E-2"/>
          <c:w val="0.84619946280314096"/>
          <c:h val="0.77365777106271405"/>
        </c:manualLayout>
      </c:layout>
      <c:scatterChart>
        <c:scatterStyle val="smoothMarker"/>
        <c:varyColors val="0"/>
        <c:ser>
          <c:idx val="0"/>
          <c:order val="1"/>
          <c:tx>
            <c:strRef>
              <c:f>'Delta Hedge'!$F$11</c:f>
              <c:strCache>
                <c:ptCount val="1"/>
                <c:pt idx="0">
                  <c:v>Cum P&amp;L</c:v>
                </c:pt>
              </c:strCache>
            </c:strRef>
          </c:tx>
          <c:marker>
            <c:symbol val="none"/>
          </c:marker>
          <c:xVal>
            <c:numRef>
              <c:f>'Delta Hedge'!$A$12:$A$112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'Delta Hedge'!$F$12:$F$112</c:f>
              <c:numCache>
                <c:formatCode>#,##0.00</c:formatCode>
                <c:ptCount val="101"/>
                <c:pt idx="0">
                  <c:v>63.683058735763588</c:v>
                </c:pt>
                <c:pt idx="1">
                  <c:v>66.829746587616484</c:v>
                </c:pt>
                <c:pt idx="2">
                  <c:v>63.014657290117</c:v>
                </c:pt>
                <c:pt idx="3">
                  <c:v>61.839810875851683</c:v>
                </c:pt>
                <c:pt idx="4">
                  <c:v>60.816570548916708</c:v>
                </c:pt>
                <c:pt idx="5">
                  <c:v>61.439557500288153</c:v>
                </c:pt>
                <c:pt idx="6">
                  <c:v>59.565010237565552</c:v>
                </c:pt>
                <c:pt idx="7">
                  <c:v>64.339774700436152</c:v>
                </c:pt>
                <c:pt idx="8">
                  <c:v>64.391426990031718</c:v>
                </c:pt>
                <c:pt idx="9">
                  <c:v>66.485227386344306</c:v>
                </c:pt>
                <c:pt idx="10">
                  <c:v>72.354718963479982</c:v>
                </c:pt>
                <c:pt idx="11">
                  <c:v>77.558983224938331</c:v>
                </c:pt>
                <c:pt idx="12">
                  <c:v>76.036293450325246</c:v>
                </c:pt>
                <c:pt idx="13">
                  <c:v>81.719856917781058</c:v>
                </c:pt>
                <c:pt idx="14">
                  <c:v>75.175410400267012</c:v>
                </c:pt>
                <c:pt idx="15">
                  <c:v>76.819161187252746</c:v>
                </c:pt>
                <c:pt idx="16">
                  <c:v>79.047054356580219</c:v>
                </c:pt>
                <c:pt idx="17">
                  <c:v>73.130343305712884</c:v>
                </c:pt>
                <c:pt idx="18">
                  <c:v>71.895738446220776</c:v>
                </c:pt>
                <c:pt idx="19">
                  <c:v>72.781214910060214</c:v>
                </c:pt>
                <c:pt idx="20">
                  <c:v>76.15560111322192</c:v>
                </c:pt>
                <c:pt idx="21">
                  <c:v>79.081404068722762</c:v>
                </c:pt>
                <c:pt idx="22">
                  <c:v>83.299748697716126</c:v>
                </c:pt>
                <c:pt idx="23">
                  <c:v>79.950243890266023</c:v>
                </c:pt>
                <c:pt idx="24">
                  <c:v>80.365837016185523</c:v>
                </c:pt>
                <c:pt idx="25">
                  <c:v>76.209080997529213</c:v>
                </c:pt>
                <c:pt idx="26">
                  <c:v>73.402560370832077</c:v>
                </c:pt>
                <c:pt idx="27">
                  <c:v>70.328202982014844</c:v>
                </c:pt>
                <c:pt idx="28">
                  <c:v>72.648920165595456</c:v>
                </c:pt>
                <c:pt idx="29">
                  <c:v>78.401443697599149</c:v>
                </c:pt>
                <c:pt idx="30">
                  <c:v>72.186303792409547</c:v>
                </c:pt>
                <c:pt idx="31">
                  <c:v>66.275430000191506</c:v>
                </c:pt>
                <c:pt idx="32">
                  <c:v>66.020532192619015</c:v>
                </c:pt>
                <c:pt idx="33">
                  <c:v>60.197628088929939</c:v>
                </c:pt>
                <c:pt idx="34">
                  <c:v>58.460350988641181</c:v>
                </c:pt>
                <c:pt idx="35">
                  <c:v>56.671025461536942</c:v>
                </c:pt>
                <c:pt idx="36">
                  <c:v>51.498088935323651</c:v>
                </c:pt>
                <c:pt idx="37">
                  <c:v>53.016646651376021</c:v>
                </c:pt>
                <c:pt idx="38">
                  <c:v>55.431984237507386</c:v>
                </c:pt>
                <c:pt idx="39">
                  <c:v>61.972633753299604</c:v>
                </c:pt>
                <c:pt idx="40">
                  <c:v>57.414807854967712</c:v>
                </c:pt>
                <c:pt idx="41">
                  <c:v>62.444215893304296</c:v>
                </c:pt>
                <c:pt idx="42">
                  <c:v>59.961203739914893</c:v>
                </c:pt>
                <c:pt idx="43">
                  <c:v>55.50213069287976</c:v>
                </c:pt>
                <c:pt idx="44">
                  <c:v>56.545268241360588</c:v>
                </c:pt>
                <c:pt idx="45">
                  <c:v>58.979761792731999</c:v>
                </c:pt>
                <c:pt idx="46">
                  <c:v>53.649682422118993</c:v>
                </c:pt>
                <c:pt idx="47">
                  <c:v>63.789915274241253</c:v>
                </c:pt>
                <c:pt idx="48">
                  <c:v>60.469835996461761</c:v>
                </c:pt>
                <c:pt idx="49">
                  <c:v>58.347160119590029</c:v>
                </c:pt>
                <c:pt idx="50">
                  <c:v>54.825792493705251</c:v>
                </c:pt>
                <c:pt idx="51">
                  <c:v>63.115545690982508</c:v>
                </c:pt>
                <c:pt idx="52">
                  <c:v>57.267123423333835</c:v>
                </c:pt>
                <c:pt idx="53">
                  <c:v>54.004454633899456</c:v>
                </c:pt>
                <c:pt idx="54">
                  <c:v>60.554914807673697</c:v>
                </c:pt>
                <c:pt idx="55">
                  <c:v>51.421104312866113</c:v>
                </c:pt>
                <c:pt idx="56">
                  <c:v>52.890268952377014</c:v>
                </c:pt>
                <c:pt idx="57">
                  <c:v>51.42834229049798</c:v>
                </c:pt>
                <c:pt idx="58">
                  <c:v>45.853526057904077</c:v>
                </c:pt>
                <c:pt idx="59">
                  <c:v>50.741753983836688</c:v>
                </c:pt>
                <c:pt idx="60">
                  <c:v>67.356941614151651</c:v>
                </c:pt>
                <c:pt idx="61">
                  <c:v>73.869828960430823</c:v>
                </c:pt>
                <c:pt idx="62">
                  <c:v>73.892529430925649</c:v>
                </c:pt>
                <c:pt idx="63">
                  <c:v>76.26093767113575</c:v>
                </c:pt>
                <c:pt idx="64">
                  <c:v>75.054126514923709</c:v>
                </c:pt>
                <c:pt idx="65">
                  <c:v>82.133249872779302</c:v>
                </c:pt>
                <c:pt idx="66">
                  <c:v>83.801976250086582</c:v>
                </c:pt>
                <c:pt idx="67">
                  <c:v>83.203822019229776</c:v>
                </c:pt>
                <c:pt idx="68">
                  <c:v>85.278770237600895</c:v>
                </c:pt>
                <c:pt idx="69">
                  <c:v>85.147404260325516</c:v>
                </c:pt>
                <c:pt idx="70">
                  <c:v>79.778514226604827</c:v>
                </c:pt>
                <c:pt idx="71">
                  <c:v>80.264037646734224</c:v>
                </c:pt>
                <c:pt idx="72">
                  <c:v>83.928599355009922</c:v>
                </c:pt>
                <c:pt idx="73">
                  <c:v>81.109050210280841</c:v>
                </c:pt>
                <c:pt idx="74">
                  <c:v>88.789858206443014</c:v>
                </c:pt>
                <c:pt idx="75">
                  <c:v>96.339922186208184</c:v>
                </c:pt>
                <c:pt idx="76">
                  <c:v>95.694770983011381</c:v>
                </c:pt>
                <c:pt idx="77">
                  <c:v>99.381291378865072</c:v>
                </c:pt>
                <c:pt idx="78">
                  <c:v>103.14757549524526</c:v>
                </c:pt>
                <c:pt idx="79">
                  <c:v>102.39862265083013</c:v>
                </c:pt>
                <c:pt idx="80">
                  <c:v>100.06384233978697</c:v>
                </c:pt>
                <c:pt idx="81">
                  <c:v>106.22322608184747</c:v>
                </c:pt>
                <c:pt idx="82">
                  <c:v>108.59968882195199</c:v>
                </c:pt>
                <c:pt idx="83">
                  <c:v>109.43477695395468</c:v>
                </c:pt>
                <c:pt idx="84">
                  <c:v>109.70589773995542</c:v>
                </c:pt>
                <c:pt idx="85">
                  <c:v>109.8713735168479</c:v>
                </c:pt>
                <c:pt idx="86">
                  <c:v>109.92673106001575</c:v>
                </c:pt>
                <c:pt idx="87">
                  <c:v>109.98869293382778</c:v>
                </c:pt>
                <c:pt idx="88">
                  <c:v>110.03054243887082</c:v>
                </c:pt>
                <c:pt idx="89">
                  <c:v>110.12134327985579</c:v>
                </c:pt>
                <c:pt idx="90">
                  <c:v>110.17718320442843</c:v>
                </c:pt>
                <c:pt idx="91">
                  <c:v>110.23255912022169</c:v>
                </c:pt>
                <c:pt idx="92">
                  <c:v>110.28769248305164</c:v>
                </c:pt>
                <c:pt idx="93">
                  <c:v>110.34285053498685</c:v>
                </c:pt>
                <c:pt idx="94">
                  <c:v>110.39803584424874</c:v>
                </c:pt>
                <c:pt idx="95">
                  <c:v>110.45324867710191</c:v>
                </c:pt>
                <c:pt idx="96">
                  <c:v>110.50848911043219</c:v>
                </c:pt>
                <c:pt idx="97">
                  <c:v>110.56375717085287</c:v>
                </c:pt>
                <c:pt idx="98">
                  <c:v>110.61905287221163</c:v>
                </c:pt>
                <c:pt idx="99">
                  <c:v>110.67437622833418</c:v>
                </c:pt>
                <c:pt idx="100">
                  <c:v>110.72972725305138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75-4346-8EE3-C467BCD17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70934192"/>
        <c:axId val="-1002525520"/>
      </c:scatterChart>
      <c:scatterChart>
        <c:scatterStyle val="lineMarker"/>
        <c:varyColors val="0"/>
        <c:ser>
          <c:idx val="1"/>
          <c:order val="0"/>
          <c:tx>
            <c:strRef>
              <c:f>'Delta Hedge'!$I$11</c:f>
              <c:strCache>
                <c:ptCount val="1"/>
                <c:pt idx="0">
                  <c:v>Gamma_BS</c:v>
                </c:pt>
              </c:strCache>
            </c:strRef>
          </c:tx>
          <c:marker>
            <c:symbol val="none"/>
          </c:marker>
          <c:xVal>
            <c:numRef>
              <c:f>'Delta Hedge'!$A$12:$A$112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'Delta Hedge'!$I$12:$I$112</c:f>
              <c:numCache>
                <c:formatCode>0.000</c:formatCode>
                <c:ptCount val="101"/>
                <c:pt idx="0">
                  <c:v>1.8762017505869651E-2</c:v>
                </c:pt>
                <c:pt idx="1">
                  <c:v>1.7949429936500068E-2</c:v>
                </c:pt>
                <c:pt idx="2">
                  <c:v>1.915652540159218E-2</c:v>
                </c:pt>
                <c:pt idx="3">
                  <c:v>1.9565057177516932E-2</c:v>
                </c:pt>
                <c:pt idx="4">
                  <c:v>1.9923253084288071E-2</c:v>
                </c:pt>
                <c:pt idx="5">
                  <c:v>1.9872559733472885E-2</c:v>
                </c:pt>
                <c:pt idx="6">
                  <c:v>2.0431281900785674E-2</c:v>
                </c:pt>
                <c:pt idx="7">
                  <c:v>1.9325377706935994E-2</c:v>
                </c:pt>
                <c:pt idx="8">
                  <c:v>1.9418217771677734E-2</c:v>
                </c:pt>
                <c:pt idx="9">
                  <c:v>1.8910779095724885E-2</c:v>
                </c:pt>
                <c:pt idx="10">
                  <c:v>1.7069566799949098E-2</c:v>
                </c:pt>
                <c:pt idx="11">
                  <c:v>1.5166650208919755E-2</c:v>
                </c:pt>
                <c:pt idx="12">
                  <c:v>1.5896959836851944E-2</c:v>
                </c:pt>
                <c:pt idx="13">
                  <c:v>1.3597825825771433E-2</c:v>
                </c:pt>
                <c:pt idx="14">
                  <c:v>1.654483633669129E-2</c:v>
                </c:pt>
                <c:pt idx="15">
                  <c:v>1.5993894472315969E-2</c:v>
                </c:pt>
                <c:pt idx="16">
                  <c:v>1.5164298401949767E-2</c:v>
                </c:pt>
                <c:pt idx="17">
                  <c:v>1.772798264058276E-2</c:v>
                </c:pt>
                <c:pt idx="18">
                  <c:v>1.8310470606373898E-2</c:v>
                </c:pt>
                <c:pt idx="19">
                  <c:v>1.8105359111364867E-2</c:v>
                </c:pt>
                <c:pt idx="20">
                  <c:v>1.6906148886464096E-2</c:v>
                </c:pt>
                <c:pt idx="21">
                  <c:v>1.578233995537745E-2</c:v>
                </c:pt>
                <c:pt idx="22">
                  <c:v>1.3957351468388189E-2</c:v>
                </c:pt>
                <c:pt idx="23">
                  <c:v>1.5671349632028431E-2</c:v>
                </c:pt>
                <c:pt idx="24">
                  <c:v>1.5604065565570964E-2</c:v>
                </c:pt>
                <c:pt idx="25">
                  <c:v>1.7590507009668865E-2</c:v>
                </c:pt>
                <c:pt idx="26">
                  <c:v>1.8876748801337509E-2</c:v>
                </c:pt>
                <c:pt idx="27">
                  <c:v>2.0182542109028114E-2</c:v>
                </c:pt>
                <c:pt idx="28">
                  <c:v>1.9472115269591892E-2</c:v>
                </c:pt>
                <c:pt idx="29">
                  <c:v>1.72409448756091E-2</c:v>
                </c:pt>
                <c:pt idx="30">
                  <c:v>2.0020658975028041E-2</c:v>
                </c:pt>
                <c:pt idx="31">
                  <c:v>2.2254608525242775E-2</c:v>
                </c:pt>
                <c:pt idx="32">
                  <c:v>2.2500694090050836E-2</c:v>
                </c:pt>
                <c:pt idx="33">
                  <c:v>2.4252645429919336E-2</c:v>
                </c:pt>
                <c:pt idx="34">
                  <c:v>2.4805352002961273E-2</c:v>
                </c:pt>
                <c:pt idx="35">
                  <c:v>2.5326167221503184E-2</c:v>
                </c:pt>
                <c:pt idx="36">
                  <c:v>2.6201515061971239E-2</c:v>
                </c:pt>
                <c:pt idx="37">
                  <c:v>2.624009949844738E-2</c:v>
                </c:pt>
                <c:pt idx="38">
                  <c:v>2.6116749952821917E-2</c:v>
                </c:pt>
                <c:pt idx="39">
                  <c:v>2.5004087126843398E-2</c:v>
                </c:pt>
                <c:pt idx="40">
                  <c:v>2.6213887646856004E-2</c:v>
                </c:pt>
                <c:pt idx="41">
                  <c:v>2.5322283223453593E-2</c:v>
                </c:pt>
                <c:pt idx="42">
                  <c:v>2.614037063106725E-2</c:v>
                </c:pt>
                <c:pt idx="43">
                  <c:v>2.719971183919993E-2</c:v>
                </c:pt>
                <c:pt idx="44">
                  <c:v>2.7264948121932142E-2</c:v>
                </c:pt>
                <c:pt idx="45">
                  <c:v>2.7048831887129358E-2</c:v>
                </c:pt>
                <c:pt idx="46">
                  <c:v>2.8156458908292627E-2</c:v>
                </c:pt>
                <c:pt idx="47">
                  <c:v>2.6424004779726354E-2</c:v>
                </c:pt>
                <c:pt idx="48">
                  <c:v>2.7528574175015828E-2</c:v>
                </c:pt>
                <c:pt idx="49">
                  <c:v>2.8239434562295579E-2</c:v>
                </c:pt>
                <c:pt idx="50">
                  <c:v>2.9080362214626301E-2</c:v>
                </c:pt>
                <c:pt idx="51">
                  <c:v>2.7717212445101572E-2</c:v>
                </c:pt>
                <c:pt idx="52">
                  <c:v>2.9312393010779914E-2</c:v>
                </c:pt>
                <c:pt idx="53">
                  <c:v>3.0065559044714266E-2</c:v>
                </c:pt>
                <c:pt idx="54">
                  <c:v>2.9284003449262574E-2</c:v>
                </c:pt>
                <c:pt idx="55">
                  <c:v>3.0907563699273784E-2</c:v>
                </c:pt>
                <c:pt idx="56">
                  <c:v>3.1140276832240701E-2</c:v>
                </c:pt>
                <c:pt idx="57">
                  <c:v>3.1569346558610281E-2</c:v>
                </c:pt>
                <c:pt idx="58">
                  <c:v>3.1817950919768814E-2</c:v>
                </c:pt>
                <c:pt idx="59">
                  <c:v>3.2307309212309988E-2</c:v>
                </c:pt>
                <c:pt idx="60">
                  <c:v>2.9600533798056342E-2</c:v>
                </c:pt>
                <c:pt idx="61">
                  <c:v>2.7382890585195968E-2</c:v>
                </c:pt>
                <c:pt idx="62">
                  <c:v>2.774996335108906E-2</c:v>
                </c:pt>
                <c:pt idx="63">
                  <c:v>2.6986280642217347E-2</c:v>
                </c:pt>
                <c:pt idx="64">
                  <c:v>2.79954919169914E-2</c:v>
                </c:pt>
                <c:pt idx="65">
                  <c:v>2.447244755397469E-2</c:v>
                </c:pt>
                <c:pt idx="66">
                  <c:v>2.3785245239202661E-2</c:v>
                </c:pt>
                <c:pt idx="67">
                  <c:v>2.4587759435952792E-2</c:v>
                </c:pt>
                <c:pt idx="68">
                  <c:v>2.3578766613399204E-2</c:v>
                </c:pt>
                <c:pt idx="69">
                  <c:v>2.4099985419277662E-2</c:v>
                </c:pt>
                <c:pt idx="70">
                  <c:v>2.821419330741053E-2</c:v>
                </c:pt>
                <c:pt idx="71">
                  <c:v>2.842723951145535E-2</c:v>
                </c:pt>
                <c:pt idx="72">
                  <c:v>2.6462521694858829E-2</c:v>
                </c:pt>
                <c:pt idx="73">
                  <c:v>2.9006651929152812E-2</c:v>
                </c:pt>
                <c:pt idx="74">
                  <c:v>2.3731549107456996E-2</c:v>
                </c:pt>
                <c:pt idx="75">
                  <c:v>1.7038063719041718E-2</c:v>
                </c:pt>
                <c:pt idx="76">
                  <c:v>1.8174436938757116E-2</c:v>
                </c:pt>
                <c:pt idx="77">
                  <c:v>1.442568728337312E-2</c:v>
                </c:pt>
                <c:pt idx="78">
                  <c:v>9.9505640735176506E-3</c:v>
                </c:pt>
                <c:pt idx="79">
                  <c:v>1.134686443050744E-2</c:v>
                </c:pt>
                <c:pt idx="80">
                  <c:v>1.4980331672427322E-2</c:v>
                </c:pt>
                <c:pt idx="81">
                  <c:v>6.3889442750208218E-3</c:v>
                </c:pt>
                <c:pt idx="82">
                  <c:v>2.3932403325497846E-3</c:v>
                </c:pt>
                <c:pt idx="83">
                  <c:v>8.3848515200963625E-4</c:v>
                </c:pt>
                <c:pt idx="84">
                  <c:v>3.5854319616234045E-4</c:v>
                </c:pt>
                <c:pt idx="85">
                  <c:v>8.6428503507727733E-5</c:v>
                </c:pt>
                <c:pt idx="86">
                  <c:v>8.9047596343476624E-5</c:v>
                </c:pt>
                <c:pt idx="87">
                  <c:v>7.1907442499092721E-5</c:v>
                </c:pt>
                <c:pt idx="88">
                  <c:v>1.1822351045644968E-4</c:v>
                </c:pt>
                <c:pt idx="89">
                  <c:v>4.0159287466570933E-6</c:v>
                </c:pt>
                <c:pt idx="90">
                  <c:v>1.1516212687155616E-6</c:v>
                </c:pt>
                <c:pt idx="91">
                  <c:v>1.8784191853774889E-8</c:v>
                </c:pt>
                <c:pt idx="92">
                  <c:v>2.8807499934506172E-9</c:v>
                </c:pt>
                <c:pt idx="93">
                  <c:v>6.3650023422770276E-10</c:v>
                </c:pt>
                <c:pt idx="94">
                  <c:v>9.1392927731876465E-11</c:v>
                </c:pt>
                <c:pt idx="95">
                  <c:v>3.1625631093390592E-13</c:v>
                </c:pt>
                <c:pt idx="96">
                  <c:v>1.8933671258690282E-14</c:v>
                </c:pt>
                <c:pt idx="97">
                  <c:v>2.9281991194848796E-17</c:v>
                </c:pt>
                <c:pt idx="98">
                  <c:v>1.2889931558212374E-23</c:v>
                </c:pt>
                <c:pt idx="99">
                  <c:v>5.1051593624516037E-46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75-4346-8EE3-C467BCD17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2705616"/>
        <c:axId val="-1002703296"/>
      </c:scatterChart>
      <c:valAx>
        <c:axId val="-970934192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1002525520"/>
        <c:crosses val="autoZero"/>
        <c:crossBetween val="midCat"/>
      </c:valAx>
      <c:valAx>
        <c:axId val="-1002525520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970934192"/>
        <c:crosses val="autoZero"/>
        <c:crossBetween val="midCat"/>
      </c:valAx>
      <c:valAx>
        <c:axId val="-10027056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002703296"/>
        <c:crosses val="autoZero"/>
        <c:crossBetween val="midCat"/>
      </c:valAx>
      <c:valAx>
        <c:axId val="-1002703296"/>
        <c:scaling>
          <c:orientation val="minMax"/>
        </c:scaling>
        <c:delete val="0"/>
        <c:axPos val="r"/>
        <c:numFmt formatCode="0.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1002705616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916247708901101"/>
          <c:y val="0.90879203986744195"/>
          <c:w val="0.57392729244238705"/>
          <c:h val="8.1853846271706499E-2"/>
        </c:manualLayout>
      </c:layout>
      <c:overlay val="1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570113001787694E-2"/>
          <c:y val="4.8652303480053699E-2"/>
          <c:w val="0.84619946280314096"/>
          <c:h val="0.773657771062714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'P&amp;L Study'!$B$10</c:f>
              <c:strCache>
                <c:ptCount val="1"/>
                <c:pt idx="0">
                  <c:v>Asset Path (sigma_a)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Study'!$B$11:$B$211</c:f>
              <c:numCache>
                <c:formatCode>0.00</c:formatCode>
                <c:ptCount val="201"/>
                <c:pt idx="0">
                  <c:v>100</c:v>
                </c:pt>
                <c:pt idx="1">
                  <c:v>97.691523606212741</c:v>
                </c:pt>
                <c:pt idx="2">
                  <c:v>96.158360943045039</c:v>
                </c:pt>
                <c:pt idx="3">
                  <c:v>90.537497393596496</c:v>
                </c:pt>
                <c:pt idx="4">
                  <c:v>89.473609243213488</c:v>
                </c:pt>
                <c:pt idx="5">
                  <c:v>92.342526391363762</c:v>
                </c:pt>
                <c:pt idx="6">
                  <c:v>93.485310334973647</c:v>
                </c:pt>
                <c:pt idx="7">
                  <c:v>95.790528954097155</c:v>
                </c:pt>
                <c:pt idx="8">
                  <c:v>94.545935672996848</c:v>
                </c:pt>
                <c:pt idx="9">
                  <c:v>93.830973725298676</c:v>
                </c:pt>
                <c:pt idx="10">
                  <c:v>93.616369296064235</c:v>
                </c:pt>
                <c:pt idx="11">
                  <c:v>90.563452256518616</c:v>
                </c:pt>
                <c:pt idx="12">
                  <c:v>89.120257481223376</c:v>
                </c:pt>
                <c:pt idx="13">
                  <c:v>86.59428511720958</c:v>
                </c:pt>
                <c:pt idx="14">
                  <c:v>87.294693701548198</c:v>
                </c:pt>
                <c:pt idx="15">
                  <c:v>85.756446468565784</c:v>
                </c:pt>
                <c:pt idx="16">
                  <c:v>79.688026664735347</c:v>
                </c:pt>
                <c:pt idx="17">
                  <c:v>78.234608669018982</c:v>
                </c:pt>
                <c:pt idx="18">
                  <c:v>78.252251391576493</c:v>
                </c:pt>
                <c:pt idx="19">
                  <c:v>81.204591120107693</c:v>
                </c:pt>
                <c:pt idx="20">
                  <c:v>81.707125312710147</c:v>
                </c:pt>
                <c:pt idx="21">
                  <c:v>79.591206093581164</c:v>
                </c:pt>
                <c:pt idx="22">
                  <c:v>82.996314094245847</c:v>
                </c:pt>
                <c:pt idx="23">
                  <c:v>80.796188056959039</c:v>
                </c:pt>
                <c:pt idx="24">
                  <c:v>78.690316318768851</c:v>
                </c:pt>
                <c:pt idx="25">
                  <c:v>77.061024245432762</c:v>
                </c:pt>
                <c:pt idx="26">
                  <c:v>77.782083007088957</c:v>
                </c:pt>
                <c:pt idx="27">
                  <c:v>77.51998806020039</c:v>
                </c:pt>
                <c:pt idx="28">
                  <c:v>78.196155293134623</c:v>
                </c:pt>
                <c:pt idx="29">
                  <c:v>78.397271576428565</c:v>
                </c:pt>
                <c:pt idx="30">
                  <c:v>76.594363816678438</c:v>
                </c:pt>
                <c:pt idx="31">
                  <c:v>74.376634509256661</c:v>
                </c:pt>
                <c:pt idx="32">
                  <c:v>75.162573583924228</c:v>
                </c:pt>
                <c:pt idx="33">
                  <c:v>75.114865424207196</c:v>
                </c:pt>
                <c:pt idx="34">
                  <c:v>75.480229370154703</c:v>
                </c:pt>
                <c:pt idx="35">
                  <c:v>78.175710188759851</c:v>
                </c:pt>
                <c:pt idx="36">
                  <c:v>80.473761958946554</c:v>
                </c:pt>
                <c:pt idx="37">
                  <c:v>79.27264680639334</c:v>
                </c:pt>
                <c:pt idx="38">
                  <c:v>81.962925443911189</c:v>
                </c:pt>
                <c:pt idx="39">
                  <c:v>81.220924036125098</c:v>
                </c:pt>
                <c:pt idx="40">
                  <c:v>80.39831710214456</c:v>
                </c:pt>
                <c:pt idx="41">
                  <c:v>81.080809329670927</c:v>
                </c:pt>
                <c:pt idx="42">
                  <c:v>82.761197779056261</c:v>
                </c:pt>
                <c:pt idx="43">
                  <c:v>84.384759477765527</c:v>
                </c:pt>
                <c:pt idx="44">
                  <c:v>87.658361986179699</c:v>
                </c:pt>
                <c:pt idx="45">
                  <c:v>89.32180926627835</c:v>
                </c:pt>
                <c:pt idx="46">
                  <c:v>88.832479763537819</c:v>
                </c:pt>
                <c:pt idx="47">
                  <c:v>86.660439269818269</c:v>
                </c:pt>
                <c:pt idx="48">
                  <c:v>89.320168342064633</c:v>
                </c:pt>
                <c:pt idx="49">
                  <c:v>90.900760194386109</c:v>
                </c:pt>
                <c:pt idx="50">
                  <c:v>91.342907833827212</c:v>
                </c:pt>
                <c:pt idx="51">
                  <c:v>90.629896936614401</c:v>
                </c:pt>
                <c:pt idx="52">
                  <c:v>90.417231582066833</c:v>
                </c:pt>
                <c:pt idx="53">
                  <c:v>88.620775913134977</c:v>
                </c:pt>
                <c:pt idx="54">
                  <c:v>87.337942572686771</c:v>
                </c:pt>
                <c:pt idx="55">
                  <c:v>89.75133015177127</c:v>
                </c:pt>
                <c:pt idx="56">
                  <c:v>91.669038291594418</c:v>
                </c:pt>
                <c:pt idx="57">
                  <c:v>94.763704997568396</c:v>
                </c:pt>
                <c:pt idx="58">
                  <c:v>93.744970159682708</c:v>
                </c:pt>
                <c:pt idx="59">
                  <c:v>95.584005203668269</c:v>
                </c:pt>
                <c:pt idx="60">
                  <c:v>96.864874175598388</c:v>
                </c:pt>
                <c:pt idx="61">
                  <c:v>96.290233303417523</c:v>
                </c:pt>
                <c:pt idx="62">
                  <c:v>95.576559888641839</c:v>
                </c:pt>
                <c:pt idx="63">
                  <c:v>91.984818394077834</c:v>
                </c:pt>
                <c:pt idx="64">
                  <c:v>94.623647215161185</c:v>
                </c:pt>
                <c:pt idx="65">
                  <c:v>92.072635929009707</c:v>
                </c:pt>
                <c:pt idx="66">
                  <c:v>90.083351587021497</c:v>
                </c:pt>
                <c:pt idx="67">
                  <c:v>90.386816234616219</c:v>
                </c:pt>
                <c:pt idx="68">
                  <c:v>92.862942219653092</c:v>
                </c:pt>
                <c:pt idx="69">
                  <c:v>92.507169861133889</c:v>
                </c:pt>
                <c:pt idx="70">
                  <c:v>92.659812211235717</c:v>
                </c:pt>
                <c:pt idx="71">
                  <c:v>89.402267176382381</c:v>
                </c:pt>
                <c:pt idx="72">
                  <c:v>91.735979950676224</c:v>
                </c:pt>
                <c:pt idx="73">
                  <c:v>94.648545220028225</c:v>
                </c:pt>
                <c:pt idx="74">
                  <c:v>92.980109958221391</c:v>
                </c:pt>
                <c:pt idx="75">
                  <c:v>93.058972401473298</c:v>
                </c:pt>
                <c:pt idx="76">
                  <c:v>94.743350160232552</c:v>
                </c:pt>
                <c:pt idx="77">
                  <c:v>95.242011232040113</c:v>
                </c:pt>
                <c:pt idx="78">
                  <c:v>96.904948201267558</c:v>
                </c:pt>
                <c:pt idx="79">
                  <c:v>98.489947657468733</c:v>
                </c:pt>
                <c:pt idx="80">
                  <c:v>99.490520796033536</c:v>
                </c:pt>
                <c:pt idx="81">
                  <c:v>103.58641624957228</c:v>
                </c:pt>
                <c:pt idx="82">
                  <c:v>104.57298782720635</c:v>
                </c:pt>
                <c:pt idx="83">
                  <c:v>104.23787775908599</c:v>
                </c:pt>
                <c:pt idx="84">
                  <c:v>100.74586020543516</c:v>
                </c:pt>
                <c:pt idx="85">
                  <c:v>101.53116885155299</c:v>
                </c:pt>
                <c:pt idx="86">
                  <c:v>101.69870133844401</c:v>
                </c:pt>
                <c:pt idx="87">
                  <c:v>99.923181797638705</c:v>
                </c:pt>
                <c:pt idx="88">
                  <c:v>98.223511459695388</c:v>
                </c:pt>
                <c:pt idx="89">
                  <c:v>95.150017910876187</c:v>
                </c:pt>
                <c:pt idx="90">
                  <c:v>95.002186128369914</c:v>
                </c:pt>
                <c:pt idx="91">
                  <c:v>96.005452597195941</c:v>
                </c:pt>
                <c:pt idx="92">
                  <c:v>93.454301320534711</c:v>
                </c:pt>
                <c:pt idx="93">
                  <c:v>95.004245978584322</c:v>
                </c:pt>
                <c:pt idx="94">
                  <c:v>94.116778378293148</c:v>
                </c:pt>
                <c:pt idx="95">
                  <c:v>94.991156465335735</c:v>
                </c:pt>
                <c:pt idx="96">
                  <c:v>98.320910388000584</c:v>
                </c:pt>
                <c:pt idx="97">
                  <c:v>99.171966336129657</c:v>
                </c:pt>
                <c:pt idx="98">
                  <c:v>103.10109166790187</c:v>
                </c:pt>
                <c:pt idx="99">
                  <c:v>100.06355986156571</c:v>
                </c:pt>
                <c:pt idx="100">
                  <c:v>98.94200790223293</c:v>
                </c:pt>
                <c:pt idx="101">
                  <c:v>100.8362755070891</c:v>
                </c:pt>
                <c:pt idx="102">
                  <c:v>100.1459036613859</c:v>
                </c:pt>
                <c:pt idx="103">
                  <c:v>97.713418300373419</c:v>
                </c:pt>
                <c:pt idx="104">
                  <c:v>97.622970915453152</c:v>
                </c:pt>
                <c:pt idx="105">
                  <c:v>96.937915951574482</c:v>
                </c:pt>
                <c:pt idx="106">
                  <c:v>95.04399276929351</c:v>
                </c:pt>
                <c:pt idx="107">
                  <c:v>93.085968899613619</c:v>
                </c:pt>
                <c:pt idx="108">
                  <c:v>90.612397014130593</c:v>
                </c:pt>
                <c:pt idx="109">
                  <c:v>88.689882811723109</c:v>
                </c:pt>
                <c:pt idx="110">
                  <c:v>89.024006760953327</c:v>
                </c:pt>
                <c:pt idx="111">
                  <c:v>87.654661926651727</c:v>
                </c:pt>
                <c:pt idx="112">
                  <c:v>86.781263187628838</c:v>
                </c:pt>
                <c:pt idx="113">
                  <c:v>86.958990877683462</c:v>
                </c:pt>
                <c:pt idx="114">
                  <c:v>86.038404978616398</c:v>
                </c:pt>
                <c:pt idx="115">
                  <c:v>82.379792966606274</c:v>
                </c:pt>
                <c:pt idx="116">
                  <c:v>81.298091037617468</c:v>
                </c:pt>
                <c:pt idx="117">
                  <c:v>80.796558601961507</c:v>
                </c:pt>
                <c:pt idx="118">
                  <c:v>76.840815321131714</c:v>
                </c:pt>
                <c:pt idx="119">
                  <c:v>78.110574754844905</c:v>
                </c:pt>
                <c:pt idx="120">
                  <c:v>76.988047791921133</c:v>
                </c:pt>
                <c:pt idx="121">
                  <c:v>74.924890424468984</c:v>
                </c:pt>
                <c:pt idx="122">
                  <c:v>71.525969292614434</c:v>
                </c:pt>
                <c:pt idx="123">
                  <c:v>68.656941634332782</c:v>
                </c:pt>
                <c:pt idx="124">
                  <c:v>67.142458601788874</c:v>
                </c:pt>
                <c:pt idx="125">
                  <c:v>67.677036446339841</c:v>
                </c:pt>
                <c:pt idx="126">
                  <c:v>67.799933878753521</c:v>
                </c:pt>
                <c:pt idx="127">
                  <c:v>67.508903251878721</c:v>
                </c:pt>
                <c:pt idx="128">
                  <c:v>66.706304631047459</c:v>
                </c:pt>
                <c:pt idx="129">
                  <c:v>68.835589690082216</c:v>
                </c:pt>
                <c:pt idx="130">
                  <c:v>67.974461869889822</c:v>
                </c:pt>
                <c:pt idx="131">
                  <c:v>65.513172815726605</c:v>
                </c:pt>
                <c:pt idx="132">
                  <c:v>64.652940920780296</c:v>
                </c:pt>
                <c:pt idx="133">
                  <c:v>68.302484516951452</c:v>
                </c:pt>
                <c:pt idx="134">
                  <c:v>67.363255029261893</c:v>
                </c:pt>
                <c:pt idx="135">
                  <c:v>70.655127235290735</c:v>
                </c:pt>
                <c:pt idx="136">
                  <c:v>69.639742498469246</c:v>
                </c:pt>
                <c:pt idx="137">
                  <c:v>69.016621616808877</c:v>
                </c:pt>
                <c:pt idx="138">
                  <c:v>68.430323111728597</c:v>
                </c:pt>
                <c:pt idx="139">
                  <c:v>65.786849580212134</c:v>
                </c:pt>
                <c:pt idx="140">
                  <c:v>64.33567705370497</c:v>
                </c:pt>
                <c:pt idx="141">
                  <c:v>63.679880200579746</c:v>
                </c:pt>
                <c:pt idx="142">
                  <c:v>62.236037688028716</c:v>
                </c:pt>
                <c:pt idx="143">
                  <c:v>60.758940138914276</c:v>
                </c:pt>
                <c:pt idx="144">
                  <c:v>57.514062975712115</c:v>
                </c:pt>
                <c:pt idx="145">
                  <c:v>54.742039532277587</c:v>
                </c:pt>
                <c:pt idx="146">
                  <c:v>55.77716855343148</c:v>
                </c:pt>
                <c:pt idx="147">
                  <c:v>57.521410886419801</c:v>
                </c:pt>
                <c:pt idx="148">
                  <c:v>56.111252135637059</c:v>
                </c:pt>
                <c:pt idx="149">
                  <c:v>55.679160464271689</c:v>
                </c:pt>
                <c:pt idx="150">
                  <c:v>57.699987791598673</c:v>
                </c:pt>
                <c:pt idx="151">
                  <c:v>55.8209354690052</c:v>
                </c:pt>
                <c:pt idx="152">
                  <c:v>55.381548324530392</c:v>
                </c:pt>
                <c:pt idx="153">
                  <c:v>53.89741081586827</c:v>
                </c:pt>
                <c:pt idx="154">
                  <c:v>54.313952601004182</c:v>
                </c:pt>
                <c:pt idx="155">
                  <c:v>52.722501849567259</c:v>
                </c:pt>
                <c:pt idx="156">
                  <c:v>53.096565255224391</c:v>
                </c:pt>
                <c:pt idx="157">
                  <c:v>53.147236831187264</c:v>
                </c:pt>
                <c:pt idx="158">
                  <c:v>54.471802838210849</c:v>
                </c:pt>
                <c:pt idx="159">
                  <c:v>55.488968677316734</c:v>
                </c:pt>
                <c:pt idx="160">
                  <c:v>53.819967441874233</c:v>
                </c:pt>
                <c:pt idx="161">
                  <c:v>53.45114408547051</c:v>
                </c:pt>
                <c:pt idx="162">
                  <c:v>54.714430912656468</c:v>
                </c:pt>
                <c:pt idx="163">
                  <c:v>57.726878441449017</c:v>
                </c:pt>
                <c:pt idx="164">
                  <c:v>59.054074259074341</c:v>
                </c:pt>
                <c:pt idx="165">
                  <c:v>59.259295491504524</c:v>
                </c:pt>
                <c:pt idx="166">
                  <c:v>60.889148299417251</c:v>
                </c:pt>
                <c:pt idx="167">
                  <c:v>59.962495331154351</c:v>
                </c:pt>
                <c:pt idx="168">
                  <c:v>58.985878649489045</c:v>
                </c:pt>
                <c:pt idx="169">
                  <c:v>59.116469979737445</c:v>
                </c:pt>
                <c:pt idx="170">
                  <c:v>61.468801978644223</c:v>
                </c:pt>
                <c:pt idx="171">
                  <c:v>62.28469204316216</c:v>
                </c:pt>
                <c:pt idx="172">
                  <c:v>64.298372286529727</c:v>
                </c:pt>
                <c:pt idx="173">
                  <c:v>65.110864625606439</c:v>
                </c:pt>
                <c:pt idx="174">
                  <c:v>65.963744381094557</c:v>
                </c:pt>
                <c:pt idx="175">
                  <c:v>65.55290823869943</c:v>
                </c:pt>
                <c:pt idx="176">
                  <c:v>65.503075858654341</c:v>
                </c:pt>
                <c:pt idx="177">
                  <c:v>66.247424575125279</c:v>
                </c:pt>
                <c:pt idx="178">
                  <c:v>66.155451892681612</c:v>
                </c:pt>
                <c:pt idx="179">
                  <c:v>66.86515517873076</c:v>
                </c:pt>
                <c:pt idx="180">
                  <c:v>67.954330738244082</c:v>
                </c:pt>
                <c:pt idx="181">
                  <c:v>66.189759856666541</c:v>
                </c:pt>
                <c:pt idx="182">
                  <c:v>66.450121227465246</c:v>
                </c:pt>
                <c:pt idx="183">
                  <c:v>67.86143477224968</c:v>
                </c:pt>
                <c:pt idx="184">
                  <c:v>70.606125822232926</c:v>
                </c:pt>
                <c:pt idx="185">
                  <c:v>72.535575728538888</c:v>
                </c:pt>
                <c:pt idx="186">
                  <c:v>73.096161065431005</c:v>
                </c:pt>
                <c:pt idx="187">
                  <c:v>74.066383839390511</c:v>
                </c:pt>
                <c:pt idx="188">
                  <c:v>74.591880976508989</c:v>
                </c:pt>
                <c:pt idx="189">
                  <c:v>75.534444990115162</c:v>
                </c:pt>
                <c:pt idx="190">
                  <c:v>72.351225326541325</c:v>
                </c:pt>
                <c:pt idx="191">
                  <c:v>76.047255243340899</c:v>
                </c:pt>
                <c:pt idx="192">
                  <c:v>77.742122849958051</c:v>
                </c:pt>
                <c:pt idx="193">
                  <c:v>75.175549566327987</c:v>
                </c:pt>
                <c:pt idx="194">
                  <c:v>74.925238529227499</c:v>
                </c:pt>
                <c:pt idx="195">
                  <c:v>76.581920064315483</c:v>
                </c:pt>
                <c:pt idx="196">
                  <c:v>78.190308091151039</c:v>
                </c:pt>
                <c:pt idx="197">
                  <c:v>73.667973375272979</c:v>
                </c:pt>
                <c:pt idx="198">
                  <c:v>73.330402190028565</c:v>
                </c:pt>
                <c:pt idx="199">
                  <c:v>72.074020155022879</c:v>
                </c:pt>
                <c:pt idx="200">
                  <c:v>73.495245066900409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78-D34A-B6DE-D9EA632CF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8671488"/>
        <c:axId val="-968669168"/>
      </c:scatterChart>
      <c:scatterChart>
        <c:scatterStyle val="lineMarker"/>
        <c:varyColors val="0"/>
        <c:ser>
          <c:idx val="1"/>
          <c:order val="1"/>
          <c:tx>
            <c:strRef>
              <c:f>'P&amp;L Study'!$G$10</c:f>
              <c:strCache>
                <c:ptCount val="1"/>
                <c:pt idx="0">
                  <c:v>P&amp;L cumulative</c:v>
                </c:pt>
              </c:strCache>
            </c:strRef>
          </c:tx>
          <c:spPr>
            <a:ln w="2222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Study'!$G$11:$G$211</c:f>
              <c:numCache>
                <c:formatCode>0.00</c:formatCode>
                <c:ptCount val="201"/>
                <c:pt idx="0">
                  <c:v>0</c:v>
                </c:pt>
                <c:pt idx="1">
                  <c:v>6.2920426470654434E-2</c:v>
                </c:pt>
                <c:pt idx="2">
                  <c:v>0.11833128018733419</c:v>
                </c:pt>
                <c:pt idx="3">
                  <c:v>0.69632903826019543</c:v>
                </c:pt>
                <c:pt idx="4">
                  <c:v>0.79531395767345003</c:v>
                </c:pt>
                <c:pt idx="5">
                  <c:v>0.56174489606663514</c:v>
                </c:pt>
                <c:pt idx="6">
                  <c:v>0.46495666360028309</c:v>
                </c:pt>
                <c:pt idx="7">
                  <c:v>0.33911178388158447</c:v>
                </c:pt>
                <c:pt idx="8">
                  <c:v>0.39936522473643521</c:v>
                </c:pt>
                <c:pt idx="9">
                  <c:v>0.43057670903741041</c:v>
                </c:pt>
                <c:pt idx="10">
                  <c:v>0.42747264429707599</c:v>
                </c:pt>
                <c:pt idx="11">
                  <c:v>0.72620312034283785</c:v>
                </c:pt>
                <c:pt idx="12">
                  <c:v>0.87374451858981672</c:v>
                </c:pt>
                <c:pt idx="13">
                  <c:v>1.2048086298089444</c:v>
                </c:pt>
                <c:pt idx="14">
                  <c:v>1.1044006493637966</c:v>
                </c:pt>
                <c:pt idx="15">
                  <c:v>1.3071324513305598</c:v>
                </c:pt>
                <c:pt idx="16">
                  <c:v>2.470847357129994</c:v>
                </c:pt>
                <c:pt idx="17">
                  <c:v>2.7189146512834981</c:v>
                </c:pt>
                <c:pt idx="18">
                  <c:v>2.7085524418508236</c:v>
                </c:pt>
                <c:pt idx="19">
                  <c:v>2.2727700652797722</c:v>
                </c:pt>
                <c:pt idx="20">
                  <c:v>2.1843186054377028</c:v>
                </c:pt>
                <c:pt idx="21">
                  <c:v>2.5487690669728664</c:v>
                </c:pt>
                <c:pt idx="22">
                  <c:v>2.0732186943036872</c:v>
                </c:pt>
                <c:pt idx="23">
                  <c:v>2.4436259361943335</c:v>
                </c:pt>
                <c:pt idx="24">
                  <c:v>2.8123943710870698</c:v>
                </c:pt>
                <c:pt idx="25">
                  <c:v>3.0964080937137908</c:v>
                </c:pt>
                <c:pt idx="26">
                  <c:v>2.9722556374930953</c:v>
                </c:pt>
                <c:pt idx="27">
                  <c:v>3.009899812840505</c:v>
                </c:pt>
                <c:pt idx="28">
                  <c:v>2.8928013184144881</c:v>
                </c:pt>
                <c:pt idx="29">
                  <c:v>2.8522053663960847</c:v>
                </c:pt>
                <c:pt idx="30">
                  <c:v>3.1693476771696005</c:v>
                </c:pt>
                <c:pt idx="31">
                  <c:v>3.5644218538543626</c:v>
                </c:pt>
                <c:pt idx="32">
                  <c:v>3.4347908766414008</c:v>
                </c:pt>
                <c:pt idx="33">
                  <c:v>3.4379202407967178</c:v>
                </c:pt>
                <c:pt idx="34">
                  <c:v>3.3737115637005637</c:v>
                </c:pt>
                <c:pt idx="35">
                  <c:v>2.9677835569909412</c:v>
                </c:pt>
                <c:pt idx="36">
                  <c:v>2.6157302516017644</c:v>
                </c:pt>
                <c:pt idx="37">
                  <c:v>2.8152987608262414</c:v>
                </c:pt>
                <c:pt idx="38">
                  <c:v>2.4180411276439067</c:v>
                </c:pt>
                <c:pt idx="39">
                  <c:v>2.5311708123940519</c:v>
                </c:pt>
                <c:pt idx="40">
                  <c:v>2.6607117492142223</c:v>
                </c:pt>
                <c:pt idx="41">
                  <c:v>2.5435159121701147</c:v>
                </c:pt>
                <c:pt idx="42">
                  <c:v>2.2849294900424404</c:v>
                </c:pt>
                <c:pt idx="43">
                  <c:v>2.0432632865455922</c:v>
                </c:pt>
                <c:pt idx="44">
                  <c:v>1.6498353262666754</c:v>
                </c:pt>
                <c:pt idx="45">
                  <c:v>1.4506858264667102</c:v>
                </c:pt>
                <c:pt idx="46">
                  <c:v>1.4930105689481934</c:v>
                </c:pt>
                <c:pt idx="47">
                  <c:v>1.7895486061578794</c:v>
                </c:pt>
                <c:pt idx="48">
                  <c:v>1.4887905582419521</c:v>
                </c:pt>
                <c:pt idx="49">
                  <c:v>1.3166566967053797</c:v>
                </c:pt>
                <c:pt idx="50">
                  <c:v>1.2552099994905888</c:v>
                </c:pt>
                <c:pt idx="51">
                  <c:v>1.3127713300074006</c:v>
                </c:pt>
                <c:pt idx="52">
                  <c:v>1.3174436485470338</c:v>
                </c:pt>
                <c:pt idx="53">
                  <c:v>1.5303572720601366</c:v>
                </c:pt>
                <c:pt idx="54">
                  <c:v>1.6905482635289886</c:v>
                </c:pt>
                <c:pt idx="55">
                  <c:v>1.4185507224705702</c:v>
                </c:pt>
                <c:pt idx="56">
                  <c:v>1.2252566654193089</c:v>
                </c:pt>
                <c:pt idx="57">
                  <c:v>1.0232952654481551</c:v>
                </c:pt>
                <c:pt idx="58">
                  <c:v>1.0815991730186312</c:v>
                </c:pt>
                <c:pt idx="59">
                  <c:v>0.96199749483088226</c:v>
                </c:pt>
                <c:pt idx="60">
                  <c:v>0.88693252709926895</c:v>
                </c:pt>
                <c:pt idx="61">
                  <c:v>0.89352865682782578</c:v>
                </c:pt>
                <c:pt idx="62">
                  <c:v>0.91308066569728652</c:v>
                </c:pt>
                <c:pt idx="63">
                  <c:v>1.260060118622178</c:v>
                </c:pt>
                <c:pt idx="64">
                  <c:v>1.0755303988505247</c:v>
                </c:pt>
                <c:pt idx="65">
                  <c:v>1.3098775408695644</c:v>
                </c:pt>
                <c:pt idx="66">
                  <c:v>1.5275524928419273</c:v>
                </c:pt>
                <c:pt idx="67">
                  <c:v>1.4755704820267113</c:v>
                </c:pt>
                <c:pt idx="68">
                  <c:v>1.2563625324228198</c:v>
                </c:pt>
                <c:pt idx="69">
                  <c:v>1.2681952526943547</c:v>
                </c:pt>
                <c:pt idx="70">
                  <c:v>1.2337932520635704</c:v>
                </c:pt>
                <c:pt idx="71">
                  <c:v>1.6399023416650067</c:v>
                </c:pt>
                <c:pt idx="72">
                  <c:v>1.4052844964390516</c:v>
                </c:pt>
                <c:pt idx="73">
                  <c:v>1.2025151372906109</c:v>
                </c:pt>
                <c:pt idx="74">
                  <c:v>1.3322938605553531</c:v>
                </c:pt>
                <c:pt idx="75">
                  <c:v>1.3040196993044972</c:v>
                </c:pt>
                <c:pt idx="76">
                  <c:v>1.1726837568505388</c:v>
                </c:pt>
                <c:pt idx="77">
                  <c:v>1.1186374990111148</c:v>
                </c:pt>
                <c:pt idx="78">
                  <c:v>1.0260136289900004</c:v>
                </c:pt>
                <c:pt idx="79">
                  <c:v>0.9635374250729285</c:v>
                </c:pt>
                <c:pt idx="80">
                  <c:v>0.92461171400665165</c:v>
                </c:pt>
                <c:pt idx="81">
                  <c:v>1.0450385211309268</c:v>
                </c:pt>
                <c:pt idx="82">
                  <c:v>1.0583307126369164</c:v>
                </c:pt>
                <c:pt idx="83">
                  <c:v>1.0222301031670824</c:v>
                </c:pt>
                <c:pt idx="84">
                  <c:v>1.0230671687726058</c:v>
                </c:pt>
                <c:pt idx="85">
                  <c:v>1.0038738020977007</c:v>
                </c:pt>
                <c:pt idx="86">
                  <c:v>0.97951283077404128</c:v>
                </c:pt>
                <c:pt idx="87">
                  <c:v>0.97780996394374142</c:v>
                </c:pt>
                <c:pt idx="88">
                  <c:v>1.008346349546251</c:v>
                </c:pt>
                <c:pt idx="89">
                  <c:v>1.2060117524053737</c:v>
                </c:pt>
                <c:pt idx="90">
                  <c:v>1.1918831435496884</c:v>
                </c:pt>
                <c:pt idx="91">
                  <c:v>1.1123669191883181</c:v>
                </c:pt>
                <c:pt idx="92">
                  <c:v>1.32451651276196</c:v>
                </c:pt>
                <c:pt idx="93">
                  <c:v>1.1994883692718403</c:v>
                </c:pt>
                <c:pt idx="94">
                  <c:v>1.2477343915207797</c:v>
                </c:pt>
                <c:pt idx="95">
                  <c:v>1.1643003303688673</c:v>
                </c:pt>
                <c:pt idx="96">
                  <c:v>1.0634927409955992</c:v>
                </c:pt>
                <c:pt idx="97">
                  <c:v>1.0215080290582463</c:v>
                </c:pt>
                <c:pt idx="98">
                  <c:v>1.1289860957994122</c:v>
                </c:pt>
                <c:pt idx="99">
                  <c:v>1.1439307659366733</c:v>
                </c:pt>
                <c:pt idx="100">
                  <c:v>1.143500248334675</c:v>
                </c:pt>
                <c:pt idx="101">
                  <c:v>1.1244716747234662</c:v>
                </c:pt>
                <c:pt idx="102">
                  <c:v>1.1024914705117936</c:v>
                </c:pt>
                <c:pt idx="103">
                  <c:v>1.1771792616184698</c:v>
                </c:pt>
                <c:pt idx="104">
                  <c:v>1.1531640220765951</c:v>
                </c:pt>
                <c:pt idx="105">
                  <c:v>1.1593089481899383</c:v>
                </c:pt>
                <c:pt idx="106">
                  <c:v>1.2766759465196671</c:v>
                </c:pt>
                <c:pt idx="107">
                  <c:v>1.4492537986387717</c:v>
                </c:pt>
                <c:pt idx="108">
                  <c:v>1.7507917652530196</c:v>
                </c:pt>
                <c:pt idx="109">
                  <c:v>2.0145878945167972</c:v>
                </c:pt>
                <c:pt idx="110">
                  <c:v>1.9512424333671099</c:v>
                </c:pt>
                <c:pt idx="111">
                  <c:v>2.1432292909205337</c:v>
                </c:pt>
                <c:pt idx="112">
                  <c:v>2.2632040536865468</c:v>
                </c:pt>
                <c:pt idx="113">
                  <c:v>2.2214029827836335</c:v>
                </c:pt>
                <c:pt idx="114">
                  <c:v>2.3537288010049906</c:v>
                </c:pt>
                <c:pt idx="115">
                  <c:v>3.0313990946073339</c:v>
                </c:pt>
                <c:pt idx="116">
                  <c:v>3.2005509879562304</c:v>
                </c:pt>
                <c:pt idx="117">
                  <c:v>3.2720562590561357</c:v>
                </c:pt>
                <c:pt idx="118">
                  <c:v>3.9394265433931679</c:v>
                </c:pt>
                <c:pt idx="119">
                  <c:v>3.7822350755998464</c:v>
                </c:pt>
                <c:pt idx="120">
                  <c:v>3.9342188626232932</c:v>
                </c:pt>
                <c:pt idx="121">
                  <c:v>4.2014696884713789</c:v>
                </c:pt>
                <c:pt idx="122">
                  <c:v>4.5828783288266228</c:v>
                </c:pt>
                <c:pt idx="123">
                  <c:v>4.8107075852072043</c:v>
                </c:pt>
                <c:pt idx="124">
                  <c:v>4.8943937399940349</c:v>
                </c:pt>
                <c:pt idx="125">
                  <c:v>4.8718662143182261</c:v>
                </c:pt>
                <c:pt idx="126">
                  <c:v>4.8668747857865799</c:v>
                </c:pt>
                <c:pt idx="127">
                  <c:v>4.8806157091138065</c:v>
                </c:pt>
                <c:pt idx="128">
                  <c:v>4.915119168047724</c:v>
                </c:pt>
                <c:pt idx="129">
                  <c:v>4.8391327503907355</c:v>
                </c:pt>
                <c:pt idx="130">
                  <c:v>4.8812288101517201</c:v>
                </c:pt>
                <c:pt idx="131">
                  <c:v>4.9842744535971883</c:v>
                </c:pt>
                <c:pt idx="132">
                  <c:v>5.0082930734361026</c:v>
                </c:pt>
                <c:pt idx="133">
                  <c:v>4.9275293547069072</c:v>
                </c:pt>
                <c:pt idx="134">
                  <c:v>4.9654534613407177</c:v>
                </c:pt>
                <c:pt idx="135">
                  <c:v>4.8587831466571298</c:v>
                </c:pt>
                <c:pt idx="136">
                  <c:v>4.9127125841082551</c:v>
                </c:pt>
                <c:pt idx="137">
                  <c:v>4.9407908575892776</c:v>
                </c:pt>
                <c:pt idx="138">
                  <c:v>4.9641887089239347</c:v>
                </c:pt>
                <c:pt idx="139">
                  <c:v>5.0555596871690609</c:v>
                </c:pt>
                <c:pt idx="140">
                  <c:v>5.0862083870111352</c:v>
                </c:pt>
                <c:pt idx="141">
                  <c:v>5.0965318925056655</c:v>
                </c:pt>
                <c:pt idx="142">
                  <c:v>5.1148368881153017</c:v>
                </c:pt>
                <c:pt idx="143">
                  <c:v>5.1277984707217863</c:v>
                </c:pt>
                <c:pt idx="144">
                  <c:v>5.1461886804066443</c:v>
                </c:pt>
                <c:pt idx="145">
                  <c:v>5.1525163797243678</c:v>
                </c:pt>
                <c:pt idx="146">
                  <c:v>5.1522224403651693</c:v>
                </c:pt>
                <c:pt idx="147">
                  <c:v>5.1509945094743594</c:v>
                </c:pt>
                <c:pt idx="148">
                  <c:v>5.1537605929815431</c:v>
                </c:pt>
                <c:pt idx="149">
                  <c:v>5.1546725972730387</c:v>
                </c:pt>
                <c:pt idx="150">
                  <c:v>5.153783339552211</c:v>
                </c:pt>
                <c:pt idx="151">
                  <c:v>5.1566320177392084</c:v>
                </c:pt>
                <c:pt idx="152">
                  <c:v>5.1574040680492201</c:v>
                </c:pt>
                <c:pt idx="153">
                  <c:v>5.1585607398923052</c:v>
                </c:pt>
                <c:pt idx="154">
                  <c:v>5.1589912955174615</c:v>
                </c:pt>
                <c:pt idx="155">
                  <c:v>5.1598452939352741</c:v>
                </c:pt>
                <c:pt idx="156">
                  <c:v>5.1603281126298288</c:v>
                </c:pt>
                <c:pt idx="157">
                  <c:v>5.1608401167331017</c:v>
                </c:pt>
                <c:pt idx="158">
                  <c:v>5.1612557388434217</c:v>
                </c:pt>
                <c:pt idx="159">
                  <c:v>5.1616544180139305</c:v>
                </c:pt>
                <c:pt idx="160">
                  <c:v>5.1624254507567668</c:v>
                </c:pt>
                <c:pt idx="161">
                  <c:v>5.1629634525785315</c:v>
                </c:pt>
                <c:pt idx="162">
                  <c:v>5.163430682259694</c:v>
                </c:pt>
                <c:pt idx="163">
                  <c:v>5.1637705515799182</c:v>
                </c:pt>
                <c:pt idx="164">
                  <c:v>5.1640323523797473</c:v>
                </c:pt>
                <c:pt idx="165">
                  <c:v>5.1644926154822519</c:v>
                </c:pt>
                <c:pt idx="166">
                  <c:v>5.1645966964875445</c:v>
                </c:pt>
                <c:pt idx="167">
                  <c:v>5.1655009234690672</c:v>
                </c:pt>
                <c:pt idx="168">
                  <c:v>5.1662434438611413</c:v>
                </c:pt>
                <c:pt idx="169">
                  <c:v>5.166745414670296</c:v>
                </c:pt>
                <c:pt idx="170">
                  <c:v>5.1670314468403298</c:v>
                </c:pt>
                <c:pt idx="171">
                  <c:v>5.1673598352873071</c:v>
                </c:pt>
                <c:pt idx="172">
                  <c:v>5.1673423912242944</c:v>
                </c:pt>
                <c:pt idx="173">
                  <c:v>5.1674487940407694</c:v>
                </c:pt>
                <c:pt idx="174">
                  <c:v>5.1674793484225239</c:v>
                </c:pt>
                <c:pt idx="175">
                  <c:v>5.1682700038813678</c:v>
                </c:pt>
                <c:pt idx="176">
                  <c:v>5.1688112806980673</c:v>
                </c:pt>
                <c:pt idx="177">
                  <c:v>5.1690876502354648</c:v>
                </c:pt>
                <c:pt idx="178">
                  <c:v>5.1696389737750703</c:v>
                </c:pt>
                <c:pt idx="179">
                  <c:v>5.1699811332431675</c:v>
                </c:pt>
                <c:pt idx="180">
                  <c:v>5.1702202528468213</c:v>
                </c:pt>
                <c:pt idx="181">
                  <c:v>5.1712978512392676</c:v>
                </c:pt>
                <c:pt idx="182">
                  <c:v>5.1717928828101183</c:v>
                </c:pt>
                <c:pt idx="183">
                  <c:v>5.1722174293872669</c:v>
                </c:pt>
                <c:pt idx="184">
                  <c:v>5.1724743085515987</c:v>
                </c:pt>
                <c:pt idx="185">
                  <c:v>5.1724530759439533</c:v>
                </c:pt>
                <c:pt idx="186">
                  <c:v>5.1726894903530312</c:v>
                </c:pt>
                <c:pt idx="187">
                  <c:v>5.1727778493823138</c:v>
                </c:pt>
                <c:pt idx="188">
                  <c:v>5.1730492146811606</c:v>
                </c:pt>
                <c:pt idx="189">
                  <c:v>5.173205191922281</c:v>
                </c:pt>
                <c:pt idx="190">
                  <c:v>5.1749489665840667</c:v>
                </c:pt>
                <c:pt idx="191">
                  <c:v>5.1753845809998191</c:v>
                </c:pt>
                <c:pt idx="192">
                  <c:v>5.1756709090444968</c:v>
                </c:pt>
                <c:pt idx="193">
                  <c:v>5.1766838487831777</c:v>
                </c:pt>
                <c:pt idx="194">
                  <c:v>5.1772036079828787</c:v>
                </c:pt>
                <c:pt idx="195">
                  <c:v>5.1777194239995579</c:v>
                </c:pt>
                <c:pt idx="196">
                  <c:v>5.1782358486941273</c:v>
                </c:pt>
                <c:pt idx="197">
                  <c:v>5.1787554921419758</c:v>
                </c:pt>
                <c:pt idx="198">
                  <c:v>5.1792733935860467</c:v>
                </c:pt>
                <c:pt idx="199">
                  <c:v>5.1797913468226353</c:v>
                </c:pt>
                <c:pt idx="200">
                  <c:v>5.1803093518571375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78-D34A-B6DE-D9EA632CF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8666336"/>
        <c:axId val="-968664016"/>
      </c:scatterChart>
      <c:valAx>
        <c:axId val="-968671488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968669168"/>
        <c:crosses val="autoZero"/>
        <c:crossBetween val="midCat"/>
      </c:valAx>
      <c:valAx>
        <c:axId val="-96866916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968671488"/>
        <c:crosses val="autoZero"/>
        <c:crossBetween val="midCat"/>
      </c:valAx>
      <c:valAx>
        <c:axId val="-9686663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68664016"/>
        <c:crosses val="autoZero"/>
        <c:crossBetween val="midCat"/>
      </c:valAx>
      <c:valAx>
        <c:axId val="-968664016"/>
        <c:scaling>
          <c:orientation val="minMax"/>
        </c:scaling>
        <c:delete val="0"/>
        <c:axPos val="r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968666336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916247708901101"/>
          <c:y val="0.90879203986744195"/>
          <c:w val="0.57392729244238705"/>
          <c:h val="8.1853846271706499E-2"/>
        </c:manualLayout>
      </c:layout>
      <c:overlay val="1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570113001787694E-2"/>
          <c:y val="4.8652303480053699E-2"/>
          <c:w val="0.84619946280314096"/>
          <c:h val="0.773657771062714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'P&amp;L Study'!$B$10</c:f>
              <c:strCache>
                <c:ptCount val="1"/>
                <c:pt idx="0">
                  <c:v>Asset Path (sigma_a)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Study'!$B$11:$B$211</c:f>
              <c:numCache>
                <c:formatCode>0.00</c:formatCode>
                <c:ptCount val="201"/>
                <c:pt idx="0">
                  <c:v>100</c:v>
                </c:pt>
                <c:pt idx="1">
                  <c:v>97.691523606212741</c:v>
                </c:pt>
                <c:pt idx="2">
                  <c:v>96.158360943045039</c:v>
                </c:pt>
                <c:pt idx="3">
                  <c:v>90.537497393596496</c:v>
                </c:pt>
                <c:pt idx="4">
                  <c:v>89.473609243213488</c:v>
                </c:pt>
                <c:pt idx="5">
                  <c:v>92.342526391363762</c:v>
                </c:pt>
                <c:pt idx="6">
                  <c:v>93.485310334973647</c:v>
                </c:pt>
                <c:pt idx="7">
                  <c:v>95.790528954097155</c:v>
                </c:pt>
                <c:pt idx="8">
                  <c:v>94.545935672996848</c:v>
                </c:pt>
                <c:pt idx="9">
                  <c:v>93.830973725298676</c:v>
                </c:pt>
                <c:pt idx="10">
                  <c:v>93.616369296064235</c:v>
                </c:pt>
                <c:pt idx="11">
                  <c:v>90.563452256518616</c:v>
                </c:pt>
                <c:pt idx="12">
                  <c:v>89.120257481223376</c:v>
                </c:pt>
                <c:pt idx="13">
                  <c:v>86.59428511720958</c:v>
                </c:pt>
                <c:pt idx="14">
                  <c:v>87.294693701548198</c:v>
                </c:pt>
                <c:pt idx="15">
                  <c:v>85.756446468565784</c:v>
                </c:pt>
                <c:pt idx="16">
                  <c:v>79.688026664735347</c:v>
                </c:pt>
                <c:pt idx="17">
                  <c:v>78.234608669018982</c:v>
                </c:pt>
                <c:pt idx="18">
                  <c:v>78.252251391576493</c:v>
                </c:pt>
                <c:pt idx="19">
                  <c:v>81.204591120107693</c:v>
                </c:pt>
                <c:pt idx="20">
                  <c:v>81.707125312710147</c:v>
                </c:pt>
                <c:pt idx="21">
                  <c:v>79.591206093581164</c:v>
                </c:pt>
                <c:pt idx="22">
                  <c:v>82.996314094245847</c:v>
                </c:pt>
                <c:pt idx="23">
                  <c:v>80.796188056959039</c:v>
                </c:pt>
                <c:pt idx="24">
                  <c:v>78.690316318768851</c:v>
                </c:pt>
                <c:pt idx="25">
                  <c:v>77.061024245432762</c:v>
                </c:pt>
                <c:pt idx="26">
                  <c:v>77.782083007088957</c:v>
                </c:pt>
                <c:pt idx="27">
                  <c:v>77.51998806020039</c:v>
                </c:pt>
                <c:pt idx="28">
                  <c:v>78.196155293134623</c:v>
                </c:pt>
                <c:pt idx="29">
                  <c:v>78.397271576428565</c:v>
                </c:pt>
                <c:pt idx="30">
                  <c:v>76.594363816678438</c:v>
                </c:pt>
                <c:pt idx="31">
                  <c:v>74.376634509256661</c:v>
                </c:pt>
                <c:pt idx="32">
                  <c:v>75.162573583924228</c:v>
                </c:pt>
                <c:pt idx="33">
                  <c:v>75.114865424207196</c:v>
                </c:pt>
                <c:pt idx="34">
                  <c:v>75.480229370154703</c:v>
                </c:pt>
                <c:pt idx="35">
                  <c:v>78.175710188759851</c:v>
                </c:pt>
                <c:pt idx="36">
                  <c:v>80.473761958946554</c:v>
                </c:pt>
                <c:pt idx="37">
                  <c:v>79.27264680639334</c:v>
                </c:pt>
                <c:pt idx="38">
                  <c:v>81.962925443911189</c:v>
                </c:pt>
                <c:pt idx="39">
                  <c:v>81.220924036125098</c:v>
                </c:pt>
                <c:pt idx="40">
                  <c:v>80.39831710214456</c:v>
                </c:pt>
                <c:pt idx="41">
                  <c:v>81.080809329670927</c:v>
                </c:pt>
                <c:pt idx="42">
                  <c:v>82.761197779056261</c:v>
                </c:pt>
                <c:pt idx="43">
                  <c:v>84.384759477765527</c:v>
                </c:pt>
                <c:pt idx="44">
                  <c:v>87.658361986179699</c:v>
                </c:pt>
                <c:pt idx="45">
                  <c:v>89.32180926627835</c:v>
                </c:pt>
                <c:pt idx="46">
                  <c:v>88.832479763537819</c:v>
                </c:pt>
                <c:pt idx="47">
                  <c:v>86.660439269818269</c:v>
                </c:pt>
                <c:pt idx="48">
                  <c:v>89.320168342064633</c:v>
                </c:pt>
                <c:pt idx="49">
                  <c:v>90.900760194386109</c:v>
                </c:pt>
                <c:pt idx="50">
                  <c:v>91.342907833827212</c:v>
                </c:pt>
                <c:pt idx="51">
                  <c:v>90.629896936614401</c:v>
                </c:pt>
                <c:pt idx="52">
                  <c:v>90.417231582066833</c:v>
                </c:pt>
                <c:pt idx="53">
                  <c:v>88.620775913134977</c:v>
                </c:pt>
                <c:pt idx="54">
                  <c:v>87.337942572686771</c:v>
                </c:pt>
                <c:pt idx="55">
                  <c:v>89.75133015177127</c:v>
                </c:pt>
                <c:pt idx="56">
                  <c:v>91.669038291594418</c:v>
                </c:pt>
                <c:pt idx="57">
                  <c:v>94.763704997568396</c:v>
                </c:pt>
                <c:pt idx="58">
                  <c:v>93.744970159682708</c:v>
                </c:pt>
                <c:pt idx="59">
                  <c:v>95.584005203668269</c:v>
                </c:pt>
                <c:pt idx="60">
                  <c:v>96.864874175598388</c:v>
                </c:pt>
                <c:pt idx="61">
                  <c:v>96.290233303417523</c:v>
                </c:pt>
                <c:pt idx="62">
                  <c:v>95.576559888641839</c:v>
                </c:pt>
                <c:pt idx="63">
                  <c:v>91.984818394077834</c:v>
                </c:pt>
                <c:pt idx="64">
                  <c:v>94.623647215161185</c:v>
                </c:pt>
                <c:pt idx="65">
                  <c:v>92.072635929009707</c:v>
                </c:pt>
                <c:pt idx="66">
                  <c:v>90.083351587021497</c:v>
                </c:pt>
                <c:pt idx="67">
                  <c:v>90.386816234616219</c:v>
                </c:pt>
                <c:pt idx="68">
                  <c:v>92.862942219653092</c:v>
                </c:pt>
                <c:pt idx="69">
                  <c:v>92.507169861133889</c:v>
                </c:pt>
                <c:pt idx="70">
                  <c:v>92.659812211235717</c:v>
                </c:pt>
                <c:pt idx="71">
                  <c:v>89.402267176382381</c:v>
                </c:pt>
                <c:pt idx="72">
                  <c:v>91.735979950676224</c:v>
                </c:pt>
                <c:pt idx="73">
                  <c:v>94.648545220028225</c:v>
                </c:pt>
                <c:pt idx="74">
                  <c:v>92.980109958221391</c:v>
                </c:pt>
                <c:pt idx="75">
                  <c:v>93.058972401473298</c:v>
                </c:pt>
                <c:pt idx="76">
                  <c:v>94.743350160232552</c:v>
                </c:pt>
                <c:pt idx="77">
                  <c:v>95.242011232040113</c:v>
                </c:pt>
                <c:pt idx="78">
                  <c:v>96.904948201267558</c:v>
                </c:pt>
                <c:pt idx="79">
                  <c:v>98.489947657468733</c:v>
                </c:pt>
                <c:pt idx="80">
                  <c:v>99.490520796033536</c:v>
                </c:pt>
                <c:pt idx="81">
                  <c:v>103.58641624957228</c:v>
                </c:pt>
                <c:pt idx="82">
                  <c:v>104.57298782720635</c:v>
                </c:pt>
                <c:pt idx="83">
                  <c:v>104.23787775908599</c:v>
                </c:pt>
                <c:pt idx="84">
                  <c:v>100.74586020543516</c:v>
                </c:pt>
                <c:pt idx="85">
                  <c:v>101.53116885155299</c:v>
                </c:pt>
                <c:pt idx="86">
                  <c:v>101.69870133844401</c:v>
                </c:pt>
                <c:pt idx="87">
                  <c:v>99.923181797638705</c:v>
                </c:pt>
                <c:pt idx="88">
                  <c:v>98.223511459695388</c:v>
                </c:pt>
                <c:pt idx="89">
                  <c:v>95.150017910876187</c:v>
                </c:pt>
                <c:pt idx="90">
                  <c:v>95.002186128369914</c:v>
                </c:pt>
                <c:pt idx="91">
                  <c:v>96.005452597195941</c:v>
                </c:pt>
                <c:pt idx="92">
                  <c:v>93.454301320534711</c:v>
                </c:pt>
                <c:pt idx="93">
                  <c:v>95.004245978584322</c:v>
                </c:pt>
                <c:pt idx="94">
                  <c:v>94.116778378293148</c:v>
                </c:pt>
                <c:pt idx="95">
                  <c:v>94.991156465335735</c:v>
                </c:pt>
                <c:pt idx="96">
                  <c:v>98.320910388000584</c:v>
                </c:pt>
                <c:pt idx="97">
                  <c:v>99.171966336129657</c:v>
                </c:pt>
                <c:pt idx="98">
                  <c:v>103.10109166790187</c:v>
                </c:pt>
                <c:pt idx="99">
                  <c:v>100.06355986156571</c:v>
                </c:pt>
                <c:pt idx="100">
                  <c:v>98.94200790223293</c:v>
                </c:pt>
                <c:pt idx="101">
                  <c:v>100.8362755070891</c:v>
                </c:pt>
                <c:pt idx="102">
                  <c:v>100.1459036613859</c:v>
                </c:pt>
                <c:pt idx="103">
                  <c:v>97.713418300373419</c:v>
                </c:pt>
                <c:pt idx="104">
                  <c:v>97.622970915453152</c:v>
                </c:pt>
                <c:pt idx="105">
                  <c:v>96.937915951574482</c:v>
                </c:pt>
                <c:pt idx="106">
                  <c:v>95.04399276929351</c:v>
                </c:pt>
                <c:pt idx="107">
                  <c:v>93.085968899613619</c:v>
                </c:pt>
                <c:pt idx="108">
                  <c:v>90.612397014130593</c:v>
                </c:pt>
                <c:pt idx="109">
                  <c:v>88.689882811723109</c:v>
                </c:pt>
                <c:pt idx="110">
                  <c:v>89.024006760953327</c:v>
                </c:pt>
                <c:pt idx="111">
                  <c:v>87.654661926651727</c:v>
                </c:pt>
                <c:pt idx="112">
                  <c:v>86.781263187628838</c:v>
                </c:pt>
                <c:pt idx="113">
                  <c:v>86.958990877683462</c:v>
                </c:pt>
                <c:pt idx="114">
                  <c:v>86.038404978616398</c:v>
                </c:pt>
                <c:pt idx="115">
                  <c:v>82.379792966606274</c:v>
                </c:pt>
                <c:pt idx="116">
                  <c:v>81.298091037617468</c:v>
                </c:pt>
                <c:pt idx="117">
                  <c:v>80.796558601961507</c:v>
                </c:pt>
                <c:pt idx="118">
                  <c:v>76.840815321131714</c:v>
                </c:pt>
                <c:pt idx="119">
                  <c:v>78.110574754844905</c:v>
                </c:pt>
                <c:pt idx="120">
                  <c:v>76.988047791921133</c:v>
                </c:pt>
                <c:pt idx="121">
                  <c:v>74.924890424468984</c:v>
                </c:pt>
                <c:pt idx="122">
                  <c:v>71.525969292614434</c:v>
                </c:pt>
                <c:pt idx="123">
                  <c:v>68.656941634332782</c:v>
                </c:pt>
                <c:pt idx="124">
                  <c:v>67.142458601788874</c:v>
                </c:pt>
                <c:pt idx="125">
                  <c:v>67.677036446339841</c:v>
                </c:pt>
                <c:pt idx="126">
                  <c:v>67.799933878753521</c:v>
                </c:pt>
                <c:pt idx="127">
                  <c:v>67.508903251878721</c:v>
                </c:pt>
                <c:pt idx="128">
                  <c:v>66.706304631047459</c:v>
                </c:pt>
                <c:pt idx="129">
                  <c:v>68.835589690082216</c:v>
                </c:pt>
                <c:pt idx="130">
                  <c:v>67.974461869889822</c:v>
                </c:pt>
                <c:pt idx="131">
                  <c:v>65.513172815726605</c:v>
                </c:pt>
                <c:pt idx="132">
                  <c:v>64.652940920780296</c:v>
                </c:pt>
                <c:pt idx="133">
                  <c:v>68.302484516951452</c:v>
                </c:pt>
                <c:pt idx="134">
                  <c:v>67.363255029261893</c:v>
                </c:pt>
                <c:pt idx="135">
                  <c:v>70.655127235290735</c:v>
                </c:pt>
                <c:pt idx="136">
                  <c:v>69.639742498469246</c:v>
                </c:pt>
                <c:pt idx="137">
                  <c:v>69.016621616808877</c:v>
                </c:pt>
                <c:pt idx="138">
                  <c:v>68.430323111728597</c:v>
                </c:pt>
                <c:pt idx="139">
                  <c:v>65.786849580212134</c:v>
                </c:pt>
                <c:pt idx="140">
                  <c:v>64.33567705370497</c:v>
                </c:pt>
                <c:pt idx="141">
                  <c:v>63.679880200579746</c:v>
                </c:pt>
                <c:pt idx="142">
                  <c:v>62.236037688028716</c:v>
                </c:pt>
                <c:pt idx="143">
                  <c:v>60.758940138914276</c:v>
                </c:pt>
                <c:pt idx="144">
                  <c:v>57.514062975712115</c:v>
                </c:pt>
                <c:pt idx="145">
                  <c:v>54.742039532277587</c:v>
                </c:pt>
                <c:pt idx="146">
                  <c:v>55.77716855343148</c:v>
                </c:pt>
                <c:pt idx="147">
                  <c:v>57.521410886419801</c:v>
                </c:pt>
                <c:pt idx="148">
                  <c:v>56.111252135637059</c:v>
                </c:pt>
                <c:pt idx="149">
                  <c:v>55.679160464271689</c:v>
                </c:pt>
                <c:pt idx="150">
                  <c:v>57.699987791598673</c:v>
                </c:pt>
                <c:pt idx="151">
                  <c:v>55.8209354690052</c:v>
                </c:pt>
                <c:pt idx="152">
                  <c:v>55.381548324530392</c:v>
                </c:pt>
                <c:pt idx="153">
                  <c:v>53.89741081586827</c:v>
                </c:pt>
                <c:pt idx="154">
                  <c:v>54.313952601004182</c:v>
                </c:pt>
                <c:pt idx="155">
                  <c:v>52.722501849567259</c:v>
                </c:pt>
                <c:pt idx="156">
                  <c:v>53.096565255224391</c:v>
                </c:pt>
                <c:pt idx="157">
                  <c:v>53.147236831187264</c:v>
                </c:pt>
                <c:pt idx="158">
                  <c:v>54.471802838210849</c:v>
                </c:pt>
                <c:pt idx="159">
                  <c:v>55.488968677316734</c:v>
                </c:pt>
                <c:pt idx="160">
                  <c:v>53.819967441874233</c:v>
                </c:pt>
                <c:pt idx="161">
                  <c:v>53.45114408547051</c:v>
                </c:pt>
                <c:pt idx="162">
                  <c:v>54.714430912656468</c:v>
                </c:pt>
                <c:pt idx="163">
                  <c:v>57.726878441449017</c:v>
                </c:pt>
                <c:pt idx="164">
                  <c:v>59.054074259074341</c:v>
                </c:pt>
                <c:pt idx="165">
                  <c:v>59.259295491504524</c:v>
                </c:pt>
                <c:pt idx="166">
                  <c:v>60.889148299417251</c:v>
                </c:pt>
                <c:pt idx="167">
                  <c:v>59.962495331154351</c:v>
                </c:pt>
                <c:pt idx="168">
                  <c:v>58.985878649489045</c:v>
                </c:pt>
                <c:pt idx="169">
                  <c:v>59.116469979737445</c:v>
                </c:pt>
                <c:pt idx="170">
                  <c:v>61.468801978644223</c:v>
                </c:pt>
                <c:pt idx="171">
                  <c:v>62.28469204316216</c:v>
                </c:pt>
                <c:pt idx="172">
                  <c:v>64.298372286529727</c:v>
                </c:pt>
                <c:pt idx="173">
                  <c:v>65.110864625606439</c:v>
                </c:pt>
                <c:pt idx="174">
                  <c:v>65.963744381094557</c:v>
                </c:pt>
                <c:pt idx="175">
                  <c:v>65.55290823869943</c:v>
                </c:pt>
                <c:pt idx="176">
                  <c:v>65.503075858654341</c:v>
                </c:pt>
                <c:pt idx="177">
                  <c:v>66.247424575125279</c:v>
                </c:pt>
                <c:pt idx="178">
                  <c:v>66.155451892681612</c:v>
                </c:pt>
                <c:pt idx="179">
                  <c:v>66.86515517873076</c:v>
                </c:pt>
                <c:pt idx="180">
                  <c:v>67.954330738244082</c:v>
                </c:pt>
                <c:pt idx="181">
                  <c:v>66.189759856666541</c:v>
                </c:pt>
                <c:pt idx="182">
                  <c:v>66.450121227465246</c:v>
                </c:pt>
                <c:pt idx="183">
                  <c:v>67.86143477224968</c:v>
                </c:pt>
                <c:pt idx="184">
                  <c:v>70.606125822232926</c:v>
                </c:pt>
                <c:pt idx="185">
                  <c:v>72.535575728538888</c:v>
                </c:pt>
                <c:pt idx="186">
                  <c:v>73.096161065431005</c:v>
                </c:pt>
                <c:pt idx="187">
                  <c:v>74.066383839390511</c:v>
                </c:pt>
                <c:pt idx="188">
                  <c:v>74.591880976508989</c:v>
                </c:pt>
                <c:pt idx="189">
                  <c:v>75.534444990115162</c:v>
                </c:pt>
                <c:pt idx="190">
                  <c:v>72.351225326541325</c:v>
                </c:pt>
                <c:pt idx="191">
                  <c:v>76.047255243340899</c:v>
                </c:pt>
                <c:pt idx="192">
                  <c:v>77.742122849958051</c:v>
                </c:pt>
                <c:pt idx="193">
                  <c:v>75.175549566327987</c:v>
                </c:pt>
                <c:pt idx="194">
                  <c:v>74.925238529227499</c:v>
                </c:pt>
                <c:pt idx="195">
                  <c:v>76.581920064315483</c:v>
                </c:pt>
                <c:pt idx="196">
                  <c:v>78.190308091151039</c:v>
                </c:pt>
                <c:pt idx="197">
                  <c:v>73.667973375272979</c:v>
                </c:pt>
                <c:pt idx="198">
                  <c:v>73.330402190028565</c:v>
                </c:pt>
                <c:pt idx="199">
                  <c:v>72.074020155022879</c:v>
                </c:pt>
                <c:pt idx="200">
                  <c:v>73.495245066900409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D2-5549-A900-4815915B3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7831056"/>
        <c:axId val="-968923120"/>
      </c:scatterChart>
      <c:scatterChart>
        <c:scatterStyle val="lineMarker"/>
        <c:varyColors val="0"/>
        <c:ser>
          <c:idx val="1"/>
          <c:order val="1"/>
          <c:tx>
            <c:strRef>
              <c:f>'P&amp;L Study'!$R$10</c:f>
              <c:strCache>
                <c:ptCount val="1"/>
                <c:pt idx="0">
                  <c:v>Gamma</c:v>
                </c:pt>
              </c:strCache>
            </c:strRef>
          </c:tx>
          <c:spPr>
            <a:ln w="22225"/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Study'!$R$11:$R$211</c:f>
              <c:numCache>
                <c:formatCode>0.0000</c:formatCode>
                <c:ptCount val="201"/>
                <c:pt idx="0">
                  <c:v>1.1095321575165266E-2</c:v>
                </c:pt>
                <c:pt idx="1">
                  <c:v>1.1539467693581612E-2</c:v>
                </c:pt>
                <c:pt idx="2">
                  <c:v>1.1830106032572514E-2</c:v>
                </c:pt>
                <c:pt idx="3">
                  <c:v>1.2665428087375948E-2</c:v>
                </c:pt>
                <c:pt idx="4">
                  <c:v>1.2815267043423983E-2</c:v>
                </c:pt>
                <c:pt idx="5">
                  <c:v>1.2500794111919115E-2</c:v>
                </c:pt>
                <c:pt idx="6">
                  <c:v>1.2372952373090041E-2</c:v>
                </c:pt>
                <c:pt idx="7">
                  <c:v>1.2049079067143302E-2</c:v>
                </c:pt>
                <c:pt idx="8">
                  <c:v>1.2279386957656494E-2</c:v>
                </c:pt>
                <c:pt idx="9">
                  <c:v>1.2420369863054054E-2</c:v>
                </c:pt>
                <c:pt idx="10">
                  <c:v>1.248514016904481E-2</c:v>
                </c:pt>
                <c:pt idx="11">
                  <c:v>1.2919245068599084E-2</c:v>
                </c:pt>
                <c:pt idx="12">
                  <c:v>1.3105738385802999E-2</c:v>
                </c:pt>
                <c:pt idx="13">
                  <c:v>1.3341015016233165E-2</c:v>
                </c:pt>
                <c:pt idx="14">
                  <c:v>1.3325330222583002E-2</c:v>
                </c:pt>
                <c:pt idx="15">
                  <c:v>1.3449139683652928E-2</c:v>
                </c:pt>
                <c:pt idx="16">
                  <c:v>1.3454343221279856E-2</c:v>
                </c:pt>
                <c:pt idx="17">
                  <c:v>1.3366206674684538E-2</c:v>
                </c:pt>
                <c:pt idx="18">
                  <c:v>1.3386525027271088E-2</c:v>
                </c:pt>
                <c:pt idx="19">
                  <c:v>1.3596136426094332E-2</c:v>
                </c:pt>
                <c:pt idx="20">
                  <c:v>1.3637465916262187E-2</c:v>
                </c:pt>
                <c:pt idx="21">
                  <c:v>1.3556411079855635E-2</c:v>
                </c:pt>
                <c:pt idx="22">
                  <c:v>1.3714371106019949E-2</c:v>
                </c:pt>
                <c:pt idx="23">
                  <c:v>1.367632652674095E-2</c:v>
                </c:pt>
                <c:pt idx="24">
                  <c:v>1.3543305554808678E-2</c:v>
                </c:pt>
                <c:pt idx="25">
                  <c:v>1.3374274425933958E-2</c:v>
                </c:pt>
                <c:pt idx="26">
                  <c:v>1.3482415424369273E-2</c:v>
                </c:pt>
                <c:pt idx="27">
                  <c:v>1.3467071376240513E-2</c:v>
                </c:pt>
                <c:pt idx="28">
                  <c:v>1.3567677366209783E-2</c:v>
                </c:pt>
                <c:pt idx="29">
                  <c:v>1.3609792077279682E-2</c:v>
                </c:pt>
                <c:pt idx="30">
                  <c:v>1.3381995742651741E-2</c:v>
                </c:pt>
                <c:pt idx="31">
                  <c:v>1.2987500482508591E-2</c:v>
                </c:pt>
                <c:pt idx="32">
                  <c:v>1.3154839449462436E-2</c:v>
                </c:pt>
                <c:pt idx="33">
                  <c:v>1.3155229794850993E-2</c:v>
                </c:pt>
                <c:pt idx="34">
                  <c:v>1.32369962336089E-2</c:v>
                </c:pt>
                <c:pt idx="35">
                  <c:v>1.3694937499787157E-2</c:v>
                </c:pt>
                <c:pt idx="36">
                  <c:v>1.397148402584502E-2</c:v>
                </c:pt>
                <c:pt idx="37">
                  <c:v>1.3872772639659131E-2</c:v>
                </c:pt>
                <c:pt idx="38">
                  <c:v>1.4132470210626599E-2</c:v>
                </c:pt>
                <c:pt idx="39">
                  <c:v>1.4109256454939486E-2</c:v>
                </c:pt>
                <c:pt idx="40">
                  <c:v>1.406243884726523E-2</c:v>
                </c:pt>
                <c:pt idx="41">
                  <c:v>1.4150645645827896E-2</c:v>
                </c:pt>
                <c:pt idx="42">
                  <c:v>1.4293173557160107E-2</c:v>
                </c:pt>
                <c:pt idx="43">
                  <c:v>1.438036254773541E-2</c:v>
                </c:pt>
                <c:pt idx="44">
                  <c:v>1.4367624440988738E-2</c:v>
                </c:pt>
                <c:pt idx="45">
                  <c:v>1.4306243590589705E-2</c:v>
                </c:pt>
                <c:pt idx="46">
                  <c:v>1.4382775009963385E-2</c:v>
                </c:pt>
                <c:pt idx="47">
                  <c:v>1.4520492000744055E-2</c:v>
                </c:pt>
                <c:pt idx="48">
                  <c:v>1.443354892532249E-2</c:v>
                </c:pt>
                <c:pt idx="49">
                  <c:v>1.4340940516186809E-2</c:v>
                </c:pt>
                <c:pt idx="50">
                  <c:v>1.4340492425904293E-2</c:v>
                </c:pt>
                <c:pt idx="51">
                  <c:v>1.4457153800805278E-2</c:v>
                </c:pt>
                <c:pt idx="52">
                  <c:v>1.4521931815600688E-2</c:v>
                </c:pt>
                <c:pt idx="53">
                  <c:v>1.4694799122288198E-2</c:v>
                </c:pt>
                <c:pt idx="54">
                  <c:v>1.4788535165423449E-2</c:v>
                </c:pt>
                <c:pt idx="55">
                  <c:v>1.4713248505504629E-2</c:v>
                </c:pt>
                <c:pt idx="56">
                  <c:v>1.4586644095621659E-2</c:v>
                </c:pt>
                <c:pt idx="57">
                  <c:v>1.4223317915384391E-2</c:v>
                </c:pt>
                <c:pt idx="58">
                  <c:v>1.4425997361945747E-2</c:v>
                </c:pt>
                <c:pt idx="59">
                  <c:v>1.4190349921466268E-2</c:v>
                </c:pt>
                <c:pt idx="60">
                  <c:v>1.4013325917891898E-2</c:v>
                </c:pt>
                <c:pt idx="61">
                  <c:v>1.4170291191991095E-2</c:v>
                </c:pt>
                <c:pt idx="62">
                  <c:v>1.4347139705654866E-2</c:v>
                </c:pt>
                <c:pt idx="63">
                  <c:v>1.4902791188797783E-2</c:v>
                </c:pt>
                <c:pt idx="64">
                  <c:v>1.4607903280713125E-2</c:v>
                </c:pt>
                <c:pt idx="65">
                  <c:v>1.4998142753322168E-2</c:v>
                </c:pt>
                <c:pt idx="66">
                  <c:v>1.5224621523178685E-2</c:v>
                </c:pt>
                <c:pt idx="67">
                  <c:v>1.5255541390186913E-2</c:v>
                </c:pt>
                <c:pt idx="68">
                  <c:v>1.5069805396701639E-2</c:v>
                </c:pt>
                <c:pt idx="69">
                  <c:v>1.5166994474758869E-2</c:v>
                </c:pt>
                <c:pt idx="70">
                  <c:v>1.5205396578280354E-2</c:v>
                </c:pt>
                <c:pt idx="71">
                  <c:v>1.5521922037330304E-2</c:v>
                </c:pt>
                <c:pt idx="72">
                  <c:v>1.5415663228309383E-2</c:v>
                </c:pt>
                <c:pt idx="73">
                  <c:v>1.5111543879273565E-2</c:v>
                </c:pt>
                <c:pt idx="74">
                  <c:v>1.5398176363088727E-2</c:v>
                </c:pt>
                <c:pt idx="75">
                  <c:v>1.5448076098559688E-2</c:v>
                </c:pt>
                <c:pt idx="76">
                  <c:v>1.527776773852612E-2</c:v>
                </c:pt>
                <c:pt idx="77">
                  <c:v>1.5260600435167691E-2</c:v>
                </c:pt>
                <c:pt idx="78">
                  <c:v>1.5027153578234609E-2</c:v>
                </c:pt>
                <c:pt idx="79">
                  <c:v>1.4763768345664475E-2</c:v>
                </c:pt>
                <c:pt idx="80">
                  <c:v>1.4600161385839115E-2</c:v>
                </c:pt>
                <c:pt idx="81">
                  <c:v>1.3597818015630618E-2</c:v>
                </c:pt>
                <c:pt idx="82">
                  <c:v>1.3372257199453039E-2</c:v>
                </c:pt>
                <c:pt idx="83">
                  <c:v>1.3527484528308802E-2</c:v>
                </c:pt>
                <c:pt idx="84">
                  <c:v>1.4548034569234338E-2</c:v>
                </c:pt>
                <c:pt idx="85">
                  <c:v>1.4407578587988128E-2</c:v>
                </c:pt>
                <c:pt idx="86">
                  <c:v>1.44272828900883E-2</c:v>
                </c:pt>
                <c:pt idx="87">
                  <c:v>1.4954068009836121E-2</c:v>
                </c:pt>
                <c:pt idx="88">
                  <c:v>1.5421462559337507E-2</c:v>
                </c:pt>
                <c:pt idx="89">
                  <c:v>1.6077497026092916E-2</c:v>
                </c:pt>
                <c:pt idx="90">
                  <c:v>1.6172882097826479E-2</c:v>
                </c:pt>
                <c:pt idx="91">
                  <c:v>1.6080800529201442E-2</c:v>
                </c:pt>
                <c:pt idx="92">
                  <c:v>1.652657616844384E-2</c:v>
                </c:pt>
                <c:pt idx="93">
                  <c:v>1.6395383363299654E-2</c:v>
                </c:pt>
                <c:pt idx="94">
                  <c:v>1.6596036779208952E-2</c:v>
                </c:pt>
                <c:pt idx="95">
                  <c:v>1.6550909428011205E-2</c:v>
                </c:pt>
                <c:pt idx="96">
                  <c:v>1.5995933963438319E-2</c:v>
                </c:pt>
                <c:pt idx="97">
                  <c:v>1.5873767814687419E-2</c:v>
                </c:pt>
                <c:pt idx="98">
                  <c:v>1.485206250633762E-2</c:v>
                </c:pt>
                <c:pt idx="99">
                  <c:v>1.5806159707404885E-2</c:v>
                </c:pt>
                <c:pt idx="100">
                  <c:v>1.6172902515265854E-2</c:v>
                </c:pt>
                <c:pt idx="101">
                  <c:v>1.5757336623065873E-2</c:v>
                </c:pt>
                <c:pt idx="102">
                  <c:v>1.6030574559660535E-2</c:v>
                </c:pt>
                <c:pt idx="103">
                  <c:v>1.6712786244025602E-2</c:v>
                </c:pt>
                <c:pt idx="104">
                  <c:v>1.6820728798525215E-2</c:v>
                </c:pt>
                <c:pt idx="105">
                  <c:v>1.70526525794851E-2</c:v>
                </c:pt>
                <c:pt idx="106">
                  <c:v>1.7468900654136081E-2</c:v>
                </c:pt>
                <c:pt idx="107">
                  <c:v>1.7777035148577962E-2</c:v>
                </c:pt>
                <c:pt idx="108">
                  <c:v>1.7940738349677975E-2</c:v>
                </c:pt>
                <c:pt idx="109">
                  <c:v>1.7909665397838094E-2</c:v>
                </c:pt>
                <c:pt idx="110">
                  <c:v>1.8017959179561026E-2</c:v>
                </c:pt>
                <c:pt idx="111">
                  <c:v>1.792561042055164E-2</c:v>
                </c:pt>
                <c:pt idx="112">
                  <c:v>1.784013044568555E-2</c:v>
                </c:pt>
                <c:pt idx="113">
                  <c:v>1.7942235594163931E-2</c:v>
                </c:pt>
                <c:pt idx="114">
                  <c:v>1.7802450836501459E-2</c:v>
                </c:pt>
                <c:pt idx="115">
                  <c:v>1.6633583648277644E-2</c:v>
                </c:pt>
                <c:pt idx="116">
                  <c:v>1.6178310017334181E-2</c:v>
                </c:pt>
                <c:pt idx="117">
                  <c:v>1.5950467172862963E-2</c:v>
                </c:pt>
                <c:pt idx="118">
                  <c:v>1.367424578979253E-2</c:v>
                </c:pt>
                <c:pt idx="119">
                  <c:v>1.4444490677285099E-2</c:v>
                </c:pt>
                <c:pt idx="120">
                  <c:v>1.3707297313135695E-2</c:v>
                </c:pt>
                <c:pt idx="121">
                  <c:v>1.225901050612609E-2</c:v>
                </c:pt>
                <c:pt idx="122">
                  <c:v>9.7362491345227876E-3</c:v>
                </c:pt>
                <c:pt idx="123">
                  <c:v>7.5883799042894221E-3</c:v>
                </c:pt>
                <c:pt idx="124">
                  <c:v>6.4567462769253743E-3</c:v>
                </c:pt>
                <c:pt idx="125">
                  <c:v>6.7130326537418348E-3</c:v>
                </c:pt>
                <c:pt idx="126">
                  <c:v>6.6929237157467483E-3</c:v>
                </c:pt>
                <c:pt idx="127">
                  <c:v>6.3899585087661241E-3</c:v>
                </c:pt>
                <c:pt idx="128">
                  <c:v>5.7516957070029148E-3</c:v>
                </c:pt>
                <c:pt idx="129">
                  <c:v>7.0948393605515681E-3</c:v>
                </c:pt>
                <c:pt idx="130">
                  <c:v>6.3797373646894695E-3</c:v>
                </c:pt>
                <c:pt idx="131">
                  <c:v>4.6815952859139221E-3</c:v>
                </c:pt>
                <c:pt idx="132">
                  <c:v>4.0780874399309365E-3</c:v>
                </c:pt>
                <c:pt idx="133">
                  <c:v>6.2627040609190823E-3</c:v>
                </c:pt>
                <c:pt idx="134">
                  <c:v>5.5042360675193096E-3</c:v>
                </c:pt>
                <c:pt idx="135">
                  <c:v>7.7608479943412842E-3</c:v>
                </c:pt>
                <c:pt idx="136">
                  <c:v>6.8650033220499368E-3</c:v>
                </c:pt>
                <c:pt idx="137">
                  <c:v>6.2811938793705634E-3</c:v>
                </c:pt>
                <c:pt idx="138">
                  <c:v>5.7366780673672197E-3</c:v>
                </c:pt>
                <c:pt idx="139">
                  <c:v>3.9307776223566123E-3</c:v>
                </c:pt>
                <c:pt idx="140">
                  <c:v>3.0474163791626057E-3</c:v>
                </c:pt>
                <c:pt idx="141">
                  <c:v>2.6340292597002582E-3</c:v>
                </c:pt>
                <c:pt idx="142">
                  <c:v>1.9503307275237616E-3</c:v>
                </c:pt>
                <c:pt idx="143">
                  <c:v>1.3863973491086362E-3</c:v>
                </c:pt>
                <c:pt idx="144">
                  <c:v>6.2020875358271719E-4</c:v>
                </c:pt>
                <c:pt idx="145">
                  <c:v>2.6852809276511533E-4</c:v>
                </c:pt>
                <c:pt idx="146">
                  <c:v>3.3271094227707668E-4</c:v>
                </c:pt>
                <c:pt idx="147">
                  <c:v>4.9645571693991675E-4</c:v>
                </c:pt>
                <c:pt idx="148">
                  <c:v>3.0711262486808328E-4</c:v>
                </c:pt>
                <c:pt idx="149">
                  <c:v>2.4547236188045122E-4</c:v>
                </c:pt>
                <c:pt idx="150">
                  <c:v>4.0547906434299126E-4</c:v>
                </c:pt>
                <c:pt idx="151">
                  <c:v>2.0949937535257292E-4</c:v>
                </c:pt>
                <c:pt idx="152">
                  <c:v>1.6280589036952057E-4</c:v>
                </c:pt>
                <c:pt idx="153">
                  <c:v>8.5766860212680104E-5</c:v>
                </c:pt>
                <c:pt idx="154">
                  <c:v>8.7646018275272769E-5</c:v>
                </c:pt>
                <c:pt idx="155">
                  <c:v>4.0949390373383613E-5</c:v>
                </c:pt>
                <c:pt idx="156">
                  <c:v>4.0854172412475619E-5</c:v>
                </c:pt>
                <c:pt idx="157">
                  <c:v>3.5518314447997705E-5</c:v>
                </c:pt>
                <c:pt idx="158">
                  <c:v>5.2117642086727167E-5</c:v>
                </c:pt>
                <c:pt idx="159">
                  <c:v>6.6733385669787691E-5</c:v>
                </c:pt>
                <c:pt idx="160">
                  <c:v>2.816530576346674E-5</c:v>
                </c:pt>
                <c:pt idx="161">
                  <c:v>1.973010684566347E-5</c:v>
                </c:pt>
                <c:pt idx="162">
                  <c:v>2.8709686996129163E-5</c:v>
                </c:pt>
                <c:pt idx="163">
                  <c:v>8.4200559880365526E-5</c:v>
                </c:pt>
                <c:pt idx="164">
                  <c:v>1.1897378439765413E-4</c:v>
                </c:pt>
                <c:pt idx="165">
                  <c:v>1.0913298736182988E-4</c:v>
                </c:pt>
                <c:pt idx="166">
                  <c:v>1.7042609901644866E-4</c:v>
                </c:pt>
                <c:pt idx="167">
                  <c:v>1.012470112340052E-4</c:v>
                </c:pt>
                <c:pt idx="168">
                  <c:v>5.5857441139776581E-5</c:v>
                </c:pt>
                <c:pt idx="169">
                  <c:v>4.7807551726119576E-5</c:v>
                </c:pt>
                <c:pt idx="170">
                  <c:v>1.0470035861535522E-4</c:v>
                </c:pt>
                <c:pt idx="171">
                  <c:v>1.1915307278050524E-4</c:v>
                </c:pt>
                <c:pt idx="172">
                  <c:v>2.1458436733587578E-4</c:v>
                </c:pt>
                <c:pt idx="173">
                  <c:v>2.4131458428154788E-4</c:v>
                </c:pt>
                <c:pt idx="174">
                  <c:v>2.7442895546921146E-4</c:v>
                </c:pt>
                <c:pt idx="175">
                  <c:v>1.917875573891029E-4</c:v>
                </c:pt>
                <c:pt idx="176">
                  <c:v>1.5045762210670233E-4</c:v>
                </c:pt>
                <c:pt idx="177">
                  <c:v>1.6180847172597718E-4</c:v>
                </c:pt>
                <c:pt idx="178">
                  <c:v>1.2090593379383187E-4</c:v>
                </c:pt>
                <c:pt idx="179">
                  <c:v>1.2613697552213228E-4</c:v>
                </c:pt>
                <c:pt idx="180">
                  <c:v>1.5453030639517453E-4</c:v>
                </c:pt>
                <c:pt idx="181">
                  <c:v>4.8722119189828497E-5</c:v>
                </c:pt>
                <c:pt idx="182">
                  <c:v>3.8343144475036984E-5</c:v>
                </c:pt>
                <c:pt idx="183">
                  <c:v>5.4512133943292854E-5</c:v>
                </c:pt>
                <c:pt idx="184">
                  <c:v>1.4843840365347661E-4</c:v>
                </c:pt>
                <c:pt idx="185">
                  <c:v>2.591675537838085E-4</c:v>
                </c:pt>
                <c:pt idx="186">
                  <c:v>2.3588506819589733E-4</c:v>
                </c:pt>
                <c:pt idx="187">
                  <c:v>2.5624558024755877E-4</c:v>
                </c:pt>
                <c:pt idx="188">
                  <c:v>2.1882854222380775E-4</c:v>
                </c:pt>
                <c:pt idx="189">
                  <c:v>2.2458741607275424E-4</c:v>
                </c:pt>
                <c:pt idx="190">
                  <c:v>1.6873056754746369E-5</c:v>
                </c:pt>
                <c:pt idx="191">
                  <c:v>9.421225028124206E-5</c:v>
                </c:pt>
                <c:pt idx="192">
                  <c:v>1.3429255874820365E-4</c:v>
                </c:pt>
                <c:pt idx="193">
                  <c:v>7.3587809002063266E-6</c:v>
                </c:pt>
                <c:pt idx="194">
                  <c:v>1.2657214682987087E-6</c:v>
                </c:pt>
                <c:pt idx="195">
                  <c:v>1.0063959858130233E-6</c:v>
                </c:pt>
                <c:pt idx="196">
                  <c:v>5.2373890332850844E-7</c:v>
                </c:pt>
                <c:pt idx="197">
                  <c:v>1.4212357104423408E-12</c:v>
                </c:pt>
                <c:pt idx="198">
                  <c:v>1.6764364887276866E-18</c:v>
                </c:pt>
                <c:pt idx="199">
                  <c:v>2.6555686078754208E-39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D2-5549-A900-4815915B3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8904304"/>
        <c:axId val="-968917920"/>
      </c:scatterChart>
      <c:valAx>
        <c:axId val="-967831056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968923120"/>
        <c:crosses val="autoZero"/>
        <c:crossBetween val="midCat"/>
      </c:valAx>
      <c:valAx>
        <c:axId val="-96892312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967831056"/>
        <c:crosses val="autoZero"/>
        <c:crossBetween val="midCat"/>
      </c:valAx>
      <c:valAx>
        <c:axId val="-968904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68917920"/>
        <c:crosses val="autoZero"/>
        <c:crossBetween val="midCat"/>
      </c:valAx>
      <c:valAx>
        <c:axId val="-968917920"/>
        <c:scaling>
          <c:orientation val="minMax"/>
        </c:scaling>
        <c:delete val="0"/>
        <c:axPos val="r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968904304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916247708901101"/>
          <c:y val="0.90879203986744195"/>
          <c:w val="0.57392729244238705"/>
          <c:h val="8.1853846271706499E-2"/>
        </c:manualLayout>
      </c:layout>
      <c:overlay val="1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570113001787694E-2"/>
          <c:y val="4.8652303480053699E-2"/>
          <c:w val="0.84619946280314096"/>
          <c:h val="0.773657771062714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'P&amp;L Study'!$T$10</c:f>
              <c:strCache>
                <c:ptCount val="1"/>
                <c:pt idx="0">
                  <c:v>Option P&amp;L   (sigma_a)</c:v>
                </c:pt>
              </c:strCache>
            </c:strRef>
          </c:tx>
          <c:spPr>
            <a:ln w="15875"/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Study'!$T$11:$T$211</c:f>
              <c:numCache>
                <c:formatCode>0.0000</c:formatCode>
                <c:ptCount val="201"/>
                <c:pt idx="1">
                  <c:v>-4.3827641186736776E-3</c:v>
                </c:pt>
                <c:pt idx="2">
                  <c:v>-2.0028675713162851E-2</c:v>
                </c:pt>
                <c:pt idx="3">
                  <c:v>0.14557488549588835</c:v>
                </c:pt>
                <c:pt idx="4">
                  <c:v>-2.4336008389687542E-2</c:v>
                </c:pt>
                <c:pt idx="5">
                  <c:v>2.2152014099220435E-2</c:v>
                </c:pt>
                <c:pt idx="6">
                  <c:v>-2.4835403999933548E-2</c:v>
                </c:pt>
                <c:pt idx="7">
                  <c:v>-2.4613613647147165E-4</c:v>
                </c:pt>
                <c:pt idx="8">
                  <c:v>-2.4350486836187554E-2</c:v>
                </c:pt>
                <c:pt idx="9">
                  <c:v>-3.0362434430494668E-2</c:v>
                </c:pt>
                <c:pt idx="10">
                  <c:v>-3.3223709809077955E-2</c:v>
                </c:pt>
                <c:pt idx="11">
                  <c:v>2.3892604918794608E-2</c:v>
                </c:pt>
                <c:pt idx="12">
                  <c:v>-1.8661094317510899E-2</c:v>
                </c:pt>
                <c:pt idx="13">
                  <c:v>9.5461336470143692E-3</c:v>
                </c:pt>
                <c:pt idx="14">
                  <c:v>-2.7776201206888021E-2</c:v>
                </c:pt>
                <c:pt idx="15">
                  <c:v>-1.4934462363319379E-2</c:v>
                </c:pt>
                <c:pt idx="16">
                  <c:v>0.18774734182793082</c:v>
                </c:pt>
                <c:pt idx="17">
                  <c:v>-1.1447022274330575E-2</c:v>
                </c:pt>
                <c:pt idx="18">
                  <c:v>-2.5101609799617185E-2</c:v>
                </c:pt>
                <c:pt idx="19">
                  <c:v>3.6352566700724141E-2</c:v>
                </c:pt>
                <c:pt idx="20">
                  <c:v>-2.6138980672717364E-2</c:v>
                </c:pt>
                <c:pt idx="21">
                  <c:v>2.4956938999259816E-3</c:v>
                </c:pt>
                <c:pt idx="22">
                  <c:v>5.7524586553233927E-2</c:v>
                </c:pt>
                <c:pt idx="23">
                  <c:v>4.027046204312411E-3</c:v>
                </c:pt>
                <c:pt idx="24">
                  <c:v>2.8023468995234213E-3</c:v>
                </c:pt>
                <c:pt idx="25">
                  <c:v>-7.2987929243694552E-3</c:v>
                </c:pt>
                <c:pt idx="26">
                  <c:v>-2.1409778981153517E-2</c:v>
                </c:pt>
                <c:pt idx="27">
                  <c:v>-2.4324859876619847E-2</c:v>
                </c:pt>
                <c:pt idx="28">
                  <c:v>-2.2251014032296033E-2</c:v>
                </c:pt>
                <c:pt idx="29">
                  <c:v>-2.5340411302994772E-2</c:v>
                </c:pt>
                <c:pt idx="30">
                  <c:v>-3.2829988455456592E-3</c:v>
                </c:pt>
                <c:pt idx="31">
                  <c:v>8.1130019536172944E-3</c:v>
                </c:pt>
                <c:pt idx="32">
                  <c:v>-1.8610423922127927E-2</c:v>
                </c:pt>
                <c:pt idx="33">
                  <c:v>-2.27164551653459E-2</c:v>
                </c:pt>
                <c:pt idx="34">
                  <c:v>-2.2203619936066031E-2</c:v>
                </c:pt>
                <c:pt idx="35">
                  <c:v>2.77360189253332E-2</c:v>
                </c:pt>
                <c:pt idx="36">
                  <c:v>1.1383420939331113E-2</c:v>
                </c:pt>
                <c:pt idx="37">
                  <c:v>-1.6987972691474243E-2</c:v>
                </c:pt>
                <c:pt idx="38">
                  <c:v>2.559710787493474E-2</c:v>
                </c:pt>
                <c:pt idx="39">
                  <c:v>-2.4690640073930185E-2</c:v>
                </c:pt>
                <c:pt idx="40">
                  <c:v>-2.3175514951338818E-2</c:v>
                </c:pt>
                <c:pt idx="41">
                  <c:v>-2.5137896245105592E-2</c:v>
                </c:pt>
                <c:pt idx="42">
                  <c:v>-8.9568689293752224E-3</c:v>
                </c:pt>
                <c:pt idx="43">
                  <c:v>-1.165596112263949E-2</c:v>
                </c:pt>
                <c:pt idx="44">
                  <c:v>4.9263875838649392E-2</c:v>
                </c:pt>
                <c:pt idx="45">
                  <c:v>-1.440416904540409E-2</c:v>
                </c:pt>
                <c:pt idx="46">
                  <c:v>-3.3055491117553813E-2</c:v>
                </c:pt>
                <c:pt idx="47">
                  <c:v>-7.987842496051719E-4</c:v>
                </c:pt>
                <c:pt idx="48">
                  <c:v>1.8969090813693933E-2</c:v>
                </c:pt>
                <c:pt idx="49">
                  <c:v>-1.7736768136516347E-2</c:v>
                </c:pt>
                <c:pt idx="50">
                  <c:v>-3.5227485708371607E-2</c:v>
                </c:pt>
                <c:pt idx="51">
                  <c:v>-3.2748781470565147E-2</c:v>
                </c:pt>
                <c:pt idx="52">
                  <c:v>-3.6031395037276592E-2</c:v>
                </c:pt>
                <c:pt idx="53">
                  <c:v>-1.2564568599932636E-2</c:v>
                </c:pt>
                <c:pt idx="54">
                  <c:v>-2.2728027440693736E-2</c:v>
                </c:pt>
                <c:pt idx="55">
                  <c:v>8.9523166390638922E-3</c:v>
                </c:pt>
                <c:pt idx="56">
                  <c:v>-9.5580892930824599E-3</c:v>
                </c:pt>
                <c:pt idx="57">
                  <c:v>3.3667650059226194E-2</c:v>
                </c:pt>
                <c:pt idx="58">
                  <c:v>-3.1499859377308065E-2</c:v>
                </c:pt>
                <c:pt idx="59">
                  <c:v>-1.475753341404655E-2</c:v>
                </c:pt>
                <c:pt idx="60">
                  <c:v>-2.8461605703182572E-2</c:v>
                </c:pt>
                <c:pt idx="61">
                  <c:v>-3.7924497121796602E-2</c:v>
                </c:pt>
                <c:pt idx="62">
                  <c:v>-3.6537183015264652E-2</c:v>
                </c:pt>
                <c:pt idx="63">
                  <c:v>5.0421610372208395E-2</c:v>
                </c:pt>
                <c:pt idx="64">
                  <c:v>1.3764847327709053E-2</c:v>
                </c:pt>
                <c:pt idx="65">
                  <c:v>7.2674402199964109E-3</c:v>
                </c:pt>
                <c:pt idx="66">
                  <c:v>-9.000354125778624E-3</c:v>
                </c:pt>
                <c:pt idx="67">
                  <c:v>-3.7462085963046107E-2</c:v>
                </c:pt>
                <c:pt idx="68">
                  <c:v>8.9651561691233665E-3</c:v>
                </c:pt>
                <c:pt idx="69">
                  <c:v>-3.8796486405975078E-2</c:v>
                </c:pt>
                <c:pt idx="70">
                  <c:v>-3.980355319865881E-2</c:v>
                </c:pt>
                <c:pt idx="71">
                  <c:v>3.8673056161081187E-2</c:v>
                </c:pt>
                <c:pt idx="72">
                  <c:v>4.468764433004889E-3</c:v>
                </c:pt>
                <c:pt idx="73">
                  <c:v>2.6772088260491905E-2</c:v>
                </c:pt>
                <c:pt idx="74">
                  <c:v>-2.0085728672115194E-2</c:v>
                </c:pt>
                <c:pt idx="75">
                  <c:v>-4.0921978468621688E-2</c:v>
                </c:pt>
                <c:pt idx="76">
                  <c:v>-1.953432663387978E-2</c:v>
                </c:pt>
                <c:pt idx="77">
                  <c:v>-4.0476645174650001E-2</c:v>
                </c:pt>
                <c:pt idx="78">
                  <c:v>-2.1706378397955247E-2</c:v>
                </c:pt>
                <c:pt idx="79">
                  <c:v>-2.4702286085370211E-2</c:v>
                </c:pt>
                <c:pt idx="80">
                  <c:v>-3.6800847593174174E-2</c:v>
                </c:pt>
                <c:pt idx="81">
                  <c:v>7.8961854933399356E-2</c:v>
                </c:pt>
                <c:pt idx="82">
                  <c:v>-3.8151369626969876E-2</c:v>
                </c:pt>
                <c:pt idx="83">
                  <c:v>-4.4258954072870969E-2</c:v>
                </c:pt>
                <c:pt idx="84">
                  <c:v>3.7636794010209411E-2</c:v>
                </c:pt>
                <c:pt idx="85">
                  <c:v>-4.0972578848268319E-2</c:v>
                </c:pt>
                <c:pt idx="86">
                  <c:v>-4.5494261681396531E-2</c:v>
                </c:pt>
                <c:pt idx="87">
                  <c:v>-2.2971231245266895E-2</c:v>
                </c:pt>
                <c:pt idx="88">
                  <c:v>-2.4041107000932063E-2</c:v>
                </c:pt>
                <c:pt idx="89">
                  <c:v>2.6681878979102385E-2</c:v>
                </c:pt>
                <c:pt idx="90">
                  <c:v>-4.4526212933006015E-2</c:v>
                </c:pt>
                <c:pt idx="91">
                  <c:v>-3.7126759385882314E-2</c:v>
                </c:pt>
                <c:pt idx="92">
                  <c:v>6.7567220590074471E-3</c:v>
                </c:pt>
                <c:pt idx="93">
                  <c:v>-2.4967151328945145E-2</c:v>
                </c:pt>
                <c:pt idx="94">
                  <c:v>-3.8606965214729776E-2</c:v>
                </c:pt>
                <c:pt idx="95">
                  <c:v>-3.9291649753201048E-2</c:v>
                </c:pt>
                <c:pt idx="96">
                  <c:v>4.7644980193014309E-2</c:v>
                </c:pt>
                <c:pt idx="97">
                  <c:v>-4.1963070849205093E-2</c:v>
                </c:pt>
                <c:pt idx="98">
                  <c:v>7.5558180772494127E-2</c:v>
                </c:pt>
                <c:pt idx="99">
                  <c:v>2.0217320633197908E-2</c:v>
                </c:pt>
                <c:pt idx="100">
                  <c:v>-3.8541986461719351E-2</c:v>
                </c:pt>
                <c:pt idx="101">
                  <c:v>-1.9703851149576419E-2</c:v>
                </c:pt>
                <c:pt idx="102">
                  <c:v>-4.5468936061464418E-2</c:v>
                </c:pt>
                <c:pt idx="103">
                  <c:v>-1.7971297987756671E-3</c:v>
                </c:pt>
                <c:pt idx="104">
                  <c:v>-4.9024931941751504E-2</c:v>
                </c:pt>
                <c:pt idx="105">
                  <c:v>-4.5128999267952087E-2</c:v>
                </c:pt>
                <c:pt idx="106">
                  <c:v>-1.8209397879756933E-2</c:v>
                </c:pt>
                <c:pt idx="107">
                  <c:v>-1.4486424568757707E-2</c:v>
                </c:pt>
                <c:pt idx="108">
                  <c:v>6.8955692708195298E-3</c:v>
                </c:pt>
                <c:pt idx="109">
                  <c:v>-1.1435089640365249E-2</c:v>
                </c:pt>
                <c:pt idx="110">
                  <c:v>-4.2718316645252663E-2</c:v>
                </c:pt>
                <c:pt idx="111">
                  <c:v>-2.5886207956475685E-2</c:v>
                </c:pt>
                <c:pt idx="112">
                  <c:v>-3.4476324633035911E-2</c:v>
                </c:pt>
                <c:pt idx="113">
                  <c:v>-4.1266481035340176E-2</c:v>
                </c:pt>
                <c:pt idx="114">
                  <c:v>-3.2974296221275082E-2</c:v>
                </c:pt>
                <c:pt idx="115">
                  <c:v>6.748725905286268E-2</c:v>
                </c:pt>
                <c:pt idx="116">
                  <c:v>-2.3528860886888034E-2</c:v>
                </c:pt>
                <c:pt idx="117">
                  <c:v>-2.9907209569646161E-2</c:v>
                </c:pt>
                <c:pt idx="118">
                  <c:v>7.2040570239035845E-2</c:v>
                </c:pt>
                <c:pt idx="119">
                  <c:v>-1.4957334757121703E-2</c:v>
                </c:pt>
                <c:pt idx="120">
                  <c:v>-1.6491763509800698E-2</c:v>
                </c:pt>
                <c:pt idx="121">
                  <c:v>3.6355245180895064E-3</c:v>
                </c:pt>
                <c:pt idx="122">
                  <c:v>3.5998575537441221E-2</c:v>
                </c:pt>
                <c:pt idx="123">
                  <c:v>1.7821429982534991E-2</c:v>
                </c:pt>
                <c:pt idx="124">
                  <c:v>-1.832529762996363E-3</c:v>
                </c:pt>
                <c:pt idx="125">
                  <c:v>-8.4417018914348507E-3</c:v>
                </c:pt>
                <c:pt idx="126">
                  <c:v>-9.3714328726876728E-3</c:v>
                </c:pt>
                <c:pt idx="127">
                  <c:v>-8.6502980621573182E-3</c:v>
                </c:pt>
                <c:pt idx="128">
                  <c:v>-6.0292764359131954E-3</c:v>
                </c:pt>
                <c:pt idx="129">
                  <c:v>6.8312169280485341E-3</c:v>
                </c:pt>
                <c:pt idx="130">
                  <c:v>-6.7209548843006339E-3</c:v>
                </c:pt>
                <c:pt idx="131">
                  <c:v>7.018522806208201E-3</c:v>
                </c:pt>
                <c:pt idx="132">
                  <c:v>-3.7509403309423798E-3</c:v>
                </c:pt>
                <c:pt idx="133">
                  <c:v>3.7600781841100578E-2</c:v>
                </c:pt>
                <c:pt idx="134">
                  <c:v>-5.2877809892563224E-3</c:v>
                </c:pt>
                <c:pt idx="135">
                  <c:v>3.439494334693631E-2</c:v>
                </c:pt>
                <c:pt idx="136">
                  <c:v>-6.7580860311615585E-3</c:v>
                </c:pt>
                <c:pt idx="137">
                  <c:v>-7.9650417954445687E-3</c:v>
                </c:pt>
                <c:pt idx="138">
                  <c:v>-7.2575542017341999E-3</c:v>
                </c:pt>
                <c:pt idx="139">
                  <c:v>7.4835018320734224E-3</c:v>
                </c:pt>
                <c:pt idx="140">
                  <c:v>-7.941058309361849E-4</c:v>
                </c:pt>
                <c:pt idx="141">
                  <c:v>-2.7162358437197017E-3</c:v>
                </c:pt>
                <c:pt idx="142">
                  <c:v>-3.7172534034510778E-4</c:v>
                </c:pt>
                <c:pt idx="143">
                  <c:v>-1.2592254631033523E-4</c:v>
                </c:pt>
                <c:pt idx="144">
                  <c:v>2.2974229877331027E-3</c:v>
                </c:pt>
                <c:pt idx="145">
                  <c:v>6.882084362797525E-4</c:v>
                </c:pt>
                <c:pt idx="146">
                  <c:v>-1.3194431203259214E-4</c:v>
                </c:pt>
                <c:pt idx="147">
                  <c:v>3.0011997770112699E-4</c:v>
                </c:pt>
                <c:pt idx="148">
                  <c:v>-5.5582197871900872E-6</c:v>
                </c:pt>
                <c:pt idx="149">
                  <c:v>-2.1049434668834349E-4</c:v>
                </c:pt>
                <c:pt idx="150">
                  <c:v>4.7570096149059798E-4</c:v>
                </c:pt>
                <c:pt idx="151">
                  <c:v>1.4623858371133448E-4</c:v>
                </c:pt>
                <c:pt idx="152">
                  <c:v>-1.374549594884784E-4</c:v>
                </c:pt>
                <c:pt idx="153">
                  <c:v>1.316178354889969E-5</c:v>
                </c:pt>
                <c:pt idx="154">
                  <c:v>-7.1461262633904884E-5</c:v>
                </c:pt>
                <c:pt idx="155">
                  <c:v>1.4003153383256245E-5</c:v>
                </c:pt>
                <c:pt idx="156">
                  <c:v>-3.2374311593144521E-5</c:v>
                </c:pt>
                <c:pt idx="157">
                  <c:v>-3.0679168186394379E-5</c:v>
                </c:pt>
                <c:pt idx="158">
                  <c:v>6.676491207205297E-7</c:v>
                </c:pt>
                <c:pt idx="159">
                  <c:v>-2.7102977696109282E-5</c:v>
                </c:pt>
                <c:pt idx="160">
                  <c:v>1.1918932676731525E-5</c:v>
                </c:pt>
                <c:pt idx="161">
                  <c:v>-1.5939509862733428E-5</c:v>
                </c:pt>
                <c:pt idx="162">
                  <c:v>-2.3168880867735189E-6</c:v>
                </c:pt>
                <c:pt idx="163">
                  <c:v>3.3935087517978404E-4</c:v>
                </c:pt>
                <c:pt idx="164">
                  <c:v>-1.7408716110215811E-5</c:v>
                </c:pt>
                <c:pt idx="165">
                  <c:v>-1.1505264888998243E-4</c:v>
                </c:pt>
                <c:pt idx="166">
                  <c:v>4.5479571091213249E-5</c:v>
                </c:pt>
                <c:pt idx="167">
                  <c:v>-6.9328678659737089E-5</c:v>
                </c:pt>
                <c:pt idx="168">
                  <c:v>-3.3741455989959219E-5</c:v>
                </c:pt>
                <c:pt idx="169">
                  <c:v>-5.0757492414637198E-5</c:v>
                </c:pt>
                <c:pt idx="170">
                  <c:v>1.9203713615889231E-4</c:v>
                </c:pt>
                <c:pt idx="171">
                  <c:v>-1.0084262703606453E-4</c:v>
                </c:pt>
                <c:pt idx="172">
                  <c:v>1.9195559217714762E-4</c:v>
                </c:pt>
                <c:pt idx="173">
                  <c:v>-2.3162760008811658E-4</c:v>
                </c:pt>
                <c:pt idx="174">
                  <c:v>-2.6325070838697628E-4</c:v>
                </c:pt>
                <c:pt idx="175">
                  <c:v>-2.3641025582314353E-4</c:v>
                </c:pt>
                <c:pt idx="176">
                  <c:v>-1.9751666166383644E-4</c:v>
                </c:pt>
                <c:pt idx="177">
                  <c:v>-1.7162807219655934E-4</c:v>
                </c:pt>
                <c:pt idx="178">
                  <c:v>-1.6154227206854302E-4</c:v>
                </c:pt>
                <c:pt idx="179">
                  <c:v>-1.4025881628578494E-4</c:v>
                </c:pt>
                <c:pt idx="180">
                  <c:v>-1.2386617362714639E-4</c:v>
                </c:pt>
                <c:pt idx="181">
                  <c:v>6.5942533178865755E-6</c:v>
                </c:pt>
                <c:pt idx="182">
                  <c:v>-5.0540942481414256E-5</c:v>
                </c:pt>
                <c:pt idx="183">
                  <c:v>-2.0261020586267081E-5</c:v>
                </c:pt>
                <c:pt idx="184">
                  <c:v>3.7863525417112745E-4</c:v>
                </c:pt>
                <c:pt idx="185">
                  <c:v>9.1538985741889349E-5</c:v>
                </c:pt>
                <c:pt idx="186">
                  <c:v>-3.4834153764767313E-4</c:v>
                </c:pt>
                <c:pt idx="187">
                  <c:v>-3.0667256643105096E-4</c:v>
                </c:pt>
                <c:pt idx="188">
                  <c:v>-3.4223021787599416E-4</c:v>
                </c:pt>
                <c:pt idx="189">
                  <c:v>-2.9011842814405045E-4</c:v>
                </c:pt>
                <c:pt idx="190">
                  <c:v>5.138332480336837E-5</c:v>
                </c:pt>
                <c:pt idx="191">
                  <c:v>5.4406541002593393E-4</c:v>
                </c:pt>
                <c:pt idx="192">
                  <c:v>-4.6989310651579581E-5</c:v>
                </c:pt>
                <c:pt idx="193">
                  <c:v>9.9272632552380502E-6</c:v>
                </c:pt>
                <c:pt idx="194">
                  <c:v>-2.1366695687750173E-6</c:v>
                </c:pt>
                <c:pt idx="195">
                  <c:v>-3.6475639898908059E-7</c:v>
                </c:pt>
                <c:pt idx="196">
                  <c:v>-2.7442383302378672E-7</c:v>
                </c:pt>
                <c:pt idx="197">
                  <c:v>1.0538587827778721E-11</c:v>
                </c:pt>
                <c:pt idx="198">
                  <c:v>-2.6661318636903509E-18</c:v>
                </c:pt>
                <c:pt idx="199">
                  <c:v>-2.1999553848988671E-39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6F-A042-95FC-55F7BE55D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7453776"/>
        <c:axId val="-967451456"/>
      </c:scatterChart>
      <c:scatterChart>
        <c:scatterStyle val="lineMarker"/>
        <c:varyColors val="0"/>
        <c:ser>
          <c:idx val="1"/>
          <c:order val="1"/>
          <c:tx>
            <c:strRef>
              <c:f>'P&amp;L Study'!$R$10</c:f>
              <c:strCache>
                <c:ptCount val="1"/>
                <c:pt idx="0">
                  <c:v>Gamma</c:v>
                </c:pt>
              </c:strCache>
            </c:strRef>
          </c:tx>
          <c:spPr>
            <a:ln w="22225"/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Study'!$R$11:$R$211</c:f>
              <c:numCache>
                <c:formatCode>0.0000</c:formatCode>
                <c:ptCount val="201"/>
                <c:pt idx="0">
                  <c:v>1.1095321575165266E-2</c:v>
                </c:pt>
                <c:pt idx="1">
                  <c:v>1.1539467693581612E-2</c:v>
                </c:pt>
                <c:pt idx="2">
                  <c:v>1.1830106032572514E-2</c:v>
                </c:pt>
                <c:pt idx="3">
                  <c:v>1.2665428087375948E-2</c:v>
                </c:pt>
                <c:pt idx="4">
                  <c:v>1.2815267043423983E-2</c:v>
                </c:pt>
                <c:pt idx="5">
                  <c:v>1.2500794111919115E-2</c:v>
                </c:pt>
                <c:pt idx="6">
                  <c:v>1.2372952373090041E-2</c:v>
                </c:pt>
                <c:pt idx="7">
                  <c:v>1.2049079067143302E-2</c:v>
                </c:pt>
                <c:pt idx="8">
                  <c:v>1.2279386957656494E-2</c:v>
                </c:pt>
                <c:pt idx="9">
                  <c:v>1.2420369863054054E-2</c:v>
                </c:pt>
                <c:pt idx="10">
                  <c:v>1.248514016904481E-2</c:v>
                </c:pt>
                <c:pt idx="11">
                  <c:v>1.2919245068599084E-2</c:v>
                </c:pt>
                <c:pt idx="12">
                  <c:v>1.3105738385802999E-2</c:v>
                </c:pt>
                <c:pt idx="13">
                  <c:v>1.3341015016233165E-2</c:v>
                </c:pt>
                <c:pt idx="14">
                  <c:v>1.3325330222583002E-2</c:v>
                </c:pt>
                <c:pt idx="15">
                  <c:v>1.3449139683652928E-2</c:v>
                </c:pt>
                <c:pt idx="16">
                  <c:v>1.3454343221279856E-2</c:v>
                </c:pt>
                <c:pt idx="17">
                  <c:v>1.3366206674684538E-2</c:v>
                </c:pt>
                <c:pt idx="18">
                  <c:v>1.3386525027271088E-2</c:v>
                </c:pt>
                <c:pt idx="19">
                  <c:v>1.3596136426094332E-2</c:v>
                </c:pt>
                <c:pt idx="20">
                  <c:v>1.3637465916262187E-2</c:v>
                </c:pt>
                <c:pt idx="21">
                  <c:v>1.3556411079855635E-2</c:v>
                </c:pt>
                <c:pt idx="22">
                  <c:v>1.3714371106019949E-2</c:v>
                </c:pt>
                <c:pt idx="23">
                  <c:v>1.367632652674095E-2</c:v>
                </c:pt>
                <c:pt idx="24">
                  <c:v>1.3543305554808678E-2</c:v>
                </c:pt>
                <c:pt idx="25">
                  <c:v>1.3374274425933958E-2</c:v>
                </c:pt>
                <c:pt idx="26">
                  <c:v>1.3482415424369273E-2</c:v>
                </c:pt>
                <c:pt idx="27">
                  <c:v>1.3467071376240513E-2</c:v>
                </c:pt>
                <c:pt idx="28">
                  <c:v>1.3567677366209783E-2</c:v>
                </c:pt>
                <c:pt idx="29">
                  <c:v>1.3609792077279682E-2</c:v>
                </c:pt>
                <c:pt idx="30">
                  <c:v>1.3381995742651741E-2</c:v>
                </c:pt>
                <c:pt idx="31">
                  <c:v>1.2987500482508591E-2</c:v>
                </c:pt>
                <c:pt idx="32">
                  <c:v>1.3154839449462436E-2</c:v>
                </c:pt>
                <c:pt idx="33">
                  <c:v>1.3155229794850993E-2</c:v>
                </c:pt>
                <c:pt idx="34">
                  <c:v>1.32369962336089E-2</c:v>
                </c:pt>
                <c:pt idx="35">
                  <c:v>1.3694937499787157E-2</c:v>
                </c:pt>
                <c:pt idx="36">
                  <c:v>1.397148402584502E-2</c:v>
                </c:pt>
                <c:pt idx="37">
                  <c:v>1.3872772639659131E-2</c:v>
                </c:pt>
                <c:pt idx="38">
                  <c:v>1.4132470210626599E-2</c:v>
                </c:pt>
                <c:pt idx="39">
                  <c:v>1.4109256454939486E-2</c:v>
                </c:pt>
                <c:pt idx="40">
                  <c:v>1.406243884726523E-2</c:v>
                </c:pt>
                <c:pt idx="41">
                  <c:v>1.4150645645827896E-2</c:v>
                </c:pt>
                <c:pt idx="42">
                  <c:v>1.4293173557160107E-2</c:v>
                </c:pt>
                <c:pt idx="43">
                  <c:v>1.438036254773541E-2</c:v>
                </c:pt>
                <c:pt idx="44">
                  <c:v>1.4367624440988738E-2</c:v>
                </c:pt>
                <c:pt idx="45">
                  <c:v>1.4306243590589705E-2</c:v>
                </c:pt>
                <c:pt idx="46">
                  <c:v>1.4382775009963385E-2</c:v>
                </c:pt>
                <c:pt idx="47">
                  <c:v>1.4520492000744055E-2</c:v>
                </c:pt>
                <c:pt idx="48">
                  <c:v>1.443354892532249E-2</c:v>
                </c:pt>
                <c:pt idx="49">
                  <c:v>1.4340940516186809E-2</c:v>
                </c:pt>
                <c:pt idx="50">
                  <c:v>1.4340492425904293E-2</c:v>
                </c:pt>
                <c:pt idx="51">
                  <c:v>1.4457153800805278E-2</c:v>
                </c:pt>
                <c:pt idx="52">
                  <c:v>1.4521931815600688E-2</c:v>
                </c:pt>
                <c:pt idx="53">
                  <c:v>1.4694799122288198E-2</c:v>
                </c:pt>
                <c:pt idx="54">
                  <c:v>1.4788535165423449E-2</c:v>
                </c:pt>
                <c:pt idx="55">
                  <c:v>1.4713248505504629E-2</c:v>
                </c:pt>
                <c:pt idx="56">
                  <c:v>1.4586644095621659E-2</c:v>
                </c:pt>
                <c:pt idx="57">
                  <c:v>1.4223317915384391E-2</c:v>
                </c:pt>
                <c:pt idx="58">
                  <c:v>1.4425997361945747E-2</c:v>
                </c:pt>
                <c:pt idx="59">
                  <c:v>1.4190349921466268E-2</c:v>
                </c:pt>
                <c:pt idx="60">
                  <c:v>1.4013325917891898E-2</c:v>
                </c:pt>
                <c:pt idx="61">
                  <c:v>1.4170291191991095E-2</c:v>
                </c:pt>
                <c:pt idx="62">
                  <c:v>1.4347139705654866E-2</c:v>
                </c:pt>
                <c:pt idx="63">
                  <c:v>1.4902791188797783E-2</c:v>
                </c:pt>
                <c:pt idx="64">
                  <c:v>1.4607903280713125E-2</c:v>
                </c:pt>
                <c:pt idx="65">
                  <c:v>1.4998142753322168E-2</c:v>
                </c:pt>
                <c:pt idx="66">
                  <c:v>1.5224621523178685E-2</c:v>
                </c:pt>
                <c:pt idx="67">
                  <c:v>1.5255541390186913E-2</c:v>
                </c:pt>
                <c:pt idx="68">
                  <c:v>1.5069805396701639E-2</c:v>
                </c:pt>
                <c:pt idx="69">
                  <c:v>1.5166994474758869E-2</c:v>
                </c:pt>
                <c:pt idx="70">
                  <c:v>1.5205396578280354E-2</c:v>
                </c:pt>
                <c:pt idx="71">
                  <c:v>1.5521922037330304E-2</c:v>
                </c:pt>
                <c:pt idx="72">
                  <c:v>1.5415663228309383E-2</c:v>
                </c:pt>
                <c:pt idx="73">
                  <c:v>1.5111543879273565E-2</c:v>
                </c:pt>
                <c:pt idx="74">
                  <c:v>1.5398176363088727E-2</c:v>
                </c:pt>
                <c:pt idx="75">
                  <c:v>1.5448076098559688E-2</c:v>
                </c:pt>
                <c:pt idx="76">
                  <c:v>1.527776773852612E-2</c:v>
                </c:pt>
                <c:pt idx="77">
                  <c:v>1.5260600435167691E-2</c:v>
                </c:pt>
                <c:pt idx="78">
                  <c:v>1.5027153578234609E-2</c:v>
                </c:pt>
                <c:pt idx="79">
                  <c:v>1.4763768345664475E-2</c:v>
                </c:pt>
                <c:pt idx="80">
                  <c:v>1.4600161385839115E-2</c:v>
                </c:pt>
                <c:pt idx="81">
                  <c:v>1.3597818015630618E-2</c:v>
                </c:pt>
                <c:pt idx="82">
                  <c:v>1.3372257199453039E-2</c:v>
                </c:pt>
                <c:pt idx="83">
                  <c:v>1.3527484528308802E-2</c:v>
                </c:pt>
                <c:pt idx="84">
                  <c:v>1.4548034569234338E-2</c:v>
                </c:pt>
                <c:pt idx="85">
                  <c:v>1.4407578587988128E-2</c:v>
                </c:pt>
                <c:pt idx="86">
                  <c:v>1.44272828900883E-2</c:v>
                </c:pt>
                <c:pt idx="87">
                  <c:v>1.4954068009836121E-2</c:v>
                </c:pt>
                <c:pt idx="88">
                  <c:v>1.5421462559337507E-2</c:v>
                </c:pt>
                <c:pt idx="89">
                  <c:v>1.6077497026092916E-2</c:v>
                </c:pt>
                <c:pt idx="90">
                  <c:v>1.6172882097826479E-2</c:v>
                </c:pt>
                <c:pt idx="91">
                  <c:v>1.6080800529201442E-2</c:v>
                </c:pt>
                <c:pt idx="92">
                  <c:v>1.652657616844384E-2</c:v>
                </c:pt>
                <c:pt idx="93">
                  <c:v>1.6395383363299654E-2</c:v>
                </c:pt>
                <c:pt idx="94">
                  <c:v>1.6596036779208952E-2</c:v>
                </c:pt>
                <c:pt idx="95">
                  <c:v>1.6550909428011205E-2</c:v>
                </c:pt>
                <c:pt idx="96">
                  <c:v>1.5995933963438319E-2</c:v>
                </c:pt>
                <c:pt idx="97">
                  <c:v>1.5873767814687419E-2</c:v>
                </c:pt>
                <c:pt idx="98">
                  <c:v>1.485206250633762E-2</c:v>
                </c:pt>
                <c:pt idx="99">
                  <c:v>1.5806159707404885E-2</c:v>
                </c:pt>
                <c:pt idx="100">
                  <c:v>1.6172902515265854E-2</c:v>
                </c:pt>
                <c:pt idx="101">
                  <c:v>1.5757336623065873E-2</c:v>
                </c:pt>
                <c:pt idx="102">
                  <c:v>1.6030574559660535E-2</c:v>
                </c:pt>
                <c:pt idx="103">
                  <c:v>1.6712786244025602E-2</c:v>
                </c:pt>
                <c:pt idx="104">
                  <c:v>1.6820728798525215E-2</c:v>
                </c:pt>
                <c:pt idx="105">
                  <c:v>1.70526525794851E-2</c:v>
                </c:pt>
                <c:pt idx="106">
                  <c:v>1.7468900654136081E-2</c:v>
                </c:pt>
                <c:pt idx="107">
                  <c:v>1.7777035148577962E-2</c:v>
                </c:pt>
                <c:pt idx="108">
                  <c:v>1.7940738349677975E-2</c:v>
                </c:pt>
                <c:pt idx="109">
                  <c:v>1.7909665397838094E-2</c:v>
                </c:pt>
                <c:pt idx="110">
                  <c:v>1.8017959179561026E-2</c:v>
                </c:pt>
                <c:pt idx="111">
                  <c:v>1.792561042055164E-2</c:v>
                </c:pt>
                <c:pt idx="112">
                  <c:v>1.784013044568555E-2</c:v>
                </c:pt>
                <c:pt idx="113">
                  <c:v>1.7942235594163931E-2</c:v>
                </c:pt>
                <c:pt idx="114">
                  <c:v>1.7802450836501459E-2</c:v>
                </c:pt>
                <c:pt idx="115">
                  <c:v>1.6633583648277644E-2</c:v>
                </c:pt>
                <c:pt idx="116">
                  <c:v>1.6178310017334181E-2</c:v>
                </c:pt>
                <c:pt idx="117">
                  <c:v>1.5950467172862963E-2</c:v>
                </c:pt>
                <c:pt idx="118">
                  <c:v>1.367424578979253E-2</c:v>
                </c:pt>
                <c:pt idx="119">
                  <c:v>1.4444490677285099E-2</c:v>
                </c:pt>
                <c:pt idx="120">
                  <c:v>1.3707297313135695E-2</c:v>
                </c:pt>
                <c:pt idx="121">
                  <c:v>1.225901050612609E-2</c:v>
                </c:pt>
                <c:pt idx="122">
                  <c:v>9.7362491345227876E-3</c:v>
                </c:pt>
                <c:pt idx="123">
                  <c:v>7.5883799042894221E-3</c:v>
                </c:pt>
                <c:pt idx="124">
                  <c:v>6.4567462769253743E-3</c:v>
                </c:pt>
                <c:pt idx="125">
                  <c:v>6.7130326537418348E-3</c:v>
                </c:pt>
                <c:pt idx="126">
                  <c:v>6.6929237157467483E-3</c:v>
                </c:pt>
                <c:pt idx="127">
                  <c:v>6.3899585087661241E-3</c:v>
                </c:pt>
                <c:pt idx="128">
                  <c:v>5.7516957070029148E-3</c:v>
                </c:pt>
                <c:pt idx="129">
                  <c:v>7.0948393605515681E-3</c:v>
                </c:pt>
                <c:pt idx="130">
                  <c:v>6.3797373646894695E-3</c:v>
                </c:pt>
                <c:pt idx="131">
                  <c:v>4.6815952859139221E-3</c:v>
                </c:pt>
                <c:pt idx="132">
                  <c:v>4.0780874399309365E-3</c:v>
                </c:pt>
                <c:pt idx="133">
                  <c:v>6.2627040609190823E-3</c:v>
                </c:pt>
                <c:pt idx="134">
                  <c:v>5.5042360675193096E-3</c:v>
                </c:pt>
                <c:pt idx="135">
                  <c:v>7.7608479943412842E-3</c:v>
                </c:pt>
                <c:pt idx="136">
                  <c:v>6.8650033220499368E-3</c:v>
                </c:pt>
                <c:pt idx="137">
                  <c:v>6.2811938793705634E-3</c:v>
                </c:pt>
                <c:pt idx="138">
                  <c:v>5.7366780673672197E-3</c:v>
                </c:pt>
                <c:pt idx="139">
                  <c:v>3.9307776223566123E-3</c:v>
                </c:pt>
                <c:pt idx="140">
                  <c:v>3.0474163791626057E-3</c:v>
                </c:pt>
                <c:pt idx="141">
                  <c:v>2.6340292597002582E-3</c:v>
                </c:pt>
                <c:pt idx="142">
                  <c:v>1.9503307275237616E-3</c:v>
                </c:pt>
                <c:pt idx="143">
                  <c:v>1.3863973491086362E-3</c:v>
                </c:pt>
                <c:pt idx="144">
                  <c:v>6.2020875358271719E-4</c:v>
                </c:pt>
                <c:pt idx="145">
                  <c:v>2.6852809276511533E-4</c:v>
                </c:pt>
                <c:pt idx="146">
                  <c:v>3.3271094227707668E-4</c:v>
                </c:pt>
                <c:pt idx="147">
                  <c:v>4.9645571693991675E-4</c:v>
                </c:pt>
                <c:pt idx="148">
                  <c:v>3.0711262486808328E-4</c:v>
                </c:pt>
                <c:pt idx="149">
                  <c:v>2.4547236188045122E-4</c:v>
                </c:pt>
                <c:pt idx="150">
                  <c:v>4.0547906434299126E-4</c:v>
                </c:pt>
                <c:pt idx="151">
                  <c:v>2.0949937535257292E-4</c:v>
                </c:pt>
                <c:pt idx="152">
                  <c:v>1.6280589036952057E-4</c:v>
                </c:pt>
                <c:pt idx="153">
                  <c:v>8.5766860212680104E-5</c:v>
                </c:pt>
                <c:pt idx="154">
                  <c:v>8.7646018275272769E-5</c:v>
                </c:pt>
                <c:pt idx="155">
                  <c:v>4.0949390373383613E-5</c:v>
                </c:pt>
                <c:pt idx="156">
                  <c:v>4.0854172412475619E-5</c:v>
                </c:pt>
                <c:pt idx="157">
                  <c:v>3.5518314447997705E-5</c:v>
                </c:pt>
                <c:pt idx="158">
                  <c:v>5.2117642086727167E-5</c:v>
                </c:pt>
                <c:pt idx="159">
                  <c:v>6.6733385669787691E-5</c:v>
                </c:pt>
                <c:pt idx="160">
                  <c:v>2.816530576346674E-5</c:v>
                </c:pt>
                <c:pt idx="161">
                  <c:v>1.973010684566347E-5</c:v>
                </c:pt>
                <c:pt idx="162">
                  <c:v>2.8709686996129163E-5</c:v>
                </c:pt>
                <c:pt idx="163">
                  <c:v>8.4200559880365526E-5</c:v>
                </c:pt>
                <c:pt idx="164">
                  <c:v>1.1897378439765413E-4</c:v>
                </c:pt>
                <c:pt idx="165">
                  <c:v>1.0913298736182988E-4</c:v>
                </c:pt>
                <c:pt idx="166">
                  <c:v>1.7042609901644866E-4</c:v>
                </c:pt>
                <c:pt idx="167">
                  <c:v>1.012470112340052E-4</c:v>
                </c:pt>
                <c:pt idx="168">
                  <c:v>5.5857441139776581E-5</c:v>
                </c:pt>
                <c:pt idx="169">
                  <c:v>4.7807551726119576E-5</c:v>
                </c:pt>
                <c:pt idx="170">
                  <c:v>1.0470035861535522E-4</c:v>
                </c:pt>
                <c:pt idx="171">
                  <c:v>1.1915307278050524E-4</c:v>
                </c:pt>
                <c:pt idx="172">
                  <c:v>2.1458436733587578E-4</c:v>
                </c:pt>
                <c:pt idx="173">
                  <c:v>2.4131458428154788E-4</c:v>
                </c:pt>
                <c:pt idx="174">
                  <c:v>2.7442895546921146E-4</c:v>
                </c:pt>
                <c:pt idx="175">
                  <c:v>1.917875573891029E-4</c:v>
                </c:pt>
                <c:pt idx="176">
                  <c:v>1.5045762210670233E-4</c:v>
                </c:pt>
                <c:pt idx="177">
                  <c:v>1.6180847172597718E-4</c:v>
                </c:pt>
                <c:pt idx="178">
                  <c:v>1.2090593379383187E-4</c:v>
                </c:pt>
                <c:pt idx="179">
                  <c:v>1.2613697552213228E-4</c:v>
                </c:pt>
                <c:pt idx="180">
                  <c:v>1.5453030639517453E-4</c:v>
                </c:pt>
                <c:pt idx="181">
                  <c:v>4.8722119189828497E-5</c:v>
                </c:pt>
                <c:pt idx="182">
                  <c:v>3.8343144475036984E-5</c:v>
                </c:pt>
                <c:pt idx="183">
                  <c:v>5.4512133943292854E-5</c:v>
                </c:pt>
                <c:pt idx="184">
                  <c:v>1.4843840365347661E-4</c:v>
                </c:pt>
                <c:pt idx="185">
                  <c:v>2.591675537838085E-4</c:v>
                </c:pt>
                <c:pt idx="186">
                  <c:v>2.3588506819589733E-4</c:v>
                </c:pt>
                <c:pt idx="187">
                  <c:v>2.5624558024755877E-4</c:v>
                </c:pt>
                <c:pt idx="188">
                  <c:v>2.1882854222380775E-4</c:v>
                </c:pt>
                <c:pt idx="189">
                  <c:v>2.2458741607275424E-4</c:v>
                </c:pt>
                <c:pt idx="190">
                  <c:v>1.6873056754746369E-5</c:v>
                </c:pt>
                <c:pt idx="191">
                  <c:v>9.421225028124206E-5</c:v>
                </c:pt>
                <c:pt idx="192">
                  <c:v>1.3429255874820365E-4</c:v>
                </c:pt>
                <c:pt idx="193">
                  <c:v>7.3587809002063266E-6</c:v>
                </c:pt>
                <c:pt idx="194">
                  <c:v>1.2657214682987087E-6</c:v>
                </c:pt>
                <c:pt idx="195">
                  <c:v>1.0063959858130233E-6</c:v>
                </c:pt>
                <c:pt idx="196">
                  <c:v>5.2373890332850844E-7</c:v>
                </c:pt>
                <c:pt idx="197">
                  <c:v>1.4212357104423408E-12</c:v>
                </c:pt>
                <c:pt idx="198">
                  <c:v>1.6764364887276866E-18</c:v>
                </c:pt>
                <c:pt idx="199">
                  <c:v>2.6555686078754208E-39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6F-A042-95FC-55F7BE55D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7448624"/>
        <c:axId val="-967487568"/>
      </c:scatterChart>
      <c:valAx>
        <c:axId val="-967453776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967451456"/>
        <c:crosses val="autoZero"/>
        <c:crossBetween val="midCat"/>
      </c:valAx>
      <c:valAx>
        <c:axId val="-967451456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967453776"/>
        <c:crosses val="autoZero"/>
        <c:crossBetween val="midCat"/>
      </c:valAx>
      <c:valAx>
        <c:axId val="-967448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67487568"/>
        <c:crosses val="autoZero"/>
        <c:crossBetween val="midCat"/>
      </c:valAx>
      <c:valAx>
        <c:axId val="-967487568"/>
        <c:scaling>
          <c:orientation val="minMax"/>
        </c:scaling>
        <c:delete val="0"/>
        <c:axPos val="r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967448624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916247708901101"/>
          <c:y val="0.90879203986744195"/>
          <c:w val="0.57392729244238705"/>
          <c:h val="8.1853846271706499E-2"/>
        </c:manualLayout>
      </c:layout>
      <c:overlay val="1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 sz="1200" b="1" i="0" u="none" strike="noStrike" baseline="0"/>
              <a:t>Call Option: Uncertain Volatility vs. </a:t>
            </a:r>
            <a:r>
              <a:rPr lang="en-GB"/>
              <a:t>Black-Scholes</a:t>
            </a:r>
            <a:r>
              <a:rPr lang="en-GB" baseline="0"/>
              <a:t> </a:t>
            </a:r>
            <a:endParaRPr lang="en-GB"/>
          </a:p>
        </c:rich>
      </c:tx>
      <c:layout>
        <c:manualLayout>
          <c:xMode val="edge"/>
          <c:yMode val="edge"/>
          <c:x val="0.216828818727756"/>
          <c:y val="7.05596107055961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7670025646657606E-2"/>
          <c:y val="0.17274980219216199"/>
          <c:w val="0.88026029066211997"/>
          <c:h val="0.6982984961852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'Uncertain Vol.'!$L$1</c:f>
              <c:strCache>
                <c:ptCount val="1"/>
                <c:pt idx="0">
                  <c:v>payoff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Vol.'!$L$2:$L$101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4</c:v>
                </c:pt>
                <c:pt idx="53">
                  <c:v>6</c:v>
                </c:pt>
                <c:pt idx="54">
                  <c:v>8</c:v>
                </c:pt>
                <c:pt idx="55">
                  <c:v>10</c:v>
                </c:pt>
                <c:pt idx="56">
                  <c:v>12</c:v>
                </c:pt>
                <c:pt idx="57">
                  <c:v>14</c:v>
                </c:pt>
                <c:pt idx="58">
                  <c:v>16</c:v>
                </c:pt>
                <c:pt idx="59">
                  <c:v>18</c:v>
                </c:pt>
                <c:pt idx="60">
                  <c:v>20</c:v>
                </c:pt>
                <c:pt idx="61">
                  <c:v>22</c:v>
                </c:pt>
                <c:pt idx="62">
                  <c:v>24</c:v>
                </c:pt>
                <c:pt idx="63">
                  <c:v>26</c:v>
                </c:pt>
                <c:pt idx="64">
                  <c:v>28</c:v>
                </c:pt>
                <c:pt idx="65">
                  <c:v>30</c:v>
                </c:pt>
                <c:pt idx="66">
                  <c:v>32</c:v>
                </c:pt>
                <c:pt idx="67">
                  <c:v>34</c:v>
                </c:pt>
                <c:pt idx="68">
                  <c:v>36</c:v>
                </c:pt>
                <c:pt idx="69">
                  <c:v>38</c:v>
                </c:pt>
                <c:pt idx="70">
                  <c:v>40</c:v>
                </c:pt>
                <c:pt idx="71">
                  <c:v>42</c:v>
                </c:pt>
                <c:pt idx="72">
                  <c:v>44</c:v>
                </c:pt>
                <c:pt idx="73">
                  <c:v>46</c:v>
                </c:pt>
                <c:pt idx="74">
                  <c:v>48</c:v>
                </c:pt>
                <c:pt idx="75">
                  <c:v>50</c:v>
                </c:pt>
                <c:pt idx="76">
                  <c:v>52</c:v>
                </c:pt>
                <c:pt idx="77">
                  <c:v>54</c:v>
                </c:pt>
                <c:pt idx="78">
                  <c:v>56</c:v>
                </c:pt>
                <c:pt idx="79">
                  <c:v>58</c:v>
                </c:pt>
                <c:pt idx="80">
                  <c:v>60</c:v>
                </c:pt>
                <c:pt idx="81">
                  <c:v>62</c:v>
                </c:pt>
                <c:pt idx="82">
                  <c:v>64</c:v>
                </c:pt>
                <c:pt idx="83">
                  <c:v>66</c:v>
                </c:pt>
                <c:pt idx="84">
                  <c:v>68</c:v>
                </c:pt>
                <c:pt idx="85">
                  <c:v>70</c:v>
                </c:pt>
                <c:pt idx="86">
                  <c:v>72</c:v>
                </c:pt>
                <c:pt idx="87">
                  <c:v>74</c:v>
                </c:pt>
                <c:pt idx="88">
                  <c:v>76</c:v>
                </c:pt>
                <c:pt idx="89">
                  <c:v>78</c:v>
                </c:pt>
                <c:pt idx="90">
                  <c:v>80</c:v>
                </c:pt>
                <c:pt idx="91">
                  <c:v>82</c:v>
                </c:pt>
                <c:pt idx="92">
                  <c:v>84</c:v>
                </c:pt>
                <c:pt idx="93">
                  <c:v>86</c:v>
                </c:pt>
                <c:pt idx="94">
                  <c:v>88</c:v>
                </c:pt>
                <c:pt idx="95">
                  <c:v>90</c:v>
                </c:pt>
                <c:pt idx="96">
                  <c:v>92</c:v>
                </c:pt>
                <c:pt idx="97">
                  <c:v>94</c:v>
                </c:pt>
                <c:pt idx="98">
                  <c:v>96</c:v>
                </c:pt>
                <c:pt idx="99">
                  <c:v>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2F-EC4E-9315-3D38BB3150B5}"/>
            </c:ext>
          </c:extLst>
        </c:ser>
        <c:ser>
          <c:idx val="1"/>
          <c:order val="1"/>
          <c:tx>
            <c:strRef>
              <c:f>'Uncertain Vol.'!$M$1</c:f>
              <c:strCache>
                <c:ptCount val="1"/>
                <c:pt idx="0">
                  <c:v>UV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Vol.'!$M$2:$M$101</c:f>
              <c:numCache>
                <c:formatCode>0.0000</c:formatCode>
                <c:ptCount val="100"/>
                <c:pt idx="0">
                  <c:v>0</c:v>
                </c:pt>
                <c:pt idx="1">
                  <c:v>2.2544624073056298E-40</c:v>
                </c:pt>
                <c:pt idx="2">
                  <c:v>4.2958761208341698E-37</c:v>
                </c:pt>
                <c:pt idx="3">
                  <c:v>2.7443709690886624E-34</c:v>
                </c:pt>
                <c:pt idx="4">
                  <c:v>8.6558074255347441E-32</c:v>
                </c:pt>
                <c:pt idx="5">
                  <c:v>1.6051261312859586E-29</c:v>
                </c:pt>
                <c:pt idx="6">
                  <c:v>1.9369655663212971E-27</c:v>
                </c:pt>
                <c:pt idx="7">
                  <c:v>1.6261350402759054E-25</c:v>
                </c:pt>
                <c:pt idx="8">
                  <c:v>9.9594533212179348E-24</c:v>
                </c:pt>
                <c:pt idx="9">
                  <c:v>4.6112312897593474E-22</c:v>
                </c:pt>
                <c:pt idx="10">
                  <c:v>1.6594122098146663E-20</c:v>
                </c:pt>
                <c:pt idx="11">
                  <c:v>4.7461466385313518E-19</c:v>
                </c:pt>
                <c:pt idx="12">
                  <c:v>1.0989369073054653E-17</c:v>
                </c:pt>
                <c:pt idx="13">
                  <c:v>2.0921190069822161E-16</c:v>
                </c:pt>
                <c:pt idx="14">
                  <c:v>3.318687406954774E-15</c:v>
                </c:pt>
                <c:pt idx="15">
                  <c:v>4.43774415207013E-14</c:v>
                </c:pt>
                <c:pt idx="16">
                  <c:v>5.0541655533939644E-13</c:v>
                </c:pt>
                <c:pt idx="17">
                  <c:v>4.9482258776300384E-12</c:v>
                </c:pt>
                <c:pt idx="18">
                  <c:v>4.199738293320528E-11</c:v>
                </c:pt>
                <c:pt idx="19">
                  <c:v>3.1141303493047954E-10</c:v>
                </c:pt>
                <c:pt idx="20">
                  <c:v>2.0320158712333621E-9</c:v>
                </c:pt>
                <c:pt idx="21">
                  <c:v>1.1747213583690334E-8</c:v>
                </c:pt>
                <c:pt idx="22">
                  <c:v>6.0554020816100939E-8</c:v>
                </c:pt>
                <c:pt idx="23">
                  <c:v>2.8002773172814576E-7</c:v>
                </c:pt>
                <c:pt idx="24">
                  <c:v>1.168542195932668E-6</c:v>
                </c:pt>
                <c:pt idx="25">
                  <c:v>4.4249463993535491E-6</c:v>
                </c:pt>
                <c:pt idx="26">
                  <c:v>1.5287482192303919E-5</c:v>
                </c:pt>
                <c:pt idx="27">
                  <c:v>4.8438149616589388E-5</c:v>
                </c:pt>
                <c:pt idx="28">
                  <c:v>1.4146230453167418E-4</c:v>
                </c:pt>
                <c:pt idx="29">
                  <c:v>3.8264293422298471E-4</c:v>
                </c:pt>
                <c:pt idx="30">
                  <c:v>9.6308600074236563E-4</c:v>
                </c:pt>
                <c:pt idx="31">
                  <c:v>2.2656529191287258E-3</c:v>
                </c:pt>
                <c:pt idx="32">
                  <c:v>5.0030663952406436E-3</c:v>
                </c:pt>
                <c:pt idx="33">
                  <c:v>1.0412852416255015E-2</c:v>
                </c:pt>
                <c:pt idx="34">
                  <c:v>2.0506313934113923E-2</c:v>
                </c:pt>
                <c:pt idx="35">
                  <c:v>3.8353211403568746E-2</c:v>
                </c:pt>
                <c:pt idx="36">
                  <c:v>6.8366351210363857E-2</c:v>
                </c:pt>
                <c:pt idx="37">
                  <c:v>0.11653584021828281</c:v>
                </c:pt>
                <c:pt idx="38">
                  <c:v>0.19055670561792035</c:v>
                </c:pt>
                <c:pt idx="39">
                  <c:v>0.29979963926572611</c:v>
                </c:pt>
                <c:pt idx="40">
                  <c:v>0.45509332595625035</c:v>
                </c:pt>
                <c:pt idx="41">
                  <c:v>0.66831497309454324</c:v>
                </c:pt>
                <c:pt idx="42">
                  <c:v>0.95181723131057627</c:v>
                </c:pt>
                <c:pt idx="43">
                  <c:v>1.3177475971893169</c:v>
                </c:pt>
                <c:pt idx="44">
                  <c:v>1.7773345697251925</c:v>
                </c:pt>
                <c:pt idx="45">
                  <c:v>2.3402198611316662</c:v>
                </c:pt>
                <c:pt idx="46">
                  <c:v>3.0139076707286923</c:v>
                </c:pt>
                <c:pt idx="47">
                  <c:v>3.8033831493922849</c:v>
                </c:pt>
                <c:pt idx="48">
                  <c:v>4.7109272716747768</c:v>
                </c:pt>
                <c:pt idx="49">
                  <c:v>5.7361294449367133</c:v>
                </c:pt>
                <c:pt idx="50">
                  <c:v>6.8760766824844906</c:v>
                </c:pt>
                <c:pt idx="51">
                  <c:v>8.1256819690280224</c:v>
                </c:pt>
                <c:pt idx="52">
                  <c:v>9.4781057731176528</c:v>
                </c:pt>
                <c:pt idx="53">
                  <c:v>10.925223211421688</c:v>
                </c:pt>
                <c:pt idx="54">
                  <c:v>12.458093759675656</c:v>
                </c:pt>
                <c:pt idx="55">
                  <c:v>14.067398697316614</c:v>
                </c:pt>
                <c:pt idx="56">
                  <c:v>15.743821655874514</c:v>
                </c:pt>
                <c:pt idx="57">
                  <c:v>17.478357978069599</c:v>
                </c:pt>
                <c:pt idx="58">
                  <c:v>19.262547813644169</c:v>
                </c:pt>
                <c:pt idx="59">
                  <c:v>21.088635223765468</c:v>
                </c:pt>
                <c:pt idx="60">
                  <c:v>22.949660748211301</c:v>
                </c:pt>
                <c:pt idx="61">
                  <c:v>24.839497975829232</c:v>
                </c:pt>
                <c:pt idx="62">
                  <c:v>26.752845947776809</c:v>
                </c:pt>
                <c:pt idx="63">
                  <c:v>28.685189128418195</c:v>
                </c:pt>
                <c:pt idx="64">
                  <c:v>30.632735636795058</c:v>
                </c:pt>
                <c:pt idx="65">
                  <c:v>32.592342839061018</c:v>
                </c:pt>
                <c:pt idx="66">
                  <c:v>34.561437582074426</c:v>
                </c:pt>
                <c:pt idx="67">
                  <c:v>36.537936537596181</c:v>
                </c:pt>
                <c:pt idx="68">
                  <c:v>38.520170480070419</c:v>
                </c:pt>
                <c:pt idx="69">
                  <c:v>40.506814923799844</c:v>
                </c:pt>
                <c:pt idx="70">
                  <c:v>42.49682842891189</c:v>
                </c:pt>
                <c:pt idx="71">
                  <c:v>44.489399044106122</c:v>
                </c:pt>
                <c:pt idx="72">
                  <c:v>46.483898759219876</c:v>
                </c:pt>
                <c:pt idx="73">
                  <c:v>48.479845452155722</c:v>
                </c:pt>
                <c:pt idx="74">
                  <c:v>50.476871589454099</c:v>
                </c:pt>
                <c:pt idx="75">
                  <c:v>52.474698836647363</c:v>
                </c:pt>
                <c:pt idx="76">
                  <c:v>54.473117717500713</c:v>
                </c:pt>
                <c:pt idx="77">
                  <c:v>56.471971500766628</c:v>
                </c:pt>
                <c:pt idx="78">
                  <c:v>58.471143566163377</c:v>
                </c:pt>
                <c:pt idx="79">
                  <c:v>60.470547590978313</c:v>
                </c:pt>
                <c:pt idx="80">
                  <c:v>62.470119993159727</c:v>
                </c:pt>
                <c:pt idx="81">
                  <c:v>64.469814158279348</c:v>
                </c:pt>
                <c:pt idx="82">
                  <c:v>66.469596061731124</c:v>
                </c:pt>
                <c:pt idx="83">
                  <c:v>68.469440971662621</c:v>
                </c:pt>
                <c:pt idx="84">
                  <c:v>70.469330981649861</c:v>
                </c:pt>
                <c:pt idx="85">
                  <c:v>72.469253175266417</c:v>
                </c:pt>
                <c:pt idx="86">
                  <c:v>74.469198268289688</c:v>
                </c:pt>
                <c:pt idx="87">
                  <c:v>76.469159609458984</c:v>
                </c:pt>
                <c:pt idx="88">
                  <c:v>78.469132448669782</c:v>
                </c:pt>
                <c:pt idx="89">
                  <c:v>80.469113403455836</c:v>
                </c:pt>
                <c:pt idx="90">
                  <c:v>82.469100071669857</c:v>
                </c:pt>
                <c:pt idx="91">
                  <c:v>84.469090751390709</c:v>
                </c:pt>
                <c:pt idx="92">
                  <c:v>86.469084239079962</c:v>
                </c:pt>
                <c:pt idx="93">
                  <c:v>88.469079684563596</c:v>
                </c:pt>
                <c:pt idx="94">
                  <c:v>90.469076487080002</c:v>
                </c:pt>
                <c:pt idx="95">
                  <c:v>92.469074220853841</c:v>
                </c:pt>
                <c:pt idx="96">
                  <c:v>94.469072581776089</c:v>
                </c:pt>
                <c:pt idx="97">
                  <c:v>96.46907134906472</c:v>
                </c:pt>
                <c:pt idx="98">
                  <c:v>98.469070357455038</c:v>
                </c:pt>
                <c:pt idx="99">
                  <c:v>100.46906947668487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2F-EC4E-9315-3D38BB3150B5}"/>
            </c:ext>
          </c:extLst>
        </c:ser>
        <c:ser>
          <c:idx val="2"/>
          <c:order val="2"/>
          <c:tx>
            <c:strRef>
              <c:f>'Uncertain Vol.'!$N$1</c:f>
              <c:strCache>
                <c:ptCount val="1"/>
                <c:pt idx="0">
                  <c:v>BS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'Uncertain Vol.'!$N$2:$N$102</c:f>
              <c:numCache>
                <c:formatCode>0.0000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3.3306690738754696E-15</c:v>
                </c:pt>
                <c:pt idx="16">
                  <c:v>5.7456340104937602E-15</c:v>
                </c:pt>
                <c:pt idx="17">
                  <c:v>5.3117304611292542E-14</c:v>
                </c:pt>
                <c:pt idx="18">
                  <c:v>1.0230951254565479E-12</c:v>
                </c:pt>
                <c:pt idx="19">
                  <c:v>1.6095682188097928E-11</c:v>
                </c:pt>
                <c:pt idx="20">
                  <c:v>1.930216996562394E-10</c:v>
                </c:pt>
                <c:pt idx="21">
                  <c:v>1.8242997026938244E-9</c:v>
                </c:pt>
                <c:pt idx="22">
                  <c:v>1.3970713350862492E-8</c:v>
                </c:pt>
                <c:pt idx="23">
                  <c:v>8.8771985901954796E-8</c:v>
                </c:pt>
                <c:pt idx="24">
                  <c:v>4.7763169975743993E-7</c:v>
                </c:pt>
                <c:pt idx="25">
                  <c:v>2.2144978938359991E-6</c:v>
                </c:pt>
                <c:pt idx="26">
                  <c:v>8.9829114202776179E-6</c:v>
                </c:pt>
                <c:pt idx="27">
                  <c:v>3.2305009845541533E-5</c:v>
                </c:pt>
                <c:pt idx="28">
                  <c:v>1.0420191214526855E-4</c:v>
                </c:pt>
                <c:pt idx="29">
                  <c:v>3.0456287098686377E-4</c:v>
                </c:pt>
                <c:pt idx="30">
                  <c:v>8.139652850463891E-4</c:v>
                </c:pt>
                <c:pt idx="31">
                  <c:v>2.0052025005018251E-3</c:v>
                </c:pt>
                <c:pt idx="32">
                  <c:v>4.5862166887150752E-3</c:v>
                </c:pt>
                <c:pt idx="33">
                  <c:v>9.8014708990293298E-3</c:v>
                </c:pt>
                <c:pt idx="34">
                  <c:v>1.9687169983491071E-2</c:v>
                </c:pt>
                <c:pt idx="35">
                  <c:v>3.7359440651769993E-2</c:v>
                </c:pt>
                <c:pt idx="36">
                  <c:v>6.7297256549429418E-2</c:v>
                </c:pt>
                <c:pt idx="37">
                  <c:v>0.11556871246050759</c:v>
                </c:pt>
                <c:pt idx="38">
                  <c:v>0.18994520352937494</c:v>
                </c:pt>
                <c:pt idx="39">
                  <c:v>0.29985610463308454</c:v>
                </c:pt>
                <c:pt idx="40">
                  <c:v>0.45615635982011149</c:v>
                </c:pt>
                <c:pt idx="41">
                  <c:v>0.67070732469980854</c:v>
                </c:pt>
                <c:pt idx="42">
                  <c:v>0.95580132769995352</c:v>
                </c:pt>
                <c:pt idx="43">
                  <c:v>1.3234862974145862</c:v>
                </c:pt>
                <c:pt idx="44">
                  <c:v>1.78486329032825</c:v>
                </c:pt>
                <c:pt idx="45">
                  <c:v>2.3494341850316296</c:v>
                </c:pt>
                <c:pt idx="46">
                  <c:v>3.0245693680775005</c:v>
                </c:pt>
                <c:pt idx="47">
                  <c:v>3.8151484910708291</c:v>
                </c:pt>
                <c:pt idx="48">
                  <c:v>4.7234053100201905</c:v>
                </c:pt>
                <c:pt idx="49">
                  <c:v>5.7489146267422626</c:v>
                </c:pt>
                <c:pt idx="50">
                  <c:v>6.8887182220808114</c:v>
                </c:pt>
                <c:pt idx="51">
                  <c:v>8.1378429106297432</c:v>
                </c:pt>
                <c:pt idx="52">
                  <c:v>9.4894820162950069</c:v>
                </c:pt>
                <c:pt idx="53">
                  <c:v>10.935584394802987</c:v>
                </c:pt>
                <c:pt idx="54">
                  <c:v>12.467296157216609</c:v>
                </c:pt>
                <c:pt idx="55">
                  <c:v>14.075380149176652</c:v>
                </c:pt>
                <c:pt idx="56">
                  <c:v>15.750588470135213</c:v>
                </c:pt>
                <c:pt idx="57">
                  <c:v>17.483969057349725</c:v>
                </c:pt>
                <c:pt idx="58">
                  <c:v>19.267098798317889</c:v>
                </c:pt>
                <c:pt idx="59">
                  <c:v>21.092244136402059</c:v>
                </c:pt>
                <c:pt idx="60">
                  <c:v>22.952455889941064</c:v>
                </c:pt>
                <c:pt idx="61">
                  <c:v>24.841608373259191</c:v>
                </c:pt>
                <c:pt idx="62">
                  <c:v>26.754394347614507</c:v>
                </c:pt>
                <c:pt idx="63">
                  <c:v>28.686287333137415</c:v>
                </c:pt>
                <c:pt idx="64">
                  <c:v>30.633481847385454</c:v>
                </c:pt>
                <c:pt idx="65">
                  <c:v>32.59282060803946</c:v>
                </c:pt>
                <c:pt idx="66">
                  <c:v>34.561715969495623</c:v>
                </c:pt>
                <c:pt idx="67">
                  <c:v>36.538071091149845</c:v>
                </c:pt>
                <c:pt idx="68">
                  <c:v>38.520204713418394</c:v>
                </c:pt>
                <c:pt idx="69">
                  <c:v>40.506782032316707</c:v>
                </c:pt>
                <c:pt idx="70">
                  <c:v>42.496753048744964</c:v>
                </c:pt>
                <c:pt idx="71">
                  <c:v>44.489298921859856</c:v>
                </c:pt>
                <c:pt idx="72">
                  <c:v>46.483786251463471</c:v>
                </c:pt>
                <c:pt idx="73">
                  <c:v>48.479728814687334</c:v>
                </c:pt>
                <c:pt idx="74">
                  <c:v>50.47675604594555</c:v>
                </c:pt>
                <c:pt idx="75">
                  <c:v>52.474587436175227</c:v>
                </c:pt>
                <c:pt idx="76">
                  <c:v>54.473012002326854</c:v>
                </c:pt>
                <c:pt idx="77">
                  <c:v>56.471872011486965</c:v>
                </c:pt>
                <c:pt idx="78">
                  <c:v>58.47105021279279</c:v>
                </c:pt>
                <c:pt idx="79">
                  <c:v>60.470459917199321</c:v>
                </c:pt>
                <c:pt idx="80">
                  <c:v>62.470037358028833</c:v>
                </c:pt>
                <c:pt idx="81">
                  <c:v>64.469735856025423</c:v>
                </c:pt>
                <c:pt idx="82">
                  <c:v>66.469521396489284</c:v>
                </c:pt>
                <c:pt idx="83">
                  <c:v>68.469369300429165</c:v>
                </c:pt>
                <c:pt idx="84">
                  <c:v>70.46926173561684</c:v>
                </c:pt>
                <c:pt idx="85">
                  <c:v>72.469185867075353</c:v>
                </c:pt>
                <c:pt idx="86">
                  <c:v>74.469132490638046</c:v>
                </c:pt>
                <c:pt idx="87">
                  <c:v>76.469095028854667</c:v>
                </c:pt>
                <c:pt idx="88">
                  <c:v>78.469068796896181</c:v>
                </c:pt>
                <c:pt idx="89">
                  <c:v>80.469050468410956</c:v>
                </c:pt>
                <c:pt idx="90">
                  <c:v>82.469037688609603</c:v>
                </c:pt>
                <c:pt idx="91">
                  <c:v>84.469028795177735</c:v>
                </c:pt>
                <c:pt idx="92">
                  <c:v>86.469022617765759</c:v>
                </c:pt>
                <c:pt idx="93">
                  <c:v>88.469018334470903</c:v>
                </c:pt>
                <c:pt idx="94">
                  <c:v>90.469015369474533</c:v>
                </c:pt>
                <c:pt idx="95">
                  <c:v>92.469013320276034</c:v>
                </c:pt>
                <c:pt idx="96">
                  <c:v>94.469011906128031</c:v>
                </c:pt>
                <c:pt idx="97">
                  <c:v>96.46901093160433</c:v>
                </c:pt>
                <c:pt idx="98">
                  <c:v>98.469010260931171</c:v>
                </c:pt>
                <c:pt idx="99">
                  <c:v>100.46900979994984</c:v>
                </c:pt>
                <c:pt idx="100">
                  <c:v>102.46900948347353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2F-EC4E-9315-3D38BB315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7424784"/>
        <c:axId val="-967422032"/>
      </c:scatterChart>
      <c:valAx>
        <c:axId val="-9674247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967422032"/>
        <c:crosses val="autoZero"/>
        <c:crossBetween val="midCat"/>
      </c:valAx>
      <c:valAx>
        <c:axId val="-9674220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967424784"/>
        <c:crosses val="autoZero"/>
        <c:crossBetween val="midCat"/>
      </c:valAx>
      <c:spPr>
        <a:solidFill>
          <a:srgbClr val="FFCC99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9935326045409399"/>
          <c:y val="0.92457650822844195"/>
          <c:w val="0.43689388341020502"/>
          <c:h val="5.839441602646389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740434332988598E-2"/>
          <c:y val="3.5593220338983003E-2"/>
          <c:w val="0.81075491209927597"/>
          <c:h val="0.9288135593220340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'Uncertain Vol.'!$O$1</c:f>
              <c:strCache>
                <c:ptCount val="1"/>
                <c:pt idx="0">
                  <c:v>Worst Case</c:v>
                </c:pt>
              </c:strCache>
            </c:strRef>
          </c:tx>
          <c:spPr>
            <a:ln w="38100">
              <a:solidFill>
                <a:srgbClr val="00206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Vol.'!$O$2:$O$101</c:f>
              <c:numCache>
                <c:formatCode>0.0000</c:formatCode>
                <c:ptCount val="100"/>
                <c:pt idx="0">
                  <c:v>0</c:v>
                </c:pt>
                <c:pt idx="1">
                  <c:v>6.5999928942209183E-41</c:v>
                </c:pt>
                <c:pt idx="2">
                  <c:v>1.2460186635953301E-37</c:v>
                </c:pt>
                <c:pt idx="3">
                  <c:v>7.8832618108765562E-35</c:v>
                </c:pt>
                <c:pt idx="4">
                  <c:v>2.4613143558263484E-32</c:v>
                </c:pt>
                <c:pt idx="5">
                  <c:v>4.5160446488446657E-30</c:v>
                </c:pt>
                <c:pt idx="6">
                  <c:v>5.3893947263842175E-28</c:v>
                </c:pt>
                <c:pt idx="7">
                  <c:v>4.4720694373077566E-26</c:v>
                </c:pt>
                <c:pt idx="8">
                  <c:v>2.7056427496266355E-24</c:v>
                </c:pt>
                <c:pt idx="9">
                  <c:v>1.2367088376263686E-22</c:v>
                </c:pt>
                <c:pt idx="10">
                  <c:v>4.3907170219930363E-21</c:v>
                </c:pt>
                <c:pt idx="11">
                  <c:v>1.2380819060867765E-19</c:v>
                </c:pt>
                <c:pt idx="12">
                  <c:v>2.8241320476253375E-18</c:v>
                </c:pt>
                <c:pt idx="13">
                  <c:v>5.2924799938537336E-17</c:v>
                </c:pt>
                <c:pt idx="14">
                  <c:v>8.2572455604461484E-16</c:v>
                </c:pt>
                <c:pt idx="15">
                  <c:v>1.0850273400968663E-14</c:v>
                </c:pt>
                <c:pt idx="16">
                  <c:v>1.213189406858208E-13</c:v>
                </c:pt>
                <c:pt idx="17">
                  <c:v>1.1649244973377972E-12</c:v>
                </c:pt>
                <c:pt idx="18">
                  <c:v>9.6869056117737397E-12</c:v>
                </c:pt>
                <c:pt idx="19">
                  <c:v>7.0297001366058543E-11</c:v>
                </c:pt>
                <c:pt idx="20">
                  <c:v>4.4839866767771508E-10</c:v>
                </c:pt>
                <c:pt idx="21">
                  <c:v>2.5309717956863414E-9</c:v>
                </c:pt>
                <c:pt idx="22">
                  <c:v>1.2722352913728187E-8</c:v>
                </c:pt>
                <c:pt idx="23">
                  <c:v>5.7297288384834033E-8</c:v>
                </c:pt>
                <c:pt idx="24">
                  <c:v>2.3254312982911199E-7</c:v>
                </c:pt>
                <c:pt idx="25">
                  <c:v>8.5524982188859132E-7</c:v>
                </c:pt>
                <c:pt idx="26">
                  <c:v>2.8656967880624489E-6</c:v>
                </c:pt>
                <c:pt idx="27">
                  <c:v>8.7934563300850459E-6</c:v>
                </c:pt>
                <c:pt idx="28">
                  <c:v>2.4833935410589716E-5</c:v>
                </c:pt>
                <c:pt idx="29">
                  <c:v>6.4859561849831996E-5</c:v>
                </c:pt>
                <c:pt idx="30">
                  <c:v>1.5738112517821692E-4</c:v>
                </c:pt>
                <c:pt idx="31">
                  <c:v>3.5637741633169184E-4</c:v>
                </c:pt>
                <c:pt idx="32">
                  <c:v>7.5630246995005796E-4</c:v>
                </c:pt>
                <c:pt idx="33">
                  <c:v>1.5103479880940872E-3</c:v>
                </c:pt>
                <c:pt idx="34">
                  <c:v>2.8493253727151077E-3</c:v>
                </c:pt>
                <c:pt idx="35">
                  <c:v>5.0967943605067139E-3</c:v>
                </c:pt>
                <c:pt idx="36">
                  <c:v>8.674983735857034E-3</c:v>
                </c:pt>
                <c:pt idx="37">
                  <c:v>1.4096279746250818E-2</c:v>
                </c:pt>
                <c:pt idx="38">
                  <c:v>2.1936926366095288E-2</c:v>
                </c:pt>
                <c:pt idx="39">
                  <c:v>3.2792874616037443E-2</c:v>
                </c:pt>
                <c:pt idx="40">
                  <c:v>4.7221681161481129E-2</c:v>
                </c:pt>
                <c:pt idx="41">
                  <c:v>6.5677922612835768E-2</c:v>
                </c:pt>
                <c:pt idx="42">
                  <c:v>8.8451746769961731E-2</c:v>
                </c:pt>
                <c:pt idx="43">
                  <c:v>0.11562031030834174</c:v>
                </c:pt>
                <c:pt idx="44">
                  <c:v>0.14701992954651852</c:v>
                </c:pt>
                <c:pt idx="45">
                  <c:v>0.18224333245192104</c:v>
                </c:pt>
                <c:pt idx="46">
                  <c:v>0.22066231832569777</c:v>
                </c:pt>
                <c:pt idx="47">
                  <c:v>0.26147231021054779</c:v>
                </c:pt>
                <c:pt idx="48">
                  <c:v>0.30375240870138259</c:v>
                </c:pt>
                <c:pt idx="49">
                  <c:v>0.34653298523963311</c:v>
                </c:pt>
                <c:pt idx="50">
                  <c:v>0.38911034920044441</c:v>
                </c:pt>
                <c:pt idx="51">
                  <c:v>0.4310957607556305</c:v>
                </c:pt>
                <c:pt idx="52">
                  <c:v>0.47214110105950752</c:v>
                </c:pt>
                <c:pt idx="53">
                  <c:v>0.51194357001037283</c:v>
                </c:pt>
                <c:pt idx="54">
                  <c:v>0.55024824743658363</c:v>
                </c:pt>
                <c:pt idx="55">
                  <c:v>0.58684873828893591</c:v>
                </c:pt>
                <c:pt idx="56">
                  <c:v>0.62158617892061474</c:v>
                </c:pt>
                <c:pt idx="57">
                  <c:v>0.65434691113661669</c:v>
                </c:pt>
                <c:pt idx="58">
                  <c:v>0.68505913709111188</c:v>
                </c:pt>
                <c:pt idx="59">
                  <c:v>0.71368885589575537</c:v>
                </c:pt>
                <c:pt idx="60">
                  <c:v>0.74023535688709818</c:v>
                </c:pt>
                <c:pt idx="61">
                  <c:v>0.76472650963311162</c:v>
                </c:pt>
                <c:pt idx="62">
                  <c:v>0.78721405116105536</c:v>
                </c:pt>
                <c:pt idx="63">
                  <c:v>0.80776903004950096</c:v>
                </c:pt>
                <c:pt idx="64">
                  <c:v>0.82647752761546722</c:v>
                </c:pt>
                <c:pt idx="65">
                  <c:v>0.84343674031186211</c:v>
                </c:pt>
                <c:pt idx="66">
                  <c:v>0.85875147578470512</c:v>
                </c:pt>
                <c:pt idx="67">
                  <c:v>0.87253108838591631</c:v>
                </c:pt>
                <c:pt idx="68">
                  <c:v>0.8848868584000843</c:v>
                </c:pt>
                <c:pt idx="69">
                  <c:v>0.89592980259786148</c:v>
                </c:pt>
                <c:pt idx="70">
                  <c:v>0.90576889153379092</c:v>
                </c:pt>
                <c:pt idx="71">
                  <c:v>0.9145096406984452</c:v>
                </c:pt>
                <c:pt idx="72">
                  <c:v>0.92225303759807942</c:v>
                </c:pt>
                <c:pt idx="73">
                  <c:v>0.929094764454379</c:v>
                </c:pt>
                <c:pt idx="74">
                  <c:v>0.93512467591302639</c:v>
                </c:pt>
                <c:pt idx="75">
                  <c:v>0.94042649240117082</c:v>
                </c:pt>
                <c:pt idx="76">
                  <c:v>0.94507767212809701</c:v>
                </c:pt>
                <c:pt idx="77">
                  <c:v>0.94914942780087608</c:v>
                </c:pt>
                <c:pt idx="78">
                  <c:v>0.95270685761914087</c:v>
                </c:pt>
                <c:pt idx="79">
                  <c:v>0.95580916377788749</c:v>
                </c:pt>
                <c:pt idx="80">
                  <c:v>0.95850993536064277</c:v>
                </c:pt>
                <c:pt idx="81">
                  <c:v>0.9608574760143237</c:v>
                </c:pt>
                <c:pt idx="82">
                  <c:v>0.96289516007075915</c:v>
                </c:pt>
                <c:pt idx="83">
                  <c:v>0.96466180376156896</c:v>
                </c:pt>
                <c:pt idx="84">
                  <c:v>0.96619204083332966</c:v>
                </c:pt>
                <c:pt idx="85">
                  <c:v>0.96751669419971142</c:v>
                </c:pt>
                <c:pt idx="86">
                  <c:v>0.9686631372727047</c:v>
                </c:pt>
                <c:pt idx="87">
                  <c:v>0.9696556403128388</c:v>
                </c:pt>
                <c:pt idx="88">
                  <c:v>0.97051569855200592</c:v>
                </c:pt>
                <c:pt idx="89">
                  <c:v>0.97126233999966838</c:v>
                </c:pt>
                <c:pt idx="90">
                  <c:v>0.97191241177311205</c:v>
                </c:pt>
                <c:pt idx="91">
                  <c:v>0.97248084452442041</c:v>
                </c:pt>
                <c:pt idx="92">
                  <c:v>0.97298089509929331</c:v>
                </c:pt>
                <c:pt idx="93">
                  <c:v>0.97342436798225529</c:v>
                </c:pt>
                <c:pt idx="94">
                  <c:v>0.9738218163833795</c:v>
                </c:pt>
                <c:pt idx="95">
                  <c:v>0.97418272402508543</c:v>
                </c:pt>
                <c:pt idx="96">
                  <c:v>0.97451566881289886</c:v>
                </c:pt>
                <c:pt idx="97">
                  <c:v>0.974828469637808</c:v>
                </c:pt>
                <c:pt idx="98">
                  <c:v>0.9751283175740918</c:v>
                </c:pt>
                <c:pt idx="99">
                  <c:v>0.97542189271707802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F3-DF40-882B-DEE145ECFAD4}"/>
            </c:ext>
          </c:extLst>
        </c:ser>
        <c:ser>
          <c:idx val="2"/>
          <c:order val="1"/>
          <c:tx>
            <c:strRef>
              <c:f>'Uncertain Vol.'!$P$1</c:f>
              <c:strCache>
                <c:ptCount val="1"/>
                <c:pt idx="0">
                  <c:v>Best Case</c:v>
                </c:pt>
              </c:strCache>
            </c:strRef>
          </c:tx>
          <c:spPr>
            <a:ln w="38100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Vol.'!$P$2:$P$101</c:f>
              <c:numCache>
                <c:formatCode>0.0000</c:formatCode>
                <c:ptCount val="100"/>
                <c:pt idx="0">
                  <c:v>0</c:v>
                </c:pt>
                <c:pt idx="1">
                  <c:v>8.439180566126974E-30</c:v>
                </c:pt>
                <c:pt idx="2">
                  <c:v>9.3311098560869905E-27</c:v>
                </c:pt>
                <c:pt idx="3">
                  <c:v>3.0024145466304735E-24</c:v>
                </c:pt>
                <c:pt idx="4">
                  <c:v>4.429153545729096E-22</c:v>
                </c:pt>
                <c:pt idx="5">
                  <c:v>3.6629299317025716E-20</c:v>
                </c:pt>
                <c:pt idx="6">
                  <c:v>1.9054674509255224E-18</c:v>
                </c:pt>
                <c:pt idx="7">
                  <c:v>6.7226935582013928E-17</c:v>
                </c:pt>
                <c:pt idx="8">
                  <c:v>1.6972132298728506E-15</c:v>
                </c:pt>
                <c:pt idx="9">
                  <c:v>3.1929680220743E-14</c:v>
                </c:pt>
                <c:pt idx="10">
                  <c:v>4.622539551804347E-13</c:v>
                </c:pt>
                <c:pt idx="11">
                  <c:v>5.2879317307629288E-12</c:v>
                </c:pt>
                <c:pt idx="12">
                  <c:v>4.8883259117164865E-11</c:v>
                </c:pt>
                <c:pt idx="13">
                  <c:v>3.72376563596227E-10</c:v>
                </c:pt>
                <c:pt idx="14">
                  <c:v>2.3783147983616754E-9</c:v>
                </c:pt>
                <c:pt idx="15">
                  <c:v>1.2935457939712045E-8</c:v>
                </c:pt>
                <c:pt idx="16">
                  <c:v>6.0766009012966164E-8</c:v>
                </c:pt>
                <c:pt idx="17">
                  <c:v>2.4975711317990884E-7</c:v>
                </c:pt>
                <c:pt idx="18">
                  <c:v>9.088585896044854E-7</c:v>
                </c:pt>
                <c:pt idx="19">
                  <c:v>2.9601375585623226E-6</c:v>
                </c:pt>
                <c:pt idx="20">
                  <c:v>8.7153301929903514E-6</c:v>
                </c:pt>
                <c:pt idx="21">
                  <c:v>2.3407764492898838E-5</c:v>
                </c:pt>
                <c:pt idx="22">
                  <c:v>5.7828154313816793E-5</c:v>
                </c:pt>
                <c:pt idx="23">
                  <c:v>1.3240213521709696E-4</c:v>
                </c:pt>
                <c:pt idx="24">
                  <c:v>2.828761727001285E-4</c:v>
                </c:pt>
                <c:pt idx="25">
                  <c:v>5.6745625939128724E-4</c:v>
                </c:pt>
                <c:pt idx="26">
                  <c:v>1.0748167958096546E-3</c:v>
                </c:pt>
                <c:pt idx="27">
                  <c:v>1.9319636786185596E-3</c:v>
                </c:pt>
                <c:pt idx="28">
                  <c:v>3.3106187739334355E-3</c:v>
                </c:pt>
                <c:pt idx="29">
                  <c:v>5.4306995795183229E-3</c:v>
                </c:pt>
                <c:pt idx="30">
                  <c:v>8.5596529901942765E-3</c:v>
                </c:pt>
                <c:pt idx="31">
                  <c:v>1.300685080539769E-2</c:v>
                </c:pt>
                <c:pt idx="32">
                  <c:v>1.9112887323807226E-2</c:v>
                </c:pt>
                <c:pt idx="33">
                  <c:v>2.7234315543383892E-2</c:v>
                </c:pt>
                <c:pt idx="34">
                  <c:v>3.77249893012684E-2</c:v>
                </c:pt>
                <c:pt idx="35">
                  <c:v>5.0915637341290676E-2</c:v>
                </c:pt>
                <c:pt idx="36">
                  <c:v>6.7093517198530739E-2</c:v>
                </c:pt>
                <c:pt idx="37">
                  <c:v>8.6483966495523368E-2</c:v>
                </c:pt>
                <c:pt idx="38">
                  <c:v>0.10923541538082825</c:v>
                </c:pt>
                <c:pt idx="39">
                  <c:v>0.13540900610310316</c:v>
                </c:pt>
                <c:pt idx="40">
                  <c:v>0.1649734588305041</c:v>
                </c:pt>
                <c:pt idx="41">
                  <c:v>0.19780530164126442</c:v>
                </c:pt>
                <c:pt idx="42">
                  <c:v>0.23369411084780381</c:v>
                </c:pt>
                <c:pt idx="43">
                  <c:v>0.27235203139871839</c:v>
                </c:pt>
                <c:pt idx="44">
                  <c:v>0.31342659174745052</c:v>
                </c:pt>
                <c:pt idx="45">
                  <c:v>0.35651569973481778</c:v>
                </c:pt>
                <c:pt idx="46">
                  <c:v>0.40118369614261995</c:v>
                </c:pt>
                <c:pt idx="47">
                  <c:v>0.4469774296466314</c:v>
                </c:pt>
                <c:pt idx="48">
                  <c:v>0.49344147356508583</c:v>
                </c:pt>
                <c:pt idx="49">
                  <c:v>0.54013180209816047</c:v>
                </c:pt>
                <c:pt idx="50">
                  <c:v>0.58639016383841069</c:v>
                </c:pt>
                <c:pt idx="51">
                  <c:v>0.63133979370546145</c:v>
                </c:pt>
                <c:pt idx="52">
                  <c:v>0.67422208742500656</c:v>
                </c:pt>
                <c:pt idx="53">
                  <c:v>0.71442685310344722</c:v>
                </c:pt>
                <c:pt idx="54">
                  <c:v>0.75150666801725119</c:v>
                </c:pt>
                <c:pt idx="55">
                  <c:v>0.78517713011183032</c:v>
                </c:pt>
                <c:pt idx="56">
                  <c:v>0.81530583411294988</c:v>
                </c:pt>
                <c:pt idx="57">
                  <c:v>0.84189335521493158</c:v>
                </c:pt>
                <c:pt idx="58">
                  <c:v>0.8650495021057536</c:v>
                </c:pt>
                <c:pt idx="59">
                  <c:v>0.88496774192008687</c:v>
                </c:pt>
                <c:pt idx="60">
                  <c:v>0.90190013818387538</c:v>
                </c:pt>
                <c:pt idx="61">
                  <c:v>0.91613449856580942</c:v>
                </c:pt>
                <c:pt idx="62">
                  <c:v>0.92797479664072879</c:v>
                </c:pt>
                <c:pt idx="63">
                  <c:v>0.93772537587361038</c:v>
                </c:pt>
                <c:pt idx="64">
                  <c:v>0.94567900087475043</c:v>
                </c:pt>
                <c:pt idx="65">
                  <c:v>0.95210850242393086</c:v>
                </c:pt>
                <c:pt idx="66">
                  <c:v>0.95726156248515182</c:v>
                </c:pt>
                <c:pt idx="67">
                  <c:v>0.96135808582209947</c:v>
                </c:pt>
                <c:pt idx="68">
                  <c:v>0.96458958302547593</c:v>
                </c:pt>
                <c:pt idx="69">
                  <c:v>0.96712002229387461</c:v>
                </c:pt>
                <c:pt idx="70">
                  <c:v>0.96908767306858312</c:v>
                </c:pt>
                <c:pt idx="71">
                  <c:v>0.97060754647060576</c:v>
                </c:pt>
                <c:pt idx="72">
                  <c:v>0.97177412273191832</c:v>
                </c:pt>
                <c:pt idx="73">
                  <c:v>0.97266413595663981</c:v>
                </c:pt>
                <c:pt idx="74">
                  <c:v>0.97333925663866683</c:v>
                </c:pt>
                <c:pt idx="75">
                  <c:v>0.97384857017798399</c:v>
                </c:pt>
                <c:pt idx="76">
                  <c:v>0.97423079488124431</c:v>
                </c:pt>
                <c:pt idx="77">
                  <c:v>0.97451621652969889</c:v>
                </c:pt>
                <c:pt idx="78">
                  <c:v>0.97472834014183207</c:v>
                </c:pt>
                <c:pt idx="79">
                  <c:v>0.97488527490146204</c:v>
                </c:pt>
                <c:pt idx="80">
                  <c:v>0.97500087720468664</c:v>
                </c:pt>
                <c:pt idx="81">
                  <c:v>0.97508568106656512</c:v>
                </c:pt>
                <c:pt idx="82">
                  <c:v>0.97514764613189819</c:v>
                </c:pt>
                <c:pt idx="83">
                  <c:v>0.97519275238690528</c:v>
                </c:pt>
                <c:pt idx="84">
                  <c:v>0.97522546823708678</c:v>
                </c:pt>
                <c:pt idx="85">
                  <c:v>0.9752491155341767</c:v>
                </c:pt>
                <c:pt idx="86">
                  <c:v>0.97526615184101006</c:v>
                </c:pt>
                <c:pt idx="87">
                  <c:v>0.9752783870037931</c:v>
                </c:pt>
                <c:pt idx="88">
                  <c:v>0.97528714812810535</c:v>
                </c:pt>
                <c:pt idx="89">
                  <c:v>0.97529340441664425</c:v>
                </c:pt>
                <c:pt idx="90">
                  <c:v>0.97529786105519078</c:v>
                </c:pt>
                <c:pt idx="91">
                  <c:v>0.9753010294238954</c:v>
                </c:pt>
                <c:pt idx="92">
                  <c:v>0.97530327933736904</c:v>
                </c:pt>
                <c:pt idx="93">
                  <c:v>0.97530487774163355</c:v>
                </c:pt>
                <c:pt idx="94">
                  <c:v>0.97530601727703858</c:v>
                </c:pt>
                <c:pt idx="95">
                  <c:v>0.97530683731249046</c:v>
                </c:pt>
                <c:pt idx="96">
                  <c:v>0.97530743942949438</c:v>
                </c:pt>
                <c:pt idx="97">
                  <c:v>0.97530789885068137</c:v>
                </c:pt>
                <c:pt idx="98">
                  <c:v>0.97530827293761124</c:v>
                </c:pt>
                <c:pt idx="99">
                  <c:v>0.97530860760239846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F3-DF40-882B-DEE145ECFAD4}"/>
            </c:ext>
          </c:extLst>
        </c:ser>
        <c:ser>
          <c:idx val="3"/>
          <c:order val="2"/>
          <c:tx>
            <c:strRef>
              <c:f>'Uncertain Vol.'!$Q$1</c:f>
              <c:strCache>
                <c:ptCount val="1"/>
                <c:pt idx="0">
                  <c:v>Const Vol+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Vol.'!$Q$2:$Q$101</c:f>
              <c:numCache>
                <c:formatCode>0.0000</c:formatCode>
                <c:ptCount val="100"/>
                <c:pt idx="0">
                  <c:v>0</c:v>
                </c:pt>
                <c:pt idx="1">
                  <c:v>2.8469608456769175E-29</c:v>
                </c:pt>
                <c:pt idx="2">
                  <c:v>2.7984028060444071E-26</c:v>
                </c:pt>
                <c:pt idx="3">
                  <c:v>8.0401872655617652E-24</c:v>
                </c:pt>
                <c:pt idx="4">
                  <c:v>1.0641048017496917E-21</c:v>
                </c:pt>
                <c:pt idx="5">
                  <c:v>7.9348226710877384E-20</c:v>
                </c:pt>
                <c:pt idx="6">
                  <c:v>3.7415897790099209E-18</c:v>
                </c:pt>
                <c:pt idx="7">
                  <c:v>1.2032672821429476E-16</c:v>
                </c:pt>
                <c:pt idx="8">
                  <c:v>2.7851094315051376E-15</c:v>
                </c:pt>
                <c:pt idx="9">
                  <c:v>4.8327823267387782E-14</c:v>
                </c:pt>
                <c:pt idx="10">
                  <c:v>6.4931125475793996E-13</c:v>
                </c:pt>
                <c:pt idx="11">
                  <c:v>6.9364038657813055E-12</c:v>
                </c:pt>
                <c:pt idx="12">
                  <c:v>6.0254777916618596E-11</c:v>
                </c:pt>
                <c:pt idx="13">
                  <c:v>4.3397656631423163E-10</c:v>
                </c:pt>
                <c:pt idx="14">
                  <c:v>2.6363403569271915E-9</c:v>
                </c:pt>
                <c:pt idx="15">
                  <c:v>1.3716645824003039E-8</c:v>
                </c:pt>
                <c:pt idx="16">
                  <c:v>6.1973412317907725E-8</c:v>
                </c:pt>
                <c:pt idx="17">
                  <c:v>2.4621783207207712E-7</c:v>
                </c:pt>
                <c:pt idx="18">
                  <c:v>8.7006064957807724E-7</c:v>
                </c:pt>
                <c:pt idx="19">
                  <c:v>2.7632366059108677E-6</c:v>
                </c:pt>
                <c:pt idx="20">
                  <c:v>7.9624954890120631E-6</c:v>
                </c:pt>
                <c:pt idx="21">
                  <c:v>2.0999067667156451E-5</c:v>
                </c:pt>
                <c:pt idx="22">
                  <c:v>5.1084435161721125E-5</c:v>
                </c:pt>
                <c:pt idx="23">
                  <c:v>1.1545690972022434E-4</c:v>
                </c:pt>
                <c:pt idx="24">
                  <c:v>2.4401169632162238E-4</c:v>
                </c:pt>
                <c:pt idx="25">
                  <c:v>4.8507944256955926E-4</c:v>
                </c:pt>
                <c:pt idx="26">
                  <c:v>9.1187890820879016E-4</c:v>
                </c:pt>
                <c:pt idx="27">
                  <c:v>1.6288250102857696E-3</c:v>
                </c:pt>
                <c:pt idx="28">
                  <c:v>2.7766204118528683E-3</c:v>
                </c:pt>
                <c:pt idx="29">
                  <c:v>4.5349820775147948E-3</c:v>
                </c:pt>
                <c:pt idx="30">
                  <c:v>7.1219992643420495E-3</c:v>
                </c:pt>
                <c:pt idx="31">
                  <c:v>1.0789477026180029E-2</c:v>
                </c:pt>
                <c:pt idx="32">
                  <c:v>1.5814128278877494E-2</c:v>
                </c:pt>
                <c:pt idx="33">
                  <c:v>2.2485042420567886E-2</c:v>
                </c:pt>
                <c:pt idx="34">
                  <c:v>3.1088375330889113E-2</c:v>
                </c:pt>
                <c:pt idx="35">
                  <c:v>4.1890586062971372E-2</c:v>
                </c:pt>
                <c:pt idx="36">
                  <c:v>5.5121734499412808E-2</c:v>
                </c:pt>
                <c:pt idx="37">
                  <c:v>7.0960336278386396E-2</c:v>
                </c:pt>
                <c:pt idx="38">
                  <c:v>8.9521067748659158E-2</c:v>
                </c:pt>
                <c:pt idx="39">
                  <c:v>0.11084627264833334</c:v>
                </c:pt>
                <c:pt idx="40">
                  <c:v>0.13490180529424189</c:v>
                </c:pt>
                <c:pt idx="41">
                  <c:v>0.16157731484810486</c:v>
                </c:pt>
                <c:pt idx="42">
                  <c:v>0.1906906851161384</c:v>
                </c:pt>
                <c:pt idx="43">
                  <c:v>0.22199603260828735</c:v>
                </c:pt>
                <c:pt idx="44">
                  <c:v>0.25519445322199003</c:v>
                </c:pt>
                <c:pt idx="45">
                  <c:v>0.28994659971090919</c:v>
                </c:pt>
                <c:pt idx="46">
                  <c:v>0.32588615981679375</c:v>
                </c:pt>
                <c:pt idx="47">
                  <c:v>0.36263337150031782</c:v>
                </c:pt>
                <c:pt idx="48">
                  <c:v>0.39980783541846537</c:v>
                </c:pt>
                <c:pt idx="49">
                  <c:v>0.43704004304840838</c:v>
                </c:pt>
                <c:pt idx="50">
                  <c:v>0.47398121087612111</c:v>
                </c:pt>
                <c:pt idx="51">
                  <c:v>0.51031117967778172</c:v>
                </c:pt>
                <c:pt idx="52">
                  <c:v>0.54574429038735817</c:v>
                </c:pt>
                <c:pt idx="53">
                  <c:v>0.58003327616356359</c:v>
                </c:pt>
                <c:pt idx="54">
                  <c:v>0.61297130995238414</c:v>
                </c:pt>
                <c:pt idx="55">
                  <c:v>0.64439241737360575</c:v>
                </c:pt>
                <c:pt idx="56">
                  <c:v>0.67417050794410804</c:v>
                </c:pt>
                <c:pt idx="57">
                  <c:v>0.70221729695399615</c:v>
                </c:pt>
                <c:pt idx="58">
                  <c:v>0.72847939010710805</c:v>
                </c:pt>
                <c:pt idx="59">
                  <c:v>0.75293478799002789</c:v>
                </c:pt>
                <c:pt idx="60">
                  <c:v>0.77558904204410084</c:v>
                </c:pt>
                <c:pt idx="61">
                  <c:v>0.79647126201520735</c:v>
                </c:pt>
                <c:pt idx="62">
                  <c:v>0.8156301402372842</c:v>
                </c:pt>
                <c:pt idx="63">
                  <c:v>0.83313012325041835</c:v>
                </c:pt>
                <c:pt idx="64">
                  <c:v>0.84904782814675517</c:v>
                </c:pt>
                <c:pt idx="65">
                  <c:v>0.86346877102414166</c:v>
                </c:pt>
                <c:pt idx="66">
                  <c:v>0.87648444880875931</c:v>
                </c:pt>
                <c:pt idx="67">
                  <c:v>0.88818979384183272</c:v>
                </c:pt>
                <c:pt idx="68">
                  <c:v>0.89868100303110809</c:v>
                </c:pt>
                <c:pt idx="69">
                  <c:v>0.90805372982197941</c:v>
                </c:pt>
                <c:pt idx="70">
                  <c:v>0.91640161736364001</c:v>
                </c:pt>
                <c:pt idx="71">
                  <c:v>0.92381514455974445</c:v>
                </c:pt>
                <c:pt idx="72">
                  <c:v>0.93038075269125875</c:v>
                </c:pt>
                <c:pt idx="73">
                  <c:v>0.93618021847473154</c:v>
                </c:pt>
                <c:pt idx="74">
                  <c:v>0.94129023929565336</c:v>
                </c:pt>
                <c:pt idx="75">
                  <c:v>0.94578219750482473</c:v>
                </c:pt>
                <c:pt idx="76">
                  <c:v>0.94972207271330467</c:v>
                </c:pt>
                <c:pt idx="77">
                  <c:v>0.95317047365585461</c:v>
                </c:pt>
                <c:pt idx="78">
                  <c:v>0.95618276415958947</c:v>
                </c:pt>
                <c:pt idx="79">
                  <c:v>0.95880926085394125</c:v>
                </c:pt>
                <c:pt idx="80">
                  <c:v>0.96109548333865735</c:v>
                </c:pt>
                <c:pt idx="81">
                  <c:v>0.96308244047890024</c:v>
                </c:pt>
                <c:pt idx="82">
                  <c:v>0.96480693924606931</c:v>
                </c:pt>
                <c:pt idx="83">
                  <c:v>0.96630190502364199</c:v>
                </c:pt>
                <c:pt idx="84">
                  <c:v>0.96759670452541435</c:v>
                </c:pt>
                <c:pt idx="85">
                  <c:v>0.9687174644223574</c:v>
                </c:pt>
                <c:pt idx="86">
                  <c:v>0.96968738044973268</c:v>
                </c:pt>
                <c:pt idx="87">
                  <c:v>0.97052701318267587</c:v>
                </c:pt>
                <c:pt idx="88">
                  <c:v>0.97125456784633379</c:v>
                </c:pt>
                <c:pt idx="89">
                  <c:v>0.97188615648925047</c:v>
                </c:pt>
                <c:pt idx="90">
                  <c:v>0.97243604162081776</c:v>
                </c:pt>
                <c:pt idx="91">
                  <c:v>0.97291686102006059</c:v>
                </c:pt>
                <c:pt idx="92">
                  <c:v>0.97333983388769008</c:v>
                </c:pt>
                <c:pt idx="93">
                  <c:v>0.97371494885853638</c:v>
                </c:pt>
                <c:pt idx="94">
                  <c:v>0.97405113463751025</c:v>
                </c:pt>
                <c:pt idx="95">
                  <c:v>0.97435641418732211</c:v>
                </c:pt>
                <c:pt idx="96">
                  <c:v>0.97463804349630645</c:v>
                </c:pt>
                <c:pt idx="97">
                  <c:v>0.97490263600366334</c:v>
                </c:pt>
                <c:pt idx="98">
                  <c:v>0.97515627376903635</c:v>
                </c:pt>
                <c:pt idx="99">
                  <c:v>0.97540460645350413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F3-DF40-882B-DEE145ECFAD4}"/>
            </c:ext>
          </c:extLst>
        </c:ser>
        <c:ser>
          <c:idx val="4"/>
          <c:order val="3"/>
          <c:tx>
            <c:strRef>
              <c:f>'Uncertain Vol.'!$R$1</c:f>
              <c:strCache>
                <c:ptCount val="1"/>
                <c:pt idx="0">
                  <c:v>Const Vol-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Vol.'!$R$2:$R$101</c:f>
              <c:numCache>
                <c:formatCode>0.0000</c:formatCode>
                <c:ptCount val="100"/>
                <c:pt idx="0">
                  <c:v>0</c:v>
                </c:pt>
                <c:pt idx="1">
                  <c:v>9.8333276650028909E-42</c:v>
                </c:pt>
                <c:pt idx="2">
                  <c:v>2.1246789974367519E-38</c:v>
                </c:pt>
                <c:pt idx="3">
                  <c:v>1.5324398589953763E-35</c:v>
                </c:pt>
                <c:pt idx="4">
                  <c:v>5.4325735835289068E-33</c:v>
                </c:pt>
                <c:pt idx="5">
                  <c:v>1.1271049325852272E-30</c:v>
                </c:pt>
                <c:pt idx="6">
                  <c:v>1.5145152638345574E-28</c:v>
                </c:pt>
                <c:pt idx="7">
                  <c:v>1.408908158962121E-26</c:v>
                </c:pt>
                <c:pt idx="8">
                  <c:v>9.5137370760019889E-25</c:v>
                </c:pt>
                <c:pt idx="9">
                  <c:v>4.8314182914656649E-23</c:v>
                </c:pt>
                <c:pt idx="10">
                  <c:v>1.8969000184893488E-21</c:v>
                </c:pt>
                <c:pt idx="11">
                  <c:v>5.8869908796606814E-20</c:v>
                </c:pt>
                <c:pt idx="12">
                  <c:v>1.4708165039226892E-18</c:v>
                </c:pt>
                <c:pt idx="13">
                  <c:v>3.0041581187741855E-17</c:v>
                </c:pt>
                <c:pt idx="14">
                  <c:v>5.083015920614388E-16</c:v>
                </c:pt>
                <c:pt idx="15">
                  <c:v>7.2071218672916961E-15</c:v>
                </c:pt>
                <c:pt idx="16">
                  <c:v>8.6513817452525631E-14</c:v>
                </c:pt>
                <c:pt idx="17">
                  <c:v>8.8734022056785264E-13</c:v>
                </c:pt>
                <c:pt idx="18">
                  <c:v>7.841946130475175E-12</c:v>
                </c:pt>
                <c:pt idx="19">
                  <c:v>6.0180686629940482E-11</c:v>
                </c:pt>
                <c:pt idx="20">
                  <c:v>4.0396142958558704E-10</c:v>
                </c:pt>
                <c:pt idx="21">
                  <c:v>2.3880602475648454E-9</c:v>
                </c:pt>
                <c:pt idx="22">
                  <c:v>1.251421006950886E-8</c:v>
                </c:pt>
                <c:pt idx="23">
                  <c:v>5.8496100111616994E-8</c:v>
                </c:pt>
                <c:pt idx="24">
                  <c:v>2.453741787817257E-7</c:v>
                </c:pt>
                <c:pt idx="25">
                  <c:v>9.2904221520028428E-7</c:v>
                </c:pt>
                <c:pt idx="26">
                  <c:v>3.192959088179189E-6</c:v>
                </c:pt>
                <c:pt idx="27">
                  <c:v>1.0015516625744881E-5</c:v>
                </c:pt>
                <c:pt idx="28">
                  <c:v>2.8825111675702651E-5</c:v>
                </c:pt>
                <c:pt idx="29">
                  <c:v>7.6507706762930655E-5</c:v>
                </c:pt>
                <c:pt idx="30">
                  <c:v>1.8819823694429458E-4</c:v>
                </c:pt>
                <c:pt idx="31">
                  <c:v>4.3108144960674164E-4</c:v>
                </c:pt>
                <c:pt idx="32">
                  <c:v>9.2365192790442089E-4</c:v>
                </c:pt>
                <c:pt idx="33">
                  <c:v>1.8592870663584856E-3</c:v>
                </c:pt>
                <c:pt idx="34">
                  <c:v>3.5307580563708322E-3</c:v>
                </c:pt>
                <c:pt idx="35">
                  <c:v>6.3500471990295066E-3</c:v>
                </c:pt>
                <c:pt idx="36">
                  <c:v>1.0856446367080323E-2</c:v>
                </c:pt>
                <c:pt idx="37">
                  <c:v>1.7706226175402726E-2</c:v>
                </c:pt>
                <c:pt idx="38">
                  <c:v>2.7639590031120615E-2</c:v>
                </c:pt>
                <c:pt idx="39">
                  <c:v>4.1424858482587229E-2</c:v>
                </c:pt>
                <c:pt idx="40">
                  <c:v>5.9784879428052128E-2</c:v>
                </c:pt>
                <c:pt idx="41">
                  <c:v>8.3315166498488816E-2</c:v>
                </c:pt>
                <c:pt idx="42">
                  <c:v>0.11240596079555043</c:v>
                </c:pt>
                <c:pt idx="43">
                  <c:v>0.14718053537649087</c:v>
                </c:pt>
                <c:pt idx="44">
                  <c:v>0.18745959665277701</c:v>
                </c:pt>
                <c:pt idx="45">
                  <c:v>0.23275724858709471</c:v>
                </c:pt>
                <c:pt idx="46">
                  <c:v>0.28230876832116253</c:v>
                </c:pt>
                <c:pt idx="47">
                  <c:v>0.33512556677257627</c:v>
                </c:pt>
                <c:pt idx="48">
                  <c:v>0.39006910978967979</c:v>
                </c:pt>
                <c:pt idx="49">
                  <c:v>0.44593376502940391</c:v>
                </c:pt>
                <c:pt idx="50">
                  <c:v>0.5015285650430773</c:v>
                </c:pt>
                <c:pt idx="51">
                  <c:v>0.55574941093105479</c:v>
                </c:pt>
                <c:pt idx="52">
                  <c:v>0.60763573638663837</c:v>
                </c:pt>
                <c:pt idx="53">
                  <c:v>0.65640850821905172</c:v>
                </c:pt>
                <c:pt idx="54">
                  <c:v>0.70148913479160235</c:v>
                </c:pt>
                <c:pt idx="55">
                  <c:v>0.74250102400598983</c:v>
                </c:pt>
                <c:pt idx="56">
                  <c:v>0.77925699400451787</c:v>
                </c:pt>
                <c:pt idx="57">
                  <c:v>0.81173647045117925</c:v>
                </c:pt>
                <c:pt idx="58">
                  <c:v>0.84005649919718806</c:v>
                </c:pt>
                <c:pt idx="59">
                  <c:v>0.86444022333162129</c:v>
                </c:pt>
                <c:pt idx="60">
                  <c:v>0.88518579971034217</c:v>
                </c:pt>
                <c:pt idx="61">
                  <c:v>0.90263792821495514</c:v>
                </c:pt>
                <c:pt idx="62">
                  <c:v>0.91716336881723348</c:v>
                </c:pt>
                <c:pt idx="63">
                  <c:v>0.92913111647347579</c:v>
                </c:pt>
                <c:pt idx="64">
                  <c:v>0.93889734093035593</c:v>
                </c:pt>
                <c:pt idx="65">
                  <c:v>0.94679479338202444</c:v>
                </c:pt>
                <c:pt idx="66">
                  <c:v>0.95312612645721095</c:v>
                </c:pt>
                <c:pt idx="67">
                  <c:v>0.95816044570960557</c:v>
                </c:pt>
                <c:pt idx="68">
                  <c:v>0.962132380635358</c:v>
                </c:pt>
                <c:pt idx="69">
                  <c:v>0.96524300162118915</c:v>
                </c:pt>
                <c:pt idx="70">
                  <c:v>0.96766198961156136</c:v>
                </c:pt>
                <c:pt idx="71">
                  <c:v>0.96953056617283795</c:v>
                </c:pt>
                <c:pt idx="72">
                  <c:v>0.97096479711012207</c:v>
                </c:pt>
                <c:pt idx="73">
                  <c:v>0.97205898219468623</c:v>
                </c:pt>
                <c:pt idx="74">
                  <c:v>0.9728889306497196</c:v>
                </c:pt>
                <c:pt idx="75">
                  <c:v>0.97351499399391939</c:v>
                </c:pt>
                <c:pt idx="76">
                  <c:v>0.97398478423851376</c:v>
                </c:pt>
                <c:pt idx="77">
                  <c:v>0.97433554738940809</c:v>
                </c:pt>
                <c:pt idx="78">
                  <c:v>0.9745961916770739</c:v>
                </c:pt>
                <c:pt idx="79">
                  <c:v>0.97478898920869983</c:v>
                </c:pt>
                <c:pt idx="80">
                  <c:v>0.97493098108756615</c:v>
                </c:pt>
                <c:pt idx="81">
                  <c:v>0.97503512153912097</c:v>
                </c:pt>
                <c:pt idx="82">
                  <c:v>0.97511119797412971</c:v>
                </c:pt>
                <c:pt idx="83">
                  <c:v>0.97516656261524703</c:v>
                </c:pt>
                <c:pt idx="84">
                  <c:v>0.97520670839378476</c:v>
                </c:pt>
                <c:pt idx="85">
                  <c:v>0.9752357180773531</c:v>
                </c:pt>
                <c:pt idx="86">
                  <c:v>0.97525661156465282</c:v>
                </c:pt>
                <c:pt idx="87">
                  <c:v>0.97527161233930559</c:v>
                </c:pt>
                <c:pt idx="88">
                  <c:v>0.97528235042538669</c:v>
                </c:pt>
                <c:pt idx="89">
                  <c:v>0.97529001594532871</c:v>
                </c:pt>
                <c:pt idx="90">
                  <c:v>0.97529547458740795</c:v>
                </c:pt>
                <c:pt idx="91">
                  <c:v>0.97529935394066525</c:v>
                </c:pt>
                <c:pt idx="92">
                  <c:v>0.97530210771822046</c:v>
                </c:pt>
                <c:pt idx="93">
                  <c:v>0.97530406331970532</c:v>
                </c:pt>
                <c:pt idx="94">
                  <c:v>0.97530545692892701</c:v>
                </c:pt>
                <c:pt idx="95">
                  <c:v>0.97530645935317217</c:v>
                </c:pt>
                <c:pt idx="96">
                  <c:v>0.97530719503871965</c:v>
                </c:pt>
                <c:pt idx="97">
                  <c:v>0.97530775610143772</c:v>
                </c:pt>
                <c:pt idx="98">
                  <c:v>0.97530821275599466</c:v>
                </c:pt>
                <c:pt idx="99">
                  <c:v>0.97530862118227968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F3-DF40-882B-DEE145ECF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70850736"/>
        <c:axId val="-1002625920"/>
      </c:scatterChart>
      <c:valAx>
        <c:axId val="-9708507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1002625920"/>
        <c:crosses val="autoZero"/>
        <c:crossBetween val="midCat"/>
      </c:valAx>
      <c:valAx>
        <c:axId val="-1002625920"/>
        <c:scaling>
          <c:orientation val="minMax"/>
        </c:scaling>
        <c:delete val="0"/>
        <c:axPos val="l"/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9708507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728021432554105"/>
          <c:y val="0.42881354116449699"/>
          <c:w val="0.10858319394013601"/>
          <c:h val="0.144067884371596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1"/>
  <sheetViews>
    <sheetView workbookViewId="0"/>
  </sheetViews>
  <pageMargins left="0.75" right="0.75" top="1" bottom="1" header="0.5" footer="0.5"/>
  <pageSetup paperSize="9" orientation="landscape"/>
  <headerFooter alignWithMargins="0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tiff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91440</xdr:colOff>
      <xdr:row>1</xdr:row>
      <xdr:rowOff>37465</xdr:rowOff>
    </xdr:from>
    <xdr:to>
      <xdr:col>15</xdr:col>
      <xdr:colOff>51435</xdr:colOff>
      <xdr:row>23</xdr:row>
      <xdr:rowOff>27940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102871</xdr:colOff>
      <xdr:row>24</xdr:row>
      <xdr:rowOff>12701</xdr:rowOff>
    </xdr:from>
    <xdr:to>
      <xdr:col>15</xdr:col>
      <xdr:colOff>40641</xdr:colOff>
      <xdr:row>44</xdr:row>
      <xdr:rowOff>20321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477520</xdr:colOff>
      <xdr:row>18</xdr:row>
      <xdr:rowOff>132080</xdr:rowOff>
    </xdr:from>
    <xdr:to>
      <xdr:col>18</xdr:col>
      <xdr:colOff>568960</xdr:colOff>
      <xdr:row>28</xdr:row>
      <xdr:rowOff>152017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095720" y="3459480"/>
          <a:ext cx="2110740" cy="1670937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0.14066</cdr:x>
      <cdr:y>0.11934</cdr:y>
    </cdr:from>
    <cdr:to>
      <cdr:x>0.35759</cdr:x>
      <cdr:y>0.19923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43280" y="470535"/>
          <a:ext cx="1300480" cy="3149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 i="1"/>
            <a:t>CDF</a:t>
          </a:r>
          <a:r>
            <a:rPr lang="en-US" sz="1200" i="1" baseline="0"/>
            <a:t> function, N(d1)</a:t>
          </a:r>
          <a:endParaRPr lang="en-US" sz="1200" i="1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0.55487</cdr:x>
      <cdr:y>0.12044</cdr:y>
    </cdr:from>
    <cdr:to>
      <cdr:x>0.87198</cdr:x>
      <cdr:y>0.21617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393440" y="396240"/>
          <a:ext cx="1939290" cy="3149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PDF-like </a:t>
          </a:r>
          <a:r>
            <a:rPr lang="en-US" sz="1200" i="1" baseline="0"/>
            <a:t>function, N'(d1)/...</a:t>
          </a:r>
          <a:endParaRPr lang="en-US" sz="1200" i="1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558800</xdr:colOff>
      <xdr:row>15</xdr:row>
      <xdr:rowOff>81280</xdr:rowOff>
    </xdr:from>
    <xdr:to>
      <xdr:col>17</xdr:col>
      <xdr:colOff>529363</xdr:colOff>
      <xdr:row>33</xdr:row>
      <xdr:rowOff>26915</xdr:rowOff>
    </xdr:to>
    <xdr:graphicFrame macro="">
      <xdr:nvGraphicFramePr>
        <xdr:cNvPr id="2" name="Chart 1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143016</xdr:colOff>
      <xdr:row>15</xdr:row>
      <xdr:rowOff>37912</xdr:rowOff>
    </xdr:from>
    <xdr:to>
      <xdr:col>14</xdr:col>
      <xdr:colOff>587611</xdr:colOff>
      <xdr:row>33</xdr:row>
      <xdr:rowOff>9478</xdr:rowOff>
    </xdr:to>
    <xdr:graphicFrame macro="">
      <xdr:nvGraphicFramePr>
        <xdr:cNvPr id="5177" name="Chart 12">
          <a:extLst>
            <a:ext uri="{FF2B5EF4-FFF2-40B4-BE49-F238E27FC236}">
              <a16:creationId xmlns:a16="http://schemas.microsoft.com/office/drawing/2014/main" id="{00000000-0008-0000-0200-000039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6</xdr:row>
          <xdr:rowOff>63500</xdr:rowOff>
        </xdr:from>
        <xdr:to>
          <xdr:col>8</xdr:col>
          <xdr:colOff>355600</xdr:colOff>
          <xdr:row>8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Resimulate</a:t>
              </a:r>
            </a:p>
          </xdr:txBody>
        </xdr:sp>
        <xdr:clientData/>
      </xdr:twoCellAnchor>
    </mc:Choice>
    <mc:Fallback/>
  </mc:AlternateContent>
  <xdr:twoCellAnchor>
    <xdr:from>
      <xdr:col>16</xdr:col>
      <xdr:colOff>66344</xdr:colOff>
      <xdr:row>15</xdr:row>
      <xdr:rowOff>37910</xdr:rowOff>
    </xdr:from>
    <xdr:to>
      <xdr:col>23</xdr:col>
      <xdr:colOff>93925</xdr:colOff>
      <xdr:row>33</xdr:row>
      <xdr:rowOff>9476</xdr:rowOff>
    </xdr:to>
    <xdr:graphicFrame macro="">
      <xdr:nvGraphicFramePr>
        <xdr:cNvPr id="4" name="Chart 1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644478</xdr:colOff>
      <xdr:row>15</xdr:row>
      <xdr:rowOff>18957</xdr:rowOff>
    </xdr:from>
    <xdr:to>
      <xdr:col>32</xdr:col>
      <xdr:colOff>27580</xdr:colOff>
      <xdr:row>32</xdr:row>
      <xdr:rowOff>151642</xdr:rowOff>
    </xdr:to>
    <xdr:graphicFrame macro="">
      <xdr:nvGraphicFramePr>
        <xdr:cNvPr id="6" name="Chart 1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32</xdr:col>
      <xdr:colOff>312759</xdr:colOff>
      <xdr:row>2</xdr:row>
      <xdr:rowOff>85298</xdr:rowOff>
    </xdr:from>
    <xdr:to>
      <xdr:col>39</xdr:col>
      <xdr:colOff>510273</xdr:colOff>
      <xdr:row>9</xdr:row>
      <xdr:rowOff>351011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997311" y="407537"/>
          <a:ext cx="4907887" cy="1450414"/>
        </a:xfrm>
        <a:prstGeom prst="rect">
          <a:avLst/>
        </a:prstGeom>
      </xdr:spPr>
    </xdr:pic>
    <xdr:clientData/>
  </xdr:twoCellAnchor>
  <xdr:twoCellAnchor editAs="oneCell">
    <xdr:from>
      <xdr:col>16</xdr:col>
      <xdr:colOff>464402</xdr:colOff>
      <xdr:row>4</xdr:row>
      <xdr:rowOff>113730</xdr:rowOff>
    </xdr:from>
    <xdr:to>
      <xdr:col>20</xdr:col>
      <xdr:colOff>360337</xdr:colOff>
      <xdr:row>7</xdr:row>
      <xdr:rowOff>154120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785298" y="758208"/>
          <a:ext cx="3080412" cy="54270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11</xdr:row>
      <xdr:rowOff>47625</xdr:rowOff>
    </xdr:from>
    <xdr:to>
      <xdr:col>8</xdr:col>
      <xdr:colOff>400050</xdr:colOff>
      <xdr:row>35</xdr:row>
      <xdr:rowOff>76200</xdr:rowOff>
    </xdr:to>
    <xdr:graphicFrame macro="">
      <xdr:nvGraphicFramePr>
        <xdr:cNvPr id="1067" name="Chart 6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01150" cy="55911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113"/>
  <sheetViews>
    <sheetView tabSelected="1" zoomScale="125" zoomScaleNormal="125" zoomScalePageLayoutView="125" workbookViewId="0">
      <selection activeCell="B6" sqref="B6:F7"/>
    </sheetView>
  </sheetViews>
  <sheetFormatPr defaultColWidth="8.81640625" defaultRowHeight="12.5"/>
  <cols>
    <col min="1" max="1" width="8.81640625" style="7"/>
    <col min="2" max="2" width="10.6328125" style="7" customWidth="1"/>
    <col min="3" max="6" width="12.453125" style="7" bestFit="1" customWidth="1"/>
    <col min="7" max="16384" width="8.81640625" style="7"/>
  </cols>
  <sheetData>
    <row r="2" spans="1:12" ht="13">
      <c r="B2" s="27" t="s">
        <v>4</v>
      </c>
      <c r="C2" s="28">
        <v>50</v>
      </c>
    </row>
    <row r="3" spans="1:12" ht="13">
      <c r="B3" s="27" t="s">
        <v>46</v>
      </c>
      <c r="C3" s="44">
        <v>1.4999999999999999E-2</v>
      </c>
    </row>
    <row r="4" spans="1:12" ht="13">
      <c r="B4" s="27" t="s">
        <v>7</v>
      </c>
      <c r="C4" s="29">
        <v>1</v>
      </c>
    </row>
    <row r="5" spans="1:12" ht="13">
      <c r="B5" s="27"/>
      <c r="C5" s="39"/>
    </row>
    <row r="6" spans="1:12" ht="16" customHeight="1">
      <c r="B6" s="63" t="s">
        <v>59</v>
      </c>
      <c r="C6" s="63"/>
      <c r="D6" s="63"/>
      <c r="E6" s="63"/>
      <c r="F6" s="63"/>
    </row>
    <row r="7" spans="1:12" ht="16" customHeight="1">
      <c r="B7" s="63"/>
      <c r="C7" s="63"/>
      <c r="D7" s="63"/>
      <c r="E7" s="63"/>
      <c r="F7" s="63"/>
    </row>
    <row r="9" spans="1:12">
      <c r="B9" s="36" t="s">
        <v>100</v>
      </c>
      <c r="C9" s="35"/>
      <c r="D9" s="35"/>
      <c r="E9" s="35"/>
      <c r="F9" s="35"/>
    </row>
    <row r="10" spans="1:12">
      <c r="B10" s="36" t="s">
        <v>56</v>
      </c>
    </row>
    <row r="12" spans="1:12" ht="13">
      <c r="B12" s="11" t="s">
        <v>57</v>
      </c>
      <c r="C12" s="38">
        <v>0.2</v>
      </c>
      <c r="D12" s="38">
        <v>0.3</v>
      </c>
      <c r="E12" s="37">
        <f>BS_IVLow</f>
        <v>0.2</v>
      </c>
      <c r="F12" s="37">
        <f>BS_IVHigh</f>
        <v>0.3</v>
      </c>
    </row>
    <row r="13" spans="1:12">
      <c r="A13" s="8"/>
      <c r="B13" s="8" t="s">
        <v>23</v>
      </c>
      <c r="C13" s="8" t="s">
        <v>20</v>
      </c>
      <c r="D13" s="8" t="s">
        <v>24</v>
      </c>
      <c r="E13" s="8" t="s">
        <v>25</v>
      </c>
      <c r="F13" s="8" t="s">
        <v>26</v>
      </c>
      <c r="G13" s="8"/>
      <c r="H13" s="8"/>
      <c r="I13" s="8"/>
      <c r="J13" s="8"/>
      <c r="K13" s="8"/>
      <c r="L13" s="8"/>
    </row>
    <row r="14" spans="1:12" ht="14" customHeight="1">
      <c r="A14" s="8"/>
      <c r="B14" s="8">
        <v>1</v>
      </c>
      <c r="C14" s="8">
        <f>CallDelta(B14,BS_IVLow,0,BS_r,BS_K,BS_T)</f>
        <v>0</v>
      </c>
      <c r="D14" s="8">
        <f t="shared" ref="D14:D45" si="0">CallDelta(B14,BS_IVHigh,0,BS_r,BS_K,BS_T)</f>
        <v>0</v>
      </c>
      <c r="E14" s="8">
        <f t="shared" ref="E14:E45" si="1">CallGamma(B14,BS_IVLow,0,BS_r,BS_K,BS_T)</f>
        <v>5.0084911673274488E-82</v>
      </c>
      <c r="F14" s="8">
        <f t="shared" ref="F14:F45" si="2">CallGamma(B14,BS_IVHigh,0,BS_r,BS_K,BS_T)</f>
        <v>2.1049947902087335E-36</v>
      </c>
      <c r="G14" s="8"/>
      <c r="H14" s="8"/>
      <c r="I14" s="8"/>
      <c r="J14" s="8"/>
      <c r="K14" s="8"/>
      <c r="L14" s="8"/>
    </row>
    <row r="15" spans="1:12">
      <c r="A15" s="8"/>
      <c r="B15" s="8">
        <v>2</v>
      </c>
      <c r="C15" s="8">
        <f t="shared" ref="C14:C45" si="3">CallDelta(B15,BS_IVLow,0,BS_r,BS_K,BS_T)</f>
        <v>0</v>
      </c>
      <c r="D15" s="8">
        <f t="shared" si="0"/>
        <v>0</v>
      </c>
      <c r="E15" s="8">
        <f t="shared" si="1"/>
        <v>9.2887274480900552E-56</v>
      </c>
      <c r="F15" s="8">
        <f t="shared" si="2"/>
        <v>5.5868905792686009E-25</v>
      </c>
      <c r="G15" s="8"/>
      <c r="H15" s="8"/>
      <c r="I15" s="8"/>
      <c r="J15" s="8"/>
      <c r="K15" s="8"/>
      <c r="L15" s="8"/>
    </row>
    <row r="16" spans="1:12">
      <c r="A16" s="8"/>
      <c r="B16" s="8">
        <v>3</v>
      </c>
      <c r="C16" s="8">
        <f t="shared" si="3"/>
        <v>0</v>
      </c>
      <c r="D16" s="8">
        <f t="shared" si="0"/>
        <v>0</v>
      </c>
      <c r="E16" s="8">
        <f t="shared" si="1"/>
        <v>8.2356287383920902E-43</v>
      </c>
      <c r="F16" s="8">
        <f t="shared" si="2"/>
        <v>2.2645337680339111E-19</v>
      </c>
      <c r="G16" s="8"/>
      <c r="H16" s="8"/>
      <c r="I16" s="8"/>
      <c r="J16" s="8"/>
      <c r="K16" s="8"/>
      <c r="L16" s="8"/>
    </row>
    <row r="17" spans="1:12">
      <c r="A17" s="8"/>
      <c r="B17" s="8">
        <v>4</v>
      </c>
      <c r="C17" s="8">
        <f t="shared" si="3"/>
        <v>0</v>
      </c>
      <c r="D17" s="8">
        <f t="shared" si="0"/>
        <v>1.1102230246251565E-16</v>
      </c>
      <c r="E17" s="8">
        <f t="shared" si="1"/>
        <v>1.0465336777613854E-34</v>
      </c>
      <c r="F17" s="8">
        <f t="shared" si="2"/>
        <v>7.1230509888636144E-16</v>
      </c>
      <c r="G17" s="8"/>
      <c r="H17" s="8"/>
      <c r="I17" s="8"/>
      <c r="J17" s="8"/>
      <c r="K17" s="8"/>
      <c r="L17" s="8"/>
    </row>
    <row r="18" spans="1:12">
      <c r="A18" s="8"/>
      <c r="B18" s="8">
        <v>5</v>
      </c>
      <c r="C18" s="8">
        <f t="shared" si="3"/>
        <v>0</v>
      </c>
      <c r="D18" s="8">
        <f t="shared" si="0"/>
        <v>3.8857805861880479E-14</v>
      </c>
      <c r="E18" s="8">
        <f t="shared" si="1"/>
        <v>4.8634703532361778E-29</v>
      </c>
      <c r="F18" s="8">
        <f t="shared" si="2"/>
        <v>1.9528108615958928E-13</v>
      </c>
      <c r="G18" s="8"/>
      <c r="H18" s="8"/>
      <c r="I18" s="8"/>
      <c r="J18" s="8"/>
      <c r="K18" s="8"/>
      <c r="L18" s="8"/>
    </row>
    <row r="19" spans="1:12">
      <c r="A19" s="8"/>
      <c r="B19" s="8">
        <v>6</v>
      </c>
      <c r="C19" s="8">
        <f t="shared" si="3"/>
        <v>0</v>
      </c>
      <c r="D19" s="8">
        <f t="shared" si="0"/>
        <v>3.2855940190756883E-12</v>
      </c>
      <c r="E19" s="8">
        <f t="shared" si="1"/>
        <v>8.2426100780573973E-25</v>
      </c>
      <c r="F19" s="8">
        <f t="shared" si="2"/>
        <v>1.2714053216316235E-11</v>
      </c>
      <c r="G19" s="8"/>
      <c r="H19" s="8"/>
      <c r="I19" s="8"/>
      <c r="J19" s="8"/>
      <c r="K19" s="8"/>
      <c r="L19" s="8"/>
    </row>
    <row r="20" spans="1:12">
      <c r="A20" s="8"/>
      <c r="B20" s="8">
        <v>7</v>
      </c>
      <c r="C20" s="8">
        <f t="shared" si="3"/>
        <v>0</v>
      </c>
      <c r="D20" s="8">
        <f t="shared" si="0"/>
        <v>1.055658893633904E-10</v>
      </c>
      <c r="E20" s="8">
        <f t="shared" si="1"/>
        <v>1.6224143689431844E-21</v>
      </c>
      <c r="F20" s="8">
        <f t="shared" si="2"/>
        <v>3.2549037989507448E-10</v>
      </c>
      <c r="G20" s="8"/>
      <c r="H20" s="8"/>
      <c r="I20" s="8"/>
      <c r="J20" s="8"/>
      <c r="K20" s="8"/>
      <c r="L20" s="8"/>
    </row>
    <row r="21" spans="1:12">
      <c r="A21" s="8"/>
      <c r="B21" s="8">
        <v>8</v>
      </c>
      <c r="C21" s="8">
        <f t="shared" si="3"/>
        <v>0</v>
      </c>
      <c r="D21" s="8">
        <f t="shared" si="0"/>
        <v>1.7308836586238385E-9</v>
      </c>
      <c r="E21" s="8">
        <f t="shared" si="1"/>
        <v>7.1630482801383905E-19</v>
      </c>
      <c r="F21" s="8">
        <f t="shared" si="2"/>
        <v>4.3625326244918549E-9</v>
      </c>
      <c r="G21" s="8"/>
      <c r="H21" s="8"/>
      <c r="I21" s="8"/>
      <c r="J21" s="8"/>
      <c r="K21" s="8"/>
      <c r="L21" s="8"/>
    </row>
    <row r="22" spans="1:12">
      <c r="A22" s="8"/>
      <c r="B22" s="8">
        <v>9</v>
      </c>
      <c r="C22" s="8">
        <f t="shared" si="3"/>
        <v>0</v>
      </c>
      <c r="D22" s="8">
        <f t="shared" si="0"/>
        <v>1.7383955719374455E-8</v>
      </c>
      <c r="E22" s="8">
        <f t="shared" si="1"/>
        <v>1.065135275746814E-16</v>
      </c>
      <c r="F22" s="8">
        <f t="shared" si="2"/>
        <v>3.6524250652014322E-8</v>
      </c>
      <c r="G22" s="8"/>
      <c r="H22" s="8"/>
      <c r="I22" s="8"/>
      <c r="J22" s="8"/>
      <c r="K22" s="8"/>
      <c r="L22" s="8"/>
    </row>
    <row r="23" spans="1:12">
      <c r="A23" s="8"/>
      <c r="B23" s="8">
        <v>10</v>
      </c>
      <c r="C23" s="8">
        <f t="shared" si="3"/>
        <v>1.7763568394002505E-15</v>
      </c>
      <c r="D23" s="8">
        <f t="shared" si="0"/>
        <v>1.2057497056350286E-7</v>
      </c>
      <c r="E23" s="8">
        <f t="shared" si="1"/>
        <v>6.965758049653437E-15</v>
      </c>
      <c r="F23" s="8">
        <f t="shared" si="2"/>
        <v>2.1447033771891672E-7</v>
      </c>
      <c r="G23" s="8"/>
      <c r="H23" s="8"/>
      <c r="I23" s="8"/>
      <c r="J23" s="8"/>
      <c r="K23" s="8"/>
      <c r="L23" s="8"/>
    </row>
    <row r="24" spans="1:12">
      <c r="A24" s="8"/>
      <c r="B24" s="8">
        <v>11</v>
      </c>
      <c r="C24" s="8">
        <f t="shared" si="3"/>
        <v>7.0943251273547503E-14</v>
      </c>
      <c r="D24" s="8">
        <f t="shared" si="0"/>
        <v>6.2727009886298646E-7</v>
      </c>
      <c r="E24" s="8">
        <f t="shared" si="1"/>
        <v>2.4072251785235818E-13</v>
      </c>
      <c r="F24" s="8">
        <f t="shared" si="2"/>
        <v>9.564727246342566E-7</v>
      </c>
      <c r="G24" s="8"/>
      <c r="H24" s="8"/>
      <c r="I24" s="8"/>
      <c r="J24" s="8"/>
      <c r="K24" s="8"/>
      <c r="L24" s="8"/>
    </row>
    <row r="25" spans="1:12">
      <c r="A25" s="8"/>
      <c r="B25" s="8">
        <v>12</v>
      </c>
      <c r="C25" s="8">
        <f t="shared" si="3"/>
        <v>1.7051915435217779E-12</v>
      </c>
      <c r="D25" s="8">
        <f t="shared" si="0"/>
        <v>2.5963548941909664E-6</v>
      </c>
      <c r="E25" s="8">
        <f t="shared" si="1"/>
        <v>5.0116465228976473E-12</v>
      </c>
      <c r="F25" s="8">
        <f t="shared" si="2"/>
        <v>3.4289882409020124E-6</v>
      </c>
      <c r="G25" s="8"/>
      <c r="H25" s="8"/>
      <c r="I25" s="8"/>
      <c r="J25" s="8"/>
      <c r="K25" s="8"/>
      <c r="L25" s="8"/>
    </row>
    <row r="26" spans="1:12">
      <c r="A26" s="8"/>
      <c r="B26" s="8">
        <v>13</v>
      </c>
      <c r="C26" s="8">
        <f t="shared" si="3"/>
        <v>2.6974533717805116E-11</v>
      </c>
      <c r="D26" s="8">
        <f t="shared" si="0"/>
        <v>8.9300945940173904E-6</v>
      </c>
      <c r="E26" s="8">
        <f t="shared" si="1"/>
        <v>6.9224540075018397E-11</v>
      </c>
      <c r="F26" s="8">
        <f t="shared" si="2"/>
        <v>1.0303589030426439E-5</v>
      </c>
      <c r="G26" s="8"/>
      <c r="H26" s="8"/>
      <c r="I26" s="8"/>
      <c r="J26" s="8"/>
      <c r="K26" s="8"/>
      <c r="L26" s="8"/>
    </row>
    <row r="27" spans="1:12">
      <c r="A27" s="8"/>
      <c r="B27" s="8">
        <v>14</v>
      </c>
      <c r="C27" s="8">
        <f t="shared" si="3"/>
        <v>3.023733485818525E-10</v>
      </c>
      <c r="D27" s="8">
        <f t="shared" si="0"/>
        <v>2.6374325522215969E-5</v>
      </c>
      <c r="E27" s="8">
        <f t="shared" si="1"/>
        <v>6.8230412732342997E-10</v>
      </c>
      <c r="F27" s="8">
        <f t="shared" si="2"/>
        <v>2.6780603969057632E-5</v>
      </c>
      <c r="G27" s="8"/>
      <c r="H27" s="8"/>
      <c r="I27" s="8"/>
      <c r="J27" s="8"/>
      <c r="K27" s="8"/>
      <c r="L27" s="8"/>
    </row>
    <row r="28" spans="1:12">
      <c r="A28" s="8"/>
      <c r="B28" s="8">
        <v>15</v>
      </c>
      <c r="C28" s="8">
        <f t="shared" si="3"/>
        <v>2.5430513250768172E-9</v>
      </c>
      <c r="D28" s="8">
        <f t="shared" si="0"/>
        <v>6.8601310663440884E-5</v>
      </c>
      <c r="E28" s="8">
        <f t="shared" si="1"/>
        <v>5.0758667977619702E-9</v>
      </c>
      <c r="F28" s="8">
        <f t="shared" si="2"/>
        <v>6.1687712630331936E-5</v>
      </c>
      <c r="G28" s="8"/>
      <c r="H28" s="8"/>
      <c r="I28" s="8"/>
      <c r="J28" s="8"/>
      <c r="K28" s="8"/>
      <c r="L28" s="8"/>
    </row>
    <row r="29" spans="1:12">
      <c r="A29" s="8"/>
      <c r="B29" s="8">
        <v>16</v>
      </c>
      <c r="C29" s="8">
        <f t="shared" si="3"/>
        <v>1.6783817557985969E-8</v>
      </c>
      <c r="D29" s="8">
        <f t="shared" si="0"/>
        <v>1.6030364910302186E-4</v>
      </c>
      <c r="E29" s="8">
        <f t="shared" si="1"/>
        <v>2.9784494191315159E-8</v>
      </c>
      <c r="F29" s="8">
        <f t="shared" si="2"/>
        <v>1.2834769380510469E-4</v>
      </c>
      <c r="G29" s="8"/>
      <c r="H29" s="8"/>
      <c r="I29" s="8"/>
      <c r="J29" s="8"/>
      <c r="K29" s="8"/>
      <c r="L29" s="8"/>
    </row>
    <row r="30" spans="1:12">
      <c r="A30" s="8"/>
      <c r="B30" s="8">
        <v>17</v>
      </c>
      <c r="C30" s="8">
        <f t="shared" si="3"/>
        <v>9.0096980542853089E-8</v>
      </c>
      <c r="D30" s="8">
        <f t="shared" si="0"/>
        <v>3.4190341720030659E-4</v>
      </c>
      <c r="E30" s="8">
        <f t="shared" si="1"/>
        <v>1.4278203918525825E-7</v>
      </c>
      <c r="F30" s="8">
        <f t="shared" si="2"/>
        <v>2.4489122351713965E-4</v>
      </c>
      <c r="G30" s="8"/>
      <c r="H30" s="8"/>
      <c r="I30" s="8"/>
      <c r="J30" s="8"/>
      <c r="K30" s="8"/>
      <c r="L30" s="8"/>
    </row>
    <row r="31" spans="1:12">
      <c r="A31" s="8"/>
      <c r="B31" s="8">
        <v>18</v>
      </c>
      <c r="C31" s="8">
        <f t="shared" si="3"/>
        <v>4.0494857611594881E-7</v>
      </c>
      <c r="D31" s="8">
        <f t="shared" si="0"/>
        <v>6.7419436582238923E-4</v>
      </c>
      <c r="E31" s="8">
        <f t="shared" si="1"/>
        <v>5.7529612809118231E-7</v>
      </c>
      <c r="F31" s="8">
        <f t="shared" si="2"/>
        <v>4.3378309359817633E-4</v>
      </c>
      <c r="G31" s="8"/>
      <c r="H31" s="8"/>
      <c r="I31" s="8"/>
      <c r="J31" s="8"/>
      <c r="K31" s="8"/>
      <c r="L31" s="8"/>
    </row>
    <row r="32" spans="1:12">
      <c r="A32" s="8"/>
      <c r="B32" s="8">
        <v>19</v>
      </c>
      <c r="C32" s="8">
        <f t="shared" si="3"/>
        <v>1.5605032926968576E-6</v>
      </c>
      <c r="D32" s="8">
        <f t="shared" si="0"/>
        <v>1.2420840787992216E-3</v>
      </c>
      <c r="E32" s="8">
        <f t="shared" si="1"/>
        <v>1.994032342016128E-6</v>
      </c>
      <c r="F32" s="8">
        <f t="shared" si="2"/>
        <v>7.2050046038419464E-4</v>
      </c>
      <c r="G32" s="8"/>
      <c r="H32" s="8"/>
      <c r="I32" s="8"/>
      <c r="J32" s="8"/>
      <c r="K32" s="8"/>
      <c r="L32" s="8"/>
    </row>
    <row r="33" spans="1:12">
      <c r="A33" s="8"/>
      <c r="B33" s="8">
        <v>20</v>
      </c>
      <c r="C33" s="8">
        <f t="shared" si="3"/>
        <v>5.2581535181506212E-6</v>
      </c>
      <c r="D33" s="8">
        <f t="shared" si="0"/>
        <v>2.156636855717653E-3</v>
      </c>
      <c r="E33" s="8">
        <f t="shared" si="1"/>
        <v>6.0609148017800238E-6</v>
      </c>
      <c r="F33" s="8">
        <f t="shared" si="2"/>
        <v>1.1314908243522483E-3</v>
      </c>
      <c r="G33" s="8"/>
      <c r="H33" s="8"/>
      <c r="I33" s="8"/>
      <c r="J33" s="8"/>
      <c r="K33" s="8"/>
      <c r="L33" s="8"/>
    </row>
    <row r="34" spans="1:12">
      <c r="A34" s="8"/>
      <c r="B34" s="8">
        <v>21</v>
      </c>
      <c r="C34" s="8">
        <f t="shared" si="3"/>
        <v>1.5748253469505258E-5</v>
      </c>
      <c r="D34" s="8">
        <f t="shared" si="0"/>
        <v>3.5548262182437673E-3</v>
      </c>
      <c r="E34" s="8">
        <f t="shared" si="1"/>
        <v>1.6416264277605462E-5</v>
      </c>
      <c r="F34" s="8">
        <f t="shared" si="2"/>
        <v>1.6916887749530585E-3</v>
      </c>
      <c r="G34" s="8"/>
      <c r="H34" s="8"/>
      <c r="I34" s="8"/>
      <c r="J34" s="8"/>
      <c r="K34" s="8"/>
      <c r="L34" s="8"/>
    </row>
    <row r="35" spans="1:12">
      <c r="B35" s="8">
        <v>22</v>
      </c>
      <c r="C35" s="8">
        <f t="shared" si="3"/>
        <v>4.2507888714959918E-5</v>
      </c>
      <c r="D35" s="8">
        <f t="shared" si="0"/>
        <v>5.5967309987204894E-3</v>
      </c>
      <c r="E35" s="8">
        <f t="shared" si="1"/>
        <v>4.0161131085423058E-5</v>
      </c>
      <c r="F35" s="8">
        <f t="shared" si="2"/>
        <v>2.4219491680991011E-3</v>
      </c>
    </row>
    <row r="36" spans="1:12">
      <c r="B36" s="8">
        <v>23</v>
      </c>
      <c r="C36" s="8">
        <f t="shared" si="3"/>
        <v>1.0462817930068091E-4</v>
      </c>
      <c r="D36" s="8">
        <f t="shared" si="0"/>
        <v>8.4602722786122353E-3</v>
      </c>
      <c r="E36" s="8">
        <f t="shared" si="1"/>
        <v>8.9765786773274479E-5</v>
      </c>
      <c r="F36" s="8">
        <f t="shared" si="2"/>
        <v>3.3367526919931144E-3</v>
      </c>
    </row>
    <row r="37" spans="1:12">
      <c r="B37" s="8">
        <v>24</v>
      </c>
      <c r="C37" s="8">
        <f t="shared" si="3"/>
        <v>2.3721246156616083E-4</v>
      </c>
      <c r="D37" s="8">
        <f t="shared" si="0"/>
        <v>1.2333915364678649E-2</v>
      </c>
      <c r="E37" s="8">
        <f t="shared" si="1"/>
        <v>1.8511592842770743E-4</v>
      </c>
      <c r="F37" s="8">
        <f t="shared" si="2"/>
        <v>4.4424721491793826E-3</v>
      </c>
    </row>
    <row r="38" spans="1:12">
      <c r="B38" s="8">
        <v>25</v>
      </c>
      <c r="C38" s="8">
        <f t="shared" si="3"/>
        <v>4.9968737837191579E-4</v>
      </c>
      <c r="D38" s="8">
        <f t="shared" si="0"/>
        <v>1.7407998105221423E-2</v>
      </c>
      <c r="E38" s="8">
        <f t="shared" si="1"/>
        <v>3.5519350655899962E-4</v>
      </c>
      <c r="F38" s="8">
        <f t="shared" si="2"/>
        <v>5.7363805399154337E-3</v>
      </c>
    </row>
    <row r="39" spans="1:12">
      <c r="B39" s="8">
        <v>26</v>
      </c>
      <c r="C39" s="8">
        <f t="shared" si="3"/>
        <v>9.8535318400039262E-4</v>
      </c>
      <c r="D39" s="8">
        <f t="shared" si="0"/>
        <v>2.3865468695874359E-2</v>
      </c>
      <c r="E39" s="8">
        <f t="shared" si="1"/>
        <v>6.3876636209564354E-4</v>
      </c>
      <c r="F39" s="8">
        <f t="shared" si="2"/>
        <v>7.2064633128603181E-3</v>
      </c>
    </row>
    <row r="40" spans="1:12">
      <c r="B40" s="8">
        <v>27</v>
      </c>
      <c r="C40" s="8">
        <f t="shared" si="3"/>
        <v>1.8308797953699996E-3</v>
      </c>
      <c r="D40" s="8">
        <f t="shared" si="0"/>
        <v>3.1872823267600991E-2</v>
      </c>
      <c r="E40" s="8">
        <f t="shared" si="1"/>
        <v>1.0835050388420489E-3</v>
      </c>
      <c r="F40" s="8">
        <f t="shared" si="2"/>
        <v>8.8319899349429618E-3</v>
      </c>
    </row>
    <row r="41" spans="1:12">
      <c r="B41" s="8">
        <v>28</v>
      </c>
      <c r="C41" s="8">
        <f t="shared" si="3"/>
        <v>3.223974833830523E-3</v>
      </c>
      <c r="D41" s="8">
        <f t="shared" si="0"/>
        <v>4.1571945509283559E-2</v>
      </c>
      <c r="E41" s="8">
        <f t="shared" si="1"/>
        <v>1.7431786325016383E-3</v>
      </c>
      <c r="F41" s="8">
        <f t="shared" si="2"/>
        <v>1.0584718789079526E-2</v>
      </c>
    </row>
    <row r="42" spans="1:12">
      <c r="B42" s="8">
        <v>29</v>
      </c>
      <c r="C42" s="8">
        <f t="shared" si="3"/>
        <v>5.4072817726963374E-3</v>
      </c>
      <c r="D42" s="8">
        <f t="shared" si="0"/>
        <v>5.307339710661052E-2</v>
      </c>
      <c r="E42" s="8">
        <f t="shared" si="1"/>
        <v>2.6729598579908567E-3</v>
      </c>
      <c r="F42" s="8">
        <f t="shared" si="2"/>
        <v>1.243056029836833E-2</v>
      </c>
    </row>
    <row r="43" spans="1:12">
      <c r="B43" s="8">
        <v>30</v>
      </c>
      <c r="C43" s="8">
        <f t="shared" si="3"/>
        <v>8.6768100215708355E-3</v>
      </c>
      <c r="D43" s="8">
        <f t="shared" si="0"/>
        <v>6.6451520980826517E-2</v>
      </c>
      <c r="E43" s="8">
        <f t="shared" si="1"/>
        <v>3.9232954716652219E-3</v>
      </c>
      <c r="F43" s="8">
        <f t="shared" si="2"/>
        <v>1.4331505149343865E-2</v>
      </c>
    </row>
    <row r="44" spans="1:12">
      <c r="B44" s="8">
        <v>31</v>
      </c>
      <c r="C44" s="8">
        <f t="shared" si="3"/>
        <v>1.3373844404928614E-2</v>
      </c>
      <c r="D44" s="8">
        <f t="shared" si="0"/>
        <v>8.1741527900126454E-2</v>
      </c>
      <c r="E44" s="8">
        <f t="shared" si="1"/>
        <v>5.533156513490017E-3</v>
      </c>
      <c r="F44" s="8">
        <f t="shared" si="2"/>
        <v>1.6247632122943275E-2</v>
      </c>
    </row>
    <row r="45" spans="1:12">
      <c r="B45" s="8">
        <v>32</v>
      </c>
      <c r="C45" s="8">
        <f t="shared" si="3"/>
        <v>1.9870211041530972E-2</v>
      </c>
      <c r="D45" s="8">
        <f t="shared" si="0"/>
        <v>9.8938563063660778E-2</v>
      </c>
      <c r="E45" s="8">
        <f t="shared" si="1"/>
        <v>7.5236790529149399E-3</v>
      </c>
      <c r="F45" s="8">
        <f t="shared" si="2"/>
        <v>1.8139035819036722E-2</v>
      </c>
    </row>
    <row r="46" spans="1:12">
      <c r="B46" s="8">
        <v>33</v>
      </c>
      <c r="C46" s="8">
        <f t="shared" ref="C46:C77" si="4">CallDelta(B46,BS_IVLow,0,BS_r,BS_K,BS_T)</f>
        <v>2.8547800039548488E-2</v>
      </c>
      <c r="D46" s="8">
        <f t="shared" ref="D46:D77" si="5">CallDelta(B46,BS_IVHigh,0,BS_r,BS_K,BS_T)</f>
        <v>0.1179986069840071</v>
      </c>
      <c r="E46" s="8">
        <f t="shared" ref="E46:E77" si="6">CallGamma(B46,BS_IVLow,0,BS_r,BS_K,BS_T)</f>
        <v>9.8931942041304809E-3</v>
      </c>
      <c r="F46" s="8">
        <f t="shared" ref="F46:F77" si="7">CallGamma(B46,BS_IVHigh,0,BS_r,BS_K,BS_T)</f>
        <v>1.9967550725160488E-2</v>
      </c>
    </row>
    <row r="47" spans="1:12">
      <c r="B47" s="8">
        <v>34</v>
      </c>
      <c r="C47" s="8">
        <f t="shared" si="4"/>
        <v>3.9774155003621359E-2</v>
      </c>
      <c r="D47" s="8">
        <f t="shared" si="5"/>
        <v>0.1388409613158299</v>
      </c>
      <c r="E47" s="8">
        <f t="shared" si="6"/>
        <v>1.2614436966213801E-2</v>
      </c>
      <c r="F47" s="8">
        <f t="shared" si="7"/>
        <v>2.1698187862371453E-2</v>
      </c>
    </row>
    <row r="48" spans="1:12">
      <c r="B48" s="8">
        <v>35</v>
      </c>
      <c r="C48" s="8">
        <f t="shared" si="4"/>
        <v>5.3876563103812392E-2</v>
      </c>
      <c r="D48" s="8">
        <f t="shared" si="5"/>
        <v>0.16135200606804967</v>
      </c>
      <c r="E48" s="8">
        <f t="shared" si="6"/>
        <v>1.563437453225024E-2</v>
      </c>
      <c r="F48" s="8">
        <f t="shared" si="7"/>
        <v>2.3300238466598282E-2</v>
      </c>
    </row>
    <row r="49" spans="2:6">
      <c r="B49" s="8">
        <v>36</v>
      </c>
      <c r="C49" s="8">
        <f t="shared" si="4"/>
        <v>7.1117317743735864E-2</v>
      </c>
      <c r="D49" s="8">
        <f t="shared" si="5"/>
        <v>0.18538988644935173</v>
      </c>
      <c r="E49" s="8">
        <f t="shared" si="6"/>
        <v>1.8876688756397735E-2</v>
      </c>
      <c r="F49" s="8">
        <f t="shared" si="7"/>
        <v>2.4748032402144446E-2</v>
      </c>
    </row>
    <row r="50" spans="2:6">
      <c r="B50" s="8">
        <v>37</v>
      </c>
      <c r="C50" s="8">
        <f t="shared" si="4"/>
        <v>9.1672664336472587E-2</v>
      </c>
      <c r="D50" s="8">
        <f t="shared" si="5"/>
        <v>0.21078978936497972</v>
      </c>
      <c r="E50" s="8">
        <f t="shared" si="6"/>
        <v>2.2246567988949247E-2</v>
      </c>
      <c r="F50" s="8">
        <f t="shared" si="7"/>
        <v>2.6021365414559964E-2</v>
      </c>
    </row>
    <row r="51" spans="2:6">
      <c r="B51" s="8">
        <v>38</v>
      </c>
      <c r="C51" s="8">
        <f t="shared" si="4"/>
        <v>0.11561743985783657</v>
      </c>
      <c r="D51" s="8">
        <f t="shared" si="5"/>
        <v>0.23736949406621743</v>
      </c>
      <c r="E51" s="8">
        <f t="shared" si="6"/>
        <v>2.563717556258361E-2</v>
      </c>
      <c r="F51" s="8">
        <f t="shared" si="7"/>
        <v>2.7105628349424322E-2</v>
      </c>
    </row>
    <row r="52" spans="2:6">
      <c r="B52" s="8">
        <v>39</v>
      </c>
      <c r="C52" s="8">
        <f t="shared" si="4"/>
        <v>0.14291669145439878</v>
      </c>
      <c r="D52" s="8">
        <f t="shared" si="5"/>
        <v>0.26493492134162133</v>
      </c>
      <c r="E52" s="8">
        <f t="shared" si="6"/>
        <v>2.8937001985425342E-2</v>
      </c>
      <c r="F52" s="8">
        <f t="shared" si="7"/>
        <v>2.7991683441833011E-2</v>
      </c>
    </row>
    <row r="53" spans="2:6">
      <c r="B53" s="8">
        <v>40</v>
      </c>
      <c r="C53" s="8">
        <f t="shared" si="4"/>
        <v>0.17342474197829993</v>
      </c>
      <c r="D53" s="8">
        <f t="shared" si="5"/>
        <v>0.29328545429089004</v>
      </c>
      <c r="E53" s="8">
        <f t="shared" si="6"/>
        <v>3.2037281254222796E-2</v>
      </c>
      <c r="F53" s="8">
        <f t="shared" si="7"/>
        <v>2.8675538638672005E-2</v>
      </c>
    </row>
    <row r="54" spans="2:6">
      <c r="B54" s="8">
        <v>41</v>
      </c>
      <c r="C54" s="8">
        <f t="shared" si="4"/>
        <v>0.20689138715976574</v>
      </c>
      <c r="D54" s="8">
        <f t="shared" si="5"/>
        <v>0.32221885559192176</v>
      </c>
      <c r="E54" s="8">
        <f t="shared" si="6"/>
        <v>3.4838739892415434E-2</v>
      </c>
      <c r="F54" s="8">
        <f t="shared" si="7"/>
        <v>2.9157871855842326E-2</v>
      </c>
    </row>
    <row r="55" spans="2:6">
      <c r="B55" s="8">
        <v>42</v>
      </c>
      <c r="C55" s="8">
        <f t="shared" si="4"/>
        <v>0.24297425892854385</v>
      </c>
      <c r="D55" s="8">
        <f t="shared" si="5"/>
        <v>0.3515356569761835</v>
      </c>
      <c r="E55" s="8">
        <f t="shared" si="6"/>
        <v>3.7257116259317685E-2</v>
      </c>
      <c r="F55" s="8">
        <f t="shared" si="7"/>
        <v>2.9443454367821725E-2</v>
      </c>
    </row>
    <row r="56" spans="2:6">
      <c r="B56" s="8">
        <v>43</v>
      </c>
      <c r="C56" s="8">
        <f t="shared" si="4"/>
        <v>0.28125593297578677</v>
      </c>
      <c r="D56" s="8">
        <f t="shared" si="5"/>
        <v>0.38104294333641653</v>
      </c>
      <c r="E56" s="8">
        <f t="shared" si="6"/>
        <v>3.9227097812904552E-2</v>
      </c>
      <c r="F56" s="8">
        <f t="shared" si="7"/>
        <v>2.9540517373126074E-2</v>
      </c>
    </row>
    <row r="57" spans="2:6">
      <c r="B57" s="8">
        <v>44</v>
      </c>
      <c r="C57" s="8">
        <f t="shared" si="4"/>
        <v>0.32126411780956554</v>
      </c>
      <c r="D57" s="8">
        <f t="shared" si="5"/>
        <v>0.41055749459972135</v>
      </c>
      <c r="E57" s="8">
        <f t="shared" si="6"/>
        <v>4.0704538488218693E-2</v>
      </c>
      <c r="F57" s="8">
        <f t="shared" si="7"/>
        <v>2.9460099210310241E-2</v>
      </c>
    </row>
    <row r="58" spans="2:6">
      <c r="B58" s="8">
        <v>45</v>
      </c>
      <c r="C58" s="8">
        <f t="shared" si="4"/>
        <v>0.36249322583732646</v>
      </c>
      <c r="D58" s="8">
        <f t="shared" si="5"/>
        <v>0.43990828224324918</v>
      </c>
      <c r="E58" s="8">
        <f t="shared" si="6"/>
        <v>4.1667008388513518E-2</v>
      </c>
      <c r="F58" s="8">
        <f t="shared" si="7"/>
        <v>2.9215403548493515E-2</v>
      </c>
    </row>
    <row r="59" spans="2:6">
      <c r="B59" s="8">
        <v>46</v>
      </c>
      <c r="C59" s="8">
        <f t="shared" si="4"/>
        <v>0.40442575930731917</v>
      </c>
      <c r="D59" s="8">
        <f t="shared" si="5"/>
        <v>0.46893834387547484</v>
      </c>
      <c r="E59" s="8">
        <f t="shared" si="6"/>
        <v>4.2112875244039207E-2</v>
      </c>
      <c r="F59" s="8">
        <f t="shared" si="7"/>
        <v>2.8821191771089182E-2</v>
      </c>
    </row>
    <row r="60" spans="2:6">
      <c r="B60" s="8">
        <v>47</v>
      </c>
      <c r="C60" s="8">
        <f t="shared" si="4"/>
        <v>0.44655219723075135</v>
      </c>
      <c r="D60" s="8">
        <f t="shared" si="5"/>
        <v>0.49750607894908017</v>
      </c>
      <c r="E60" s="8">
        <f t="shared" si="6"/>
        <v>4.205921361966606E-2</v>
      </c>
      <c r="F60" s="8">
        <f t="shared" si="7"/>
        <v>2.8293226147726089E-2</v>
      </c>
    </row>
    <row r="61" spans="2:6">
      <c r="B61" s="8">
        <v>48</v>
      </c>
      <c r="C61" s="8">
        <f t="shared" si="4"/>
        <v>0.48838839242555199</v>
      </c>
      <c r="D61" s="8">
        <f t="shared" si="5"/>
        <v>0.52548576474819098</v>
      </c>
      <c r="E61" s="8">
        <f t="shared" si="6"/>
        <v>4.1538884339160621E-2</v>
      </c>
      <c r="F61" s="8">
        <f t="shared" si="7"/>
        <v>2.7647774519859444E-2</v>
      </c>
    </row>
    <row r="62" spans="2:6">
      <c r="B62" s="8">
        <v>49</v>
      </c>
      <c r="C62" s="8">
        <f t="shared" si="4"/>
        <v>0.52948948772755444</v>
      </c>
      <c r="D62" s="8">
        <f t="shared" si="5"/>
        <v>0.55276795922856981</v>
      </c>
      <c r="E62" s="8">
        <f t="shared" si="6"/>
        <v>4.0597129829167196E-2</v>
      </c>
      <c r="F62" s="8">
        <f t="shared" si="7"/>
        <v>2.6901182251041794E-2</v>
      </c>
    </row>
    <row r="63" spans="2:6">
      <c r="B63" s="40">
        <v>50</v>
      </c>
      <c r="C63" s="40">
        <f t="shared" si="4"/>
        <v>0.5694601777375784</v>
      </c>
      <c r="D63" s="40">
        <f t="shared" si="5"/>
        <v>0.57925968418588936</v>
      </c>
      <c r="E63" s="40">
        <f t="shared" si="6"/>
        <v>3.9288001279828448E-2</v>
      </c>
      <c r="F63" s="40">
        <f t="shared" si="7"/>
        <v>2.6069513154046032E-2</v>
      </c>
    </row>
    <row r="64" spans="2:6">
      <c r="B64" s="8">
        <v>51</v>
      </c>
      <c r="C64" s="8">
        <f t="shared" si="4"/>
        <v>0.60796267377573388</v>
      </c>
      <c r="D64" s="8">
        <f t="shared" si="5"/>
        <v>0.60488370713870776</v>
      </c>
      <c r="E64" s="8">
        <f t="shared" si="6"/>
        <v>3.7670881971642839E-2</v>
      </c>
      <c r="F64" s="8">
        <f t="shared" si="7"/>
        <v>2.5168257973773599E-2</v>
      </c>
    </row>
    <row r="65" spans="2:6">
      <c r="B65" s="8">
        <v>52</v>
      </c>
      <c r="C65" s="8">
        <f t="shared" si="4"/>
        <v>0.64471974415599365</v>
      </c>
      <c r="D65" s="8">
        <f t="shared" si="5"/>
        <v>0.62957787014960431</v>
      </c>
      <c r="E65" s="8">
        <f t="shared" si="6"/>
        <v>3.5807308474253681E-2</v>
      </c>
      <c r="F65" s="8">
        <f t="shared" si="7"/>
        <v>2.4212106700534339E-2</v>
      </c>
    </row>
    <row r="66" spans="2:6">
      <c r="B66" s="8">
        <v>53</v>
      </c>
      <c r="C66" s="8">
        <f t="shared" si="4"/>
        <v>0.67951553458600267</v>
      </c>
      <c r="D66" s="8">
        <f t="shared" si="5"/>
        <v>0.65329421776055885</v>
      </c>
      <c r="E66" s="8">
        <f t="shared" si="6"/>
        <v>3.3758226572263079E-2</v>
      </c>
      <c r="F66" s="8">
        <f t="shared" si="7"/>
        <v>2.3214779409627313E-2</v>
      </c>
    </row>
    <row r="67" spans="2:6">
      <c r="B67" s="8">
        <v>54</v>
      </c>
      <c r="C67" s="8">
        <f t="shared" si="4"/>
        <v>0.71219387801908485</v>
      </c>
      <c r="D67" s="8">
        <f t="shared" si="5"/>
        <v>0.67599797440917719</v>
      </c>
      <c r="E67" s="8">
        <f t="shared" si="6"/>
        <v>3.1581758334776756E-2</v>
      </c>
      <c r="F67" s="8">
        <f t="shared" si="7"/>
        <v>2.2188909355409958E-2</v>
      </c>
    </row>
    <row r="68" spans="2:6">
      <c r="B68" s="8">
        <v>55</v>
      </c>
      <c r="C68" s="8">
        <f t="shared" si="4"/>
        <v>0.74265459972125114</v>
      </c>
      <c r="D68" s="8">
        <f t="shared" si="5"/>
        <v>0.69766642335182638</v>
      </c>
      <c r="E68" s="8">
        <f t="shared" si="6"/>
        <v>2.933150500522556E-2</v>
      </c>
      <c r="F68" s="8">
        <f t="shared" si="7"/>
        <v>2.1145971575717421E-2</v>
      </c>
    </row>
    <row r="69" spans="2:6">
      <c r="B69" s="8">
        <v>56</v>
      </c>
      <c r="C69" s="8">
        <f t="shared" si="4"/>
        <v>0.77084836923665034</v>
      </c>
      <c r="D69" s="8">
        <f t="shared" si="5"/>
        <v>0.71828773121410616</v>
      </c>
      <c r="E69" s="8">
        <f t="shared" si="6"/>
        <v>2.7055369542696904E-2</v>
      </c>
      <c r="F69" s="8">
        <f t="shared" si="7"/>
        <v>2.0096250176641534E-2</v>
      </c>
    </row>
    <row r="70" spans="2:6">
      <c r="B70" s="8">
        <v>57</v>
      </c>
      <c r="C70" s="8">
        <f t="shared" si="4"/>
        <v>0.79677060951779122</v>
      </c>
      <c r="D70" s="8">
        <f t="shared" si="5"/>
        <v>0.73785975480038324</v>
      </c>
      <c r="E70" s="8">
        <f t="shared" si="6"/>
        <v>2.4794853213882643E-2</v>
      </c>
      <c r="F70" s="8">
        <f t="shared" si="7"/>
        <v>1.9048837670345431E-2</v>
      </c>
    </row>
    <row r="71" spans="2:6">
      <c r="B71" s="8">
        <v>58</v>
      </c>
      <c r="C71" s="8">
        <f t="shared" si="4"/>
        <v>0.82045491193554676</v>
      </c>
      <c r="D71" s="8">
        <f t="shared" si="5"/>
        <v>0.75638885986171234</v>
      </c>
      <c r="E71" s="8">
        <f t="shared" si="6"/>
        <v>2.2584761924138205E-2</v>
      </c>
      <c r="F71" s="8">
        <f t="shared" si="7"/>
        <v>1.8011660145076283E-2</v>
      </c>
    </row>
    <row r="72" spans="2:6">
      <c r="B72" s="8">
        <v>59</v>
      </c>
      <c r="C72" s="8">
        <f t="shared" si="4"/>
        <v>0.84196633288257072</v>
      </c>
      <c r="D72" s="8">
        <f t="shared" si="5"/>
        <v>0.77388877523708854</v>
      </c>
      <c r="E72" s="8">
        <f t="shared" si="6"/>
        <v>2.0453248533361779E-2</v>
      </c>
      <c r="F72" s="8">
        <f t="shared" si="7"/>
        <v>1.6991522586093426E-2</v>
      </c>
    </row>
    <row r="73" spans="2:6">
      <c r="B73" s="8">
        <v>60</v>
      </c>
      <c r="C73" s="8">
        <f t="shared" si="4"/>
        <v>0.8613948706635034</v>
      </c>
      <c r="D73" s="8">
        <f t="shared" si="5"/>
        <v>0.79037950019639835</v>
      </c>
      <c r="E73" s="8">
        <f t="shared" si="6"/>
        <v>1.8422115393202303E-2</v>
      </c>
      <c r="F73" s="8">
        <f t="shared" si="7"/>
        <v>1.5994169281665242E-2</v>
      </c>
    </row>
    <row r="74" spans="2:6">
      <c r="B74" s="8">
        <v>61</v>
      </c>
      <c r="C74" s="8">
        <f t="shared" si="4"/>
        <v>0.878849346168592</v>
      </c>
      <c r="D74" s="8">
        <f t="shared" si="5"/>
        <v>0.80588627793943846</v>
      </c>
      <c r="E74" s="8">
        <f t="shared" si="6"/>
        <v>1.6507304845899923E-2</v>
      </c>
      <c r="F74" s="8">
        <f t="shared" si="7"/>
        <v>1.5024354894916148E-2</v>
      </c>
    </row>
    <row r="75" spans="2:6">
      <c r="B75" s="8">
        <v>62</v>
      </c>
      <c r="C75" s="8">
        <f t="shared" si="4"/>
        <v>0.89445184164363079</v>
      </c>
      <c r="D75" s="8">
        <f t="shared" si="5"/>
        <v>0.8204386440311543</v>
      </c>
      <c r="E75" s="8">
        <f t="shared" si="6"/>
        <v>1.4719512639483826E-2</v>
      </c>
      <c r="F75" s="8">
        <f t="shared" si="7"/>
        <v>1.4085922426483965E-2</v>
      </c>
    </row>
    <row r="76" spans="2:6">
      <c r="B76" s="8">
        <v>63</v>
      </c>
      <c r="C76" s="8">
        <f t="shared" si="4"/>
        <v>0.90833279135367839</v>
      </c>
      <c r="D76" s="8">
        <f t="shared" si="5"/>
        <v>0.83406955504535951</v>
      </c>
      <c r="E76" s="8">
        <f t="shared" si="6"/>
        <v>1.3064868579177239E-2</v>
      </c>
      <c r="F76" s="8">
        <f t="shared" si="7"/>
        <v>1.3181884910482453E-2</v>
      </c>
    </row>
    <row r="77" spans="2:6">
      <c r="B77" s="8">
        <v>64</v>
      </c>
      <c r="C77" s="8">
        <f t="shared" si="4"/>
        <v>0.9206267674380274</v>
      </c>
      <c r="D77" s="8">
        <f t="shared" si="5"/>
        <v>0.84681459979984319</v>
      </c>
      <c r="E77" s="8">
        <f t="shared" si="6"/>
        <v>1.154563899221649E-2</v>
      </c>
      <c r="F77" s="8">
        <f t="shared" si="7"/>
        <v>1.2314508260778428E-2</v>
      </c>
    </row>
    <row r="78" spans="2:6">
      <c r="B78" s="8">
        <v>65</v>
      </c>
      <c r="C78" s="8">
        <f t="shared" ref="C78:C109" si="8">CallDelta(B78,BS_IVLow,0,BS_r,BS_K,BS_T)</f>
        <v>0.93146896408188373</v>
      </c>
      <c r="D78" s="8">
        <f t="shared" ref="D78:D113" si="9">CallDelta(B78,BS_IVHigh,0,BS_r,BS_K,BS_T)</f>
        <v>0.85871129323812656</v>
      </c>
      <c r="E78" s="8">
        <f t="shared" ref="E78:E113" si="10">CallGamma(B78,BS_IVLow,0,BS_r,BS_K,BS_T)</f>
        <v>1.01609157866172E-2</v>
      </c>
      <c r="F78" s="8">
        <f t="shared" ref="F78:F113" si="11">CallGamma(B78,BS_IVHigh,0,BS_r,BS_K,BS_T)</f>
        <v>1.1485393206015179E-2</v>
      </c>
    </row>
    <row r="79" spans="2:6">
      <c r="B79" s="8">
        <v>66</v>
      </c>
      <c r="C79" s="8">
        <f t="shared" si="8"/>
        <v>0.94099235284194527</v>
      </c>
      <c r="D79" s="8">
        <f t="shared" si="9"/>
        <v>0.86979845118568444</v>
      </c>
      <c r="E79" s="8">
        <f t="shared" si="10"/>
        <v>8.9072663781394629E-3</v>
      </c>
      <c r="F79" s="8">
        <f t="shared" si="11"/>
        <v>1.0695554714988668E-2</v>
      </c>
    </row>
    <row r="80" spans="2:6">
      <c r="B80" s="8">
        <v>67</v>
      </c>
      <c r="C80" s="8">
        <f t="shared" si="8"/>
        <v>0.94932546061190171</v>
      </c>
      <c r="D80" s="8">
        <f t="shared" si="9"/>
        <v>0.88011564281846366</v>
      </c>
      <c r="E80" s="8">
        <f t="shared" si="10"/>
        <v>7.7793271386688446E-3</v>
      </c>
      <c r="F80" s="8">
        <f t="shared" si="11"/>
        <v>9.9454977174777363E-3</v>
      </c>
    </row>
    <row r="81" spans="2:6">
      <c r="B81" s="8">
        <v>68</v>
      </c>
      <c r="C81" s="8">
        <f t="shared" si="8"/>
        <v>0.95659070806614588</v>
      </c>
      <c r="D81" s="8">
        <f t="shared" si="9"/>
        <v>0.88970271666757361</v>
      </c>
      <c r="E81" s="8">
        <f t="shared" si="10"/>
        <v>6.7703300802239141E-3</v>
      </c>
      <c r="F81" s="8">
        <f t="shared" si="11"/>
        <v>9.2352882707186293E-3</v>
      </c>
    </row>
    <row r="82" spans="2:6">
      <c r="B82" s="8">
        <v>69</v>
      </c>
      <c r="C82" s="8">
        <f t="shared" si="8"/>
        <v>0.96290323912519016</v>
      </c>
      <c r="D82" s="8">
        <f t="shared" si="9"/>
        <v>0.89859939528780586</v>
      </c>
      <c r="E82" s="8">
        <f t="shared" si="10"/>
        <v>5.8725581812406015E-3</v>
      </c>
      <c r="F82" s="8">
        <f t="shared" si="11"/>
        <v>8.5646196115461565E-3</v>
      </c>
    </row>
    <row r="83" spans="2:6">
      <c r="B83" s="8">
        <v>70</v>
      </c>
      <c r="C83" s="8">
        <f t="shared" si="8"/>
        <v>0.96837016970267209</v>
      </c>
      <c r="D83" s="8">
        <f t="shared" si="9"/>
        <v>0.90684493328530058</v>
      </c>
      <c r="E83" s="8">
        <f t="shared" si="10"/>
        <v>5.0777291424090798E-3</v>
      </c>
      <c r="F83" s="8">
        <f t="shared" si="11"/>
        <v>7.9328727731510142E-3</v>
      </c>
    </row>
    <row r="84" spans="2:6">
      <c r="B84" s="8">
        <v>71</v>
      </c>
      <c r="C84" s="8">
        <f t="shared" si="8"/>
        <v>0.97309018547362747</v>
      </c>
      <c r="D84" s="8">
        <f t="shared" si="9"/>
        <v>0.91447783318237097</v>
      </c>
      <c r="E84" s="8">
        <f t="shared" si="10"/>
        <v>4.3773105535196335E-3</v>
      </c>
      <c r="F84" s="8">
        <f t="shared" si="11"/>
        <v>7.3391716384648351E-3</v>
      </c>
    </row>
    <row r="85" spans="2:6">
      <c r="B85" s="8">
        <v>72</v>
      </c>
      <c r="C85" s="8">
        <f t="shared" si="8"/>
        <v>0.97715342254464865</v>
      </c>
      <c r="D85" s="8">
        <f t="shared" si="9"/>
        <v>0.9215356135519176</v>
      </c>
      <c r="E85" s="8">
        <f t="shared" si="10"/>
        <v>3.7627716234435327E-3</v>
      </c>
      <c r="F85" s="8">
        <f t="shared" si="11"/>
        <v>6.7824324547056903E-3</v>
      </c>
    </row>
    <row r="86" spans="2:6">
      <c r="B86" s="8">
        <v>73</v>
      </c>
      <c r="C86" s="8">
        <f t="shared" si="8"/>
        <v>0.98064157077676761</v>
      </c>
      <c r="D86" s="8">
        <f t="shared" si="9"/>
        <v>0.92805462394207927</v>
      </c>
      <c r="E86" s="8">
        <f t="shared" si="10"/>
        <v>3.2257779495648087E-3</v>
      </c>
      <c r="F86" s="8">
        <f t="shared" si="11"/>
        <v>6.261407950925597E-3</v>
      </c>
    </row>
    <row r="87" spans="2:6">
      <c r="B87" s="8">
        <v>74</v>
      </c>
      <c r="C87" s="8">
        <f t="shared" si="8"/>
        <v>0.98362814635531548</v>
      </c>
      <c r="D87" s="8">
        <f t="shared" si="9"/>
        <v>0.93406990130124701</v>
      </c>
      <c r="E87" s="8">
        <f t="shared" si="10"/>
        <v>2.7583364551895823E-3</v>
      </c>
      <c r="F87" s="8">
        <f t="shared" si="11"/>
        <v>5.7747262876173631E-3</v>
      </c>
    </row>
    <row r="88" spans="2:6">
      <c r="B88" s="8">
        <v>75</v>
      </c>
      <c r="C88" s="8">
        <f t="shared" si="8"/>
        <v>0.98617888742905679</v>
      </c>
      <c r="D88" s="8">
        <f t="shared" si="9"/>
        <v>0.93961506287670304</v>
      </c>
      <c r="E88" s="8">
        <f t="shared" si="10"/>
        <v>2.3528977648414238E-3</v>
      </c>
      <c r="F88" s="8">
        <f t="shared" si="11"/>
        <v>5.3209251293448168E-3</v>
      </c>
    </row>
    <row r="89" spans="2:6">
      <c r="B89" s="8">
        <v>76</v>
      </c>
      <c r="C89" s="8">
        <f t="shared" si="8"/>
        <v>0.9883522338160714</v>
      </c>
      <c r="D89" s="8">
        <f t="shared" si="9"/>
        <v>0.94472223087395357</v>
      </c>
      <c r="E89" s="8">
        <f t="shared" si="10"/>
        <v>2.0024230594804411E-3</v>
      </c>
      <c r="F89" s="8">
        <f t="shared" si="11"/>
        <v>4.8984811723197077E-3</v>
      </c>
    </row>
    <row r="90" spans="2:6">
      <c r="B90" s="8">
        <v>77</v>
      </c>
      <c r="C90" s="8">
        <f t="shared" si="8"/>
        <v>0.99019985858867154</v>
      </c>
      <c r="D90" s="8">
        <f t="shared" si="9"/>
        <v>0.94942198450944681</v>
      </c>
      <c r="E90" s="8">
        <f t="shared" si="10"/>
        <v>1.7004219758287615E-3</v>
      </c>
      <c r="F90" s="8">
        <f t="shared" si="11"/>
        <v>4.5058354827609811E-3</v>
      </c>
    </row>
    <row r="91" spans="2:6">
      <c r="B91" s="8">
        <v>78</v>
      </c>
      <c r="C91" s="8">
        <f t="shared" si="8"/>
        <v>0.99176722560426755</v>
      </c>
      <c r="D91" s="8">
        <f t="shared" si="9"/>
        <v>0.95374333545157941</v>
      </c>
      <c r="E91" s="8">
        <f t="shared" si="10"/>
        <v>1.4409674828225996E-3</v>
      </c>
      <c r="F91" s="8">
        <f t="shared" si="11"/>
        <v>4.1414150121673226E-3</v>
      </c>
    </row>
    <row r="92" spans="2:6">
      <c r="B92" s="8">
        <v>79</v>
      </c>
      <c r="C92" s="8">
        <f t="shared" si="8"/>
        <v>0.99309415262942236</v>
      </c>
      <c r="D92" s="8">
        <f t="shared" si="9"/>
        <v>0.95771372301168167</v>
      </c>
      <c r="E92" s="8">
        <f t="shared" si="10"/>
        <v>1.2186929591767579E-3</v>
      </c>
      <c r="F92" s="8">
        <f t="shared" si="11"/>
        <v>3.8036506552792432E-3</v>
      </c>
    </row>
    <row r="93" spans="2:6">
      <c r="B93" s="8">
        <v>80</v>
      </c>
      <c r="C93" s="8">
        <f t="shared" si="8"/>
        <v>0.99421536456192738</v>
      </c>
      <c r="D93" s="8">
        <f t="shared" si="9"/>
        <v>0.96135902580874</v>
      </c>
      <c r="E93" s="8">
        <f t="shared" si="10"/>
        <v>1.0287759656336323E-3</v>
      </c>
      <c r="F93" s="8">
        <f t="shared" si="11"/>
        <v>3.4909922080341451E-3</v>
      </c>
    </row>
    <row r="94" spans="2:6">
      <c r="B94" s="8">
        <v>81</v>
      </c>
      <c r="C94" s="8">
        <f t="shared" si="8"/>
        <v>0.99516102539035345</v>
      </c>
      <c r="D94" s="8">
        <f t="shared" si="9"/>
        <v>0.96470358698197745</v>
      </c>
      <c r="E94" s="8">
        <f t="shared" si="10"/>
        <v>8.6691249398593241E-4</v>
      </c>
      <c r="F94" s="8">
        <f t="shared" si="11"/>
        <v>3.2019205683557761E-3</v>
      </c>
    </row>
    <row r="95" spans="2:6">
      <c r="B95" s="8">
        <v>82</v>
      </c>
      <c r="C95" s="8">
        <f t="shared" si="8"/>
        <v>0.99595724097533522</v>
      </c>
      <c r="D95" s="8">
        <f t="shared" si="9"/>
        <v>0.9677702503590363</v>
      </c>
      <c r="E95" s="8">
        <f t="shared" si="10"/>
        <v>7.2928480940597906E-4</v>
      </c>
      <c r="F95" s="8">
        <f t="shared" si="11"/>
        <v>2.9349575039334208E-3</v>
      </c>
    </row>
    <row r="96" spans="2:6">
      <c r="B96" s="8">
        <v>83</v>
      </c>
      <c r="C96" s="8">
        <f t="shared" si="8"/>
        <v>0.99662652754656567</v>
      </c>
      <c r="D96" s="8">
        <f t="shared" si="9"/>
        <v>0.97058040530092526</v>
      </c>
      <c r="E96" s="8">
        <f t="shared" si="10"/>
        <v>6.1252539940318961E-4</v>
      </c>
      <c r="F96" s="8">
        <f t="shared" si="11"/>
        <v>2.6886732896791708E-3</v>
      </c>
    </row>
    <row r="97" spans="2:6">
      <c r="B97" s="8">
        <v>84</v>
      </c>
      <c r="C97" s="8">
        <f t="shared" si="8"/>
        <v>0.9971882430510477</v>
      </c>
      <c r="D97" s="8">
        <f t="shared" si="9"/>
        <v>0.97315403823595403</v>
      </c>
      <c r="E97" s="8">
        <f t="shared" si="10"/>
        <v>5.1367901018025655E-4</v>
      </c>
      <c r="F97" s="8">
        <f t="shared" si="11"/>
        <v>2.4616924944637032E-3</v>
      </c>
    </row>
    <row r="98" spans="2:6">
      <c r="B98" s="8">
        <v>85</v>
      </c>
      <c r="C98" s="8">
        <f t="shared" si="8"/>
        <v>0.99765898023370114</v>
      </c>
      <c r="D98" s="8">
        <f t="shared" si="9"/>
        <v>0.97550978916243924</v>
      </c>
      <c r="E98" s="8">
        <f t="shared" si="10"/>
        <v>4.3016429161391744E-4</v>
      </c>
      <c r="F98" s="8">
        <f t="shared" si="11"/>
        <v>2.2526981729397147E-3</v>
      </c>
    </row>
    <row r="99" spans="2:6">
      <c r="B99" s="8">
        <v>86</v>
      </c>
      <c r="C99" s="8">
        <f t="shared" si="8"/>
        <v>0.99805292165328097</v>
      </c>
      <c r="D99" s="8">
        <f t="shared" si="9"/>
        <v>0.97766501164370723</v>
      </c>
      <c r="E99" s="8">
        <f t="shared" si="10"/>
        <v>3.5973618370293528E-4</v>
      </c>
      <c r="F99" s="8">
        <f t="shared" si="11"/>
        <v>2.0604346944779238E-3</v>
      </c>
    </row>
    <row r="100" spans="2:6">
      <c r="B100" s="8">
        <v>87</v>
      </c>
      <c r="C100" s="8">
        <f t="shared" si="8"/>
        <v>0.9983821578037001</v>
      </c>
      <c r="D100" s="8">
        <f t="shared" si="9"/>
        <v>0.97963583503912999</v>
      </c>
      <c r="E100" s="8">
        <f t="shared" si="10"/>
        <v>3.0044985549615351E-4</v>
      </c>
      <c r="F100" s="8">
        <f t="shared" si="11"/>
        <v>1.8837094179992343E-3</v>
      </c>
    </row>
    <row r="101" spans="2:6">
      <c r="B101" s="8">
        <v>88</v>
      </c>
      <c r="C101" s="8">
        <f t="shared" si="8"/>
        <v>0.99865697018678878</v>
      </c>
      <c r="D101" s="8">
        <f t="shared" si="9"/>
        <v>0.98143722791235843</v>
      </c>
      <c r="E101" s="8">
        <f t="shared" si="10"/>
        <v>2.5062674598046674E-4</v>
      </c>
      <c r="F101" s="8">
        <f t="shared" si="11"/>
        <v>1.7213933991809039E-3</v>
      </c>
    </row>
    <row r="102" spans="2:6">
      <c r="B102" s="8">
        <v>89</v>
      </c>
      <c r="C102" s="8">
        <f t="shared" si="8"/>
        <v>0.99888608162405645</v>
      </c>
      <c r="D102" s="8">
        <f t="shared" si="9"/>
        <v>0.9830830617336499</v>
      </c>
      <c r="E102" s="8">
        <f t="shared" si="10"/>
        <v>2.0882304810264558E-4</v>
      </c>
      <c r="F102" s="8">
        <f t="shared" si="11"/>
        <v>1.5724212954178059E-3</v>
      </c>
    </row>
    <row r="103" spans="2:6">
      <c r="B103" s="8">
        <v>90</v>
      </c>
      <c r="C103" s="8">
        <f t="shared" si="8"/>
        <v>0.99907687635173803</v>
      </c>
      <c r="D103" s="8">
        <f t="shared" si="9"/>
        <v>0.98458617414852001</v>
      </c>
      <c r="E103" s="8">
        <f t="shared" si="10"/>
        <v>1.7380081474370853E-4</v>
      </c>
      <c r="F103" s="8">
        <f t="shared" si="11"/>
        <v>1.4357906142104184E-3</v>
      </c>
    </row>
    <row r="104" spans="2:6">
      <c r="B104" s="8">
        <v>91</v>
      </c>
      <c r="C104" s="8">
        <f t="shared" si="8"/>
        <v>0.99923559255770567</v>
      </c>
      <c r="D104" s="8">
        <f t="shared" si="9"/>
        <v>0.98595843122133209</v>
      </c>
      <c r="E104" s="8">
        <f t="shared" si="10"/>
        <v>1.445017419939534E-4</v>
      </c>
      <c r="F104" s="8">
        <f t="shared" si="11"/>
        <v>1.3105604324315722E-3</v>
      </c>
    </row>
    <row r="105" spans="2:6">
      <c r="B105" s="8">
        <v>92</v>
      </c>
      <c r="C105" s="8">
        <f t="shared" si="8"/>
        <v>0.99936749002627057</v>
      </c>
      <c r="D105" s="8">
        <f t="shared" si="9"/>
        <v>0.98721078818137398</v>
      </c>
      <c r="E105" s="8">
        <f t="shared" si="10"/>
        <v>1.2002359390473972E-4</v>
      </c>
      <c r="F105" s="8">
        <f t="shared" si="11"/>
        <v>1.195849697236484E-3</v>
      </c>
    </row>
    <row r="106" spans="2:6">
      <c r="B106" s="8">
        <v>93</v>
      </c>
      <c r="C106" s="8">
        <f t="shared" si="8"/>
        <v>0.99947699548675673</v>
      </c>
      <c r="D106" s="8">
        <f t="shared" si="9"/>
        <v>0.98835334830200838</v>
      </c>
      <c r="E106" s="8">
        <f t="shared" si="10"/>
        <v>9.9599168069981102E-5</v>
      </c>
      <c r="F106" s="8">
        <f t="shared" si="11"/>
        <v>1.0908352042227529E-3</v>
      </c>
    </row>
    <row r="107" spans="2:6">
      <c r="B107" s="8">
        <v>94</v>
      </c>
      <c r="C107" s="8">
        <f t="shared" si="8"/>
        <v>0.99956782813769129</v>
      </c>
      <c r="D107" s="8">
        <f t="shared" si="9"/>
        <v>0.98939541963211264</v>
      </c>
      <c r="E107" s="8">
        <f t="shared" si="10"/>
        <v>8.2577657675860744E-5</v>
      </c>
      <c r="F107" s="8">
        <f t="shared" si="11"/>
        <v>9.9474933478141056E-4</v>
      </c>
    </row>
    <row r="108" spans="2:6">
      <c r="B108" s="8">
        <v>95</v>
      </c>
      <c r="C108" s="8">
        <f t="shared" si="8"/>
        <v>0.99964310765931486</v>
      </c>
      <c r="D108" s="8">
        <f t="shared" si="9"/>
        <v>0.99034556937472329</v>
      </c>
      <c r="E108" s="8">
        <f t="shared" si="10"/>
        <v>6.8408238534677294E-5</v>
      </c>
      <c r="F108" s="8">
        <f t="shared" si="11"/>
        <v>9.0687762234530447E-4</v>
      </c>
    </row>
    <row r="109" spans="2:6">
      <c r="B109" s="8">
        <v>96</v>
      </c>
      <c r="C109" s="8">
        <f t="shared" si="8"/>
        <v>0.9997054468475165</v>
      </c>
      <c r="D109" s="8">
        <f t="shared" si="9"/>
        <v>0.99121167577195213</v>
      </c>
      <c r="E109" s="8">
        <f t="shared" si="10"/>
        <v>5.6625695268417235E-5</v>
      </c>
      <c r="F109" s="8">
        <f t="shared" si="11"/>
        <v>8.2655620635819344E-4</v>
      </c>
    </row>
    <row r="110" spans="2:6">
      <c r="B110" s="8">
        <v>97</v>
      </c>
      <c r="C110" s="8">
        <f>CallDelta(B110,BS_IVLow,0,BS_r,BS_K,BS_T)</f>
        <v>0.99975703081337397</v>
      </c>
      <c r="D110" s="8">
        <f t="shared" si="9"/>
        <v>0.9920009774091525</v>
      </c>
      <c r="E110" s="8">
        <f t="shared" si="10"/>
        <v>4.6837896056140886E-5</v>
      </c>
      <c r="F110" s="8">
        <f t="shared" si="11"/>
        <v>7.5316922316741677E-4</v>
      </c>
    </row>
    <row r="111" spans="2:6">
      <c r="B111" s="8">
        <v>98</v>
      </c>
      <c r="C111" s="8">
        <f>CallDelta(B111,BS_IVLow,0,BS_r,BS_K,BS_T)</f>
        <v>0.99979968450249335</v>
      </c>
      <c r="D111" s="8">
        <f t="shared" si="9"/>
        <v>0.99272011989620179</v>
      </c>
      <c r="E111" s="8">
        <f t="shared" si="10"/>
        <v>3.8714927613947964E-5</v>
      </c>
      <c r="F111" s="8">
        <f t="shared" si="11"/>
        <v>6.8614617458907323E-4</v>
      </c>
    </row>
    <row r="112" spans="2:6">
      <c r="B112" s="8">
        <v>99</v>
      </c>
      <c r="C112" s="8">
        <f>CallDelta(B112,BS_IVLow,0,BS_r,BS_K,BS_T)</f>
        <v>0.9998349301032301</v>
      </c>
      <c r="D112" s="8">
        <f t="shared" si="9"/>
        <v>0.99337519992074341</v>
      </c>
      <c r="E112" s="8">
        <f t="shared" si="10"/>
        <v>3.1979709254048464E-5</v>
      </c>
      <c r="F112" s="8">
        <f t="shared" si="11"/>
        <v>6.2495930750941303E-4</v>
      </c>
    </row>
    <row r="113" spans="2:6">
      <c r="B113" s="8">
        <v>100</v>
      </c>
      <c r="C113" s="8">
        <f>CallDelta(B113,BS_IVLow,0,BS_r,BS_K,BS_T)</f>
        <v>0.99986403573669724</v>
      </c>
      <c r="D113" s="8">
        <f t="shared" si="9"/>
        <v>0.99397180669831686</v>
      </c>
      <c r="E113" s="8">
        <f t="shared" si="10"/>
        <v>2.6399915325170486E-5</v>
      </c>
      <c r="F113" s="8">
        <f t="shared" si="11"/>
        <v>5.6912103147197998E-4</v>
      </c>
    </row>
  </sheetData>
  <mergeCells count="1">
    <mergeCell ref="B6:F7"/>
  </mergeCells>
  <phoneticPr fontId="18" type="noConversion"/>
  <pageMargins left="0.75" right="0.75" top="1" bottom="1" header="0.5" footer="0.5"/>
  <headerFooter alignWithMargins="0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12"/>
  <sheetViews>
    <sheetView zoomScale="125" zoomScaleNormal="125" zoomScalePageLayoutView="125" workbookViewId="0">
      <selection activeCell="K10" sqref="K10"/>
    </sheetView>
  </sheetViews>
  <sheetFormatPr defaultColWidth="8.81640625" defaultRowHeight="12.5"/>
  <cols>
    <col min="1" max="1" width="10.36328125" style="7" bestFit="1" customWidth="1"/>
    <col min="2" max="2" width="10.453125" style="7" customWidth="1"/>
    <col min="3" max="3" width="9" style="7" customWidth="1"/>
    <col min="4" max="4" width="13.453125" style="7" customWidth="1"/>
    <col min="5" max="5" width="12.36328125" style="7" bestFit="1" customWidth="1"/>
    <col min="6" max="6" width="12" style="7" customWidth="1"/>
    <col min="7" max="7" width="10" style="7" customWidth="1"/>
    <col min="8" max="16384" width="8.81640625" style="7"/>
  </cols>
  <sheetData>
    <row r="1" spans="1:15" ht="13">
      <c r="A1" s="27" t="s">
        <v>3</v>
      </c>
      <c r="B1" s="28">
        <v>100</v>
      </c>
      <c r="E1" s="27" t="s">
        <v>58</v>
      </c>
      <c r="F1" s="33">
        <f ca="1">F112</f>
        <v>110.72972725305138</v>
      </c>
      <c r="H1" s="7" t="s">
        <v>76</v>
      </c>
    </row>
    <row r="2" spans="1:15" ht="13">
      <c r="A2" s="27" t="s">
        <v>4</v>
      </c>
      <c r="B2" s="28">
        <v>100</v>
      </c>
    </row>
    <row r="3" spans="1:15" ht="13">
      <c r="A3" s="27" t="s">
        <v>46</v>
      </c>
      <c r="B3" s="44">
        <v>0.05</v>
      </c>
      <c r="E3" s="27" t="s">
        <v>22</v>
      </c>
      <c r="F3" s="32">
        <f ca="1">($F$1-IF(DH_PriceT&gt;DH_Strike,1,0)*DH_Strike)*EXP(-DH_Rate*DH_Term)</f>
        <v>10.206432279969691</v>
      </c>
      <c r="H3" s="56" t="s">
        <v>79</v>
      </c>
    </row>
    <row r="4" spans="1:15" ht="13">
      <c r="A4" s="27" t="s">
        <v>47</v>
      </c>
      <c r="B4" s="31">
        <v>0.2</v>
      </c>
      <c r="C4" s="7" t="s">
        <v>80</v>
      </c>
      <c r="E4" s="27" t="s">
        <v>18</v>
      </c>
      <c r="F4" s="32">
        <f>CallOption(B1,B4,0,B3,B2,B6)</f>
        <v>10.450575666859251</v>
      </c>
      <c r="H4" s="7" t="s">
        <v>81</v>
      </c>
    </row>
    <row r="5" spans="1:15" ht="13">
      <c r="A5" s="27" t="s">
        <v>7</v>
      </c>
      <c r="B5" s="29">
        <v>1</v>
      </c>
      <c r="C5" s="10" t="s">
        <v>88</v>
      </c>
      <c r="D5" s="7">
        <v>0.01</v>
      </c>
    </row>
    <row r="6" spans="1:15" ht="30" customHeight="1">
      <c r="A6" s="27" t="s">
        <v>19</v>
      </c>
      <c r="B6" s="28">
        <v>1</v>
      </c>
    </row>
    <row r="7" spans="1:15" ht="13">
      <c r="A7" s="27"/>
      <c r="B7" s="30"/>
    </row>
    <row r="8" spans="1:15" ht="15.5">
      <c r="A8" s="41" t="s">
        <v>84</v>
      </c>
      <c r="B8" s="30"/>
      <c r="K8" s="41" t="s">
        <v>89</v>
      </c>
    </row>
    <row r="9" spans="1:15">
      <c r="K9" s="47" t="s">
        <v>90</v>
      </c>
    </row>
    <row r="10" spans="1:15">
      <c r="D10" s="8" t="s">
        <v>48</v>
      </c>
      <c r="E10" s="8" t="s">
        <v>50</v>
      </c>
      <c r="F10" s="7" t="s">
        <v>51</v>
      </c>
      <c r="G10" s="58" t="s">
        <v>87</v>
      </c>
    </row>
    <row r="11" spans="1:15" ht="13.5" thickBot="1">
      <c r="A11" s="34" t="s">
        <v>21</v>
      </c>
      <c r="B11" s="34" t="s">
        <v>3</v>
      </c>
      <c r="C11" s="34" t="s">
        <v>45</v>
      </c>
      <c r="D11" s="34" t="s">
        <v>52</v>
      </c>
      <c r="E11" s="34" t="s">
        <v>85</v>
      </c>
      <c r="F11" s="34" t="s">
        <v>78</v>
      </c>
      <c r="G11" s="34" t="s">
        <v>49</v>
      </c>
      <c r="H11" s="8"/>
      <c r="I11" s="34" t="s">
        <v>77</v>
      </c>
      <c r="J11" s="8"/>
      <c r="K11" s="57" t="s">
        <v>86</v>
      </c>
      <c r="L11" s="8"/>
      <c r="M11" s="8"/>
      <c r="N11" s="8"/>
      <c r="O11" s="8"/>
    </row>
    <row r="12" spans="1:15" ht="14" customHeight="1">
      <c r="A12" s="8">
        <v>0</v>
      </c>
      <c r="B12" s="48">
        <v>100</v>
      </c>
      <c r="C12" s="45">
        <f t="shared" ref="C12:C17" si="0">CallDelta(B12,$B$4,0,$B$3,$B$2,$B$5-A12)</f>
        <v>0.63683058735763587</v>
      </c>
      <c r="D12" s="53">
        <f>(C12-0)*$B$6</f>
        <v>0.63683058735763587</v>
      </c>
      <c r="E12" s="54">
        <f>D12*B12</f>
        <v>63.683058735763588</v>
      </c>
      <c r="F12" s="54">
        <f>E12</f>
        <v>63.683058735763588</v>
      </c>
      <c r="G12" s="53">
        <f t="shared" ref="G12:G43" si="1">F12*(EXP(DH_Rate*DH_dt)-1)</f>
        <v>3.1849491077114489E-2</v>
      </c>
      <c r="H12" s="8"/>
      <c r="I12" s="45">
        <f t="shared" ref="I12:I43" si="2">CallGamma(B12,$B$4,0,$B$3,$B$2,$B$5-A12)</f>
        <v>1.8762017505869651E-2</v>
      </c>
      <c r="J12" s="8"/>
      <c r="K12" s="47" t="s">
        <v>83</v>
      </c>
      <c r="L12" s="8"/>
      <c r="M12" s="8"/>
      <c r="N12" s="8"/>
      <c r="O12" s="8"/>
    </row>
    <row r="13" spans="1:15">
      <c r="A13" s="8">
        <v>0.01</v>
      </c>
      <c r="B13" s="48">
        <f t="shared" ref="B13:B44" ca="1" si="3">B12*EXP(($B$3-0.5*$B$4^2)*$A$13+$B$4*NORMSINV(RAND())*SQRT($A$13))</f>
        <v>101.69900117312606</v>
      </c>
      <c r="C13" s="45">
        <f t="shared" ca="1" si="0"/>
        <v>0.66745860066007989</v>
      </c>
      <c r="D13" s="53">
        <f ca="1">(C13-C12)*$B$6</f>
        <v>3.0628013302444024E-2</v>
      </c>
      <c r="E13" s="54">
        <f t="shared" ref="E13:E76" ca="1" si="4">D13*B13</f>
        <v>3.1148383607757753</v>
      </c>
      <c r="F13" s="54">
        <f ca="1">F12+G12+E13</f>
        <v>66.829746587616484</v>
      </c>
      <c r="G13" s="53">
        <f t="shared" ca="1" si="1"/>
        <v>3.3423228404586336E-2</v>
      </c>
      <c r="I13" s="45">
        <f t="shared" ca="1" si="2"/>
        <v>1.7949429936500068E-2</v>
      </c>
      <c r="J13" s="8"/>
      <c r="K13" s="8"/>
      <c r="L13" s="8"/>
      <c r="M13" s="8"/>
      <c r="N13" s="8"/>
      <c r="O13" s="8"/>
    </row>
    <row r="14" spans="1:15">
      <c r="A14" s="8">
        <v>0.02</v>
      </c>
      <c r="B14" s="48">
        <f t="shared" ca="1" si="3"/>
        <v>99.650093984573033</v>
      </c>
      <c r="C14" s="45">
        <f t="shared" ca="1" si="0"/>
        <v>0.62883834078857526</v>
      </c>
      <c r="D14" s="53">
        <f t="shared" ref="D14:D77" ca="1" si="5">(C14-C13)*$B$6</f>
        <v>-3.8620259871504636E-2</v>
      </c>
      <c r="E14" s="54">
        <f ca="1">D14*B14</f>
        <v>-3.8485125259040713</v>
      </c>
      <c r="F14" s="54">
        <f t="shared" ref="F14:F77" ca="1" si="6">F13+G13+E14</f>
        <v>63.014657290117</v>
      </c>
      <c r="G14" s="53">
        <f t="shared" ca="1" si="1"/>
        <v>3.1515206790183777E-2</v>
      </c>
      <c r="H14" s="8"/>
      <c r="I14" s="45">
        <f t="shared" ca="1" si="2"/>
        <v>1.915652540159218E-2</v>
      </c>
      <c r="J14" s="8"/>
      <c r="K14" s="47" t="s">
        <v>82</v>
      </c>
      <c r="L14" s="8"/>
      <c r="M14" s="8"/>
      <c r="O14" s="8"/>
    </row>
    <row r="15" spans="1:15">
      <c r="A15" s="8">
        <v>0.03</v>
      </c>
      <c r="B15" s="48">
        <f t="shared" ca="1" si="3"/>
        <v>99.0591784272426</v>
      </c>
      <c r="C15" s="45">
        <f t="shared" ca="1" si="0"/>
        <v>0.61666014952746406</v>
      </c>
      <c r="D15" s="53">
        <f t="shared" ca="1" si="5"/>
        <v>-1.2178191261111193E-2</v>
      </c>
      <c r="E15" s="54">
        <f ca="1">D15*B15</f>
        <v>-1.2063616210555002</v>
      </c>
      <c r="F15" s="54">
        <f ca="1">F14+G14+E15</f>
        <v>61.839810875851683</v>
      </c>
      <c r="G15" s="53">
        <f t="shared" ca="1" si="1"/>
        <v>3.0927636702770406E-2</v>
      </c>
      <c r="I15" s="45">
        <f t="shared" ca="1" si="2"/>
        <v>1.9565057177516932E-2</v>
      </c>
      <c r="J15" s="8"/>
      <c r="K15" s="8"/>
      <c r="L15" s="8"/>
      <c r="M15" s="8"/>
      <c r="O15" s="8"/>
    </row>
    <row r="16" spans="1:15">
      <c r="A16" s="8">
        <v>0.04</v>
      </c>
      <c r="B16" s="48">
        <f t="shared" ca="1" si="3"/>
        <v>98.558189180829189</v>
      </c>
      <c r="C16" s="45">
        <f t="shared" ca="1" si="0"/>
        <v>0.60596425533136011</v>
      </c>
      <c r="D16" s="53">
        <f ca="1">(C16-C15)*$B$6</f>
        <v>-1.069589419610395E-2</v>
      </c>
      <c r="E16" s="54">
        <f ca="1">D16*B16</f>
        <v>-1.0541679636377461</v>
      </c>
      <c r="F16" s="54">
        <f ca="1">F15+G15+E16</f>
        <v>60.816570548916708</v>
      </c>
      <c r="G16" s="53">
        <f t="shared" ca="1" si="1"/>
        <v>3.041588861294197E-2</v>
      </c>
      <c r="H16" s="8"/>
      <c r="I16" s="45">
        <f t="shared" ca="1" si="2"/>
        <v>1.9923253084288071E-2</v>
      </c>
      <c r="J16" s="8"/>
      <c r="K16" s="8"/>
      <c r="L16" s="8"/>
      <c r="M16" s="8"/>
      <c r="O16" s="8"/>
    </row>
    <row r="17" spans="1:15">
      <c r="A17" s="8">
        <v>0.05</v>
      </c>
      <c r="B17" s="48">
        <f t="shared" ca="1" si="3"/>
        <v>98.900465107247356</v>
      </c>
      <c r="C17" s="45">
        <f t="shared" ca="1" si="0"/>
        <v>0.61195584558440819</v>
      </c>
      <c r="D17" s="53">
        <f t="shared" ca="1" si="5"/>
        <v>5.9915902530480736E-3</v>
      </c>
      <c r="E17" s="54">
        <f t="shared" ca="1" si="4"/>
        <v>0.59257106275850435</v>
      </c>
      <c r="F17" s="54">
        <f ca="1">F16+G16+E17</f>
        <v>61.439557500288153</v>
      </c>
      <c r="G17" s="53">
        <f t="shared" ca="1" si="1"/>
        <v>3.0727459974977077E-2</v>
      </c>
      <c r="H17" s="8"/>
      <c r="I17" s="45">
        <f t="shared" ca="1" si="2"/>
        <v>1.9872559733472885E-2</v>
      </c>
      <c r="J17" s="8"/>
      <c r="K17" s="8"/>
      <c r="L17" s="8"/>
      <c r="M17" s="8"/>
      <c r="N17" s="8"/>
      <c r="O17" s="8"/>
    </row>
    <row r="18" spans="1:15">
      <c r="A18" s="8">
        <v>0.06</v>
      </c>
      <c r="B18" s="48">
        <f t="shared" ca="1" si="3"/>
        <v>97.978269465034046</v>
      </c>
      <c r="C18" s="45">
        <f t="shared" ref="C18:C77" ca="1" si="7">CallDelta(B18,$B$4,0,$B$3,$B$2,$B$5-A18)</f>
        <v>0.59250995484658986</v>
      </c>
      <c r="D18" s="53">
        <f t="shared" ca="1" si="5"/>
        <v>-1.9445890737818328E-2</v>
      </c>
      <c r="E18" s="54">
        <f t="shared" ca="1" si="4"/>
        <v>-1.9052747226975739</v>
      </c>
      <c r="F18" s="54">
        <f ca="1">F17+G17+E18</f>
        <v>59.565010237565552</v>
      </c>
      <c r="G18" s="53">
        <f t="shared" ca="1" si="1"/>
        <v>2.978995198615015E-2</v>
      </c>
      <c r="H18" s="8"/>
      <c r="I18" s="45">
        <f t="shared" ca="1" si="2"/>
        <v>2.0431281900785674E-2</v>
      </c>
      <c r="J18" s="8"/>
      <c r="K18" s="8"/>
      <c r="L18" s="8"/>
      <c r="M18" s="8"/>
      <c r="N18" s="8"/>
      <c r="O18" s="8"/>
    </row>
    <row r="19" spans="1:15">
      <c r="A19" s="8">
        <v>7.0000000000000007E-2</v>
      </c>
      <c r="B19" s="48">
        <f t="shared" ca="1" si="3"/>
        <v>100.39282734671593</v>
      </c>
      <c r="C19" s="45">
        <f t="shared" ca="1" si="7"/>
        <v>0.63977403372841313</v>
      </c>
      <c r="D19" s="53">
        <f t="shared" ca="1" si="5"/>
        <v>4.7264078881823268E-2</v>
      </c>
      <c r="E19" s="54">
        <f t="shared" ca="1" si="4"/>
        <v>4.7449745108844459</v>
      </c>
      <c r="F19" s="54">
        <f ca="1">F18+G18+E19</f>
        <v>64.339774700436152</v>
      </c>
      <c r="G19" s="53">
        <f t="shared" ca="1" si="1"/>
        <v>3.217793116262959E-2</v>
      </c>
      <c r="H19" s="8"/>
      <c r="I19" s="45">
        <f t="shared" ca="1" si="2"/>
        <v>1.9325377706935994E-2</v>
      </c>
      <c r="J19" s="8"/>
      <c r="K19" s="8"/>
      <c r="L19" s="8"/>
      <c r="M19" s="8"/>
      <c r="N19" s="8"/>
      <c r="O19" s="8"/>
    </row>
    <row r="20" spans="1:15">
      <c r="A20" s="8">
        <v>0.08</v>
      </c>
      <c r="B20" s="48">
        <f t="shared" ca="1" si="3"/>
        <v>100.43573740207725</v>
      </c>
      <c r="C20" s="45">
        <f t="shared" ca="1" si="7"/>
        <v>0.63996793242360539</v>
      </c>
      <c r="D20" s="53">
        <f t="shared" ca="1" si="5"/>
        <v>1.9389869519226277E-4</v>
      </c>
      <c r="E20" s="54">
        <f t="shared" ca="1" si="4"/>
        <v>1.9474358432935521E-2</v>
      </c>
      <c r="F20" s="54">
        <f t="shared" ca="1" si="6"/>
        <v>64.391426990031718</v>
      </c>
      <c r="G20" s="53">
        <f t="shared" ca="1" si="1"/>
        <v>3.2203763765039792E-2</v>
      </c>
      <c r="H20" s="8"/>
      <c r="I20" s="45">
        <f t="shared" ca="1" si="2"/>
        <v>1.9418217771677734E-2</v>
      </c>
      <c r="J20" s="8"/>
      <c r="K20" s="8"/>
      <c r="L20" s="8"/>
      <c r="M20" s="8"/>
      <c r="N20" s="8"/>
      <c r="O20" s="8"/>
    </row>
    <row r="21" spans="1:15">
      <c r="A21" s="8">
        <v>0.09</v>
      </c>
      <c r="B21" s="48">
        <f t="shared" ca="1" si="3"/>
        <v>101.52508988379921</v>
      </c>
      <c r="C21" s="45">
        <f t="shared" ca="1" si="7"/>
        <v>0.66027420976753237</v>
      </c>
      <c r="D21" s="53">
        <f t="shared" ca="1" si="5"/>
        <v>2.0306277343926982E-2</v>
      </c>
      <c r="E21" s="54">
        <f t="shared" ca="1" si="4"/>
        <v>2.0615966325475421</v>
      </c>
      <c r="F21" s="54">
        <f t="shared" ca="1" si="6"/>
        <v>66.485227386344306</v>
      </c>
      <c r="G21" s="53">
        <f t="shared" ca="1" si="1"/>
        <v>3.3250925731871737E-2</v>
      </c>
      <c r="H21" s="8"/>
      <c r="I21" s="45">
        <f t="shared" ca="1" si="2"/>
        <v>1.8910779095724885E-2</v>
      </c>
      <c r="J21" s="8"/>
      <c r="K21" s="8"/>
      <c r="L21" s="8"/>
      <c r="M21" s="8"/>
      <c r="N21" s="8"/>
      <c r="O21" s="8"/>
    </row>
    <row r="22" spans="1:15">
      <c r="A22" s="8">
        <v>0.1</v>
      </c>
      <c r="B22" s="48">
        <f t="shared" ca="1" si="3"/>
        <v>104.64112248482206</v>
      </c>
      <c r="C22" s="45">
        <f t="shared" ca="1" si="7"/>
        <v>0.71604808253204077</v>
      </c>
      <c r="D22" s="53">
        <f t="shared" ca="1" si="5"/>
        <v>5.5773872764508403E-2</v>
      </c>
      <c r="E22" s="54">
        <f t="shared" ca="1" si="4"/>
        <v>5.8362406514038048</v>
      </c>
      <c r="F22" s="54">
        <f t="shared" ca="1" si="6"/>
        <v>72.354718963479982</v>
      </c>
      <c r="G22" s="53">
        <f t="shared" ca="1" si="1"/>
        <v>3.6186405329182568E-2</v>
      </c>
      <c r="H22" s="8"/>
      <c r="I22" s="45">
        <f t="shared" ca="1" si="2"/>
        <v>1.7069566799949098E-2</v>
      </c>
      <c r="J22" s="8"/>
      <c r="K22" s="8"/>
      <c r="L22" s="8"/>
      <c r="M22" s="8"/>
      <c r="N22" s="8"/>
      <c r="O22" s="8"/>
    </row>
    <row r="23" spans="1:15">
      <c r="A23" s="8">
        <v>0.11</v>
      </c>
      <c r="B23" s="48">
        <f t="shared" ca="1" si="3"/>
        <v>107.62105509432902</v>
      </c>
      <c r="C23" s="45">
        <f t="shared" ca="1" si="7"/>
        <v>0.76406914914952917</v>
      </c>
      <c r="D23" s="53">
        <f t="shared" ca="1" si="5"/>
        <v>4.8021066617488395E-2</v>
      </c>
      <c r="E23" s="54">
        <f t="shared" ca="1" si="4"/>
        <v>5.1680778561291625</v>
      </c>
      <c r="F23" s="54">
        <f t="shared" ca="1" si="6"/>
        <v>77.558983224938331</v>
      </c>
      <c r="G23" s="53">
        <f t="shared" ca="1" si="1"/>
        <v>3.8789188101379699E-2</v>
      </c>
      <c r="H23" s="8"/>
      <c r="I23" s="45">
        <f t="shared" ca="1" si="2"/>
        <v>1.5166650208919755E-2</v>
      </c>
      <c r="J23" s="8"/>
      <c r="K23" s="8"/>
      <c r="L23" s="8"/>
      <c r="M23" s="8"/>
      <c r="N23" s="8"/>
      <c r="O23" s="8"/>
    </row>
    <row r="24" spans="1:15">
      <c r="A24" s="8">
        <v>0.12</v>
      </c>
      <c r="B24" s="48">
        <f t="shared" ca="1" si="3"/>
        <v>106.67428172456664</v>
      </c>
      <c r="C24" s="45">
        <f t="shared" ca="1" si="7"/>
        <v>0.74943132888516395</v>
      </c>
      <c r="D24" s="53">
        <f t="shared" ca="1" si="5"/>
        <v>-1.463782026436522E-2</v>
      </c>
      <c r="E24" s="54">
        <f t="shared" ca="1" si="4"/>
        <v>-1.5614789627144661</v>
      </c>
      <c r="F24" s="54">
        <f t="shared" ca="1" si="6"/>
        <v>76.036293450325246</v>
      </c>
      <c r="G24" s="53">
        <f t="shared" ca="1" si="1"/>
        <v>3.802765284612479E-2</v>
      </c>
      <c r="H24" s="8"/>
      <c r="I24" s="45">
        <f t="shared" ca="1" si="2"/>
        <v>1.5896959836851944E-2</v>
      </c>
      <c r="J24" s="8"/>
      <c r="K24" s="8"/>
      <c r="L24" s="8"/>
      <c r="M24" s="8"/>
      <c r="N24" s="8"/>
      <c r="O24" s="8"/>
    </row>
    <row r="25" spans="1:15">
      <c r="A25" s="8">
        <v>0.13</v>
      </c>
      <c r="B25" s="48">
        <f t="shared" ca="1" si="3"/>
        <v>110.13786467711944</v>
      </c>
      <c r="C25" s="45">
        <f t="shared" ca="1" si="7"/>
        <v>0.80069013829789548</v>
      </c>
      <c r="D25" s="53">
        <f t="shared" ca="1" si="5"/>
        <v>5.1258809412731532E-2</v>
      </c>
      <c r="E25" s="54">
        <f t="shared" ca="1" si="4"/>
        <v>5.6455358146096817</v>
      </c>
      <c r="F25" s="54">
        <f t="shared" ca="1" si="6"/>
        <v>81.719856917781058</v>
      </c>
      <c r="G25" s="53">
        <f t="shared" ca="1" si="1"/>
        <v>4.0870145143708014E-2</v>
      </c>
      <c r="H25" s="8"/>
      <c r="I25" s="45">
        <f t="shared" ca="1" si="2"/>
        <v>1.3597825825771433E-2</v>
      </c>
      <c r="J25" s="8"/>
      <c r="K25" s="8"/>
      <c r="L25" s="8"/>
      <c r="M25" s="8"/>
      <c r="N25" s="8"/>
      <c r="O25" s="8"/>
    </row>
    <row r="26" spans="1:15">
      <c r="A26" s="8">
        <v>0.14000000000000001</v>
      </c>
      <c r="B26" s="48">
        <f t="shared" ca="1" si="3"/>
        <v>106.00375858345157</v>
      </c>
      <c r="C26" s="45">
        <f t="shared" ca="1" si="7"/>
        <v>0.73856671219811754</v>
      </c>
      <c r="D26" s="53">
        <f t="shared" ca="1" si="5"/>
        <v>-6.2123426099777945E-2</v>
      </c>
      <c r="E26" s="54">
        <f t="shared" ca="1" si="4"/>
        <v>-6.5853166626577559</v>
      </c>
      <c r="F26" s="54">
        <f t="shared" ca="1" si="6"/>
        <v>75.175410400267012</v>
      </c>
      <c r="G26" s="53">
        <f t="shared" ca="1" si="1"/>
        <v>3.759710369277719E-2</v>
      </c>
      <c r="H26" s="8"/>
      <c r="I26" s="45">
        <f t="shared" ca="1" si="2"/>
        <v>1.654483633669129E-2</v>
      </c>
      <c r="J26" s="8"/>
      <c r="K26" s="8"/>
      <c r="L26" s="8"/>
      <c r="M26" s="8"/>
      <c r="N26" s="8"/>
      <c r="O26" s="8"/>
    </row>
    <row r="27" spans="1:15">
      <c r="A27" s="8">
        <v>0.15</v>
      </c>
      <c r="B27" s="48">
        <f t="shared" ca="1" si="3"/>
        <v>106.92523641202405</v>
      </c>
      <c r="C27" s="45">
        <f t="shared" ca="1" si="7"/>
        <v>0.75358799002914179</v>
      </c>
      <c r="D27" s="53">
        <f t="shared" ca="1" si="5"/>
        <v>1.5021277831024249E-2</v>
      </c>
      <c r="E27" s="54">
        <f t="shared" ca="1" si="4"/>
        <v>1.6061536832929637</v>
      </c>
      <c r="F27" s="54">
        <f t="shared" ca="1" si="6"/>
        <v>76.819161187252746</v>
      </c>
      <c r="G27" s="53">
        <f t="shared" ca="1" si="1"/>
        <v>3.8419184589367376E-2</v>
      </c>
      <c r="H27" s="8"/>
      <c r="I27" s="45">
        <f t="shared" ca="1" si="2"/>
        <v>1.5993894472315969E-2</v>
      </c>
      <c r="J27" s="8"/>
      <c r="K27" s="8"/>
      <c r="L27" s="8"/>
      <c r="M27" s="8"/>
      <c r="N27" s="8"/>
      <c r="O27" s="8"/>
    </row>
    <row r="28" spans="1:15">
      <c r="A28" s="8">
        <v>0.16</v>
      </c>
      <c r="B28" s="48">
        <f t="shared" ca="1" si="3"/>
        <v>108.2150276243237</v>
      </c>
      <c r="C28" s="45">
        <f t="shared" ca="1" si="7"/>
        <v>0.77382061421086834</v>
      </c>
      <c r="D28" s="53">
        <f t="shared" ca="1" si="5"/>
        <v>2.0232624181726555E-2</v>
      </c>
      <c r="E28" s="54">
        <f t="shared" ca="1" si="4"/>
        <v>2.1894739847380986</v>
      </c>
      <c r="F28" s="54">
        <f t="shared" ca="1" si="6"/>
        <v>79.047054356580219</v>
      </c>
      <c r="G28" s="53">
        <f t="shared" ca="1" si="1"/>
        <v>3.9533409707097324E-2</v>
      </c>
      <c r="H28" s="8"/>
      <c r="I28" s="45">
        <f t="shared" ca="1" si="2"/>
        <v>1.5164298401949767E-2</v>
      </c>
      <c r="J28" s="8"/>
      <c r="K28" s="8"/>
      <c r="L28" s="8"/>
      <c r="M28" s="8"/>
      <c r="N28" s="8"/>
      <c r="O28" s="8"/>
    </row>
    <row r="29" spans="1:15">
      <c r="A29" s="8">
        <v>0.17</v>
      </c>
      <c r="B29" s="48">
        <f t="shared" ca="1" si="3"/>
        <v>104.75547703996057</v>
      </c>
      <c r="C29" s="45">
        <f t="shared" ca="1" si="7"/>
        <v>0.71696206486454306</v>
      </c>
      <c r="D29" s="53">
        <f t="shared" ca="1" si="5"/>
        <v>-5.6858549346325282E-2</v>
      </c>
      <c r="E29" s="54">
        <f t="shared" ca="1" si="4"/>
        <v>-5.9562444605744433</v>
      </c>
      <c r="F29" s="54">
        <f t="shared" ca="1" si="6"/>
        <v>73.130343305712884</v>
      </c>
      <c r="G29" s="53">
        <f t="shared" ca="1" si="1"/>
        <v>3.6574314469502593E-2</v>
      </c>
      <c r="H29" s="8"/>
      <c r="I29" s="45">
        <f t="shared" ca="1" si="2"/>
        <v>1.772798264058276E-2</v>
      </c>
      <c r="J29" s="8"/>
      <c r="K29" s="8"/>
      <c r="L29" s="8"/>
      <c r="M29" s="8"/>
      <c r="N29" s="8"/>
      <c r="O29" s="8"/>
    </row>
    <row r="30" spans="1:15">
      <c r="A30" s="8">
        <v>0.18</v>
      </c>
      <c r="B30" s="48">
        <f t="shared" ca="1" si="3"/>
        <v>104.08688791230435</v>
      </c>
      <c r="C30" s="45">
        <f t="shared" ca="1" si="7"/>
        <v>0.70474939140049819</v>
      </c>
      <c r="D30" s="53">
        <f t="shared" ca="1" si="5"/>
        <v>-1.2212673464044865E-2</v>
      </c>
      <c r="E30" s="54">
        <f t="shared" ca="1" si="4"/>
        <v>-1.2711791739616116</v>
      </c>
      <c r="F30" s="54">
        <f t="shared" ca="1" si="6"/>
        <v>71.895738446220776</v>
      </c>
      <c r="G30" s="53">
        <f t="shared" ca="1" si="1"/>
        <v>3.5956857688425055E-2</v>
      </c>
      <c r="H30" s="8"/>
      <c r="I30" s="45">
        <f t="shared" ca="1" si="2"/>
        <v>1.8310470606373898E-2</v>
      </c>
      <c r="J30" s="8"/>
      <c r="K30" s="8"/>
      <c r="L30" s="8"/>
      <c r="M30" s="8"/>
      <c r="N30" s="8"/>
      <c r="O30" s="8"/>
    </row>
    <row r="31" spans="1:15">
      <c r="A31" s="8">
        <v>0.19</v>
      </c>
      <c r="B31" s="48">
        <f t="shared" ca="1" si="3"/>
        <v>104.54263834562639</v>
      </c>
      <c r="C31" s="45">
        <f t="shared" ca="1" si="7"/>
        <v>0.71287545000772834</v>
      </c>
      <c r="D31" s="53">
        <f t="shared" ca="1" si="5"/>
        <v>8.1260586072301466E-3</v>
      </c>
      <c r="E31" s="54">
        <f t="shared" ca="1" si="4"/>
        <v>0.84951960615102562</v>
      </c>
      <c r="F31" s="54">
        <f t="shared" ca="1" si="6"/>
        <v>72.781214910060214</v>
      </c>
      <c r="G31" s="53">
        <f t="shared" ca="1" si="1"/>
        <v>3.6399706623352415E-2</v>
      </c>
      <c r="H31" s="8"/>
      <c r="I31" s="45">
        <f t="shared" ca="1" si="2"/>
        <v>1.8105359111364867E-2</v>
      </c>
      <c r="J31" s="8"/>
      <c r="K31" s="8"/>
      <c r="L31" s="8"/>
      <c r="M31" s="8"/>
      <c r="N31" s="8"/>
      <c r="O31" s="8"/>
    </row>
    <row r="32" spans="1:15">
      <c r="A32" s="8">
        <v>0.2</v>
      </c>
      <c r="B32" s="48">
        <f t="shared" ca="1" si="3"/>
        <v>106.33749947081773</v>
      </c>
      <c r="C32" s="45">
        <f t="shared" ca="1" si="7"/>
        <v>0.74426594266694679</v>
      </c>
      <c r="D32" s="53">
        <f t="shared" ca="1" si="5"/>
        <v>3.139049265921845E-2</v>
      </c>
      <c r="E32" s="54">
        <f t="shared" ca="1" si="4"/>
        <v>3.3379864965383499</v>
      </c>
      <c r="F32" s="54">
        <f t="shared" ca="1" si="6"/>
        <v>76.15560111322192</v>
      </c>
      <c r="G32" s="53">
        <f t="shared" ca="1" si="1"/>
        <v>3.8087321593516868E-2</v>
      </c>
      <c r="H32" s="8"/>
      <c r="I32" s="45">
        <f t="shared" ca="1" si="2"/>
        <v>1.6906148886464096E-2</v>
      </c>
      <c r="J32" s="8"/>
      <c r="K32" s="8"/>
      <c r="L32" s="8"/>
      <c r="M32" s="8"/>
      <c r="N32" s="8"/>
      <c r="O32" s="8"/>
    </row>
    <row r="33" spans="1:9">
      <c r="A33" s="8">
        <v>0.21</v>
      </c>
      <c r="B33" s="48">
        <f t="shared" ca="1" si="3"/>
        <v>107.96467451917987</v>
      </c>
      <c r="C33" s="45">
        <f t="shared" ca="1" si="7"/>
        <v>0.77101279895830088</v>
      </c>
      <c r="D33" s="53">
        <f t="shared" ca="1" si="5"/>
        <v>2.6746856291354093E-2</v>
      </c>
      <c r="E33" s="54">
        <f t="shared" ca="1" si="4"/>
        <v>2.8877156339073231</v>
      </c>
      <c r="F33" s="54">
        <f t="shared" ca="1" si="6"/>
        <v>79.081404068722762</v>
      </c>
      <c r="G33" s="53">
        <f t="shared" ca="1" si="1"/>
        <v>3.9550588857598323E-2</v>
      </c>
      <c r="I33" s="45">
        <f t="shared" ca="1" si="2"/>
        <v>1.578233995537745E-2</v>
      </c>
    </row>
    <row r="34" spans="1:9">
      <c r="A34" s="8">
        <v>0.22</v>
      </c>
      <c r="B34" s="48">
        <f t="shared" ca="1" si="3"/>
        <v>110.48510285905157</v>
      </c>
      <c r="C34" s="45">
        <f t="shared" ca="1" si="7"/>
        <v>0.8088350386268176</v>
      </c>
      <c r="D34" s="53">
        <f t="shared" ca="1" si="5"/>
        <v>3.7822239668516722E-2</v>
      </c>
      <c r="E34" s="54">
        <f t="shared" ca="1" si="4"/>
        <v>4.1787940401357702</v>
      </c>
      <c r="F34" s="54">
        <f t="shared" ca="1" si="6"/>
        <v>83.299748697716126</v>
      </c>
      <c r="G34" s="53">
        <f t="shared" ca="1" si="1"/>
        <v>4.166028855306643E-2</v>
      </c>
      <c r="I34" s="45">
        <f t="shared" ca="1" si="2"/>
        <v>1.3957351468388189E-2</v>
      </c>
    </row>
    <row r="35" spans="1:9">
      <c r="A35" s="8">
        <v>0.23</v>
      </c>
      <c r="B35" s="48">
        <f t="shared" ca="1" si="3"/>
        <v>108.34640667208963</v>
      </c>
      <c r="C35" s="45">
        <f t="shared" ca="1" si="7"/>
        <v>0.77753575330518687</v>
      </c>
      <c r="D35" s="53">
        <f t="shared" ca="1" si="5"/>
        <v>-3.1299285321630732E-2</v>
      </c>
      <c r="E35" s="54">
        <f t="shared" ca="1" si="4"/>
        <v>-3.391165096003169</v>
      </c>
      <c r="F35" s="54">
        <f t="shared" ca="1" si="6"/>
        <v>79.950243890266023</v>
      </c>
      <c r="G35" s="53">
        <f t="shared" ca="1" si="1"/>
        <v>3.9985117391450664E-2</v>
      </c>
      <c r="I35" s="45">
        <f t="shared" ca="1" si="2"/>
        <v>1.5671349632028431E-2</v>
      </c>
    </row>
    <row r="36" spans="1:9">
      <c r="A36" s="8">
        <v>0.24</v>
      </c>
      <c r="B36" s="48">
        <f t="shared" ca="1" si="3"/>
        <v>108.54815738883424</v>
      </c>
      <c r="C36" s="45">
        <f t="shared" ca="1" si="7"/>
        <v>0.780996042429972</v>
      </c>
      <c r="D36" s="53">
        <f t="shared" ca="1" si="5"/>
        <v>3.460289124785132E-3</v>
      </c>
      <c r="E36" s="54">
        <f t="shared" ca="1" si="4"/>
        <v>0.37560800852804799</v>
      </c>
      <c r="F36" s="54">
        <f t="shared" ca="1" si="6"/>
        <v>80.365837016185523</v>
      </c>
      <c r="G36" s="53">
        <f t="shared" ca="1" si="1"/>
        <v>4.0192965912210388E-2</v>
      </c>
      <c r="I36" s="45">
        <f t="shared" ca="1" si="2"/>
        <v>1.5604065565570964E-2</v>
      </c>
    </row>
    <row r="37" spans="1:9">
      <c r="A37" s="8">
        <v>0.25</v>
      </c>
      <c r="B37" s="48">
        <f t="shared" ca="1" si="3"/>
        <v>106.15297185282296</v>
      </c>
      <c r="C37" s="45">
        <f t="shared" ca="1" si="7"/>
        <v>0.74145924085660264</v>
      </c>
      <c r="D37" s="53">
        <f t="shared" ca="1" si="5"/>
        <v>-3.9536801573369362E-2</v>
      </c>
      <c r="E37" s="54">
        <f t="shared" ca="1" si="4"/>
        <v>-4.1969489845685244</v>
      </c>
      <c r="F37" s="54">
        <f t="shared" ca="1" si="6"/>
        <v>76.209080997529213</v>
      </c>
      <c r="G37" s="53">
        <f t="shared" ca="1" si="1"/>
        <v>3.8114068221770353E-2</v>
      </c>
      <c r="I37" s="45">
        <f t="shared" ca="1" si="2"/>
        <v>1.7590507009668865E-2</v>
      </c>
    </row>
    <row r="38" spans="1:9">
      <c r="A38" s="8">
        <v>0.26</v>
      </c>
      <c r="B38" s="48">
        <f t="shared" ca="1" si="3"/>
        <v>104.66207183243701</v>
      </c>
      <c r="C38" s="45">
        <f t="shared" ca="1" si="7"/>
        <v>0.71428000921027002</v>
      </c>
      <c r="D38" s="53">
        <f t="shared" ca="1" si="5"/>
        <v>-2.7179231646332624E-2</v>
      </c>
      <c r="E38" s="54">
        <f t="shared" ca="1" si="4"/>
        <v>-2.8446346949189101</v>
      </c>
      <c r="F38" s="54">
        <f t="shared" ca="1" si="6"/>
        <v>73.402560370832077</v>
      </c>
      <c r="G38" s="53">
        <f t="shared" ca="1" si="1"/>
        <v>3.6710457034867201E-2</v>
      </c>
      <c r="I38" s="45">
        <f t="shared" ca="1" si="2"/>
        <v>1.8876748801337509E-2</v>
      </c>
    </row>
    <row r="39" spans="1:9">
      <c r="A39" s="8">
        <v>0.27</v>
      </c>
      <c r="B39" s="48">
        <f t="shared" ca="1" si="3"/>
        <v>103.1269886476671</v>
      </c>
      <c r="C39" s="45">
        <f t="shared" ca="1" si="7"/>
        <v>0.68411266032664209</v>
      </c>
      <c r="D39" s="53">
        <f t="shared" ca="1" si="5"/>
        <v>-3.0167348883627931E-2</v>
      </c>
      <c r="E39" s="54">
        <f t="shared" ca="1" si="4"/>
        <v>-3.1110678458521104</v>
      </c>
      <c r="F39" s="54">
        <f t="shared" ca="1" si="6"/>
        <v>70.328202982014844</v>
      </c>
      <c r="G39" s="53">
        <f t="shared" ca="1" si="1"/>
        <v>3.5172893981728133E-2</v>
      </c>
      <c r="I39" s="45">
        <f t="shared" ca="1" si="2"/>
        <v>2.0182542109028114E-2</v>
      </c>
    </row>
    <row r="40" spans="1:9">
      <c r="A40" s="8">
        <v>0.28000000000000003</v>
      </c>
      <c r="B40" s="48">
        <f t="shared" ca="1" si="3"/>
        <v>104.24298298015819</v>
      </c>
      <c r="C40" s="45">
        <f t="shared" ca="1" si="7"/>
        <v>0.70603782233043777</v>
      </c>
      <c r="D40" s="53">
        <f t="shared" ca="1" si="5"/>
        <v>2.1925162003795684E-2</v>
      </c>
      <c r="E40" s="54">
        <f t="shared" ca="1" si="4"/>
        <v>2.2855442895988847</v>
      </c>
      <c r="F40" s="54">
        <f t="shared" ca="1" si="6"/>
        <v>72.648920165595456</v>
      </c>
      <c r="G40" s="53">
        <f t="shared" ca="1" si="1"/>
        <v>3.6333542711520499E-2</v>
      </c>
      <c r="I40" s="45">
        <f t="shared" ca="1" si="2"/>
        <v>1.9472115269591892E-2</v>
      </c>
    </row>
    <row r="41" spans="1:9">
      <c r="A41" s="8">
        <v>0.28999999999999998</v>
      </c>
      <c r="B41" s="48">
        <f t="shared" ca="1" si="3"/>
        <v>107.14330321542897</v>
      </c>
      <c r="C41" s="45">
        <f t="shared" ca="1" si="7"/>
        <v>0.75938870677907988</v>
      </c>
      <c r="D41" s="53">
        <f t="shared" ca="1" si="5"/>
        <v>5.3350884448642111E-2</v>
      </c>
      <c r="E41" s="54">
        <f t="shared" ca="1" si="4"/>
        <v>5.7161899892921761</v>
      </c>
      <c r="F41" s="54">
        <f t="shared" ca="1" si="6"/>
        <v>78.401443697599149</v>
      </c>
      <c r="G41" s="53">
        <f t="shared" ca="1" si="1"/>
        <v>3.9210523662822572E-2</v>
      </c>
      <c r="I41" s="45">
        <f t="shared" ca="1" si="2"/>
        <v>1.72409448756091E-2</v>
      </c>
    </row>
    <row r="42" spans="1:9">
      <c r="A42" s="8">
        <v>0.3</v>
      </c>
      <c r="B42" s="48">
        <f t="shared" ca="1" si="3"/>
        <v>103.91091938844495</v>
      </c>
      <c r="C42" s="45">
        <f t="shared" ca="1" si="7"/>
        <v>0.69919916687642447</v>
      </c>
      <c r="D42" s="53">
        <f t="shared" ca="1" si="5"/>
        <v>-6.0189539902655409E-2</v>
      </c>
      <c r="E42" s="54">
        <f t="shared" ca="1" si="4"/>
        <v>-6.2543504288524172</v>
      </c>
      <c r="F42" s="54">
        <f t="shared" ca="1" si="6"/>
        <v>72.186303792409547</v>
      </c>
      <c r="G42" s="53">
        <f t="shared" ca="1" si="1"/>
        <v>3.6102176688241894E-2</v>
      </c>
      <c r="I42" s="45">
        <f t="shared" ca="1" si="2"/>
        <v>2.0020658975028041E-2</v>
      </c>
    </row>
    <row r="43" spans="1:9">
      <c r="A43" s="8">
        <v>0.31</v>
      </c>
      <c r="B43" s="48">
        <f t="shared" ca="1" si="3"/>
        <v>101.14973155746438</v>
      </c>
      <c r="C43" s="45">
        <f t="shared" ca="1" si="7"/>
        <v>0.64040537793267682</v>
      </c>
      <c r="D43" s="53">
        <f t="shared" ca="1" si="5"/>
        <v>-5.8793788943747649E-2</v>
      </c>
      <c r="E43" s="54">
        <f t="shared" ca="1" si="4"/>
        <v>-5.9469759689062922</v>
      </c>
      <c r="F43" s="54">
        <f t="shared" ca="1" si="6"/>
        <v>66.275430000191506</v>
      </c>
      <c r="G43" s="53">
        <f t="shared" ca="1" si="1"/>
        <v>3.3146000809750761E-2</v>
      </c>
      <c r="I43" s="45">
        <f t="shared" ca="1" si="2"/>
        <v>2.2254608525242775E-2</v>
      </c>
    </row>
    <row r="44" spans="1:9">
      <c r="A44" s="8">
        <v>0.32</v>
      </c>
      <c r="B44" s="48">
        <f t="shared" ca="1" si="3"/>
        <v>101.04966232739395</v>
      </c>
      <c r="C44" s="45">
        <f t="shared" ca="1" si="7"/>
        <v>0.63755486065485556</v>
      </c>
      <c r="D44" s="53">
        <f t="shared" ca="1" si="5"/>
        <v>-2.8505172778212629E-3</v>
      </c>
      <c r="E44" s="54">
        <f t="shared" ca="1" si="4"/>
        <v>-0.28804380838224081</v>
      </c>
      <c r="F44" s="54">
        <f t="shared" ca="1" si="6"/>
        <v>66.020532192619015</v>
      </c>
      <c r="G44" s="53">
        <f t="shared" ref="G44:G75" ca="1" si="8">F44*(EXP(DH_Rate*DH_dt)-1)</f>
        <v>3.3018520038427555E-2</v>
      </c>
      <c r="I44" s="45">
        <f t="shared" ref="I44:I75" ca="1" si="9">CallGamma(B44,$B$4,0,$B$3,$B$2,$B$5-A44)</f>
        <v>2.2500694090050836E-2</v>
      </c>
    </row>
    <row r="45" spans="1:9">
      <c r="A45" s="8">
        <v>0.33</v>
      </c>
      <c r="B45" s="48">
        <f t="shared" ref="B45:B76" ca="1" si="10">B44*EXP(($B$3-0.5*$B$4^2)*$A$13+$B$4*NORMSINV(RAND())*SQRT($A$13))</f>
        <v>98.547620201550657</v>
      </c>
      <c r="C45" s="45">
        <f t="shared" ca="1" si="7"/>
        <v>0.57813259747132151</v>
      </c>
      <c r="D45" s="53">
        <f t="shared" ca="1" si="5"/>
        <v>-5.9422263183534052E-2</v>
      </c>
      <c r="E45" s="54">
        <f t="shared" ca="1" si="4"/>
        <v>-5.8559226237275004</v>
      </c>
      <c r="F45" s="54">
        <f t="shared" ca="1" si="6"/>
        <v>60.197628088929939</v>
      </c>
      <c r="G45" s="53">
        <f t="shared" ca="1" si="8"/>
        <v>3.0106340002244894E-2</v>
      </c>
      <c r="I45" s="45">
        <f t="shared" ca="1" si="9"/>
        <v>2.4252645429919336E-2</v>
      </c>
    </row>
    <row r="46" spans="1:9">
      <c r="A46" s="8">
        <v>0.34</v>
      </c>
      <c r="B46" s="48">
        <f t="shared" ca="1" si="10"/>
        <v>97.859177802540543</v>
      </c>
      <c r="C46" s="45">
        <f t="shared" ca="1" si="7"/>
        <v>0.56007212036556442</v>
      </c>
      <c r="D46" s="53">
        <f t="shared" ca="1" si="5"/>
        <v>-1.8060477105757089E-2</v>
      </c>
      <c r="E46" s="54">
        <f t="shared" ca="1" si="4"/>
        <v>-1.7673834402909958</v>
      </c>
      <c r="F46" s="54">
        <f t="shared" ca="1" si="6"/>
        <v>58.460350988641181</v>
      </c>
      <c r="G46" s="53">
        <f t="shared" ca="1" si="8"/>
        <v>2.9237484256265333E-2</v>
      </c>
      <c r="I46" s="45">
        <f t="shared" ca="1" si="9"/>
        <v>2.4805352002961273E-2</v>
      </c>
    </row>
    <row r="47" spans="1:9">
      <c r="A47" s="8">
        <v>0.35</v>
      </c>
      <c r="B47" s="48">
        <f t="shared" ca="1" si="10"/>
        <v>97.165483818151642</v>
      </c>
      <c r="C47" s="45">
        <f t="shared" ca="1" si="7"/>
        <v>0.54135597817289027</v>
      </c>
      <c r="D47" s="53">
        <f t="shared" ca="1" si="5"/>
        <v>-1.8716142192674146E-2</v>
      </c>
      <c r="E47" s="54">
        <f t="shared" ca="1" si="4"/>
        <v>-1.8185630113605049</v>
      </c>
      <c r="F47" s="54">
        <f t="shared" ca="1" si="6"/>
        <v>56.671025461536942</v>
      </c>
      <c r="G47" s="53">
        <f t="shared" ca="1" si="8"/>
        <v>2.8342597789740204E-2</v>
      </c>
      <c r="I47" s="45">
        <f t="shared" ca="1" si="9"/>
        <v>2.5326167221503184E-2</v>
      </c>
    </row>
    <row r="48" spans="1:9">
      <c r="A48" s="8">
        <v>0.36</v>
      </c>
      <c r="B48" s="48">
        <f t="shared" ca="1" si="10"/>
        <v>95.108887040770057</v>
      </c>
      <c r="C48" s="45">
        <f t="shared" ca="1" si="7"/>
        <v>0.48666835343206649</v>
      </c>
      <c r="D48" s="53">
        <f t="shared" ca="1" si="5"/>
        <v>-5.4687624740823781E-2</v>
      </c>
      <c r="E48" s="54">
        <f t="shared" ca="1" si="4"/>
        <v>-5.2012791240030305</v>
      </c>
      <c r="F48" s="54">
        <f t="shared" ca="1" si="6"/>
        <v>51.498088935323651</v>
      </c>
      <c r="G48" s="53">
        <f t="shared" ca="1" si="8"/>
        <v>2.5755482801785249E-2</v>
      </c>
      <c r="I48" s="45">
        <f t="shared" ca="1" si="9"/>
        <v>2.6201515061971239E-2</v>
      </c>
    </row>
    <row r="49" spans="1:9">
      <c r="A49" s="8">
        <v>0.37</v>
      </c>
      <c r="B49" s="48">
        <f t="shared" ca="1" si="10"/>
        <v>95.77174070826068</v>
      </c>
      <c r="C49" s="45">
        <f t="shared" ca="1" si="7"/>
        <v>0.50225543812125417</v>
      </c>
      <c r="D49" s="53">
        <f t="shared" ca="1" si="5"/>
        <v>1.558708468918768E-2</v>
      </c>
      <c r="E49" s="54">
        <f t="shared" ca="1" si="4"/>
        <v>1.4928022332505826</v>
      </c>
      <c r="F49" s="54">
        <f t="shared" ca="1" si="6"/>
        <v>53.016646651376021</v>
      </c>
      <c r="G49" s="53">
        <f t="shared" ca="1" si="8"/>
        <v>2.6514951511166382E-2</v>
      </c>
      <c r="I49" s="45">
        <f t="shared" ca="1" si="9"/>
        <v>2.624009949844738E-2</v>
      </c>
    </row>
    <row r="50" spans="1:9">
      <c r="A50" s="8">
        <v>0.38</v>
      </c>
      <c r="B50" s="48">
        <f t="shared" ca="1" si="10"/>
        <v>96.777286927074044</v>
      </c>
      <c r="C50" s="45">
        <f t="shared" ca="1" si="7"/>
        <v>0.52693914966630173</v>
      </c>
      <c r="D50" s="53">
        <f t="shared" ca="1" si="5"/>
        <v>2.468371154504756E-2</v>
      </c>
      <c r="E50" s="54">
        <f t="shared" ca="1" si="4"/>
        <v>2.3888226346201979</v>
      </c>
      <c r="F50" s="54">
        <f t="shared" ca="1" si="6"/>
        <v>55.431984237507386</v>
      </c>
      <c r="G50" s="53">
        <f t="shared" ca="1" si="8"/>
        <v>2.7722922271755945E-2</v>
      </c>
      <c r="I50" s="45">
        <f t="shared" ca="1" si="9"/>
        <v>2.6116749952821917E-2</v>
      </c>
    </row>
    <row r="51" spans="1:9">
      <c r="A51" s="8">
        <v>0.39</v>
      </c>
      <c r="B51" s="48">
        <f t="shared" ca="1" si="10"/>
        <v>99.385625626559886</v>
      </c>
      <c r="C51" s="45">
        <f t="shared" ca="1" si="7"/>
        <v>0.59247102666019114</v>
      </c>
      <c r="D51" s="53">
        <f t="shared" ca="1" si="5"/>
        <v>6.5531876993889404E-2</v>
      </c>
      <c r="E51" s="54">
        <f t="shared" ca="1" si="4"/>
        <v>6.512926593520465</v>
      </c>
      <c r="F51" s="54">
        <f t="shared" ca="1" si="6"/>
        <v>61.972633753299604</v>
      </c>
      <c r="G51" s="53">
        <f t="shared" ca="1" si="8"/>
        <v>3.0994064747121526E-2</v>
      </c>
      <c r="I51" s="45">
        <f t="shared" ca="1" si="9"/>
        <v>2.5004087126843398E-2</v>
      </c>
    </row>
    <row r="52" spans="1:9">
      <c r="A52" s="8">
        <v>0.4</v>
      </c>
      <c r="B52" s="48">
        <f t="shared" ca="1" si="10"/>
        <v>97.598224135090291</v>
      </c>
      <c r="C52" s="45">
        <f t="shared" ca="1" si="7"/>
        <v>0.54545357317940435</v>
      </c>
      <c r="D52" s="53">
        <f t="shared" ca="1" si="5"/>
        <v>-4.7017453480786786E-2</v>
      </c>
      <c r="E52" s="54">
        <f t="shared" ca="1" si="4"/>
        <v>-4.5888199630790103</v>
      </c>
      <c r="F52" s="54">
        <f t="shared" ca="1" si="6"/>
        <v>57.414807854967712</v>
      </c>
      <c r="G52" s="53">
        <f t="shared" ca="1" si="8"/>
        <v>2.8714581974752108E-2</v>
      </c>
      <c r="I52" s="45">
        <f t="shared" ca="1" si="9"/>
        <v>2.6213887646856004E-2</v>
      </c>
    </row>
    <row r="53" spans="1:9">
      <c r="A53" s="8">
        <v>0.41</v>
      </c>
      <c r="B53" s="48">
        <f t="shared" ca="1" si="10"/>
        <v>99.590740382679471</v>
      </c>
      <c r="C53" s="45">
        <f t="shared" ca="1" si="7"/>
        <v>0.59566600695734961</v>
      </c>
      <c r="D53" s="53">
        <f t="shared" ca="1" si="5"/>
        <v>5.0212433777945265E-2</v>
      </c>
      <c r="E53" s="54">
        <f t="shared" ca="1" si="4"/>
        <v>5.0006934563618319</v>
      </c>
      <c r="F53" s="54">
        <f t="shared" ca="1" si="6"/>
        <v>62.444215893304296</v>
      </c>
      <c r="G53" s="53">
        <f t="shared" ca="1" si="8"/>
        <v>3.1229914774717187E-2</v>
      </c>
      <c r="I53" s="45">
        <f t="shared" ca="1" si="9"/>
        <v>2.5322283223453593E-2</v>
      </c>
    </row>
    <row r="54" spans="1:9">
      <c r="A54" s="8">
        <v>0.42</v>
      </c>
      <c r="B54" s="48">
        <f t="shared" ca="1" si="10"/>
        <v>98.642635843250417</v>
      </c>
      <c r="C54" s="45">
        <f t="shared" ca="1" si="7"/>
        <v>0.57017761599262096</v>
      </c>
      <c r="D54" s="53">
        <f t="shared" ca="1" si="5"/>
        <v>-2.5488390964728658E-2</v>
      </c>
      <c r="E54" s="54">
        <f t="shared" ca="1" si="4"/>
        <v>-2.5142420681641231</v>
      </c>
      <c r="F54" s="54">
        <f t="shared" ca="1" si="6"/>
        <v>59.961203739914893</v>
      </c>
      <c r="G54" s="53">
        <f t="shared" ca="1" si="8"/>
        <v>2.998809826976764E-2</v>
      </c>
      <c r="I54" s="45">
        <f t="shared" ca="1" si="9"/>
        <v>2.614037063106725E-2</v>
      </c>
    </row>
    <row r="55" spans="1:9">
      <c r="A55" s="8">
        <v>0.43</v>
      </c>
      <c r="B55" s="48">
        <f t="shared" ca="1" si="10"/>
        <v>96.961507241165165</v>
      </c>
      <c r="C55" s="45">
        <f t="shared" ca="1" si="7"/>
        <v>0.52388026281576083</v>
      </c>
      <c r="D55" s="53">
        <f t="shared" ca="1" si="5"/>
        <v>-4.6297353176860123E-2</v>
      </c>
      <c r="E55" s="54">
        <f t="shared" ca="1" si="4"/>
        <v>-4.4890611453049036</v>
      </c>
      <c r="F55" s="54">
        <f t="shared" ca="1" si="6"/>
        <v>55.50213069287976</v>
      </c>
      <c r="G55" s="53">
        <f t="shared" ca="1" si="8"/>
        <v>2.7758004269210615E-2</v>
      </c>
      <c r="I55" s="45">
        <f t="shared" ca="1" si="9"/>
        <v>2.719971183919993E-2</v>
      </c>
    </row>
    <row r="56" spans="1:9">
      <c r="A56" s="8">
        <v>0.44</v>
      </c>
      <c r="B56" s="48">
        <f t="shared" ca="1" si="10"/>
        <v>97.402879570009858</v>
      </c>
      <c r="C56" s="45">
        <f t="shared" ca="1" si="7"/>
        <v>0.53430479593730784</v>
      </c>
      <c r="D56" s="53">
        <f t="shared" ca="1" si="5"/>
        <v>1.0424533121547008E-2</v>
      </c>
      <c r="E56" s="54">
        <f t="shared" ca="1" si="4"/>
        <v>1.0153795442116222</v>
      </c>
      <c r="F56" s="54">
        <f t="shared" ca="1" si="6"/>
        <v>56.545268241360588</v>
      </c>
      <c r="G56" s="53">
        <f t="shared" ca="1" si="8"/>
        <v>2.8279703457379245E-2</v>
      </c>
      <c r="I56" s="45">
        <f t="shared" ca="1" si="9"/>
        <v>2.7264948121932142E-2</v>
      </c>
    </row>
    <row r="57" spans="1:9">
      <c r="A57" s="8">
        <v>0.45</v>
      </c>
      <c r="B57" s="48">
        <f t="shared" ca="1" si="10"/>
        <v>98.356605882980389</v>
      </c>
      <c r="C57" s="45">
        <f t="shared" ca="1" si="7"/>
        <v>0.55876897733430342</v>
      </c>
      <c r="D57" s="53">
        <f t="shared" ca="1" si="5"/>
        <v>2.4464181396995577E-2</v>
      </c>
      <c r="E57" s="54">
        <f t="shared" ca="1" si="4"/>
        <v>2.4062138479140347</v>
      </c>
      <c r="F57" s="54">
        <f t="shared" ca="1" si="6"/>
        <v>58.979761792731999</v>
      </c>
      <c r="G57" s="53">
        <f t="shared" ca="1" si="8"/>
        <v>2.9497254595483618E-2</v>
      </c>
      <c r="I57" s="45">
        <f t="shared" ca="1" si="9"/>
        <v>2.7048831887129358E-2</v>
      </c>
    </row>
    <row r="58" spans="1:9">
      <c r="A58" s="8">
        <v>0.46</v>
      </c>
      <c r="B58" s="48">
        <f t="shared" ca="1" si="10"/>
        <v>96.403192798137837</v>
      </c>
      <c r="C58" s="45">
        <f t="shared" ca="1" si="7"/>
        <v>0.50317355077585835</v>
      </c>
      <c r="D58" s="53">
        <f t="shared" ca="1" si="5"/>
        <v>-5.5595426558445071E-2</v>
      </c>
      <c r="E58" s="54">
        <f t="shared" ca="1" si="4"/>
        <v>-5.3595766252084927</v>
      </c>
      <c r="F58" s="54">
        <f t="shared" ca="1" si="6"/>
        <v>53.649682422118993</v>
      </c>
      <c r="G58" s="53">
        <f t="shared" ca="1" si="8"/>
        <v>2.683154853919905E-2</v>
      </c>
      <c r="I58" s="45">
        <f t="shared" ca="1" si="9"/>
        <v>2.8156458908292627E-2</v>
      </c>
    </row>
    <row r="59" spans="1:9">
      <c r="A59" s="8">
        <v>0.47</v>
      </c>
      <c r="B59" s="48">
        <f t="shared" ca="1" si="10"/>
        <v>100.13625710406724</v>
      </c>
      <c r="C59" s="45">
        <f t="shared" ca="1" si="7"/>
        <v>0.6041699490441963</v>
      </c>
      <c r="D59" s="53">
        <f t="shared" ca="1" si="5"/>
        <v>0.10099639826833795</v>
      </c>
      <c r="E59" s="54">
        <f t="shared" ca="1" si="4"/>
        <v>10.113401303583061</v>
      </c>
      <c r="F59" s="54">
        <f t="shared" ca="1" si="6"/>
        <v>63.789915274241253</v>
      </c>
      <c r="G59" s="53">
        <f t="shared" ca="1" si="8"/>
        <v>3.1902932705647077E-2</v>
      </c>
      <c r="I59" s="45">
        <f t="shared" ca="1" si="9"/>
        <v>2.6424004779726354E-2</v>
      </c>
    </row>
    <row r="60" spans="1:9">
      <c r="A60" s="8">
        <v>0.48</v>
      </c>
      <c r="B60" s="48">
        <f t="shared" ca="1" si="10"/>
        <v>98.920013410565872</v>
      </c>
      <c r="C60" s="45">
        <f t="shared" ca="1" si="7"/>
        <v>0.57028416501611701</v>
      </c>
      <c r="D60" s="53">
        <f t="shared" ca="1" si="5"/>
        <v>-3.3885784028079291E-2</v>
      </c>
      <c r="E60" s="54">
        <f t="shared" ca="1" si="4"/>
        <v>-3.3519822104851422</v>
      </c>
      <c r="F60" s="54">
        <f t="shared" ca="1" si="6"/>
        <v>60.469835996461761</v>
      </c>
      <c r="G60" s="53">
        <f t="shared" ca="1" si="8"/>
        <v>3.0242477987670928E-2</v>
      </c>
      <c r="I60" s="45">
        <f t="shared" ca="1" si="9"/>
        <v>2.7528574175015828E-2</v>
      </c>
    </row>
    <row r="61" spans="1:9">
      <c r="A61" s="8">
        <v>0.49</v>
      </c>
      <c r="B61" s="48">
        <f t="shared" ca="1" si="10"/>
        <v>98.182230467685102</v>
      </c>
      <c r="C61" s="45">
        <f t="shared" ca="1" si="7"/>
        <v>0.54835638496259709</v>
      </c>
      <c r="D61" s="53">
        <f t="shared" ca="1" si="5"/>
        <v>-2.1927780053519919E-2</v>
      </c>
      <c r="E61" s="54">
        <f t="shared" ca="1" si="4"/>
        <v>-2.1529183548594011</v>
      </c>
      <c r="F61" s="54">
        <f t="shared" ca="1" si="6"/>
        <v>58.347160119590029</v>
      </c>
      <c r="G61" s="53">
        <f t="shared" ca="1" si="8"/>
        <v>2.9180874670522695E-2</v>
      </c>
      <c r="I61" s="45">
        <f t="shared" ca="1" si="9"/>
        <v>2.8239434562295579E-2</v>
      </c>
    </row>
    <row r="62" spans="1:9">
      <c r="A62" s="8">
        <v>0.5</v>
      </c>
      <c r="B62" s="48">
        <f t="shared" ca="1" si="10"/>
        <v>96.963256583387803</v>
      </c>
      <c r="C62" s="45">
        <f t="shared" ca="1" si="7"/>
        <v>0.51173892154745437</v>
      </c>
      <c r="D62" s="53">
        <f t="shared" ca="1" si="5"/>
        <v>-3.6617463415142715E-2</v>
      </c>
      <c r="E62" s="54">
        <f t="shared" ca="1" si="4"/>
        <v>-3.550548500555299</v>
      </c>
      <c r="F62" s="54">
        <f t="shared" ca="1" si="6"/>
        <v>54.825792493705251</v>
      </c>
      <c r="G62" s="53">
        <f t="shared" ca="1" si="8"/>
        <v>2.7419750613256379E-2</v>
      </c>
      <c r="I62" s="45">
        <f t="shared" ca="1" si="9"/>
        <v>2.9080362214626301E-2</v>
      </c>
    </row>
    <row r="63" spans="1:9">
      <c r="A63" s="8">
        <v>0.51</v>
      </c>
      <c r="B63" s="48">
        <f t="shared" ca="1" si="10"/>
        <v>99.915493303470896</v>
      </c>
      <c r="C63" s="45">
        <f t="shared" ca="1" si="7"/>
        <v>0.59443213731899658</v>
      </c>
      <c r="D63" s="53">
        <f t="shared" ca="1" si="5"/>
        <v>8.2693215771542206E-2</v>
      </c>
      <c r="E63" s="54">
        <f t="shared" ca="1" si="4"/>
        <v>8.2623334466639999</v>
      </c>
      <c r="F63" s="54">
        <f t="shared" ca="1" si="6"/>
        <v>63.115545690982508</v>
      </c>
      <c r="G63" s="53">
        <f t="shared" ca="1" si="8"/>
        <v>3.156566360376873E-2</v>
      </c>
      <c r="I63" s="45">
        <f t="shared" ca="1" si="9"/>
        <v>2.7717212445101572E-2</v>
      </c>
    </row>
    <row r="64" spans="1:9">
      <c r="A64" s="8">
        <v>0.52</v>
      </c>
      <c r="B64" s="48">
        <f t="shared" ca="1" si="10"/>
        <v>97.857656046001651</v>
      </c>
      <c r="C64" s="45">
        <f t="shared" ca="1" si="7"/>
        <v>0.53434498452138268</v>
      </c>
      <c r="D64" s="53">
        <f t="shared" ca="1" si="5"/>
        <v>-6.0087152797613896E-2</v>
      </c>
      <c r="E64" s="54">
        <f t="shared" ca="1" si="4"/>
        <v>-5.8799879312524466</v>
      </c>
      <c r="F64" s="54">
        <f t="shared" ca="1" si="6"/>
        <v>57.267123423333835</v>
      </c>
      <c r="G64" s="53">
        <f t="shared" ca="1" si="8"/>
        <v>2.8640721295304084E-2</v>
      </c>
      <c r="I64" s="45">
        <f t="shared" ca="1" si="9"/>
        <v>2.9312393010779914E-2</v>
      </c>
    </row>
    <row r="65" spans="1:9">
      <c r="A65" s="8">
        <v>0.53</v>
      </c>
      <c r="B65" s="48">
        <f t="shared" ca="1" si="10"/>
        <v>96.774672038685608</v>
      </c>
      <c r="C65" s="45">
        <f t="shared" ca="1" si="7"/>
        <v>0.50033495440302711</v>
      </c>
      <c r="D65" s="53">
        <f t="shared" ca="1" si="5"/>
        <v>-3.4010030118355572E-2</v>
      </c>
      <c r="E65" s="54">
        <f t="shared" ca="1" si="4"/>
        <v>-3.2913095107296804</v>
      </c>
      <c r="F65" s="54">
        <f t="shared" ca="1" si="6"/>
        <v>54.004454633899456</v>
      </c>
      <c r="G65" s="53">
        <f t="shared" ca="1" si="8"/>
        <v>2.7008978999007734E-2</v>
      </c>
      <c r="I65" s="45">
        <f t="shared" ca="1" si="9"/>
        <v>3.0065559044714266E-2</v>
      </c>
    </row>
    <row r="66" spans="1:9">
      <c r="A66" s="8">
        <v>0.54</v>
      </c>
      <c r="B66" s="48">
        <f t="shared" ca="1" si="10"/>
        <v>99.045842934876219</v>
      </c>
      <c r="C66" s="45">
        <f t="shared" ca="1" si="7"/>
        <v>0.56619790232164369</v>
      </c>
      <c r="D66" s="53">
        <f t="shared" ca="1" si="5"/>
        <v>6.5862947918616577E-2</v>
      </c>
      <c r="E66" s="54">
        <f t="shared" ca="1" si="4"/>
        <v>6.5234511947752303</v>
      </c>
      <c r="F66" s="54">
        <f t="shared" ca="1" si="6"/>
        <v>60.554914807673697</v>
      </c>
      <c r="G66" s="53">
        <f t="shared" ca="1" si="8"/>
        <v>3.028502802990099E-2</v>
      </c>
      <c r="I66" s="45">
        <f t="shared" ca="1" si="9"/>
        <v>2.9284003449262574E-2</v>
      </c>
    </row>
    <row r="67" spans="1:9">
      <c r="A67" s="8">
        <v>0.55000000000000004</v>
      </c>
      <c r="B67" s="48">
        <f t="shared" ca="1" si="10"/>
        <v>95.947696860958956</v>
      </c>
      <c r="C67" s="45">
        <f t="shared" ca="1" si="7"/>
        <v>0.47068653703981223</v>
      </c>
      <c r="D67" s="53">
        <f t="shared" ca="1" si="5"/>
        <v>-9.5511365281831462E-2</v>
      </c>
      <c r="E67" s="54">
        <f t="shared" ca="1" si="4"/>
        <v>-9.164095522837485</v>
      </c>
      <c r="F67" s="54">
        <f t="shared" ca="1" si="6"/>
        <v>51.421104312866113</v>
      </c>
      <c r="G67" s="53">
        <f t="shared" ca="1" si="8"/>
        <v>2.5716980865874633E-2</v>
      </c>
      <c r="I67" s="45">
        <f t="shared" ca="1" si="9"/>
        <v>3.0907563699273784E-2</v>
      </c>
    </row>
    <row r="68" spans="1:9">
      <c r="A68" s="8">
        <v>0.56000000000000005</v>
      </c>
      <c r="B68" s="48">
        <f t="shared" ca="1" si="10"/>
        <v>96.505029376348659</v>
      </c>
      <c r="C68" s="45">
        <f t="shared" ca="1" si="7"/>
        <v>0.48564376432602852</v>
      </c>
      <c r="D68" s="53">
        <f t="shared" ca="1" si="5"/>
        <v>1.495722728621629E-2</v>
      </c>
      <c r="E68" s="54">
        <f t="shared" ca="1" si="4"/>
        <v>1.4434476586450269</v>
      </c>
      <c r="F68" s="54">
        <f t="shared" ca="1" si="6"/>
        <v>52.890268952377014</v>
      </c>
      <c r="G68" s="53">
        <f t="shared" ca="1" si="8"/>
        <v>2.6451746861821317E-2</v>
      </c>
      <c r="I68" s="45">
        <f t="shared" ca="1" si="9"/>
        <v>3.1140276832240701E-2</v>
      </c>
    </row>
    <row r="69" spans="1:9">
      <c r="A69" s="8">
        <v>0.56999999999999995</v>
      </c>
      <c r="B69" s="48">
        <f t="shared" ca="1" si="10"/>
        <v>96.086550872631804</v>
      </c>
      <c r="C69" s="45">
        <f t="shared" ca="1" si="7"/>
        <v>0.47015378789099349</v>
      </c>
      <c r="D69" s="53">
        <f t="shared" ca="1" si="5"/>
        <v>-1.5489976435035024E-2</v>
      </c>
      <c r="E69" s="54">
        <f t="shared" ca="1" si="4"/>
        <v>-1.4883784087408607</v>
      </c>
      <c r="F69" s="54">
        <f t="shared" ca="1" si="6"/>
        <v>51.42834229049798</v>
      </c>
      <c r="G69" s="53">
        <f t="shared" ca="1" si="8"/>
        <v>2.5720600759588579E-2</v>
      </c>
      <c r="I69" s="45">
        <f t="shared" ca="1" si="9"/>
        <v>3.1569346558610281E-2</v>
      </c>
    </row>
    <row r="70" spans="1:9">
      <c r="A70" s="8">
        <v>0.57999999999999996</v>
      </c>
      <c r="B70" s="48">
        <f t="shared" ca="1" si="10"/>
        <v>94.304827079169968</v>
      </c>
      <c r="C70" s="45">
        <f t="shared" ca="1" si="7"/>
        <v>0.4107661933551191</v>
      </c>
      <c r="D70" s="53">
        <f t="shared" ca="1" si="5"/>
        <v>-5.9387594535874388E-2</v>
      </c>
      <c r="E70" s="54">
        <f t="shared" ca="1" si="4"/>
        <v>-5.6005368333534937</v>
      </c>
      <c r="F70" s="54">
        <f t="shared" ca="1" si="6"/>
        <v>45.853526057904077</v>
      </c>
      <c r="G70" s="53">
        <f t="shared" ca="1" si="8"/>
        <v>2.2932495675106513E-2</v>
      </c>
      <c r="I70" s="45">
        <f t="shared" ca="1" si="9"/>
        <v>3.1817950919768814E-2</v>
      </c>
    </row>
    <row r="71" spans="1:9">
      <c r="A71" s="8">
        <v>0.59</v>
      </c>
      <c r="B71" s="48">
        <f t="shared" ca="1" si="10"/>
        <v>95.974195394620267</v>
      </c>
      <c r="C71" s="45">
        <f t="shared" ca="1" si="7"/>
        <v>0.46145998047417447</v>
      </c>
      <c r="D71" s="53">
        <f t="shared" ca="1" si="5"/>
        <v>5.0693787119055367E-2</v>
      </c>
      <c r="E71" s="54">
        <f t="shared" ca="1" si="4"/>
        <v>4.865295430257504</v>
      </c>
      <c r="F71" s="54">
        <f t="shared" ca="1" si="6"/>
        <v>50.741753983836688</v>
      </c>
      <c r="G71" s="53">
        <f t="shared" ca="1" si="8"/>
        <v>2.5377220768413946E-2</v>
      </c>
      <c r="I71" s="45">
        <f t="shared" ca="1" si="9"/>
        <v>3.2307309212309988E-2</v>
      </c>
    </row>
    <row r="72" spans="1:9">
      <c r="A72" s="8">
        <v>0.6</v>
      </c>
      <c r="B72" s="48">
        <f t="shared" ca="1" si="10"/>
        <v>101.2486519093456</v>
      </c>
      <c r="C72" s="45">
        <f t="shared" ca="1" si="7"/>
        <v>0.62531214143331959</v>
      </c>
      <c r="D72" s="53">
        <f t="shared" ca="1" si="5"/>
        <v>0.16385216095914512</v>
      </c>
      <c r="E72" s="54">
        <f t="shared" ca="1" si="4"/>
        <v>16.589810409546551</v>
      </c>
      <c r="F72" s="54">
        <f t="shared" ca="1" si="6"/>
        <v>67.356941614151651</v>
      </c>
      <c r="G72" s="53">
        <f t="shared" ca="1" si="8"/>
        <v>3.368689182821679E-2</v>
      </c>
      <c r="I72" s="45">
        <f t="shared" ca="1" si="9"/>
        <v>2.9600533798056342E-2</v>
      </c>
    </row>
    <row r="73" spans="1:9">
      <c r="A73" s="8">
        <v>0.61</v>
      </c>
      <c r="B73" s="48">
        <f t="shared" ca="1" si="10"/>
        <v>103.44862404447217</v>
      </c>
      <c r="C73" s="45">
        <f t="shared" ca="1" si="7"/>
        <v>0.68794420168832671</v>
      </c>
      <c r="D73" s="53">
        <f t="shared" ca="1" si="5"/>
        <v>6.2632060255007116E-2</v>
      </c>
      <c r="E73" s="54">
        <f t="shared" ca="1" si="4"/>
        <v>6.4792004544509592</v>
      </c>
      <c r="F73" s="54">
        <f t="shared" ca="1" si="6"/>
        <v>73.869828960430823</v>
      </c>
      <c r="G73" s="53">
        <f t="shared" ca="1" si="8"/>
        <v>3.6944149747976211E-2</v>
      </c>
      <c r="I73" s="45">
        <f t="shared" ca="1" si="9"/>
        <v>2.7382890585195968E-2</v>
      </c>
    </row>
    <row r="74" spans="1:9">
      <c r="A74" s="8">
        <v>0.62</v>
      </c>
      <c r="B74" s="48">
        <f t="shared" ca="1" si="10"/>
        <v>103.43437444894971</v>
      </c>
      <c r="C74" s="45">
        <f t="shared" ca="1" si="7"/>
        <v>0.68780649428371343</v>
      </c>
      <c r="D74" s="53">
        <f t="shared" ca="1" si="5"/>
        <v>-1.3770740461327424E-4</v>
      </c>
      <c r="E74" s="54">
        <f t="shared" ca="1" si="4"/>
        <v>-1.4243679253162432E-2</v>
      </c>
      <c r="F74" s="54">
        <f t="shared" ca="1" si="6"/>
        <v>73.892529430925649</v>
      </c>
      <c r="G74" s="53">
        <f t="shared" ca="1" si="8"/>
        <v>3.6955502821255419E-2</v>
      </c>
      <c r="I74" s="45">
        <f t="shared" ca="1" si="9"/>
        <v>2.774996335108906E-2</v>
      </c>
    </row>
    <row r="75" spans="1:9">
      <c r="A75" s="8">
        <v>0.63</v>
      </c>
      <c r="B75" s="48">
        <f t="shared" ca="1" si="10"/>
        <v>104.23563412626613</v>
      </c>
      <c r="C75" s="45">
        <f t="shared" ca="1" si="7"/>
        <v>0.71017363155813762</v>
      </c>
      <c r="D75" s="53">
        <f t="shared" ca="1" si="5"/>
        <v>2.2367137274424187E-2</v>
      </c>
      <c r="E75" s="54">
        <f t="shared" ca="1" si="4"/>
        <v>2.3314527373888492</v>
      </c>
      <c r="F75" s="54">
        <f t="shared" ca="1" si="6"/>
        <v>76.26093767113575</v>
      </c>
      <c r="G75" s="53">
        <f t="shared" ca="1" si="8"/>
        <v>3.8140003041738299E-2</v>
      </c>
      <c r="I75" s="45">
        <f t="shared" ca="1" si="9"/>
        <v>2.6986280642217347E-2</v>
      </c>
    </row>
    <row r="76" spans="1:9">
      <c r="A76" s="8">
        <v>0.64</v>
      </c>
      <c r="B76" s="48">
        <f t="shared" ca="1" si="10"/>
        <v>103.77967166875563</v>
      </c>
      <c r="C76" s="45">
        <f t="shared" ca="1" si="7"/>
        <v>0.69817753310036434</v>
      </c>
      <c r="D76" s="53">
        <f t="shared" ca="1" si="5"/>
        <v>-1.1996098457773274E-2</v>
      </c>
      <c r="E76" s="54">
        <f t="shared" ca="1" si="4"/>
        <v>-1.2449511592537761</v>
      </c>
      <c r="F76" s="54">
        <f t="shared" ca="1" si="6"/>
        <v>75.054126514923709</v>
      </c>
      <c r="G76" s="53">
        <f t="shared" ref="G76:G107" ca="1" si="11">F76*(EXP(DH_Rate*DH_dt)-1)</f>
        <v>3.7536446587092813E-2</v>
      </c>
      <c r="I76" s="45">
        <f t="shared" ref="I76:I111" ca="1" si="12">CallGamma(B76,$B$4,0,$B$3,$B$2,$B$5-A76)</f>
        <v>2.79954919169914E-2</v>
      </c>
    </row>
    <row r="77" spans="1:9">
      <c r="A77" s="8">
        <v>0.65</v>
      </c>
      <c r="B77" s="48">
        <f t="shared" ref="B77:B112" ca="1" si="13">B76*EXP(($B$3-0.5*$B$4^2)*$A$13+$B$4*NORMSINV(RAND())*SQRT($A$13))</f>
        <v>106.26544821933281</v>
      </c>
      <c r="C77" s="45">
        <f t="shared" ca="1" si="7"/>
        <v>0.7644416577924712</v>
      </c>
      <c r="D77" s="53">
        <f t="shared" ca="1" si="5"/>
        <v>6.6264124692106852E-2</v>
      </c>
      <c r="E77" s="54">
        <f t="shared" ref="E77:E112" ca="1" si="14">D77*B77</f>
        <v>7.0415869112684932</v>
      </c>
      <c r="F77" s="54">
        <f t="shared" ca="1" si="6"/>
        <v>82.133249872779302</v>
      </c>
      <c r="G77" s="53">
        <f t="shared" ca="1" si="11"/>
        <v>4.1076893303939904E-2</v>
      </c>
      <c r="I77" s="45">
        <f t="shared" ca="1" si="12"/>
        <v>2.447244755397469E-2</v>
      </c>
    </row>
    <row r="78" spans="1:9">
      <c r="A78" s="8">
        <v>0.66</v>
      </c>
      <c r="B78" s="48">
        <f t="shared" ca="1" si="13"/>
        <v>106.83603759587207</v>
      </c>
      <c r="C78" s="45">
        <f t="shared" ref="C78:C111" ca="1" si="15">CallDelta(B78,$B$4,0,$B$3,$B$2,$B$5-A78)</f>
        <v>0.77967668073632312</v>
      </c>
      <c r="D78" s="53">
        <f t="shared" ref="D78:D111" ca="1" si="16">(C78-C77)*$B$6</f>
        <v>1.5235022943851928E-2</v>
      </c>
      <c r="E78" s="54">
        <f t="shared" ca="1" si="14"/>
        <v>1.6276494840033382</v>
      </c>
      <c r="F78" s="54">
        <f t="shared" ref="F78:F112" ca="1" si="17">F77+G77+E78</f>
        <v>83.801976250086582</v>
      </c>
      <c r="G78" s="53">
        <f t="shared" ca="1" si="11"/>
        <v>4.1911465118160039E-2</v>
      </c>
      <c r="I78" s="45">
        <f t="shared" ca="1" si="12"/>
        <v>2.3785245239202661E-2</v>
      </c>
    </row>
    <row r="79" spans="1:9">
      <c r="A79" s="8">
        <v>0.67</v>
      </c>
      <c r="B79" s="48">
        <f t="shared" ca="1" si="13"/>
        <v>106.52197387818138</v>
      </c>
      <c r="C79" s="45">
        <f t="shared" ca="1" si="15"/>
        <v>0.77366791397513868</v>
      </c>
      <c r="D79" s="53">
        <f t="shared" ca="1" si="16"/>
        <v>-6.0087667611844475E-3</v>
      </c>
      <c r="E79" s="54">
        <f t="shared" ca="1" si="14"/>
        <v>-0.64006569597497431</v>
      </c>
      <c r="F79" s="54">
        <f t="shared" ca="1" si="17"/>
        <v>83.203822019229776</v>
      </c>
      <c r="G79" s="53">
        <f t="shared" ca="1" si="11"/>
        <v>4.1612313220989725E-2</v>
      </c>
      <c r="I79" s="45">
        <f t="shared" ca="1" si="12"/>
        <v>2.4587759435952792E-2</v>
      </c>
    </row>
    <row r="80" spans="1:9">
      <c r="A80" s="8">
        <v>0.68</v>
      </c>
      <c r="B80" s="48">
        <f t="shared" ca="1" si="13"/>
        <v>107.23709279451504</v>
      </c>
      <c r="C80" s="45">
        <f t="shared" ca="1" si="15"/>
        <v>0.792629038826279</v>
      </c>
      <c r="D80" s="53">
        <f t="shared" ca="1" si="16"/>
        <v>1.8961124851140321E-2</v>
      </c>
      <c r="E80" s="54">
        <f t="shared" ca="1" si="14"/>
        <v>2.0333359051501199</v>
      </c>
      <c r="F80" s="54">
        <f t="shared" ca="1" si="17"/>
        <v>85.278770237600895</v>
      </c>
      <c r="G80" s="53">
        <f t="shared" ca="1" si="11"/>
        <v>4.2650046741935899E-2</v>
      </c>
      <c r="I80" s="45">
        <f t="shared" ca="1" si="12"/>
        <v>2.3578766613399204E-2</v>
      </c>
    </row>
    <row r="81" spans="1:9">
      <c r="A81" s="8">
        <v>0.69</v>
      </c>
      <c r="B81" s="48">
        <f t="shared" ca="1" si="13"/>
        <v>107.08875012957671</v>
      </c>
      <c r="C81" s="45">
        <f t="shared" ca="1" si="15"/>
        <v>0.79100406866081563</v>
      </c>
      <c r="D81" s="53">
        <f t="shared" ca="1" si="16"/>
        <v>-1.6249701654633686E-3</v>
      </c>
      <c r="E81" s="54">
        <f t="shared" ca="1" si="14"/>
        <v>-0.17401602401732361</v>
      </c>
      <c r="F81" s="54">
        <f t="shared" ca="1" si="17"/>
        <v>85.147404260325516</v>
      </c>
      <c r="G81" s="53">
        <f t="shared" ca="1" si="11"/>
        <v>4.2584347329813928E-2</v>
      </c>
      <c r="I81" s="45">
        <f t="shared" ca="1" si="12"/>
        <v>2.4099985419277662E-2</v>
      </c>
    </row>
    <row r="82" spans="1:9">
      <c r="A82" s="8">
        <v>0.7</v>
      </c>
      <c r="B82" s="48">
        <f t="shared" ca="1" si="13"/>
        <v>105.05393403373277</v>
      </c>
      <c r="C82" s="45">
        <f t="shared" ca="1" si="15"/>
        <v>0.73949267662372287</v>
      </c>
      <c r="D82" s="53">
        <f t="shared" ca="1" si="16"/>
        <v>-5.1511392037092762E-2</v>
      </c>
      <c r="E82" s="54">
        <f t="shared" ca="1" si="14"/>
        <v>-5.4114743810504908</v>
      </c>
      <c r="F82" s="54">
        <f t="shared" ca="1" si="17"/>
        <v>79.778514226604827</v>
      </c>
      <c r="G82" s="53">
        <f t="shared" ca="1" si="11"/>
        <v>3.9899231089833974E-2</v>
      </c>
      <c r="I82" s="45">
        <f t="shared" ca="1" si="12"/>
        <v>2.821419330741053E-2</v>
      </c>
    </row>
    <row r="83" spans="1:9">
      <c r="A83" s="8">
        <v>0.71</v>
      </c>
      <c r="B83" s="48">
        <f t="shared" ca="1" si="13"/>
        <v>105.15168603280129</v>
      </c>
      <c r="C83" s="45">
        <f t="shared" ca="1" si="15"/>
        <v>0.74373059430105382</v>
      </c>
      <c r="D83" s="53">
        <f t="shared" ca="1" si="16"/>
        <v>4.237917677330949E-3</v>
      </c>
      <c r="E83" s="54">
        <f t="shared" ca="1" si="14"/>
        <v>0.44562418903956247</v>
      </c>
      <c r="F83" s="54">
        <f t="shared" ca="1" si="17"/>
        <v>80.264037646734224</v>
      </c>
      <c r="G83" s="53">
        <f t="shared" ca="1" si="11"/>
        <v>4.0142053500442483E-2</v>
      </c>
      <c r="I83" s="45">
        <f t="shared" ca="1" si="12"/>
        <v>2.842723951145535E-2</v>
      </c>
    </row>
    <row r="84" spans="1:9">
      <c r="A84" s="8">
        <v>0.72</v>
      </c>
      <c r="B84" s="48">
        <f t="shared" ca="1" si="13"/>
        <v>106.32642184066289</v>
      </c>
      <c r="C84" s="45">
        <f t="shared" ca="1" si="15"/>
        <v>0.77781826124245323</v>
      </c>
      <c r="D84" s="53">
        <f t="shared" ca="1" si="16"/>
        <v>3.4087666941399419E-2</v>
      </c>
      <c r="E84" s="54">
        <f t="shared" ca="1" si="14"/>
        <v>3.6244196547752536</v>
      </c>
      <c r="F84" s="54">
        <f t="shared" ca="1" si="17"/>
        <v>83.928599355009922</v>
      </c>
      <c r="G84" s="53">
        <f t="shared" ca="1" si="11"/>
        <v>4.1974792501148127E-2</v>
      </c>
      <c r="I84" s="45">
        <f t="shared" ca="1" si="12"/>
        <v>2.6462521694858829E-2</v>
      </c>
    </row>
    <row r="85" spans="1:9">
      <c r="A85" s="8">
        <v>0.73</v>
      </c>
      <c r="B85" s="48">
        <f t="shared" ca="1" si="13"/>
        <v>105.27474810963621</v>
      </c>
      <c r="C85" s="45">
        <f t="shared" ca="1" si="15"/>
        <v>0.75063677671161244</v>
      </c>
      <c r="D85" s="53">
        <f t="shared" ca="1" si="16"/>
        <v>-2.7181484530840794E-2</v>
      </c>
      <c r="E85" s="54">
        <f t="shared" ca="1" si="14"/>
        <v>-2.8615239372302375</v>
      </c>
      <c r="F85" s="54">
        <f t="shared" ca="1" si="17"/>
        <v>81.109050210280841</v>
      </c>
      <c r="G85" s="53">
        <f t="shared" ca="1" si="11"/>
        <v>4.0564665426392789E-2</v>
      </c>
      <c r="I85" s="45">
        <f t="shared" ca="1" si="12"/>
        <v>2.9006651929152812E-2</v>
      </c>
    </row>
    <row r="86" spans="1:9">
      <c r="A86" s="8">
        <v>0.74</v>
      </c>
      <c r="B86" s="48">
        <f t="shared" ca="1" si="13"/>
        <v>107.86616933354718</v>
      </c>
      <c r="C86" s="45">
        <f t="shared" ca="1" si="15"/>
        <v>0.82146754207522132</v>
      </c>
      <c r="D86" s="53">
        <f t="shared" ca="1" si="16"/>
        <v>7.0830765363608883E-2</v>
      </c>
      <c r="E86" s="54">
        <f t="shared" ca="1" si="14"/>
        <v>7.6402433307357844</v>
      </c>
      <c r="F86" s="54">
        <f t="shared" ca="1" si="17"/>
        <v>88.789858206443014</v>
      </c>
      <c r="G86" s="53">
        <f t="shared" ca="1" si="11"/>
        <v>4.4406029685509565E-2</v>
      </c>
      <c r="I86" s="45">
        <f t="shared" ca="1" si="12"/>
        <v>2.3731549107456996E-2</v>
      </c>
    </row>
    <row r="87" spans="1:9">
      <c r="A87" s="8">
        <v>0.75</v>
      </c>
      <c r="B87" s="48">
        <f t="shared" ca="1" si="13"/>
        <v>111.03303862905626</v>
      </c>
      <c r="C87" s="45">
        <f t="shared" ca="1" si="15"/>
        <v>0.88906596181364606</v>
      </c>
      <c r="D87" s="53">
        <f t="shared" ca="1" si="16"/>
        <v>6.7598419738424731E-2</v>
      </c>
      <c r="E87" s="54">
        <f t="shared" ca="1" si="14"/>
        <v>7.505657950079673</v>
      </c>
      <c r="F87" s="54">
        <f t="shared" ca="1" si="17"/>
        <v>96.339922186208184</v>
      </c>
      <c r="G87" s="53">
        <f t="shared" ca="1" si="11"/>
        <v>4.8182005590701626E-2</v>
      </c>
      <c r="I87" s="45">
        <f t="shared" ca="1" si="12"/>
        <v>1.7038063719041718E-2</v>
      </c>
    </row>
    <row r="88" spans="1:9">
      <c r="A88" s="8">
        <v>0.76</v>
      </c>
      <c r="B88" s="48">
        <f t="shared" ca="1" si="13"/>
        <v>110.48426627596537</v>
      </c>
      <c r="C88" s="45">
        <f t="shared" ca="1" si="15"/>
        <v>0.88279055960338282</v>
      </c>
      <c r="D88" s="53">
        <f t="shared" ca="1" si="16"/>
        <v>-6.2754022102632367E-3</v>
      </c>
      <c r="E88" s="54">
        <f t="shared" ca="1" si="14"/>
        <v>-0.69333320878750504</v>
      </c>
      <c r="F88" s="54">
        <f t="shared" ca="1" si="17"/>
        <v>95.694770983011381</v>
      </c>
      <c r="G88" s="53">
        <f t="shared" ca="1" si="11"/>
        <v>4.7859349331760552E-2</v>
      </c>
      <c r="I88" s="45">
        <f t="shared" ca="1" si="12"/>
        <v>1.8174436938757116E-2</v>
      </c>
    </row>
    <row r="89" spans="1:9">
      <c r="A89" s="8">
        <v>0.77</v>
      </c>
      <c r="B89" s="48">
        <f t="shared" ca="1" si="13"/>
        <v>112.25947622424975</v>
      </c>
      <c r="C89" s="45">
        <f t="shared" ca="1" si="15"/>
        <v>0.91520351188950733</v>
      </c>
      <c r="D89" s="53">
        <f t="shared" ca="1" si="16"/>
        <v>3.2412952286124508E-2</v>
      </c>
      <c r="E89" s="54">
        <f t="shared" ca="1" si="14"/>
        <v>3.638661046521936</v>
      </c>
      <c r="F89" s="54">
        <f t="shared" ca="1" si="17"/>
        <v>99.381291378865072</v>
      </c>
      <c r="G89" s="53">
        <f t="shared" ca="1" si="11"/>
        <v>4.9703070421548673E-2</v>
      </c>
      <c r="I89" s="45">
        <f t="shared" ca="1" si="12"/>
        <v>1.442568728337312E-2</v>
      </c>
    </row>
    <row r="90" spans="1:9">
      <c r="A90" s="8">
        <v>0.78</v>
      </c>
      <c r="B90" s="48">
        <f t="shared" ca="1" si="13"/>
        <v>114.65696627589818</v>
      </c>
      <c r="C90" s="45">
        <f t="shared" ca="1" si="15"/>
        <v>0.94761829807018705</v>
      </c>
      <c r="D90" s="53">
        <f t="shared" ca="1" si="16"/>
        <v>3.2414786180679722E-2</v>
      </c>
      <c r="E90" s="54">
        <f t="shared" ca="1" si="14"/>
        <v>3.7165810459586455</v>
      </c>
      <c r="F90" s="54">
        <f t="shared" ca="1" si="17"/>
        <v>103.14757549524526</v>
      </c>
      <c r="G90" s="53">
        <f t="shared" ca="1" si="11"/>
        <v>5.1586683343727048E-2</v>
      </c>
      <c r="I90" s="45">
        <f t="shared" ca="1" si="12"/>
        <v>9.9505640735176506E-3</v>
      </c>
    </row>
    <row r="91" spans="1:9">
      <c r="A91" s="8">
        <v>0.79</v>
      </c>
      <c r="B91" s="48">
        <f t="shared" ca="1" si="13"/>
        <v>113.6828694518765</v>
      </c>
      <c r="C91" s="45">
        <f t="shared" ca="1" si="15"/>
        <v>0.94057643211783493</v>
      </c>
      <c r="D91" s="53">
        <f t="shared" ca="1" si="16"/>
        <v>-7.0418659523521221E-3</v>
      </c>
      <c r="E91" s="54">
        <f t="shared" ca="1" si="14"/>
        <v>-0.80053952775886028</v>
      </c>
      <c r="F91" s="54">
        <f t="shared" ca="1" si="17"/>
        <v>102.39862265083013</v>
      </c>
      <c r="G91" s="53">
        <f t="shared" ca="1" si="11"/>
        <v>5.1212113286808865E-2</v>
      </c>
      <c r="I91" s="45">
        <f t="shared" ca="1" si="12"/>
        <v>1.134686443050744E-2</v>
      </c>
    </row>
    <row r="92" spans="1:9">
      <c r="A92" s="8">
        <v>0.8</v>
      </c>
      <c r="B92" s="48">
        <f t="shared" ca="1" si="13"/>
        <v>111.76301758749213</v>
      </c>
      <c r="C92" s="45">
        <f t="shared" ca="1" si="15"/>
        <v>0.91922775635877063</v>
      </c>
      <c r="D92" s="53">
        <f t="shared" ca="1" si="16"/>
        <v>-2.1348675759064295E-2</v>
      </c>
      <c r="E92" s="54">
        <f t="shared" ca="1" si="14"/>
        <v>-2.3859924243299697</v>
      </c>
      <c r="F92" s="54">
        <f t="shared" ca="1" si="17"/>
        <v>100.06384233978697</v>
      </c>
      <c r="G92" s="53">
        <f t="shared" ca="1" si="11"/>
        <v>5.0044431235101265E-2</v>
      </c>
      <c r="I92" s="45">
        <f t="shared" ca="1" si="12"/>
        <v>1.4980331672427322E-2</v>
      </c>
    </row>
    <row r="93" spans="1:9">
      <c r="A93" s="8">
        <v>0.81</v>
      </c>
      <c r="B93" s="48">
        <f t="shared" ca="1" si="13"/>
        <v>116.5142982270316</v>
      </c>
      <c r="C93" s="45">
        <f t="shared" ca="1" si="15"/>
        <v>0.97166200180151585</v>
      </c>
      <c r="D93" s="53">
        <f t="shared" ca="1" si="16"/>
        <v>5.243424544274522E-2</v>
      </c>
      <c r="E93" s="54">
        <f t="shared" ca="1" si="14"/>
        <v>6.1093393108253888</v>
      </c>
      <c r="F93" s="54">
        <f t="shared" ca="1" si="17"/>
        <v>106.22322608184747</v>
      </c>
      <c r="G93" s="53">
        <f t="shared" ca="1" si="11"/>
        <v>5.3124893157435273E-2</v>
      </c>
      <c r="I93" s="45">
        <f t="shared" ca="1" si="12"/>
        <v>6.3889442750208218E-3</v>
      </c>
    </row>
    <row r="94" spans="1:9">
      <c r="A94" s="8">
        <v>0.82</v>
      </c>
      <c r="B94" s="48">
        <f t="shared" ca="1" si="13"/>
        <v>120.66396849264946</v>
      </c>
      <c r="C94" s="45">
        <f t="shared" ca="1" si="15"/>
        <v>0.99091661339742587</v>
      </c>
      <c r="D94" s="53">
        <f t="shared" ca="1" si="16"/>
        <v>1.9254611595910021E-2</v>
      </c>
      <c r="E94" s="54">
        <f t="shared" ca="1" si="14"/>
        <v>2.3233378469470898</v>
      </c>
      <c r="F94" s="54">
        <f t="shared" ca="1" si="17"/>
        <v>108.59968882195199</v>
      </c>
      <c r="G94" s="53">
        <f t="shared" ca="1" si="11"/>
        <v>5.431342163484567E-2</v>
      </c>
      <c r="I94" s="45">
        <f t="shared" ca="1" si="12"/>
        <v>2.3932403325497846E-3</v>
      </c>
    </row>
    <row r="95" spans="1:9">
      <c r="A95" s="8">
        <v>0.83</v>
      </c>
      <c r="B95" s="48">
        <f t="shared" ca="1" si="13"/>
        <v>124.18287908293354</v>
      </c>
      <c r="C95" s="45">
        <f t="shared" ca="1" si="15"/>
        <v>0.99720391093903327</v>
      </c>
      <c r="D95" s="53">
        <f t="shared" ca="1" si="16"/>
        <v>6.2872975416073951E-3</v>
      </c>
      <c r="E95" s="54">
        <f t="shared" ca="1" si="14"/>
        <v>0.78077471036785639</v>
      </c>
      <c r="F95" s="54">
        <f t="shared" ca="1" si="17"/>
        <v>109.43477695395468</v>
      </c>
      <c r="G95" s="53">
        <f t="shared" ca="1" si="11"/>
        <v>5.4731070104263292E-2</v>
      </c>
      <c r="I95" s="45">
        <f t="shared" ca="1" si="12"/>
        <v>8.3848515200963625E-4</v>
      </c>
    </row>
    <row r="96" spans="1:9">
      <c r="A96" s="8">
        <v>0.84</v>
      </c>
      <c r="B96" s="48">
        <f t="shared" ca="1" si="13"/>
        <v>126.37720460260847</v>
      </c>
      <c r="C96" s="45">
        <f t="shared" ca="1" si="15"/>
        <v>0.99891616368727931</v>
      </c>
      <c r="D96" s="53">
        <f t="shared" ca="1" si="16"/>
        <v>1.7122527482460459E-3</v>
      </c>
      <c r="E96" s="54">
        <f t="shared" ca="1" si="14"/>
        <v>0.21638971589646919</v>
      </c>
      <c r="F96" s="54">
        <f t="shared" ca="1" si="17"/>
        <v>109.70589773995542</v>
      </c>
      <c r="G96" s="53">
        <f t="shared" ca="1" si="11"/>
        <v>5.4866664393010939E-2</v>
      </c>
      <c r="I96" s="45">
        <f t="shared" ca="1" si="12"/>
        <v>3.5854319616234045E-4</v>
      </c>
    </row>
    <row r="97" spans="1:9">
      <c r="A97" s="8">
        <v>0.85</v>
      </c>
      <c r="B97" s="48">
        <f t="shared" ca="1" si="13"/>
        <v>129.78456219638704</v>
      </c>
      <c r="C97" s="45">
        <f t="shared" ca="1" si="15"/>
        <v>0.99976841537752337</v>
      </c>
      <c r="D97" s="53">
        <f t="shared" ca="1" si="16"/>
        <v>8.5225169024405467E-4</v>
      </c>
      <c r="E97" s="54">
        <f t="shared" ca="1" si="14"/>
        <v>0.1106091124994555</v>
      </c>
      <c r="F97" s="54">
        <f t="shared" ca="1" si="17"/>
        <v>109.8713735168479</v>
      </c>
      <c r="G97" s="53">
        <f t="shared" ca="1" si="11"/>
        <v>5.4949422969377118E-2</v>
      </c>
      <c r="I97" s="45">
        <f t="shared" ca="1" si="12"/>
        <v>8.6428503507727733E-5</v>
      </c>
    </row>
    <row r="98" spans="1:9">
      <c r="A98" s="8">
        <v>0.86</v>
      </c>
      <c r="B98" s="48">
        <f t="shared" ca="1" si="13"/>
        <v>128.72193917080418</v>
      </c>
      <c r="C98" s="45">
        <f t="shared" ca="1" si="15"/>
        <v>0.99977158593415971</v>
      </c>
      <c r="D98" s="53">
        <f t="shared" ca="1" si="16"/>
        <v>3.1705566363449122E-6</v>
      </c>
      <c r="E98" s="54">
        <f t="shared" ca="1" si="14"/>
        <v>4.0812019848117929E-4</v>
      </c>
      <c r="F98" s="54">
        <f t="shared" ca="1" si="17"/>
        <v>109.92673106001575</v>
      </c>
      <c r="G98" s="53">
        <f t="shared" ca="1" si="11"/>
        <v>5.4977108661807363E-2</v>
      </c>
      <c r="I98" s="45">
        <f t="shared" ca="1" si="12"/>
        <v>8.9047596343476624E-5</v>
      </c>
    </row>
    <row r="99" spans="1:9">
      <c r="A99" s="8">
        <v>0.87</v>
      </c>
      <c r="B99" s="48">
        <f t="shared" ca="1" si="13"/>
        <v>128.25196360019683</v>
      </c>
      <c r="C99" s="45">
        <f t="shared" ca="1" si="15"/>
        <v>0.99982604720675272</v>
      </c>
      <c r="D99" s="53">
        <f t="shared" ca="1" si="16"/>
        <v>5.4461272593009369E-5</v>
      </c>
      <c r="E99" s="54">
        <f t="shared" ca="1" si="14"/>
        <v>6.9847651502190347E-3</v>
      </c>
      <c r="F99" s="54">
        <f t="shared" ca="1" si="17"/>
        <v>109.98869293382778</v>
      </c>
      <c r="G99" s="53">
        <f t="shared" ca="1" si="11"/>
        <v>5.5008097345238635E-2</v>
      </c>
      <c r="I99" s="45">
        <f t="shared" ca="1" si="12"/>
        <v>7.1907442499092721E-5</v>
      </c>
    </row>
    <row r="100" spans="1:9">
      <c r="A100" s="8">
        <v>0.88</v>
      </c>
      <c r="B100" s="48">
        <f t="shared" ca="1" si="13"/>
        <v>125.95460309245038</v>
      </c>
      <c r="C100" s="45">
        <f t="shared" ca="1" si="15"/>
        <v>0.99972157629438341</v>
      </c>
      <c r="D100" s="53">
        <f t="shared" ca="1" si="16"/>
        <v>-1.0447091236931438E-4</v>
      </c>
      <c r="E100" s="54">
        <f t="shared" ca="1" si="14"/>
        <v>-1.3158592302183159E-2</v>
      </c>
      <c r="F100" s="54">
        <f t="shared" ca="1" si="17"/>
        <v>110.03054243887082</v>
      </c>
      <c r="G100" s="53">
        <f t="shared" ca="1" si="11"/>
        <v>5.5029027329820256E-2</v>
      </c>
      <c r="I100" s="45">
        <f t="shared" ca="1" si="12"/>
        <v>1.1822351045644968E-4</v>
      </c>
    </row>
    <row r="101" spans="1:9">
      <c r="A101" s="8">
        <v>0.89</v>
      </c>
      <c r="B101" s="48">
        <f t="shared" ca="1" si="13"/>
        <v>132.17005023337728</v>
      </c>
      <c r="C101" s="45">
        <f t="shared" ca="1" si="15"/>
        <v>0.9999922262153903</v>
      </c>
      <c r="D101" s="53">
        <f t="shared" ca="1" si="16"/>
        <v>2.7064992100689356E-4</v>
      </c>
      <c r="E101" s="54">
        <f t="shared" ca="1" si="14"/>
        <v>3.5771813655140712E-2</v>
      </c>
      <c r="F101" s="54">
        <f t="shared" ca="1" si="17"/>
        <v>110.12134327985579</v>
      </c>
      <c r="G101" s="53">
        <f t="shared" ca="1" si="11"/>
        <v>5.5074439102309775E-2</v>
      </c>
      <c r="I101" s="45">
        <f t="shared" ca="1" si="12"/>
        <v>4.0159287466570933E-6</v>
      </c>
    </row>
    <row r="102" spans="1:9">
      <c r="A102" s="8">
        <v>0.9</v>
      </c>
      <c r="B102" s="48">
        <f t="shared" ca="1" si="13"/>
        <v>132.91860082260806</v>
      </c>
      <c r="C102" s="45">
        <f t="shared" ca="1" si="15"/>
        <v>0.99999798526992134</v>
      </c>
      <c r="D102" s="53">
        <f t="shared" ca="1" si="16"/>
        <v>5.7590545310404195E-6</v>
      </c>
      <c r="E102" s="54">
        <f t="shared" ca="1" si="14"/>
        <v>7.6548547032699371E-4</v>
      </c>
      <c r="F102" s="54">
        <f t="shared" ca="1" si="17"/>
        <v>110.17718320442843</v>
      </c>
      <c r="G102" s="53">
        <f t="shared" ca="1" si="11"/>
        <v>5.510236604575014E-2</v>
      </c>
      <c r="I102" s="45">
        <f t="shared" ca="1" si="12"/>
        <v>1.1516212687155616E-6</v>
      </c>
    </row>
    <row r="103" spans="1:9">
      <c r="A103" s="8">
        <v>0.91</v>
      </c>
      <c r="B103" s="48">
        <f t="shared" ca="1" si="13"/>
        <v>137.67041113647264</v>
      </c>
      <c r="C103" s="45">
        <f t="shared" ca="1" si="15"/>
        <v>0.999999972260047</v>
      </c>
      <c r="D103" s="53">
        <f t="shared" ca="1" si="16"/>
        <v>1.9869901256575062E-6</v>
      </c>
      <c r="E103" s="54">
        <f t="shared" ca="1" si="14"/>
        <v>2.7354974752338032E-4</v>
      </c>
      <c r="F103" s="54">
        <f t="shared" ca="1" si="17"/>
        <v>110.23255912022169</v>
      </c>
      <c r="G103" s="53">
        <f t="shared" ca="1" si="11"/>
        <v>5.5130060926790049E-2</v>
      </c>
      <c r="I103" s="45">
        <f t="shared" ca="1" si="12"/>
        <v>1.8784191853774889E-8</v>
      </c>
    </row>
    <row r="104" spans="1:9">
      <c r="A104" s="8">
        <v>0.92</v>
      </c>
      <c r="B104" s="48">
        <f t="shared" ca="1" si="13"/>
        <v>137.88479382013088</v>
      </c>
      <c r="C104" s="45">
        <f t="shared" ca="1" si="15"/>
        <v>0.99999999620687297</v>
      </c>
      <c r="D104" s="53">
        <f t="shared" ca="1" si="16"/>
        <v>2.394682596662534E-8</v>
      </c>
      <c r="E104" s="54">
        <f t="shared" ca="1" si="14"/>
        <v>3.3019031610546912E-6</v>
      </c>
      <c r="F104" s="54">
        <f t="shared" ca="1" si="17"/>
        <v>110.28769248305164</v>
      </c>
      <c r="G104" s="53">
        <f t="shared" ca="1" si="11"/>
        <v>5.5157634501024129E-2</v>
      </c>
      <c r="I104" s="45">
        <f t="shared" ca="1" si="12"/>
        <v>2.8807499934506172E-9</v>
      </c>
    </row>
    <row r="105" spans="1:9">
      <c r="A105" s="8">
        <v>0.93</v>
      </c>
      <c r="B105" s="48">
        <f t="shared" ca="1" si="13"/>
        <v>137.02677292310915</v>
      </c>
      <c r="C105" s="45">
        <f t="shared" ca="1" si="15"/>
        <v>0.99999999925324246</v>
      </c>
      <c r="D105" s="53">
        <f t="shared" ca="1" si="16"/>
        <v>3.0463694900006999E-9</v>
      </c>
      <c r="E105" s="54">
        <f t="shared" ca="1" si="14"/>
        <v>4.1743418034621373E-7</v>
      </c>
      <c r="F105" s="54">
        <f t="shared" ca="1" si="17"/>
        <v>110.34285053498685</v>
      </c>
      <c r="G105" s="53">
        <f t="shared" ca="1" si="11"/>
        <v>5.5185220422897488E-2</v>
      </c>
      <c r="I105" s="45">
        <f t="shared" ca="1" si="12"/>
        <v>6.3650023422770276E-10</v>
      </c>
    </row>
    <row r="106" spans="1:9">
      <c r="A106" s="8">
        <v>0.94</v>
      </c>
      <c r="B106" s="48">
        <f t="shared" ca="1" si="13"/>
        <v>136.06374496473967</v>
      </c>
      <c r="C106" s="45">
        <f t="shared" ca="1" si="15"/>
        <v>0.99999999990616428</v>
      </c>
      <c r="D106" s="53">
        <f t="shared" ca="1" si="16"/>
        <v>6.5292182771514717E-10</v>
      </c>
      <c r="E106" s="54">
        <f t="shared" ca="1" si="14"/>
        <v>8.8838989048145477E-8</v>
      </c>
      <c r="F106" s="54">
        <f t="shared" ca="1" si="17"/>
        <v>110.39803584424874</v>
      </c>
      <c r="G106" s="53">
        <f t="shared" ca="1" si="11"/>
        <v>5.5212819976841923E-2</v>
      </c>
      <c r="I106" s="45">
        <f t="shared" ca="1" si="12"/>
        <v>9.1392927731876465E-11</v>
      </c>
    </row>
    <row r="107" spans="1:9">
      <c r="A107" s="8">
        <v>0.95</v>
      </c>
      <c r="B107" s="48">
        <f t="shared" ca="1" si="13"/>
        <v>137.61315608838186</v>
      </c>
      <c r="C107" s="45">
        <f t="shared" ca="1" si="15"/>
        <v>0.99999999999973332</v>
      </c>
      <c r="D107" s="53">
        <f t="shared" ca="1" si="16"/>
        <v>9.3569041403895881E-11</v>
      </c>
      <c r="E107" s="54">
        <f t="shared" ca="1" si="14"/>
        <v>1.2876331099754589E-8</v>
      </c>
      <c r="F107" s="54">
        <f t="shared" ca="1" si="17"/>
        <v>110.45324867710191</v>
      </c>
      <c r="G107" s="53">
        <f t="shared" ca="1" si="11"/>
        <v>5.5240433296023024E-2</v>
      </c>
      <c r="I107" s="45">
        <f t="shared" ca="1" si="12"/>
        <v>3.1625631093390592E-13</v>
      </c>
    </row>
    <row r="108" spans="1:9">
      <c r="A108" s="8">
        <v>0.96</v>
      </c>
      <c r="B108" s="48">
        <f t="shared" ca="1" si="13"/>
        <v>135.22673458001211</v>
      </c>
      <c r="C108" s="45">
        <f t="shared" ca="1" si="15"/>
        <v>0.99999999999998668</v>
      </c>
      <c r="D108" s="53">
        <f t="shared" ca="1" si="16"/>
        <v>2.5335289421946072E-13</v>
      </c>
      <c r="E108" s="54">
        <f t="shared" ca="1" si="14"/>
        <v>3.42600845816929E-11</v>
      </c>
      <c r="F108" s="54">
        <f t="shared" ca="1" si="17"/>
        <v>110.50848911043219</v>
      </c>
      <c r="G108" s="53">
        <f t="shared" ref="G108:G112" ca="1" si="18">F108*(EXP(DH_Rate*DH_dt)-1)</f>
        <v>5.526806041889331E-2</v>
      </c>
      <c r="I108" s="45">
        <f t="shared" ca="1" si="12"/>
        <v>1.8933671258690282E-14</v>
      </c>
    </row>
    <row r="109" spans="1:9">
      <c r="A109" s="8">
        <v>0.97</v>
      </c>
      <c r="B109" s="48">
        <f t="shared" ca="1" si="13"/>
        <v>133.67946018934435</v>
      </c>
      <c r="C109" s="45">
        <f t="shared" ca="1" si="15"/>
        <v>1</v>
      </c>
      <c r="D109" s="53">
        <f t="shared" ca="1" si="16"/>
        <v>1.3322676295501878E-14</v>
      </c>
      <c r="E109" s="54">
        <f t="shared" ca="1" si="14"/>
        <v>1.7809681754600651E-12</v>
      </c>
      <c r="F109" s="54">
        <f t="shared" ca="1" si="17"/>
        <v>110.56375717085287</v>
      </c>
      <c r="G109" s="53">
        <f t="shared" ca="1" si="18"/>
        <v>5.5295701358762758E-2</v>
      </c>
      <c r="I109" s="45">
        <f t="shared" ca="1" si="12"/>
        <v>2.9281991194848796E-17</v>
      </c>
    </row>
    <row r="110" spans="1:9">
      <c r="A110" s="8">
        <v>0.98</v>
      </c>
      <c r="B110" s="48">
        <f t="shared" ca="1" si="13"/>
        <v>132.67768627348858</v>
      </c>
      <c r="C110" s="45">
        <f t="shared" ca="1" si="15"/>
        <v>1</v>
      </c>
      <c r="D110" s="53">
        <f t="shared" ca="1" si="16"/>
        <v>0</v>
      </c>
      <c r="E110" s="54">
        <f t="shared" ca="1" si="14"/>
        <v>0</v>
      </c>
      <c r="F110" s="54">
        <f t="shared" ca="1" si="17"/>
        <v>110.61905287221163</v>
      </c>
      <c r="G110" s="53">
        <f t="shared" ca="1" si="18"/>
        <v>5.5323356122556941E-2</v>
      </c>
      <c r="I110" s="45">
        <f t="shared" ca="1" si="12"/>
        <v>1.2889931558212374E-23</v>
      </c>
    </row>
    <row r="111" spans="1:9">
      <c r="A111" s="8">
        <v>0.99</v>
      </c>
      <c r="B111" s="48">
        <f t="shared" ca="1" si="13"/>
        <v>133.04326958362935</v>
      </c>
      <c r="C111" s="45">
        <f t="shared" ca="1" si="15"/>
        <v>1</v>
      </c>
      <c r="D111" s="53">
        <f t="shared" ca="1" si="16"/>
        <v>0</v>
      </c>
      <c r="E111" s="54">
        <f t="shared" ca="1" si="14"/>
        <v>0</v>
      </c>
      <c r="F111" s="54">
        <f t="shared" ca="1" si="17"/>
        <v>110.67437622833418</v>
      </c>
      <c r="G111" s="53">
        <f t="shared" ca="1" si="18"/>
        <v>5.5351024717190445E-2</v>
      </c>
      <c r="I111" s="45">
        <f t="shared" ca="1" si="12"/>
        <v>5.1051593624516037E-46</v>
      </c>
    </row>
    <row r="112" spans="1:9">
      <c r="A112" s="8">
        <v>1</v>
      </c>
      <c r="B112" s="48">
        <f t="shared" ca="1" si="13"/>
        <v>134.55329383412391</v>
      </c>
      <c r="C112" s="55">
        <f ca="1">IF(B112&gt;B2,1,0)</f>
        <v>1</v>
      </c>
      <c r="D112" s="53">
        <f ca="1">(C112-C111)*$B$6</f>
        <v>0</v>
      </c>
      <c r="E112" s="54">
        <f t="shared" ca="1" si="14"/>
        <v>0</v>
      </c>
      <c r="F112" s="54">
        <f t="shared" ca="1" si="17"/>
        <v>110.72972725305138</v>
      </c>
      <c r="G112" s="53">
        <f t="shared" ca="1" si="18"/>
        <v>5.5378707149580417E-2</v>
      </c>
      <c r="I112" s="45">
        <f>0</f>
        <v>0</v>
      </c>
    </row>
  </sheetData>
  <phoneticPr fontId="2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Y211"/>
  <sheetViews>
    <sheetView topLeftCell="J1" zoomScale="134" zoomScaleNormal="134" zoomScalePageLayoutView="134" workbookViewId="0">
      <selection activeCell="T4" sqref="T4"/>
    </sheetView>
  </sheetViews>
  <sheetFormatPr defaultColWidth="8.81640625" defaultRowHeight="12.5"/>
  <cols>
    <col min="1" max="1" width="12.81640625" style="8" bestFit="1" customWidth="1"/>
    <col min="2" max="2" width="12" style="8" bestFit="1" customWidth="1"/>
    <col min="3" max="3" width="9.36328125" style="8" customWidth="1"/>
    <col min="4" max="4" width="13.36328125" style="8" customWidth="1"/>
    <col min="5" max="5" width="10.453125" style="8" customWidth="1"/>
    <col min="6" max="6" width="9.6328125" style="8" customWidth="1"/>
    <col min="7" max="7" width="11" style="8" customWidth="1"/>
    <col min="8" max="9" width="8.81640625" style="8"/>
    <col min="10" max="10" width="12.453125" style="8" customWidth="1"/>
    <col min="11" max="17" width="8.81640625" style="8"/>
    <col min="18" max="18" width="12.453125" style="9" customWidth="1"/>
    <col min="19" max="19" width="9" style="8" customWidth="1"/>
    <col min="20" max="20" width="11.453125" style="9" customWidth="1"/>
    <col min="21" max="16384" width="8.81640625" style="8"/>
  </cols>
  <sheetData>
    <row r="1" spans="1:25" ht="13">
      <c r="A1" s="14" t="s">
        <v>27</v>
      </c>
      <c r="B1" s="23">
        <v>100</v>
      </c>
      <c r="D1" s="14" t="s">
        <v>63</v>
      </c>
      <c r="E1" s="24">
        <v>0.35</v>
      </c>
      <c r="G1" s="10" t="s">
        <v>60</v>
      </c>
      <c r="H1" s="49">
        <f>CallOption(B1,Vol_a,0,PL_r,PL_K,PL_T)</f>
        <v>14.766783224409622</v>
      </c>
      <c r="I1" s="20" t="s">
        <v>96</v>
      </c>
      <c r="K1" s="25" t="s">
        <v>43</v>
      </c>
      <c r="P1" s="22" t="s">
        <v>70</v>
      </c>
      <c r="Q1" s="8">
        <v>1E-3</v>
      </c>
    </row>
    <row r="2" spans="1:25" ht="13">
      <c r="A2" s="14" t="s">
        <v>28</v>
      </c>
      <c r="B2" s="43">
        <v>0.02</v>
      </c>
      <c r="D2" s="14" t="s">
        <v>64</v>
      </c>
      <c r="E2" s="24">
        <v>0.2</v>
      </c>
      <c r="G2" s="10" t="s">
        <v>61</v>
      </c>
      <c r="H2" s="49">
        <f>CallOption(B1,Vol_i,0,PL_r, PL_K,PL_T)</f>
        <v>8.9160351198191705</v>
      </c>
      <c r="I2" s="20" t="s">
        <v>97</v>
      </c>
      <c r="P2" s="22" t="s">
        <v>71</v>
      </c>
      <c r="Q2" s="8">
        <v>0.999</v>
      </c>
    </row>
    <row r="3" spans="1:25" ht="13">
      <c r="A3" s="14" t="s">
        <v>29</v>
      </c>
      <c r="B3" s="23">
        <v>100</v>
      </c>
      <c r="G3" s="10" t="s">
        <v>33</v>
      </c>
      <c r="H3" s="50">
        <f>H1-H2</f>
        <v>5.8507481045904512</v>
      </c>
      <c r="I3" s="20" t="s">
        <v>98</v>
      </c>
      <c r="K3" s="22" t="s">
        <v>65</v>
      </c>
    </row>
    <row r="4" spans="1:25" ht="14">
      <c r="A4" s="14" t="s">
        <v>30</v>
      </c>
      <c r="B4" s="42">
        <v>1</v>
      </c>
      <c r="C4" s="22"/>
      <c r="H4" s="45"/>
      <c r="T4" s="11" t="s">
        <v>58</v>
      </c>
      <c r="U4" s="50">
        <f>SUM(U11:U211)</f>
        <v>-0.85571565000977012</v>
      </c>
      <c r="Y4" s="52" t="s">
        <v>92</v>
      </c>
    </row>
    <row r="5" spans="1:25" ht="13">
      <c r="G5" s="11" t="s">
        <v>34</v>
      </c>
      <c r="H5" s="50">
        <f>EXP(-PL_r*PL_T)*G211</f>
        <v>5.0777323540089432</v>
      </c>
    </row>
    <row r="6" spans="1:25" ht="14">
      <c r="A6" s="11" t="s">
        <v>31</v>
      </c>
      <c r="B6" s="12">
        <v>5.0000000000000001E-3</v>
      </c>
      <c r="D6" s="11" t="s">
        <v>53</v>
      </c>
      <c r="E6" s="21">
        <v>0.35</v>
      </c>
      <c r="K6" s="59" t="s">
        <v>99</v>
      </c>
      <c r="L6" s="61"/>
      <c r="M6" s="61"/>
      <c r="N6" s="61"/>
      <c r="O6" s="62"/>
      <c r="P6" s="62"/>
      <c r="Y6" s="52" t="s">
        <v>95</v>
      </c>
    </row>
    <row r="7" spans="1:25" ht="13">
      <c r="D7" s="26" t="s">
        <v>55</v>
      </c>
      <c r="K7" s="61"/>
      <c r="L7" s="61"/>
      <c r="M7" s="61"/>
      <c r="N7" s="61"/>
      <c r="O7" s="62"/>
      <c r="P7" s="62"/>
      <c r="Y7" s="59" t="s">
        <v>94</v>
      </c>
    </row>
    <row r="8" spans="1:25">
      <c r="D8" s="13"/>
    </row>
    <row r="9" spans="1:25" ht="14">
      <c r="B9" s="8" t="s">
        <v>23</v>
      </c>
      <c r="C9" s="8" t="s">
        <v>41</v>
      </c>
      <c r="D9" s="8" t="s">
        <v>20</v>
      </c>
      <c r="E9" s="8" t="s">
        <v>54</v>
      </c>
      <c r="G9" s="8" t="s">
        <v>44</v>
      </c>
      <c r="J9" s="8" t="s">
        <v>40</v>
      </c>
      <c r="Y9" s="52" t="s">
        <v>91</v>
      </c>
    </row>
    <row r="10" spans="1:25" ht="39">
      <c r="A10" s="15" t="s">
        <v>32</v>
      </c>
      <c r="B10" s="16" t="s">
        <v>38</v>
      </c>
      <c r="C10" s="17" t="s">
        <v>39</v>
      </c>
      <c r="D10" s="16" t="s">
        <v>62</v>
      </c>
      <c r="E10" s="16" t="s">
        <v>42</v>
      </c>
      <c r="F10" s="16" t="s">
        <v>68</v>
      </c>
      <c r="G10" s="16" t="s">
        <v>66</v>
      </c>
      <c r="J10" s="16" t="s">
        <v>67</v>
      </c>
      <c r="K10" s="47"/>
      <c r="Q10" s="16" t="s">
        <v>73</v>
      </c>
      <c r="R10" s="51" t="s">
        <v>25</v>
      </c>
      <c r="S10" s="16" t="s">
        <v>93</v>
      </c>
      <c r="T10" s="51" t="s">
        <v>75</v>
      </c>
      <c r="V10" s="16" t="s">
        <v>74</v>
      </c>
    </row>
    <row r="11" spans="1:25">
      <c r="A11" s="8">
        <v>0</v>
      </c>
      <c r="B11" s="48">
        <v>100</v>
      </c>
      <c r="C11" s="48">
        <f t="shared" ref="C11:C74" si="0">CallOption(B11,Vol_i,0,PL_r, PL_K,PL_T-A11)</f>
        <v>8.9160351198191705</v>
      </c>
      <c r="D11" s="45">
        <f t="shared" ref="D11:D42" si="1">CallDelta(B11,$E$6,0,PL_r, PL_K, PL_T-A11)</f>
        <v>0.59178642459243969</v>
      </c>
      <c r="E11" s="48">
        <f>V_0-Delta_0*S_0</f>
        <v>-50.262607339424797</v>
      </c>
      <c r="F11" s="48">
        <f>-E11</f>
        <v>50.262607339424797</v>
      </c>
      <c r="G11" s="48">
        <f t="shared" ref="G11:G42" si="2">F11+E11</f>
        <v>0</v>
      </c>
      <c r="J11" s="48">
        <v>0</v>
      </c>
      <c r="Q11" s="8">
        <f t="shared" ref="Q11:Q42" si="3">PL_K</f>
        <v>100</v>
      </c>
      <c r="R11" s="9">
        <f t="shared" ref="R11:R42" si="4">CallGamma(B11,$E$6,0,PL_r, PL_K, PL_T-A11)</f>
        <v>1.1095321575165266E-2</v>
      </c>
      <c r="V11" s="48"/>
    </row>
    <row r="12" spans="1:25" ht="13">
      <c r="A12" s="8">
        <f t="shared" ref="A12:A43" si="5">A11+dt</f>
        <v>5.0000000000000001E-3</v>
      </c>
      <c r="B12" s="48">
        <f t="shared" ref="B12:B43" si="6">B11*EXP((PL_r-0.5*Vol_a^2)*dt+Vol_a*SQRT(dt)*NormalRN())</f>
        <v>97.691523606212741</v>
      </c>
      <c r="C12" s="48">
        <f t="shared" si="0"/>
        <v>7.6078040428990548</v>
      </c>
      <c r="D12" s="45">
        <f t="shared" si="1"/>
        <v>0.56539602596621408</v>
      </c>
      <c r="E12" s="48">
        <f>C12-D12*B12</f>
        <v>-47.626595174638219</v>
      </c>
      <c r="F12" s="48">
        <f>J12+F11*EXP(PL_r*dt)</f>
        <v>47.689515601108873</v>
      </c>
      <c r="G12" s="48">
        <f t="shared" si="2"/>
        <v>6.2920426470654434E-2</v>
      </c>
      <c r="H12" s="45"/>
      <c r="I12" s="45"/>
      <c r="J12" s="48">
        <f>(D12-D11)*B12</f>
        <v>-2.5781182503712832</v>
      </c>
      <c r="K12" s="22" t="s">
        <v>69</v>
      </c>
      <c r="Q12" s="8">
        <f t="shared" si="3"/>
        <v>100</v>
      </c>
      <c r="R12" s="9">
        <f t="shared" si="4"/>
        <v>1.1539467693581612E-2</v>
      </c>
      <c r="S12" s="8">
        <f t="shared" ref="S12:S43" si="7">IF(V12^2 &lt; ($E$6^2*dt), -1, 1)</f>
        <v>-1</v>
      </c>
      <c r="T12" s="9">
        <f t="shared" ref="T12:T43" si="8">0.5*R12*(B12^2)*(V12^2-$E$6^2*dt)</f>
        <v>-4.3827641186736776E-3</v>
      </c>
      <c r="U12" s="9">
        <f t="shared" ref="U12:U43" si="9">T12*EXP(-PL_r*A12)</f>
        <v>-4.3823258641749003E-3</v>
      </c>
      <c r="V12" s="9">
        <f>(B12-B11)/B11</f>
        <v>-2.3084763937872593E-2</v>
      </c>
    </row>
    <row r="13" spans="1:25">
      <c r="A13" s="8">
        <f t="shared" si="5"/>
        <v>0.01</v>
      </c>
      <c r="B13" s="48">
        <f t="shared" si="6"/>
        <v>96.158360943045039</v>
      </c>
      <c r="C13" s="48">
        <f t="shared" si="0"/>
        <v>6.791601629685303</v>
      </c>
      <c r="D13" s="45">
        <f t="shared" si="1"/>
        <v>0.54716046747963987</v>
      </c>
      <c r="E13" s="48">
        <f t="shared" ref="E13:E75" si="10">C13-D13*B13</f>
        <v>-45.822452095987167</v>
      </c>
      <c r="F13" s="48">
        <f t="shared" ref="F13:F43" si="11">J13+F12*EXP(PL_r*dt)</f>
        <v>45.940783376174501</v>
      </c>
      <c r="G13" s="48">
        <f t="shared" si="2"/>
        <v>0.11833128018733419</v>
      </c>
      <c r="H13" s="45"/>
      <c r="I13" s="45"/>
      <c r="J13" s="48">
        <f t="shared" ref="J13:J43" si="12">(D13-D12)*B13</f>
        <v>-1.753501414950011</v>
      </c>
      <c r="Q13" s="8">
        <f t="shared" si="3"/>
        <v>100</v>
      </c>
      <c r="R13" s="9">
        <f t="shared" si="4"/>
        <v>1.1830106032572514E-2</v>
      </c>
      <c r="S13" s="8">
        <f t="shared" si="7"/>
        <v>-1</v>
      </c>
      <c r="T13" s="9">
        <f t="shared" si="8"/>
        <v>-2.0028675713162851E-2</v>
      </c>
      <c r="U13" s="9">
        <f t="shared" si="9"/>
        <v>-2.002467037856703E-2</v>
      </c>
      <c r="V13" s="9">
        <f t="shared" ref="V13:V76" si="13">(B13-B12)/B12</f>
        <v>-1.5693917000903432E-2</v>
      </c>
    </row>
    <row r="14" spans="1:25" ht="13">
      <c r="A14" s="8">
        <f t="shared" si="5"/>
        <v>1.4999999999999999E-2</v>
      </c>
      <c r="B14" s="48">
        <f t="shared" si="6"/>
        <v>90.537497393596496</v>
      </c>
      <c r="C14" s="48">
        <f t="shared" si="0"/>
        <v>4.2894907523534407</v>
      </c>
      <c r="D14" s="45">
        <f t="shared" si="1"/>
        <v>0.47775983145297496</v>
      </c>
      <c r="E14" s="48">
        <f t="shared" si="10"/>
        <v>-38.965688742585385</v>
      </c>
      <c r="F14" s="48">
        <f t="shared" si="11"/>
        <v>39.662017780845581</v>
      </c>
      <c r="G14" s="48">
        <f t="shared" si="2"/>
        <v>0.69632903826019543</v>
      </c>
      <c r="H14" s="45"/>
      <c r="I14" s="45"/>
      <c r="J14" s="48">
        <f t="shared" si="12"/>
        <v>-6.2833599033781136</v>
      </c>
      <c r="K14" s="14" t="s">
        <v>72</v>
      </c>
      <c r="Q14" s="8">
        <f t="shared" si="3"/>
        <v>100</v>
      </c>
      <c r="R14" s="9">
        <f t="shared" si="4"/>
        <v>1.2665428087375948E-2</v>
      </c>
      <c r="S14" s="8">
        <f t="shared" si="7"/>
        <v>1</v>
      </c>
      <c r="T14" s="9">
        <f t="shared" si="8"/>
        <v>0.14557488549588835</v>
      </c>
      <c r="U14" s="9">
        <f t="shared" si="9"/>
        <v>0.1455312195804544</v>
      </c>
      <c r="V14" s="9">
        <f t="shared" si="13"/>
        <v>-5.8454236265297846E-2</v>
      </c>
    </row>
    <row r="15" spans="1:25">
      <c r="A15" s="8">
        <f t="shared" si="5"/>
        <v>0.02</v>
      </c>
      <c r="B15" s="48">
        <f t="shared" si="6"/>
        <v>89.473609243213488</v>
      </c>
      <c r="C15" s="48">
        <f t="shared" si="0"/>
        <v>3.8762262482601102</v>
      </c>
      <c r="D15" s="45">
        <f t="shared" si="1"/>
        <v>0.46366415744717826</v>
      </c>
      <c r="E15" s="48">
        <f t="shared" si="10"/>
        <v>-37.609479395252535</v>
      </c>
      <c r="F15" s="48">
        <f t="shared" si="11"/>
        <v>38.404793352925985</v>
      </c>
      <c r="G15" s="48">
        <f t="shared" si="2"/>
        <v>0.79531395767345003</v>
      </c>
      <c r="H15" s="45"/>
      <c r="I15" s="45"/>
      <c r="J15" s="48">
        <f t="shared" si="12"/>
        <v>-1.2611908280143755</v>
      </c>
      <c r="Q15" s="8">
        <f t="shared" si="3"/>
        <v>100</v>
      </c>
      <c r="R15" s="9">
        <f t="shared" si="4"/>
        <v>1.2815267043423983E-2</v>
      </c>
      <c r="S15" s="8">
        <f t="shared" si="7"/>
        <v>-1</v>
      </c>
      <c r="T15" s="9">
        <f t="shared" si="8"/>
        <v>-2.4336008389687542E-2</v>
      </c>
      <c r="U15" s="9">
        <f t="shared" si="9"/>
        <v>-2.4326275932952779E-2</v>
      </c>
      <c r="V15" s="9">
        <f t="shared" si="13"/>
        <v>-1.1750801391802708E-2</v>
      </c>
    </row>
    <row r="16" spans="1:25">
      <c r="A16" s="8">
        <f t="shared" si="5"/>
        <v>2.5000000000000001E-2</v>
      </c>
      <c r="B16" s="48">
        <f t="shared" si="6"/>
        <v>92.342526391363762</v>
      </c>
      <c r="C16" s="48">
        <f t="shared" si="0"/>
        <v>4.969030567570492</v>
      </c>
      <c r="D16" s="45">
        <f t="shared" si="1"/>
        <v>0.4994843964646124</v>
      </c>
      <c r="E16" s="48">
        <f t="shared" si="10"/>
        <v>-41.154620495037378</v>
      </c>
      <c r="F16" s="48">
        <f t="shared" si="11"/>
        <v>41.716365391104013</v>
      </c>
      <c r="G16" s="48">
        <f t="shared" si="2"/>
        <v>0.56174489606663514</v>
      </c>
      <c r="H16" s="45"/>
      <c r="I16" s="45"/>
      <c r="J16" s="48">
        <f t="shared" si="12"/>
        <v>3.3077313668123702</v>
      </c>
      <c r="Q16" s="8">
        <f t="shared" si="3"/>
        <v>100</v>
      </c>
      <c r="R16" s="9">
        <f t="shared" si="4"/>
        <v>1.2500794111919115E-2</v>
      </c>
      <c r="S16" s="8">
        <f t="shared" si="7"/>
        <v>1</v>
      </c>
      <c r="T16" s="9">
        <f t="shared" si="8"/>
        <v>2.2152014099220435E-2</v>
      </c>
      <c r="U16" s="9">
        <f t="shared" si="9"/>
        <v>2.2140940860711146E-2</v>
      </c>
      <c r="V16" s="9">
        <f t="shared" si="13"/>
        <v>3.2064394992178988E-2</v>
      </c>
    </row>
    <row r="17" spans="1:22">
      <c r="A17" s="8">
        <f t="shared" si="5"/>
        <v>3.0000000000000002E-2</v>
      </c>
      <c r="B17" s="48">
        <f t="shared" si="6"/>
        <v>93.485310334973647</v>
      </c>
      <c r="C17" s="48">
        <f t="shared" si="0"/>
        <v>5.4388732383396814</v>
      </c>
      <c r="D17" s="45">
        <f t="shared" si="1"/>
        <v>0.51324511392398864</v>
      </c>
      <c r="E17" s="48">
        <f t="shared" si="10"/>
        <v>-42.542005514753299</v>
      </c>
      <c r="F17" s="48">
        <f t="shared" si="11"/>
        <v>43.006962178353582</v>
      </c>
      <c r="G17" s="48">
        <f t="shared" si="2"/>
        <v>0.46495666360028309</v>
      </c>
      <c r="H17" s="45"/>
      <c r="I17" s="45"/>
      <c r="J17" s="48">
        <f t="shared" si="12"/>
        <v>1.2864249421216776</v>
      </c>
      <c r="Q17" s="8">
        <f t="shared" si="3"/>
        <v>100</v>
      </c>
      <c r="R17" s="9">
        <f t="shared" si="4"/>
        <v>1.2372952373090041E-2</v>
      </c>
      <c r="S17" s="8">
        <f t="shared" si="7"/>
        <v>-1</v>
      </c>
      <c r="T17" s="9">
        <f t="shared" si="8"/>
        <v>-2.4835403999933548E-2</v>
      </c>
      <c r="U17" s="9">
        <f t="shared" si="9"/>
        <v>-2.4820507227012369E-2</v>
      </c>
      <c r="V17" s="9">
        <f t="shared" si="13"/>
        <v>1.2375489260133158E-2</v>
      </c>
    </row>
    <row r="18" spans="1:22">
      <c r="A18" s="8">
        <f t="shared" si="5"/>
        <v>3.5000000000000003E-2</v>
      </c>
      <c r="B18" s="48">
        <f t="shared" si="6"/>
        <v>95.790528954097155</v>
      </c>
      <c r="C18" s="48">
        <f t="shared" si="0"/>
        <v>6.4918696401529132</v>
      </c>
      <c r="D18" s="45">
        <f t="shared" si="1"/>
        <v>0.54100284231362039</v>
      </c>
      <c r="E18" s="48">
        <f t="shared" si="10"/>
        <v>-45.3310787907388</v>
      </c>
      <c r="F18" s="48">
        <f t="shared" si="11"/>
        <v>45.670190574620385</v>
      </c>
      <c r="G18" s="48">
        <f t="shared" si="2"/>
        <v>0.33911178388158447</v>
      </c>
      <c r="H18" s="45"/>
      <c r="I18" s="45"/>
      <c r="J18" s="48">
        <f t="shared" si="12"/>
        <v>2.6589274850069851</v>
      </c>
      <c r="Q18" s="8">
        <f t="shared" si="3"/>
        <v>100</v>
      </c>
      <c r="R18" s="9">
        <f t="shared" si="4"/>
        <v>1.2049079067143302E-2</v>
      </c>
      <c r="S18" s="8">
        <f t="shared" si="7"/>
        <v>-1</v>
      </c>
      <c r="T18" s="9">
        <f t="shared" si="8"/>
        <v>-2.4613613647147165E-4</v>
      </c>
      <c r="U18" s="9">
        <f t="shared" si="9"/>
        <v>-2.4596390146522671E-4</v>
      </c>
      <c r="V18" s="9">
        <f t="shared" si="13"/>
        <v>2.4658618673495555E-2</v>
      </c>
    </row>
    <row r="19" spans="1:22">
      <c r="A19" s="8">
        <f t="shared" si="5"/>
        <v>0.04</v>
      </c>
      <c r="B19" s="48">
        <f t="shared" si="6"/>
        <v>94.545935672996848</v>
      </c>
      <c r="C19" s="48">
        <f t="shared" si="0"/>
        <v>5.874227330992035</v>
      </c>
      <c r="D19" s="45">
        <f t="shared" si="1"/>
        <v>0.52547802798211307</v>
      </c>
      <c r="E19" s="48">
        <f t="shared" si="10"/>
        <v>-43.807584500178066</v>
      </c>
      <c r="F19" s="48">
        <f t="shared" si="11"/>
        <v>44.206949724914502</v>
      </c>
      <c r="G19" s="48">
        <f t="shared" si="2"/>
        <v>0.39936522473643521</v>
      </c>
      <c r="H19" s="45"/>
      <c r="I19" s="45"/>
      <c r="J19" s="48">
        <f t="shared" si="12"/>
        <v>-1.4678080971219105</v>
      </c>
      <c r="Q19" s="8">
        <f t="shared" si="3"/>
        <v>100</v>
      </c>
      <c r="R19" s="9">
        <f t="shared" si="4"/>
        <v>1.2279386957656494E-2</v>
      </c>
      <c r="S19" s="8">
        <f t="shared" si="7"/>
        <v>-1</v>
      </c>
      <c r="T19" s="9">
        <f t="shared" si="8"/>
        <v>-2.4350486836187554E-2</v>
      </c>
      <c r="U19" s="9">
        <f t="shared" si="9"/>
        <v>-2.43310142367969E-2</v>
      </c>
      <c r="V19" s="9">
        <f t="shared" si="13"/>
        <v>-1.2992863644136645E-2</v>
      </c>
    </row>
    <row r="20" spans="1:22">
      <c r="A20" s="8">
        <f t="shared" si="5"/>
        <v>4.4999999999999998E-2</v>
      </c>
      <c r="B20" s="48">
        <f t="shared" si="6"/>
        <v>93.830973725298676</v>
      </c>
      <c r="C20" s="48">
        <f t="shared" si="0"/>
        <v>5.525321104919712</v>
      </c>
      <c r="D20" s="45">
        <f t="shared" si="1"/>
        <v>0.51622993824242758</v>
      </c>
      <c r="E20" s="48">
        <f t="shared" si="10"/>
        <v>-42.913036666518067</v>
      </c>
      <c r="F20" s="48">
        <f t="shared" si="11"/>
        <v>43.343613375555478</v>
      </c>
      <c r="G20" s="48">
        <f t="shared" si="2"/>
        <v>0.43057670903741041</v>
      </c>
      <c r="H20" s="45"/>
      <c r="I20" s="45"/>
      <c r="J20" s="48">
        <f t="shared" si="12"/>
        <v>-0.86775726537363396</v>
      </c>
      <c r="Q20" s="8">
        <f t="shared" si="3"/>
        <v>100</v>
      </c>
      <c r="R20" s="9">
        <f t="shared" si="4"/>
        <v>1.2420369863054054E-2</v>
      </c>
      <c r="S20" s="8">
        <f t="shared" si="7"/>
        <v>-1</v>
      </c>
      <c r="T20" s="9">
        <f t="shared" si="8"/>
        <v>-3.0362434430494668E-2</v>
      </c>
      <c r="U20" s="9">
        <f t="shared" si="9"/>
        <v>-3.0335120532604964E-2</v>
      </c>
      <c r="V20" s="9">
        <f t="shared" si="13"/>
        <v>-7.562059041554027E-3</v>
      </c>
    </row>
    <row r="21" spans="1:22">
      <c r="A21" s="8">
        <f t="shared" si="5"/>
        <v>4.9999999999999996E-2</v>
      </c>
      <c r="B21" s="48">
        <f t="shared" si="6"/>
        <v>93.616369296064235</v>
      </c>
      <c r="C21" s="48">
        <f t="shared" si="0"/>
        <v>5.4070972308662846</v>
      </c>
      <c r="D21" s="45">
        <f t="shared" si="1"/>
        <v>0.51312187423283839</v>
      </c>
      <c r="E21" s="48">
        <f t="shared" si="10"/>
        <v>-42.62950964120374</v>
      </c>
      <c r="F21" s="48">
        <f t="shared" si="11"/>
        <v>43.056982285500816</v>
      </c>
      <c r="G21" s="48">
        <f t="shared" si="2"/>
        <v>0.42747264429707599</v>
      </c>
      <c r="H21" s="45"/>
      <c r="I21" s="45"/>
      <c r="J21" s="48">
        <f t="shared" si="12"/>
        <v>-0.29096566811750718</v>
      </c>
      <c r="Q21" s="8">
        <f t="shared" si="3"/>
        <v>100</v>
      </c>
      <c r="R21" s="9">
        <f t="shared" si="4"/>
        <v>1.248514016904481E-2</v>
      </c>
      <c r="S21" s="8">
        <f t="shared" si="7"/>
        <v>-1</v>
      </c>
      <c r="T21" s="9">
        <f t="shared" si="8"/>
        <v>-3.3223709809077955E-2</v>
      </c>
      <c r="U21" s="9">
        <f t="shared" si="9"/>
        <v>-3.3190502705587883E-2</v>
      </c>
      <c r="V21" s="9">
        <f t="shared" si="13"/>
        <v>-2.2871384652014943E-3</v>
      </c>
    </row>
    <row r="22" spans="1:22">
      <c r="A22" s="8">
        <f t="shared" si="5"/>
        <v>5.4999999999999993E-2</v>
      </c>
      <c r="B22" s="48">
        <f t="shared" si="6"/>
        <v>90.563452256518616</v>
      </c>
      <c r="C22" s="48">
        <f t="shared" si="0"/>
        <v>4.1350032801823957</v>
      </c>
      <c r="D22" s="45">
        <f t="shared" si="1"/>
        <v>0.47382639724614339</v>
      </c>
      <c r="E22" s="48">
        <f t="shared" si="10"/>
        <v>-38.776351024696936</v>
      </c>
      <c r="F22" s="48">
        <f t="shared" si="11"/>
        <v>39.502554145039774</v>
      </c>
      <c r="G22" s="48">
        <f t="shared" si="2"/>
        <v>0.72620312034283785</v>
      </c>
      <c r="H22" s="45"/>
      <c r="I22" s="45"/>
      <c r="J22" s="48">
        <f t="shared" si="12"/>
        <v>-3.5587340539816785</v>
      </c>
      <c r="Q22" s="8">
        <f t="shared" si="3"/>
        <v>100</v>
      </c>
      <c r="R22" s="9">
        <f t="shared" si="4"/>
        <v>1.2919245068599084E-2</v>
      </c>
      <c r="S22" s="8">
        <f t="shared" si="7"/>
        <v>1</v>
      </c>
      <c r="T22" s="9">
        <f t="shared" si="8"/>
        <v>2.3892604918794608E-2</v>
      </c>
      <c r="U22" s="9">
        <f t="shared" si="9"/>
        <v>2.3866337503111189E-2</v>
      </c>
      <c r="V22" s="9">
        <f t="shared" si="13"/>
        <v>-3.261093185413641E-2</v>
      </c>
    </row>
    <row r="23" spans="1:22">
      <c r="A23" s="8">
        <f t="shared" si="5"/>
        <v>5.9999999999999991E-2</v>
      </c>
      <c r="B23" s="48">
        <f t="shared" si="6"/>
        <v>89.120257481223376</v>
      </c>
      <c r="C23" s="48">
        <f t="shared" si="0"/>
        <v>3.5947704445929176</v>
      </c>
      <c r="D23" s="45">
        <f t="shared" si="1"/>
        <v>0.45447397665040501</v>
      </c>
      <c r="E23" s="48">
        <f t="shared" si="10"/>
        <v>-36.908067373006681</v>
      </c>
      <c r="F23" s="48">
        <f t="shared" si="11"/>
        <v>37.781811891596497</v>
      </c>
      <c r="G23" s="48">
        <f t="shared" si="2"/>
        <v>0.87374451858981672</v>
      </c>
      <c r="H23" s="45"/>
      <c r="I23" s="45"/>
      <c r="J23" s="48">
        <f t="shared" si="12"/>
        <v>-1.7246927063771351</v>
      </c>
      <c r="Q23" s="8">
        <f t="shared" si="3"/>
        <v>100</v>
      </c>
      <c r="R23" s="9">
        <f t="shared" si="4"/>
        <v>1.3105738385802999E-2</v>
      </c>
      <c r="S23" s="8">
        <f t="shared" si="7"/>
        <v>-1</v>
      </c>
      <c r="T23" s="9">
        <f t="shared" si="8"/>
        <v>-1.8661094317510899E-2</v>
      </c>
      <c r="U23" s="9">
        <f t="shared" si="9"/>
        <v>-1.8638714434945011E-2</v>
      </c>
      <c r="V23" s="9">
        <f t="shared" si="13"/>
        <v>-1.5935730577136438E-2</v>
      </c>
    </row>
    <row r="24" spans="1:22">
      <c r="A24" s="8">
        <f t="shared" si="5"/>
        <v>6.4999999999999988E-2</v>
      </c>
      <c r="B24" s="48">
        <f t="shared" si="6"/>
        <v>86.59428511720958</v>
      </c>
      <c r="C24" s="48">
        <f t="shared" si="0"/>
        <v>2.7740674805251473</v>
      </c>
      <c r="D24" s="45">
        <f t="shared" si="1"/>
        <v>0.42041585240287282</v>
      </c>
      <c r="E24" s="48">
        <f t="shared" si="10"/>
        <v>-33.63154271024392</v>
      </c>
      <c r="F24" s="48">
        <f t="shared" si="11"/>
        <v>34.836351340052865</v>
      </c>
      <c r="G24" s="48">
        <f t="shared" si="2"/>
        <v>1.2048086298089444</v>
      </c>
      <c r="H24" s="45"/>
      <c r="I24" s="45"/>
      <c r="J24" s="48">
        <f t="shared" si="12"/>
        <v>-2.9492389216481509</v>
      </c>
      <c r="Q24" s="8">
        <f t="shared" si="3"/>
        <v>100</v>
      </c>
      <c r="R24" s="9">
        <f t="shared" si="4"/>
        <v>1.3341015016233165E-2</v>
      </c>
      <c r="S24" s="8">
        <f t="shared" si="7"/>
        <v>1</v>
      </c>
      <c r="T24" s="9">
        <f t="shared" si="8"/>
        <v>9.5461336470143692E-3</v>
      </c>
      <c r="U24" s="9">
        <f t="shared" si="9"/>
        <v>9.5337317362618416E-3</v>
      </c>
      <c r="V24" s="9">
        <f t="shared" si="13"/>
        <v>-2.8343414117110131E-2</v>
      </c>
    </row>
    <row r="25" spans="1:22">
      <c r="A25" s="8">
        <f t="shared" si="5"/>
        <v>6.9999999999999993E-2</v>
      </c>
      <c r="B25" s="48">
        <f t="shared" si="6"/>
        <v>87.294693701548198</v>
      </c>
      <c r="C25" s="48">
        <f t="shared" si="0"/>
        <v>2.9646385627734375</v>
      </c>
      <c r="D25" s="45">
        <f t="shared" si="1"/>
        <v>0.42908455671582424</v>
      </c>
      <c r="E25" s="48">
        <f t="shared" si="10"/>
        <v>-34.492166387799024</v>
      </c>
      <c r="F25" s="48">
        <f t="shared" si="11"/>
        <v>35.596567037162821</v>
      </c>
      <c r="G25" s="48">
        <f t="shared" si="2"/>
        <v>1.1044006493637966</v>
      </c>
      <c r="H25" s="45"/>
      <c r="I25" s="45"/>
      <c r="J25" s="48">
        <f t="shared" si="12"/>
        <v>0.75673188778838352</v>
      </c>
      <c r="Q25" s="8">
        <f t="shared" si="3"/>
        <v>100</v>
      </c>
      <c r="R25" s="9">
        <f t="shared" si="4"/>
        <v>1.3325330222583002E-2</v>
      </c>
      <c r="S25" s="8">
        <f t="shared" si="7"/>
        <v>-1</v>
      </c>
      <c r="T25" s="9">
        <f t="shared" si="8"/>
        <v>-2.7776201206888021E-2</v>
      </c>
      <c r="U25" s="9">
        <f t="shared" si="9"/>
        <v>-2.7737341733177021E-2</v>
      </c>
      <c r="V25" s="9">
        <f t="shared" si="13"/>
        <v>8.0883927084862556E-3</v>
      </c>
    </row>
    <row r="26" spans="1:22">
      <c r="A26" s="8">
        <f t="shared" si="5"/>
        <v>7.4999999999999997E-2</v>
      </c>
      <c r="B26" s="48">
        <f t="shared" si="6"/>
        <v>85.756446468565784</v>
      </c>
      <c r="C26" s="48">
        <f t="shared" si="0"/>
        <v>2.5037723979641058</v>
      </c>
      <c r="D26" s="45">
        <f t="shared" si="1"/>
        <v>0.40779955536308643</v>
      </c>
      <c r="E26" s="48">
        <f t="shared" si="10"/>
        <v>-32.467668341435342</v>
      </c>
      <c r="F26" s="48">
        <f t="shared" si="11"/>
        <v>33.774800792765902</v>
      </c>
      <c r="G26" s="48">
        <f t="shared" si="2"/>
        <v>1.3071324513305598</v>
      </c>
      <c r="H26" s="45"/>
      <c r="I26" s="45"/>
      <c r="J26" s="48">
        <f t="shared" si="12"/>
        <v>-1.8253260790894101</v>
      </c>
      <c r="Q26" s="8">
        <f t="shared" si="3"/>
        <v>100</v>
      </c>
      <c r="R26" s="9">
        <f t="shared" si="4"/>
        <v>1.3449139683652928E-2</v>
      </c>
      <c r="S26" s="8">
        <f t="shared" si="7"/>
        <v>-1</v>
      </c>
      <c r="T26" s="9">
        <f t="shared" si="8"/>
        <v>-1.4934462363319379E-2</v>
      </c>
      <c r="U26" s="9">
        <f t="shared" si="9"/>
        <v>-1.4912077462647073E-2</v>
      </c>
      <c r="V26" s="9">
        <f t="shared" si="13"/>
        <v>-1.7621314283334643E-2</v>
      </c>
    </row>
    <row r="27" spans="1:22">
      <c r="A27" s="8">
        <f t="shared" si="5"/>
        <v>0.08</v>
      </c>
      <c r="B27" s="48">
        <f t="shared" si="6"/>
        <v>79.688026664735347</v>
      </c>
      <c r="C27" s="48">
        <f t="shared" si="0"/>
        <v>1.1894107570460335</v>
      </c>
      <c r="D27" s="45">
        <f t="shared" si="1"/>
        <v>0.32503309599531738</v>
      </c>
      <c r="E27" s="48">
        <f t="shared" si="10"/>
        <v>-24.711835263550302</v>
      </c>
      <c r="F27" s="48">
        <f t="shared" si="11"/>
        <v>27.182682620680296</v>
      </c>
      <c r="G27" s="48">
        <f t="shared" si="2"/>
        <v>2.470847357129994</v>
      </c>
      <c r="H27" s="45"/>
      <c r="I27" s="45"/>
      <c r="J27" s="48">
        <f t="shared" si="12"/>
        <v>-6.5954958210445147</v>
      </c>
      <c r="Q27" s="8">
        <f t="shared" si="3"/>
        <v>100</v>
      </c>
      <c r="R27" s="9">
        <f t="shared" si="4"/>
        <v>1.3454343221279856E-2</v>
      </c>
      <c r="S27" s="8">
        <f t="shared" si="7"/>
        <v>1</v>
      </c>
      <c r="T27" s="9">
        <f t="shared" si="8"/>
        <v>0.18774734182793082</v>
      </c>
      <c r="U27" s="9">
        <f t="shared" si="9"/>
        <v>0.18744718626948609</v>
      </c>
      <c r="V27" s="9">
        <f t="shared" si="13"/>
        <v>-7.0763424252366036E-2</v>
      </c>
    </row>
    <row r="28" spans="1:22">
      <c r="A28" s="8">
        <f t="shared" si="5"/>
        <v>8.5000000000000006E-2</v>
      </c>
      <c r="B28" s="48">
        <f t="shared" si="6"/>
        <v>78.234608669018982</v>
      </c>
      <c r="C28" s="48">
        <f t="shared" si="0"/>
        <v>0.9623506960965269</v>
      </c>
      <c r="D28" s="45">
        <f t="shared" si="1"/>
        <v>0.30463973187431803</v>
      </c>
      <c r="E28" s="48">
        <f t="shared" si="10"/>
        <v>-22.871019512125613</v>
      </c>
      <c r="F28" s="48">
        <f t="shared" si="11"/>
        <v>25.589934163409112</v>
      </c>
      <c r="G28" s="48">
        <f t="shared" si="2"/>
        <v>2.7189146512834981</v>
      </c>
      <c r="H28" s="45"/>
      <c r="I28" s="45"/>
      <c r="J28" s="48">
        <f t="shared" si="12"/>
        <v>-1.5954668614511962</v>
      </c>
      <c r="Q28" s="8">
        <f t="shared" si="3"/>
        <v>100</v>
      </c>
      <c r="R28" s="9">
        <f t="shared" si="4"/>
        <v>1.3366206674684538E-2</v>
      </c>
      <c r="S28" s="8">
        <f t="shared" si="7"/>
        <v>-1</v>
      </c>
      <c r="T28" s="9">
        <f t="shared" si="8"/>
        <v>-1.1447022274330575E-2</v>
      </c>
      <c r="U28" s="9">
        <f t="shared" si="9"/>
        <v>-1.1427578868042179E-2</v>
      </c>
      <c r="V28" s="9">
        <f t="shared" si="13"/>
        <v>-1.8238850383774794E-2</v>
      </c>
    </row>
    <row r="29" spans="1:22">
      <c r="A29" s="8">
        <f t="shared" si="5"/>
        <v>9.0000000000000011E-2</v>
      </c>
      <c r="B29" s="48">
        <f t="shared" si="6"/>
        <v>78.252251391576493</v>
      </c>
      <c r="C29" s="48">
        <f t="shared" si="0"/>
        <v>0.95480403956302595</v>
      </c>
      <c r="D29" s="45">
        <f t="shared" si="1"/>
        <v>0.30395962045385438</v>
      </c>
      <c r="E29" s="48">
        <f t="shared" si="10"/>
        <v>-22.830720593080162</v>
      </c>
      <c r="F29" s="48">
        <f t="shared" si="11"/>
        <v>25.539273034930986</v>
      </c>
      <c r="G29" s="48">
        <f t="shared" si="2"/>
        <v>2.7085524418508236</v>
      </c>
      <c r="H29" s="45"/>
      <c r="I29" s="45"/>
      <c r="J29" s="48">
        <f t="shared" si="12"/>
        <v>-5.3220249848403497E-2</v>
      </c>
      <c r="Q29" s="8">
        <f t="shared" si="3"/>
        <v>100</v>
      </c>
      <c r="R29" s="9">
        <f t="shared" si="4"/>
        <v>1.3386525027271088E-2</v>
      </c>
      <c r="S29" s="8">
        <f t="shared" si="7"/>
        <v>-1</v>
      </c>
      <c r="T29" s="9">
        <f t="shared" si="8"/>
        <v>-2.5101609799617185E-2</v>
      </c>
      <c r="U29" s="9">
        <f t="shared" si="9"/>
        <v>-2.5056467542197963E-2</v>
      </c>
      <c r="V29" s="9">
        <f t="shared" si="13"/>
        <v>2.2551045959916249E-4</v>
      </c>
    </row>
    <row r="30" spans="1:22">
      <c r="A30" s="8">
        <f t="shared" si="5"/>
        <v>9.5000000000000015E-2</v>
      </c>
      <c r="B30" s="48">
        <f t="shared" si="6"/>
        <v>81.204591120107693</v>
      </c>
      <c r="C30" s="48">
        <f t="shared" si="0"/>
        <v>1.413859671323042</v>
      </c>
      <c r="D30" s="45">
        <f t="shared" si="1"/>
        <v>0.34293942641360309</v>
      </c>
      <c r="E30" s="48">
        <f t="shared" si="10"/>
        <v>-26.434396229557859</v>
      </c>
      <c r="F30" s="48">
        <f t="shared" si="11"/>
        <v>28.707166294837631</v>
      </c>
      <c r="G30" s="48">
        <f t="shared" si="2"/>
        <v>2.2727700652797722</v>
      </c>
      <c r="H30" s="45"/>
      <c r="I30" s="45"/>
      <c r="J30" s="48">
        <f t="shared" si="12"/>
        <v>3.1653392049025304</v>
      </c>
      <c r="Q30" s="8">
        <f t="shared" si="3"/>
        <v>100</v>
      </c>
      <c r="R30" s="9">
        <f t="shared" si="4"/>
        <v>1.3596136426094332E-2</v>
      </c>
      <c r="S30" s="8">
        <f t="shared" si="7"/>
        <v>1</v>
      </c>
      <c r="T30" s="9">
        <f t="shared" si="8"/>
        <v>3.6352566700724141E-2</v>
      </c>
      <c r="U30" s="9">
        <f t="shared" si="9"/>
        <v>3.628356239883835E-2</v>
      </c>
      <c r="V30" s="9">
        <f t="shared" si="13"/>
        <v>3.7728495679410015E-2</v>
      </c>
    </row>
    <row r="31" spans="1:22">
      <c r="A31" s="8">
        <f t="shared" si="5"/>
        <v>0.10000000000000002</v>
      </c>
      <c r="B31" s="48">
        <f t="shared" si="6"/>
        <v>81.707125312710147</v>
      </c>
      <c r="C31" s="48">
        <f t="shared" si="0"/>
        <v>1.4948761390751795</v>
      </c>
      <c r="D31" s="45">
        <f t="shared" si="1"/>
        <v>0.34892696516350663</v>
      </c>
      <c r="E31" s="48">
        <f t="shared" si="10"/>
        <v>-27.014943128523107</v>
      </c>
      <c r="F31" s="48">
        <f t="shared" si="11"/>
        <v>29.19926173396081</v>
      </c>
      <c r="G31" s="48">
        <f t="shared" si="2"/>
        <v>2.1843186054377028</v>
      </c>
      <c r="H31" s="45"/>
      <c r="I31" s="45"/>
      <c r="J31" s="48">
        <f t="shared" si="12"/>
        <v>0.48922457895307664</v>
      </c>
      <c r="Q31" s="8">
        <f t="shared" si="3"/>
        <v>100</v>
      </c>
      <c r="R31" s="9">
        <f t="shared" si="4"/>
        <v>1.3637465916262187E-2</v>
      </c>
      <c r="S31" s="8">
        <f t="shared" si="7"/>
        <v>-1</v>
      </c>
      <c r="T31" s="9">
        <f t="shared" si="8"/>
        <v>-2.6138980672717364E-2</v>
      </c>
      <c r="U31" s="9">
        <f t="shared" si="9"/>
        <v>-2.608675495449872E-2</v>
      </c>
      <c r="V31" s="9">
        <f t="shared" si="13"/>
        <v>6.1884948334899924E-3</v>
      </c>
    </row>
    <row r="32" spans="1:22">
      <c r="A32" s="8">
        <f t="shared" si="5"/>
        <v>0.10500000000000002</v>
      </c>
      <c r="B32" s="48">
        <f t="shared" si="6"/>
        <v>79.591206093581164</v>
      </c>
      <c r="C32" s="48">
        <f t="shared" si="0"/>
        <v>1.1181052567739584</v>
      </c>
      <c r="D32" s="45">
        <f t="shared" si="1"/>
        <v>0.31926003422410965</v>
      </c>
      <c r="E32" s="48">
        <f t="shared" si="10"/>
        <v>-24.292185924600929</v>
      </c>
      <c r="F32" s="48">
        <f t="shared" si="11"/>
        <v>26.840954991573795</v>
      </c>
      <c r="G32" s="48">
        <f t="shared" si="2"/>
        <v>2.5487690669728664</v>
      </c>
      <c r="H32" s="45"/>
      <c r="I32" s="45"/>
      <c r="J32" s="48">
        <f t="shared" si="12"/>
        <v>-2.3612268145615847</v>
      </c>
      <c r="Q32" s="8">
        <f t="shared" si="3"/>
        <v>100</v>
      </c>
      <c r="R32" s="9">
        <f t="shared" si="4"/>
        <v>1.3556411079855635E-2</v>
      </c>
      <c r="S32" s="8">
        <f t="shared" si="7"/>
        <v>1</v>
      </c>
      <c r="T32" s="9">
        <f t="shared" si="8"/>
        <v>2.4956938999259816E-3</v>
      </c>
      <c r="U32" s="9">
        <f t="shared" si="9"/>
        <v>2.4904584418911041E-3</v>
      </c>
      <c r="V32" s="9">
        <f t="shared" si="13"/>
        <v>-2.5896385548150432E-2</v>
      </c>
    </row>
    <row r="33" spans="1:22">
      <c r="A33" s="8">
        <f t="shared" si="5"/>
        <v>0.11000000000000003</v>
      </c>
      <c r="B33" s="48">
        <f t="shared" si="6"/>
        <v>82.996314094245847</v>
      </c>
      <c r="C33" s="48">
        <f t="shared" si="0"/>
        <v>1.7269855512253685</v>
      </c>
      <c r="D33" s="45">
        <f t="shared" si="1"/>
        <v>0.36488086563269062</v>
      </c>
      <c r="E33" s="48">
        <f t="shared" si="10"/>
        <v>-28.556781379805738</v>
      </c>
      <c r="F33" s="48">
        <f t="shared" si="11"/>
        <v>30.630000074109425</v>
      </c>
      <c r="G33" s="48">
        <f t="shared" si="2"/>
        <v>2.0732186943036872</v>
      </c>
      <c r="H33" s="45"/>
      <c r="I33" s="45"/>
      <c r="J33" s="48">
        <f t="shared" si="12"/>
        <v>3.7863608528272228</v>
      </c>
      <c r="Q33" s="8">
        <f t="shared" si="3"/>
        <v>100</v>
      </c>
      <c r="R33" s="9">
        <f t="shared" si="4"/>
        <v>1.3714371106019949E-2</v>
      </c>
      <c r="S33" s="8">
        <f t="shared" si="7"/>
        <v>1</v>
      </c>
      <c r="T33" s="9">
        <f t="shared" si="8"/>
        <v>5.7524586553233927E-2</v>
      </c>
      <c r="U33" s="9">
        <f t="shared" si="9"/>
        <v>5.7398171570285428E-2</v>
      </c>
      <c r="V33" s="9">
        <f t="shared" si="13"/>
        <v>4.2782465146476732E-2</v>
      </c>
    </row>
    <row r="34" spans="1:22">
      <c r="A34" s="8">
        <f t="shared" si="5"/>
        <v>0.11500000000000003</v>
      </c>
      <c r="B34" s="48">
        <f t="shared" si="6"/>
        <v>80.796188056959039</v>
      </c>
      <c r="C34" s="48">
        <f t="shared" si="0"/>
        <v>1.2915457469672642</v>
      </c>
      <c r="D34" s="45">
        <f t="shared" si="1"/>
        <v>0.33387171756753786</v>
      </c>
      <c r="E34" s="48">
        <f t="shared" si="10"/>
        <v>-25.684016332519441</v>
      </c>
      <c r="F34" s="48">
        <f t="shared" si="11"/>
        <v>28.127642268713775</v>
      </c>
      <c r="G34" s="48">
        <f t="shared" si="2"/>
        <v>2.4436259361943335</v>
      </c>
      <c r="I34" s="45"/>
      <c r="J34" s="48">
        <f t="shared" si="12"/>
        <v>-2.5054209585581697</v>
      </c>
      <c r="Q34" s="8">
        <f t="shared" si="3"/>
        <v>100</v>
      </c>
      <c r="R34" s="9">
        <f t="shared" si="4"/>
        <v>1.367632652674095E-2</v>
      </c>
      <c r="S34" s="8">
        <f t="shared" si="7"/>
        <v>1</v>
      </c>
      <c r="T34" s="9">
        <f t="shared" si="8"/>
        <v>4.027046204312411E-3</v>
      </c>
      <c r="U34" s="9">
        <f t="shared" si="9"/>
        <v>4.0177946414182179E-3</v>
      </c>
      <c r="V34" s="9">
        <f t="shared" si="13"/>
        <v>-2.6508719830479106E-2</v>
      </c>
    </row>
    <row r="35" spans="1:22">
      <c r="A35" s="8">
        <f t="shared" si="5"/>
        <v>0.12000000000000004</v>
      </c>
      <c r="B35" s="48">
        <f t="shared" si="6"/>
        <v>78.690316318768851</v>
      </c>
      <c r="C35" s="48">
        <f t="shared" si="0"/>
        <v>0.95441026278373542</v>
      </c>
      <c r="D35" s="45">
        <f t="shared" si="1"/>
        <v>0.30427691381543476</v>
      </c>
      <c r="E35" s="48">
        <f t="shared" si="10"/>
        <v>-22.989236333851593</v>
      </c>
      <c r="F35" s="48">
        <f t="shared" si="11"/>
        <v>25.801630704938663</v>
      </c>
      <c r="G35" s="48">
        <f t="shared" si="2"/>
        <v>2.8123943710870698</v>
      </c>
      <c r="I35" s="45"/>
      <c r="J35" s="48">
        <f t="shared" si="12"/>
        <v>-2.3288244686448807</v>
      </c>
      <c r="Q35" s="8">
        <f t="shared" si="3"/>
        <v>100</v>
      </c>
      <c r="R35" s="9">
        <f t="shared" si="4"/>
        <v>1.3543305554808678E-2</v>
      </c>
      <c r="S35" s="8">
        <f t="shared" si="7"/>
        <v>1</v>
      </c>
      <c r="T35" s="9">
        <f t="shared" si="8"/>
        <v>2.8023468995234213E-3</v>
      </c>
      <c r="U35" s="9">
        <f t="shared" si="9"/>
        <v>2.7956293312709005E-3</v>
      </c>
      <c r="V35" s="9">
        <f t="shared" si="13"/>
        <v>-2.6063998671640404E-2</v>
      </c>
    </row>
    <row r="36" spans="1:22">
      <c r="A36" s="8">
        <f t="shared" si="5"/>
        <v>0.12500000000000003</v>
      </c>
      <c r="B36" s="48">
        <f t="shared" si="6"/>
        <v>77.061024245432762</v>
      </c>
      <c r="C36" s="48">
        <f t="shared" si="0"/>
        <v>0.74008772954884527</v>
      </c>
      <c r="D36" s="45">
        <f t="shared" si="1"/>
        <v>0.28137998979593537</v>
      </c>
      <c r="E36" s="48">
        <f t="shared" si="10"/>
        <v>-20.94334248629535</v>
      </c>
      <c r="F36" s="48">
        <f t="shared" si="11"/>
        <v>24.039750580009141</v>
      </c>
      <c r="G36" s="48">
        <f t="shared" si="2"/>
        <v>3.0964080937137908</v>
      </c>
      <c r="I36" s="45"/>
      <c r="J36" s="48">
        <f t="shared" si="12"/>
        <v>-1.764460417012474</v>
      </c>
      <c r="Q36" s="8">
        <f t="shared" si="3"/>
        <v>100</v>
      </c>
      <c r="R36" s="9">
        <f t="shared" si="4"/>
        <v>1.3374274425933958E-2</v>
      </c>
      <c r="S36" s="8">
        <f t="shared" si="7"/>
        <v>-1</v>
      </c>
      <c r="T36" s="9">
        <f t="shared" si="8"/>
        <v>-7.2987929243694552E-3</v>
      </c>
      <c r="U36" s="9">
        <f t="shared" si="9"/>
        <v>-7.2805687317910204E-3</v>
      </c>
      <c r="V36" s="9">
        <f t="shared" si="13"/>
        <v>-2.0705115312231594E-2</v>
      </c>
    </row>
    <row r="37" spans="1:22">
      <c r="A37" s="8">
        <f t="shared" si="5"/>
        <v>0.13000000000000003</v>
      </c>
      <c r="B37" s="48">
        <f t="shared" si="6"/>
        <v>77.782083007088957</v>
      </c>
      <c r="C37" s="48">
        <f t="shared" si="0"/>
        <v>0.81642268506448268</v>
      </c>
      <c r="D37" s="45">
        <f t="shared" si="1"/>
        <v>0.29008956202405012</v>
      </c>
      <c r="E37" s="48">
        <f t="shared" si="10"/>
        <v>-21.747347707780264</v>
      </c>
      <c r="F37" s="48">
        <f t="shared" si="11"/>
        <v>24.719603345273359</v>
      </c>
      <c r="G37" s="48">
        <f t="shared" si="2"/>
        <v>2.9722556374930953</v>
      </c>
      <c r="I37" s="45"/>
      <c r="J37" s="48">
        <f t="shared" si="12"/>
        <v>0.6774486700034581</v>
      </c>
      <c r="Q37" s="8">
        <f t="shared" si="3"/>
        <v>100</v>
      </c>
      <c r="R37" s="9">
        <f t="shared" si="4"/>
        <v>1.3482415424369273E-2</v>
      </c>
      <c r="S37" s="8">
        <f t="shared" si="7"/>
        <v>-1</v>
      </c>
      <c r="T37" s="9">
        <f t="shared" si="8"/>
        <v>-2.1409778981153517E-2</v>
      </c>
      <c r="U37" s="9">
        <f t="shared" si="9"/>
        <v>-2.1354185858179841E-2</v>
      </c>
      <c r="V37" s="9">
        <f t="shared" si="13"/>
        <v>9.3569838801997336E-3</v>
      </c>
    </row>
    <row r="38" spans="1:22">
      <c r="A38" s="8">
        <f t="shared" si="5"/>
        <v>0.13500000000000004</v>
      </c>
      <c r="B38" s="48">
        <f t="shared" si="6"/>
        <v>77.51998806020039</v>
      </c>
      <c r="C38" s="48">
        <f t="shared" si="0"/>
        <v>0.77556376812360561</v>
      </c>
      <c r="D38" s="45">
        <f t="shared" si="1"/>
        <v>0.28558255676615751</v>
      </c>
      <c r="E38" s="48">
        <f t="shared" si="10"/>
        <v>-21.362792622590426</v>
      </c>
      <c r="F38" s="48">
        <f t="shared" si="11"/>
        <v>24.372692435430931</v>
      </c>
      <c r="G38" s="48">
        <f t="shared" si="2"/>
        <v>3.009899812840505</v>
      </c>
      <c r="I38" s="45"/>
      <c r="J38" s="48">
        <f t="shared" si="12"/>
        <v>-0.3493829937790951</v>
      </c>
      <c r="Q38" s="8">
        <f t="shared" si="3"/>
        <v>100</v>
      </c>
      <c r="R38" s="9">
        <f t="shared" si="4"/>
        <v>1.3467071376240513E-2</v>
      </c>
      <c r="S38" s="8">
        <f t="shared" si="7"/>
        <v>-1</v>
      </c>
      <c r="T38" s="9">
        <f t="shared" si="8"/>
        <v>-2.4324859876619847E-2</v>
      </c>
      <c r="U38" s="9">
        <f t="shared" si="9"/>
        <v>-2.4259271339323357E-2</v>
      </c>
      <c r="V38" s="9">
        <f t="shared" si="13"/>
        <v>-3.3696056566739148E-3</v>
      </c>
    </row>
    <row r="39" spans="1:22">
      <c r="A39" s="8">
        <f t="shared" si="5"/>
        <v>0.14000000000000004</v>
      </c>
      <c r="B39" s="48">
        <f t="shared" si="6"/>
        <v>78.196155293134623</v>
      </c>
      <c r="C39" s="48">
        <f t="shared" si="0"/>
        <v>0.84912944976936977</v>
      </c>
      <c r="D39" s="45">
        <f t="shared" si="1"/>
        <v>0.29374564936547864</v>
      </c>
      <c r="E39" s="48">
        <f t="shared" si="10"/>
        <v>-22.120650964696267</v>
      </c>
      <c r="F39" s="48">
        <f t="shared" si="11"/>
        <v>25.013452283110755</v>
      </c>
      <c r="G39" s="48">
        <f t="shared" si="2"/>
        <v>2.8928013184144881</v>
      </c>
      <c r="I39" s="45"/>
      <c r="J39" s="48">
        <f t="shared" si="12"/>
        <v>0.63832245656875319</v>
      </c>
      <c r="Q39" s="8">
        <f t="shared" si="3"/>
        <v>100</v>
      </c>
      <c r="R39" s="9">
        <f t="shared" si="4"/>
        <v>1.3567677366209783E-2</v>
      </c>
      <c r="S39" s="8">
        <f t="shared" si="7"/>
        <v>-1</v>
      </c>
      <c r="T39" s="9">
        <f t="shared" si="8"/>
        <v>-2.2251014032296033E-2</v>
      </c>
      <c r="U39" s="9">
        <f t="shared" si="9"/>
        <v>-2.2188798335628521E-2</v>
      </c>
      <c r="V39" s="9">
        <f t="shared" si="13"/>
        <v>8.7224888684081844E-3</v>
      </c>
    </row>
    <row r="40" spans="1:22">
      <c r="A40" s="8">
        <f t="shared" si="5"/>
        <v>0.14500000000000005</v>
      </c>
      <c r="B40" s="48">
        <f t="shared" si="6"/>
        <v>78.397271576428565</v>
      </c>
      <c r="C40" s="48">
        <f t="shared" si="0"/>
        <v>0.8651090606853753</v>
      </c>
      <c r="D40" s="45">
        <f t="shared" si="1"/>
        <v>0.29550352654472778</v>
      </c>
      <c r="E40" s="48">
        <f t="shared" si="10"/>
        <v>-22.301561161634012</v>
      </c>
      <c r="F40" s="48">
        <f t="shared" si="11"/>
        <v>25.153766528030097</v>
      </c>
      <c r="G40" s="48">
        <f t="shared" si="2"/>
        <v>2.8522053663960847</v>
      </c>
      <c r="I40" s="45"/>
      <c r="J40" s="48">
        <f t="shared" si="12"/>
        <v>0.13781277461960059</v>
      </c>
      <c r="Q40" s="8">
        <f t="shared" si="3"/>
        <v>100</v>
      </c>
      <c r="R40" s="9">
        <f t="shared" si="4"/>
        <v>1.3609792077279682E-2</v>
      </c>
      <c r="S40" s="8">
        <f t="shared" si="7"/>
        <v>-1</v>
      </c>
      <c r="T40" s="9">
        <f t="shared" si="8"/>
        <v>-2.5340411302994772E-2</v>
      </c>
      <c r="U40" s="9">
        <f t="shared" si="9"/>
        <v>-2.5267030563715702E-2</v>
      </c>
      <c r="V40" s="9">
        <f t="shared" si="13"/>
        <v>2.5719459293109172E-3</v>
      </c>
    </row>
    <row r="41" spans="1:22">
      <c r="A41" s="8">
        <f t="shared" si="5"/>
        <v>0.15000000000000005</v>
      </c>
      <c r="B41" s="48">
        <f t="shared" si="6"/>
        <v>76.594363816678438</v>
      </c>
      <c r="C41" s="48">
        <f t="shared" si="0"/>
        <v>0.64697026799204771</v>
      </c>
      <c r="D41" s="45">
        <f t="shared" si="1"/>
        <v>0.27016472733825514</v>
      </c>
      <c r="E41" s="48">
        <f t="shared" si="10"/>
        <v>-20.046125148187997</v>
      </c>
      <c r="F41" s="48">
        <f t="shared" si="11"/>
        <v>23.215472825357597</v>
      </c>
      <c r="G41" s="48">
        <f t="shared" si="2"/>
        <v>3.1693476771696005</v>
      </c>
      <c r="I41" s="45"/>
      <c r="J41" s="48">
        <f t="shared" si="12"/>
        <v>-1.9408092050983283</v>
      </c>
      <c r="Q41" s="8">
        <f t="shared" si="3"/>
        <v>100</v>
      </c>
      <c r="R41" s="9">
        <f t="shared" si="4"/>
        <v>1.3381995742651741E-2</v>
      </c>
      <c r="S41" s="8">
        <f t="shared" si="7"/>
        <v>-1</v>
      </c>
      <c r="T41" s="9">
        <f t="shared" si="8"/>
        <v>-3.2829988455456592E-3</v>
      </c>
      <c r="U41" s="9">
        <f t="shared" si="9"/>
        <v>-3.2731646077414061E-3</v>
      </c>
      <c r="V41" s="9">
        <f t="shared" si="13"/>
        <v>-2.2997072774305592E-2</v>
      </c>
    </row>
    <row r="42" spans="1:22">
      <c r="A42" s="8">
        <f t="shared" si="5"/>
        <v>0.15500000000000005</v>
      </c>
      <c r="B42" s="48">
        <f t="shared" si="6"/>
        <v>74.376634509256661</v>
      </c>
      <c r="C42" s="48">
        <f t="shared" si="0"/>
        <v>0.44057054766337966</v>
      </c>
      <c r="D42" s="45">
        <f t="shared" si="1"/>
        <v>0.23987352264870399</v>
      </c>
      <c r="E42" s="48">
        <f t="shared" si="10"/>
        <v>-17.400414774827176</v>
      </c>
      <c r="F42" s="48">
        <f t="shared" si="11"/>
        <v>20.964836628681539</v>
      </c>
      <c r="G42" s="48">
        <f t="shared" si="2"/>
        <v>3.5644218538543626</v>
      </c>
      <c r="I42" s="45"/>
      <c r="J42" s="48">
        <f t="shared" si="12"/>
        <v>-2.2529578600398277</v>
      </c>
      <c r="Q42" s="8">
        <f t="shared" si="3"/>
        <v>100</v>
      </c>
      <c r="R42" s="9">
        <f t="shared" si="4"/>
        <v>1.2987500482508591E-2</v>
      </c>
      <c r="S42" s="8">
        <f t="shared" si="7"/>
        <v>1</v>
      </c>
      <c r="T42" s="9">
        <f t="shared" si="8"/>
        <v>8.1130019536172944E-3</v>
      </c>
      <c r="U42" s="9">
        <f t="shared" si="9"/>
        <v>8.0878905902842611E-3</v>
      </c>
      <c r="V42" s="9">
        <f t="shared" si="13"/>
        <v>-2.8954210165250648E-2</v>
      </c>
    </row>
    <row r="43" spans="1:22">
      <c r="A43" s="8">
        <f t="shared" si="5"/>
        <v>0.16000000000000006</v>
      </c>
      <c r="B43" s="48">
        <f t="shared" si="6"/>
        <v>75.162573583924228</v>
      </c>
      <c r="C43" s="48">
        <f t="shared" si="0"/>
        <v>0.497368956387648</v>
      </c>
      <c r="D43" s="45">
        <f t="shared" ref="D43:D74" si="14">CallDelta(B43,$E$6,0,PL_r, PL_K, PL_T-A43)</f>
        <v>0.24910549675866756</v>
      </c>
      <c r="E43" s="48">
        <f t="shared" si="10"/>
        <v>-18.226041273895703</v>
      </c>
      <c r="F43" s="48">
        <f t="shared" si="11"/>
        <v>21.660832150537104</v>
      </c>
      <c r="G43" s="48">
        <f t="shared" ref="G43:G74" si="15">F43+E43</f>
        <v>3.4347908766414008</v>
      </c>
      <c r="I43" s="45"/>
      <c r="J43" s="48">
        <f t="shared" si="12"/>
        <v>0.69389893336502018</v>
      </c>
      <c r="Q43" s="8">
        <f t="shared" ref="Q43:Q74" si="16">PL_K</f>
        <v>100</v>
      </c>
      <c r="R43" s="9">
        <f t="shared" ref="R43:R74" si="17">CallGamma(B43,$E$6,0,PL_r, PL_K, PL_T-A43)</f>
        <v>1.3154839449462436E-2</v>
      </c>
      <c r="S43" s="8">
        <f t="shared" si="7"/>
        <v>-1</v>
      </c>
      <c r="T43" s="9">
        <f t="shared" si="8"/>
        <v>-1.8610423922127927E-2</v>
      </c>
      <c r="U43" s="9">
        <f t="shared" si="9"/>
        <v>-1.8550965749391128E-2</v>
      </c>
      <c r="V43" s="9">
        <f t="shared" si="13"/>
        <v>1.0567015835729323E-2</v>
      </c>
    </row>
    <row r="44" spans="1:22">
      <c r="A44" s="8">
        <f t="shared" ref="A44:A75" si="18">A43+dt</f>
        <v>0.16500000000000006</v>
      </c>
      <c r="B44" s="48">
        <f t="shared" ref="B44:B75" si="19">B43*EXP((PL_r-0.5*Vol_a^2)*dt+Vol_a*SQRT(dt)*NormalRN())</f>
        <v>75.114865424207196</v>
      </c>
      <c r="C44" s="48">
        <f t="shared" si="0"/>
        <v>0.48644776419438518</v>
      </c>
      <c r="D44" s="45">
        <f t="shared" si="14"/>
        <v>0.24743372249025042</v>
      </c>
      <c r="E44" s="48">
        <f t="shared" si="10"/>
        <v>-18.099503002071405</v>
      </c>
      <c r="F44" s="48">
        <f t="shared" ref="F44:F75" si="20">J44+F43*EXP(PL_r*dt)</f>
        <v>21.537423242868122</v>
      </c>
      <c r="G44" s="48">
        <f t="shared" si="15"/>
        <v>3.4379202407967178</v>
      </c>
      <c r="I44" s="45"/>
      <c r="J44" s="48">
        <f t="shared" ref="J44:J75" si="21">(D44-D43)*B44</f>
        <v>-0.12557509919180565</v>
      </c>
      <c r="Q44" s="8">
        <f t="shared" si="16"/>
        <v>100</v>
      </c>
      <c r="R44" s="9">
        <f t="shared" si="17"/>
        <v>1.3155229794850993E-2</v>
      </c>
      <c r="S44" s="8">
        <f t="shared" ref="S44:S75" si="22">IF(V44^2 &lt; ($E$6^2*dt), -1, 1)</f>
        <v>-1</v>
      </c>
      <c r="T44" s="9">
        <f t="shared" ref="T44:T75" si="23">0.5*R44*(B44^2)*(V44^2-$E$6^2*dt)</f>
        <v>-2.27164551653459E-2</v>
      </c>
      <c r="U44" s="9">
        <f t="shared" ref="U44:U75" si="24">T44*EXP(-PL_r*A44)</f>
        <v>-2.2641614418450601E-2</v>
      </c>
      <c r="V44" s="9">
        <f t="shared" si="13"/>
        <v>-6.3473291882113511E-4</v>
      </c>
    </row>
    <row r="45" spans="1:22">
      <c r="A45" s="8">
        <f t="shared" si="18"/>
        <v>0.17000000000000007</v>
      </c>
      <c r="B45" s="48">
        <f t="shared" si="19"/>
        <v>75.480229370154703</v>
      </c>
      <c r="C45" s="48">
        <f t="shared" si="0"/>
        <v>0.51048859829275095</v>
      </c>
      <c r="D45" s="45">
        <f t="shared" si="14"/>
        <v>0.2512067079775584</v>
      </c>
      <c r="E45" s="48">
        <f t="shared" si="10"/>
        <v>-18.450651339174826</v>
      </c>
      <c r="F45" s="48">
        <f t="shared" si="20"/>
        <v>21.824362902875389</v>
      </c>
      <c r="G45" s="48">
        <f t="shared" si="15"/>
        <v>3.3737115637005637</v>
      </c>
      <c r="I45" s="45"/>
      <c r="J45" s="48">
        <f t="shared" si="21"/>
        <v>0.2847858099922711</v>
      </c>
      <c r="Q45" s="8">
        <f t="shared" si="16"/>
        <v>100</v>
      </c>
      <c r="R45" s="9">
        <f t="shared" si="17"/>
        <v>1.32369962336089E-2</v>
      </c>
      <c r="S45" s="8">
        <f t="shared" si="22"/>
        <v>-1</v>
      </c>
      <c r="T45" s="9">
        <f t="shared" si="23"/>
        <v>-2.2203619936066031E-2</v>
      </c>
      <c r="U45" s="9">
        <f t="shared" si="24"/>
        <v>-2.2128255819881672E-2</v>
      </c>
      <c r="V45" s="9">
        <f t="shared" si="13"/>
        <v>4.8640697668049316E-3</v>
      </c>
    </row>
    <row r="46" spans="1:22">
      <c r="A46" s="8">
        <f t="shared" si="18"/>
        <v>0.17500000000000007</v>
      </c>
      <c r="B46" s="48">
        <f t="shared" si="19"/>
        <v>78.175710188759851</v>
      </c>
      <c r="C46" s="48">
        <f t="shared" si="0"/>
        <v>0.77950090902584179</v>
      </c>
      <c r="D46" s="45">
        <f t="shared" si="14"/>
        <v>0.28650282009864825</v>
      </c>
      <c r="E46" s="48">
        <f t="shared" si="10"/>
        <v>-21.618060523268486</v>
      </c>
      <c r="F46" s="48">
        <f t="shared" si="20"/>
        <v>24.585844080259427</v>
      </c>
      <c r="G46" s="48">
        <f t="shared" si="15"/>
        <v>2.9677835569909412</v>
      </c>
      <c r="I46" s="45"/>
      <c r="J46" s="48">
        <f t="shared" si="21"/>
        <v>2.7592986319682939</v>
      </c>
      <c r="Q46" s="8">
        <f t="shared" si="16"/>
        <v>100</v>
      </c>
      <c r="R46" s="9">
        <f t="shared" si="17"/>
        <v>1.3694937499787157E-2</v>
      </c>
      <c r="S46" s="8">
        <f t="shared" si="22"/>
        <v>1</v>
      </c>
      <c r="T46" s="9">
        <f t="shared" si="23"/>
        <v>2.77360189253332E-2</v>
      </c>
      <c r="U46" s="9">
        <f t="shared" si="24"/>
        <v>2.7639112544186783E-2</v>
      </c>
      <c r="V46" s="9">
        <f t="shared" si="13"/>
        <v>3.571108409576397E-2</v>
      </c>
    </row>
    <row r="47" spans="1:22">
      <c r="A47" s="8">
        <f t="shared" si="18"/>
        <v>0.18000000000000008</v>
      </c>
      <c r="B47" s="48">
        <f t="shared" si="19"/>
        <v>80.473761958946554</v>
      </c>
      <c r="C47" s="48">
        <f t="shared" si="0"/>
        <v>1.0833872091864993</v>
      </c>
      <c r="D47" s="45">
        <f t="shared" si="14"/>
        <v>0.31731679547466018</v>
      </c>
      <c r="E47" s="48">
        <f t="shared" si="10"/>
        <v>-24.452289055417033</v>
      </c>
      <c r="F47" s="48">
        <f t="shared" si="20"/>
        <v>27.068019307018798</v>
      </c>
      <c r="G47" s="48">
        <f t="shared" si="15"/>
        <v>2.6157302516017644</v>
      </c>
      <c r="I47" s="45"/>
      <c r="J47" s="48">
        <f t="shared" si="21"/>
        <v>2.4797165194180253</v>
      </c>
      <c r="Q47" s="8">
        <f t="shared" si="16"/>
        <v>100</v>
      </c>
      <c r="R47" s="9">
        <f t="shared" si="17"/>
        <v>1.397148402584502E-2</v>
      </c>
      <c r="S47" s="8">
        <f t="shared" si="22"/>
        <v>1</v>
      </c>
      <c r="T47" s="9">
        <f t="shared" si="23"/>
        <v>1.1383420939331113E-2</v>
      </c>
      <c r="U47" s="9">
        <f t="shared" si="24"/>
        <v>1.1342514300079334E-2</v>
      </c>
      <c r="V47" s="9">
        <f t="shared" si="13"/>
        <v>2.9395982008195664E-2</v>
      </c>
    </row>
    <row r="48" spans="1:22">
      <c r="A48" s="8">
        <f t="shared" si="18"/>
        <v>0.18500000000000008</v>
      </c>
      <c r="B48" s="48">
        <f t="shared" si="19"/>
        <v>79.27264680639334</v>
      </c>
      <c r="C48" s="48">
        <f t="shared" si="0"/>
        <v>0.89911476993142792</v>
      </c>
      <c r="D48" s="45">
        <f t="shared" si="14"/>
        <v>0.29960056169586791</v>
      </c>
      <c r="E48" s="48">
        <f t="shared" si="10"/>
        <v>-22.851014740382169</v>
      </c>
      <c r="F48" s="48">
        <f t="shared" si="20"/>
        <v>25.66631350120841</v>
      </c>
      <c r="G48" s="48">
        <f t="shared" si="15"/>
        <v>2.8152987608262414</v>
      </c>
      <c r="I48" s="45"/>
      <c r="J48" s="48">
        <f t="shared" si="21"/>
        <v>-1.4044127430856956</v>
      </c>
      <c r="Q48" s="8">
        <f t="shared" si="16"/>
        <v>100</v>
      </c>
      <c r="R48" s="9">
        <f t="shared" si="17"/>
        <v>1.3872772639659131E-2</v>
      </c>
      <c r="S48" s="8">
        <f t="shared" si="22"/>
        <v>-1</v>
      </c>
      <c r="T48" s="9">
        <f t="shared" si="23"/>
        <v>-1.6987972691474243E-2</v>
      </c>
      <c r="U48" s="9">
        <f t="shared" si="24"/>
        <v>-1.6925233331906125E-2</v>
      </c>
      <c r="V48" s="9">
        <f t="shared" si="13"/>
        <v>-1.492554993472232E-2</v>
      </c>
    </row>
    <row r="49" spans="1:22">
      <c r="A49" s="8">
        <f t="shared" si="18"/>
        <v>0.19000000000000009</v>
      </c>
      <c r="B49" s="48">
        <f t="shared" si="19"/>
        <v>81.962925443911189</v>
      </c>
      <c r="C49" s="48">
        <f t="shared" si="0"/>
        <v>1.3052993679818634</v>
      </c>
      <c r="D49" s="45">
        <f t="shared" si="14"/>
        <v>0.33632641601776148</v>
      </c>
      <c r="E49" s="48">
        <f t="shared" si="10"/>
        <v>-26.260997592899777</v>
      </c>
      <c r="F49" s="48">
        <f t="shared" si="20"/>
        <v>28.679038720543684</v>
      </c>
      <c r="G49" s="48">
        <f t="shared" si="15"/>
        <v>2.4180411276439067</v>
      </c>
      <c r="I49" s="45"/>
      <c r="J49" s="48">
        <f t="shared" si="21"/>
        <v>3.0101584596493063</v>
      </c>
      <c r="Q49" s="8">
        <f t="shared" si="16"/>
        <v>100</v>
      </c>
      <c r="R49" s="9">
        <f t="shared" si="17"/>
        <v>1.4132470210626599E-2</v>
      </c>
      <c r="S49" s="8">
        <f t="shared" si="22"/>
        <v>1</v>
      </c>
      <c r="T49" s="9">
        <f t="shared" si="23"/>
        <v>2.559710787493474E-2</v>
      </c>
      <c r="U49" s="9">
        <f t="shared" si="24"/>
        <v>2.5500023442256981E-2</v>
      </c>
      <c r="V49" s="9">
        <f t="shared" si="13"/>
        <v>3.3937035609373375E-2</v>
      </c>
    </row>
    <row r="50" spans="1:22">
      <c r="A50" s="8">
        <f t="shared" si="18"/>
        <v>0.19500000000000009</v>
      </c>
      <c r="B50" s="48">
        <f t="shared" si="19"/>
        <v>81.220924036125098</v>
      </c>
      <c r="C50" s="48">
        <f t="shared" si="0"/>
        <v>1.1660063312991564</v>
      </c>
      <c r="D50" s="45">
        <f t="shared" si="14"/>
        <v>0.3248879519143798</v>
      </c>
      <c r="E50" s="48">
        <f t="shared" si="10"/>
        <v>-25.221693331390952</v>
      </c>
      <c r="F50" s="48">
        <f t="shared" si="20"/>
        <v>27.752864143785004</v>
      </c>
      <c r="G50" s="48">
        <f t="shared" si="15"/>
        <v>2.5311708123940519</v>
      </c>
      <c r="I50" s="45"/>
      <c r="J50" s="48">
        <f t="shared" si="21"/>
        <v>-0.9290426240307067</v>
      </c>
      <c r="Q50" s="8">
        <f t="shared" si="16"/>
        <v>100</v>
      </c>
      <c r="R50" s="9">
        <f t="shared" si="17"/>
        <v>1.4109256454939486E-2</v>
      </c>
      <c r="S50" s="8">
        <f t="shared" si="22"/>
        <v>-1</v>
      </c>
      <c r="T50" s="9">
        <f t="shared" si="23"/>
        <v>-2.4690640073930185E-2</v>
      </c>
      <c r="U50" s="9">
        <f t="shared" si="24"/>
        <v>-2.4594534106093423E-2</v>
      </c>
      <c r="V50" s="9">
        <f t="shared" si="13"/>
        <v>-9.0528907279408561E-3</v>
      </c>
    </row>
    <row r="51" spans="1:22">
      <c r="A51" s="8">
        <f t="shared" si="18"/>
        <v>0.20000000000000009</v>
      </c>
      <c r="B51" s="48">
        <f t="shared" si="19"/>
        <v>80.39831710214456</v>
      </c>
      <c r="C51" s="48">
        <f t="shared" si="0"/>
        <v>1.0255167609244946</v>
      </c>
      <c r="D51" s="45">
        <f t="shared" si="14"/>
        <v>0.31231261271385191</v>
      </c>
      <c r="E51" s="48">
        <f t="shared" si="10"/>
        <v>-24.083891711043037</v>
      </c>
      <c r="F51" s="48">
        <f t="shared" si="20"/>
        <v>26.74460346025726</v>
      </c>
      <c r="G51" s="48">
        <f t="shared" si="15"/>
        <v>2.6607117492142223</v>
      </c>
      <c r="I51" s="45"/>
      <c r="J51" s="48">
        <f t="shared" si="21"/>
        <v>-1.0110361087110704</v>
      </c>
      <c r="Q51" s="8">
        <f t="shared" si="16"/>
        <v>100</v>
      </c>
      <c r="R51" s="9">
        <f t="shared" si="17"/>
        <v>1.406243884726523E-2</v>
      </c>
      <c r="S51" s="8">
        <f t="shared" si="22"/>
        <v>-1</v>
      </c>
      <c r="T51" s="9">
        <f t="shared" si="23"/>
        <v>-2.3175514951338818E-2</v>
      </c>
      <c r="U51" s="9">
        <f t="shared" si="24"/>
        <v>-2.308299804869459E-2</v>
      </c>
      <c r="V51" s="9">
        <f t="shared" si="13"/>
        <v>-1.0128017425837979E-2</v>
      </c>
    </row>
    <row r="52" spans="1:22">
      <c r="A52" s="8">
        <f t="shared" si="18"/>
        <v>0.2050000000000001</v>
      </c>
      <c r="B52" s="48">
        <f t="shared" si="19"/>
        <v>81.080809329670927</v>
      </c>
      <c r="C52" s="48">
        <f t="shared" si="0"/>
        <v>1.1187972605425429</v>
      </c>
      <c r="D52" s="45">
        <f t="shared" si="14"/>
        <v>0.32094541185609937</v>
      </c>
      <c r="E52" s="48">
        <f t="shared" si="10"/>
        <v>-24.903716483394557</v>
      </c>
      <c r="F52" s="48">
        <f t="shared" si="20"/>
        <v>27.447232395564672</v>
      </c>
      <c r="G52" s="48">
        <f t="shared" si="15"/>
        <v>2.5435159121701147</v>
      </c>
      <c r="I52" s="45"/>
      <c r="J52" s="48">
        <f t="shared" si="21"/>
        <v>0.69995434123391309</v>
      </c>
      <c r="Q52" s="8">
        <f t="shared" si="16"/>
        <v>100</v>
      </c>
      <c r="R52" s="9">
        <f t="shared" si="17"/>
        <v>1.4150645645827896E-2</v>
      </c>
      <c r="S52" s="8">
        <f t="shared" si="22"/>
        <v>-1</v>
      </c>
      <c r="T52" s="9">
        <f t="shared" si="23"/>
        <v>-2.5137896245105592E-2</v>
      </c>
      <c r="U52" s="9">
        <f t="shared" si="24"/>
        <v>-2.5035041866059506E-2</v>
      </c>
      <c r="V52" s="9">
        <f t="shared" si="13"/>
        <v>8.4888869832844115E-3</v>
      </c>
    </row>
    <row r="53" spans="1:22">
      <c r="A53" s="8">
        <f t="shared" si="18"/>
        <v>0.2100000000000001</v>
      </c>
      <c r="B53" s="48">
        <f t="shared" si="19"/>
        <v>82.761197779056261</v>
      </c>
      <c r="C53" s="48">
        <f t="shared" si="0"/>
        <v>1.3967789409007825</v>
      </c>
      <c r="D53" s="45">
        <f t="shared" si="14"/>
        <v>0.34388172836911357</v>
      </c>
      <c r="E53" s="48">
        <f t="shared" si="10"/>
        <v>-27.063284793259129</v>
      </c>
      <c r="F53" s="48">
        <f t="shared" si="20"/>
        <v>29.348214283301569</v>
      </c>
      <c r="G53" s="48">
        <f t="shared" si="15"/>
        <v>2.2849294900424404</v>
      </c>
      <c r="I53" s="45"/>
      <c r="J53" s="48">
        <f t="shared" si="21"/>
        <v>1.898237027256602</v>
      </c>
      <c r="Q53" s="8">
        <f t="shared" si="16"/>
        <v>100</v>
      </c>
      <c r="R53" s="9">
        <f t="shared" si="17"/>
        <v>1.4293173557160107E-2</v>
      </c>
      <c r="S53" s="8">
        <f t="shared" si="22"/>
        <v>-1</v>
      </c>
      <c r="T53" s="9">
        <f t="shared" si="23"/>
        <v>-8.9568689293752224E-3</v>
      </c>
      <c r="U53" s="9">
        <f t="shared" si="24"/>
        <v>-8.9193289689724186E-3</v>
      </c>
      <c r="V53" s="9">
        <f t="shared" si="13"/>
        <v>2.072486033720938E-2</v>
      </c>
    </row>
    <row r="54" spans="1:22">
      <c r="A54" s="8">
        <f t="shared" si="18"/>
        <v>0.21500000000000011</v>
      </c>
      <c r="B54" s="48">
        <f t="shared" si="19"/>
        <v>84.384759477765527</v>
      </c>
      <c r="C54" s="48">
        <f t="shared" si="0"/>
        <v>1.7104909722956769</v>
      </c>
      <c r="D54" s="45">
        <f t="shared" si="14"/>
        <v>0.36623902900052396</v>
      </c>
      <c r="E54" s="48">
        <f t="shared" si="10"/>
        <v>-29.194501401283933</v>
      </c>
      <c r="F54" s="48">
        <f t="shared" si="20"/>
        <v>31.237764687829525</v>
      </c>
      <c r="G54" s="48">
        <f t="shared" si="15"/>
        <v>2.0432632865455922</v>
      </c>
      <c r="I54" s="45"/>
      <c r="J54" s="48">
        <f t="shared" si="21"/>
        <v>1.8866154363536614</v>
      </c>
      <c r="Q54" s="8">
        <f t="shared" si="16"/>
        <v>100</v>
      </c>
      <c r="R54" s="9">
        <f t="shared" si="17"/>
        <v>1.438036254773541E-2</v>
      </c>
      <c r="S54" s="8">
        <f t="shared" si="22"/>
        <v>-1</v>
      </c>
      <c r="T54" s="9">
        <f t="shared" si="23"/>
        <v>-1.165596112263949E-2</v>
      </c>
      <c r="U54" s="9">
        <f t="shared" si="24"/>
        <v>-1.1605948094883533E-2</v>
      </c>
      <c r="V54" s="9">
        <f t="shared" si="13"/>
        <v>1.96174263094115E-2</v>
      </c>
    </row>
    <row r="55" spans="1:22">
      <c r="A55" s="8">
        <f t="shared" si="18"/>
        <v>0.22000000000000011</v>
      </c>
      <c r="B55" s="48">
        <f t="shared" si="19"/>
        <v>87.658361986179699</v>
      </c>
      <c r="C55" s="48">
        <f t="shared" si="0"/>
        <v>2.5128600833692261</v>
      </c>
      <c r="D55" s="45">
        <f t="shared" si="14"/>
        <v>0.41250279614802476</v>
      </c>
      <c r="E55" s="48">
        <f t="shared" si="10"/>
        <v>-33.64645934168562</v>
      </c>
      <c r="F55" s="48">
        <f t="shared" si="20"/>
        <v>35.296294667952296</v>
      </c>
      <c r="G55" s="48">
        <f t="shared" si="15"/>
        <v>1.6498353262666754</v>
      </c>
      <c r="I55" s="45"/>
      <c r="J55" s="48">
        <f t="shared" si="21"/>
        <v>4.0554060474599538</v>
      </c>
      <c r="Q55" s="8">
        <f t="shared" si="16"/>
        <v>100</v>
      </c>
      <c r="R55" s="9">
        <f t="shared" si="17"/>
        <v>1.4367624440988738E-2</v>
      </c>
      <c r="S55" s="8">
        <f t="shared" si="22"/>
        <v>1</v>
      </c>
      <c r="T55" s="9">
        <f t="shared" si="23"/>
        <v>4.9263875838649392E-2</v>
      </c>
      <c r="U55" s="9">
        <f t="shared" si="24"/>
        <v>4.9047590960630466E-2</v>
      </c>
      <c r="V55" s="9">
        <f t="shared" si="13"/>
        <v>3.8793764758868934E-2</v>
      </c>
    </row>
    <row r="56" spans="1:22">
      <c r="A56" s="8">
        <f t="shared" si="18"/>
        <v>0.22500000000000012</v>
      </c>
      <c r="B56" s="48">
        <f t="shared" si="19"/>
        <v>89.32180926627835</v>
      </c>
      <c r="C56" s="48">
        <f t="shared" si="0"/>
        <v>2.9963574319006305</v>
      </c>
      <c r="D56" s="45">
        <f t="shared" si="14"/>
        <v>0.43560126033808411</v>
      </c>
      <c r="E56" s="48">
        <f t="shared" si="10"/>
        <v>-35.912335260168177</v>
      </c>
      <c r="F56" s="48">
        <f t="shared" si="20"/>
        <v>37.363021086634888</v>
      </c>
      <c r="G56" s="48">
        <f t="shared" si="15"/>
        <v>1.4506858264667102</v>
      </c>
      <c r="I56" s="45"/>
      <c r="J56" s="48">
        <f t="shared" si="21"/>
        <v>2.0631966127284413</v>
      </c>
      <c r="Q56" s="8">
        <f t="shared" si="16"/>
        <v>100</v>
      </c>
      <c r="R56" s="9">
        <f t="shared" si="17"/>
        <v>1.4306243590589705E-2</v>
      </c>
      <c r="S56" s="8">
        <f t="shared" si="22"/>
        <v>-1</v>
      </c>
      <c r="T56" s="9">
        <f t="shared" si="23"/>
        <v>-1.440416904540409E-2</v>
      </c>
      <c r="U56" s="9">
        <f t="shared" si="24"/>
        <v>-1.4339495908393927E-2</v>
      </c>
      <c r="V56" s="9">
        <f t="shared" si="13"/>
        <v>1.8976481449207459E-2</v>
      </c>
    </row>
    <row r="57" spans="1:22">
      <c r="A57" s="8">
        <f t="shared" si="18"/>
        <v>0.23000000000000012</v>
      </c>
      <c r="B57" s="48">
        <f t="shared" si="19"/>
        <v>88.832479763537819</v>
      </c>
      <c r="C57" s="48">
        <f t="shared" si="0"/>
        <v>2.8217931373377318</v>
      </c>
      <c r="D57" s="45">
        <f t="shared" si="14"/>
        <v>0.42784399171524523</v>
      </c>
      <c r="E57" s="48">
        <f t="shared" si="10"/>
        <v>-35.184649598658027</v>
      </c>
      <c r="F57" s="48">
        <f t="shared" si="20"/>
        <v>36.67766016760622</v>
      </c>
      <c r="G57" s="48">
        <f t="shared" si="15"/>
        <v>1.4930105689481934</v>
      </c>
      <c r="I57" s="45"/>
      <c r="J57" s="48">
        <f t="shared" si="21"/>
        <v>-0.68909740795866126</v>
      </c>
      <c r="Q57" s="8">
        <f t="shared" si="16"/>
        <v>100</v>
      </c>
      <c r="R57" s="9">
        <f t="shared" si="17"/>
        <v>1.4382775009963385E-2</v>
      </c>
      <c r="S57" s="8">
        <f t="shared" si="22"/>
        <v>-1</v>
      </c>
      <c r="T57" s="9">
        <f t="shared" si="23"/>
        <v>-3.3055491117553813E-2</v>
      </c>
      <c r="U57" s="9">
        <f t="shared" si="24"/>
        <v>-3.2903785049876996E-2</v>
      </c>
      <c r="V57" s="9">
        <f t="shared" si="13"/>
        <v>-5.4782757622137421E-3</v>
      </c>
    </row>
    <row r="58" spans="1:22">
      <c r="A58" s="8">
        <f t="shared" si="18"/>
        <v>0.23500000000000013</v>
      </c>
      <c r="B58" s="48">
        <f t="shared" si="19"/>
        <v>86.660439269818269</v>
      </c>
      <c r="C58" s="48">
        <f t="shared" si="0"/>
        <v>2.1853687501361243</v>
      </c>
      <c r="D58" s="45">
        <f t="shared" si="14"/>
        <v>0.39563901018560521</v>
      </c>
      <c r="E58" s="48">
        <f t="shared" si="10"/>
        <v>-32.100881664824527</v>
      </c>
      <c r="F58" s="48">
        <f t="shared" si="20"/>
        <v>33.890430270982407</v>
      </c>
      <c r="G58" s="48">
        <f t="shared" si="15"/>
        <v>1.7895486061578794</v>
      </c>
      <c r="I58" s="45"/>
      <c r="J58" s="48">
        <f t="shared" si="21"/>
        <v>-2.790897846034988</v>
      </c>
      <c r="Q58" s="8">
        <f t="shared" si="16"/>
        <v>100</v>
      </c>
      <c r="R58" s="9">
        <f t="shared" si="17"/>
        <v>1.4520492000744055E-2</v>
      </c>
      <c r="S58" s="8">
        <f t="shared" si="22"/>
        <v>-1</v>
      </c>
      <c r="T58" s="9">
        <f t="shared" si="23"/>
        <v>-7.987842496051719E-4</v>
      </c>
      <c r="U58" s="9">
        <f t="shared" si="24"/>
        <v>-7.9503877239826067E-4</v>
      </c>
      <c r="V58" s="9">
        <f t="shared" si="13"/>
        <v>-2.4450972206351548E-2</v>
      </c>
    </row>
    <row r="59" spans="1:22">
      <c r="A59" s="8">
        <f t="shared" si="18"/>
        <v>0.24000000000000013</v>
      </c>
      <c r="B59" s="48">
        <f t="shared" si="19"/>
        <v>89.320168342064633</v>
      </c>
      <c r="C59" s="48">
        <f t="shared" si="0"/>
        <v>2.9335140672407327</v>
      </c>
      <c r="D59" s="45">
        <f t="shared" si="14"/>
        <v>0.43337901619723729</v>
      </c>
      <c r="E59" s="48">
        <f t="shared" si="10"/>
        <v>-35.775972615414858</v>
      </c>
      <c r="F59" s="48">
        <f t="shared" si="20"/>
        <v>37.26476317365681</v>
      </c>
      <c r="G59" s="48">
        <f t="shared" si="15"/>
        <v>1.4887905582419521</v>
      </c>
      <c r="I59" s="45"/>
      <c r="J59" s="48">
        <f t="shared" si="21"/>
        <v>3.3709436901895082</v>
      </c>
      <c r="Q59" s="8">
        <f t="shared" si="16"/>
        <v>100</v>
      </c>
      <c r="R59" s="9">
        <f t="shared" si="17"/>
        <v>1.443354892532249E-2</v>
      </c>
      <c r="S59" s="8">
        <f t="shared" si="22"/>
        <v>1</v>
      </c>
      <c r="T59" s="9">
        <f t="shared" si="23"/>
        <v>1.8969090813693933E-2</v>
      </c>
      <c r="U59" s="9">
        <f t="shared" si="24"/>
        <v>1.8878257352495258E-2</v>
      </c>
      <c r="V59" s="9">
        <f t="shared" si="13"/>
        <v>3.0691386919529304E-2</v>
      </c>
    </row>
    <row r="60" spans="1:22">
      <c r="A60" s="8">
        <f t="shared" si="18"/>
        <v>0.24500000000000013</v>
      </c>
      <c r="B60" s="48">
        <f t="shared" si="19"/>
        <v>90.900760194386109</v>
      </c>
      <c r="C60" s="48">
        <f t="shared" si="0"/>
        <v>3.4426488850252213</v>
      </c>
      <c r="D60" s="45">
        <f t="shared" si="14"/>
        <v>0.45541569300457674</v>
      </c>
      <c r="E60" s="48">
        <f t="shared" si="10"/>
        <v>-37.954983813543976</v>
      </c>
      <c r="F60" s="48">
        <f t="shared" si="20"/>
        <v>39.271640510249355</v>
      </c>
      <c r="G60" s="48">
        <f t="shared" si="15"/>
        <v>1.3166566967053797</v>
      </c>
      <c r="I60" s="45"/>
      <c r="J60" s="48">
        <f t="shared" si="21"/>
        <v>2.0031506739451537</v>
      </c>
      <c r="Q60" s="8">
        <f t="shared" si="16"/>
        <v>100</v>
      </c>
      <c r="R60" s="9">
        <f t="shared" si="17"/>
        <v>1.4340940516186809E-2</v>
      </c>
      <c r="S60" s="8">
        <f t="shared" si="22"/>
        <v>-1</v>
      </c>
      <c r="T60" s="9">
        <f t="shared" si="23"/>
        <v>-1.7736768136516347E-2</v>
      </c>
      <c r="U60" s="9">
        <f t="shared" si="24"/>
        <v>-1.765007055518901E-2</v>
      </c>
      <c r="V60" s="9">
        <f t="shared" si="13"/>
        <v>1.7695800194513386E-2</v>
      </c>
    </row>
    <row r="61" spans="1:22">
      <c r="A61" s="8">
        <f t="shared" si="18"/>
        <v>0.25000000000000011</v>
      </c>
      <c r="B61" s="48">
        <f t="shared" si="19"/>
        <v>91.342907833827212</v>
      </c>
      <c r="C61" s="48">
        <f t="shared" si="0"/>
        <v>3.5786358010210613</v>
      </c>
      <c r="D61" s="45">
        <f t="shared" si="14"/>
        <v>0.46108742198619168</v>
      </c>
      <c r="E61" s="48">
        <f t="shared" si="10"/>
        <v>-38.538430088800638</v>
      </c>
      <c r="F61" s="48">
        <f t="shared" si="20"/>
        <v>39.793640088291227</v>
      </c>
      <c r="G61" s="48">
        <f t="shared" si="15"/>
        <v>1.2552099994905888</v>
      </c>
      <c r="I61" s="45"/>
      <c r="J61" s="48">
        <f t="shared" si="21"/>
        <v>0.51807221762610045</v>
      </c>
      <c r="Q61" s="8">
        <f t="shared" si="16"/>
        <v>100</v>
      </c>
      <c r="R61" s="9">
        <f t="shared" si="17"/>
        <v>1.4340492425904293E-2</v>
      </c>
      <c r="S61" s="8">
        <f t="shared" si="22"/>
        <v>-1</v>
      </c>
      <c r="T61" s="9">
        <f t="shared" si="23"/>
        <v>-3.5227485708371607E-2</v>
      </c>
      <c r="U61" s="9">
        <f t="shared" si="24"/>
        <v>-3.505178789041162E-2</v>
      </c>
      <c r="V61" s="9">
        <f t="shared" si="13"/>
        <v>4.8640697668049801E-3</v>
      </c>
    </row>
    <row r="62" spans="1:22">
      <c r="A62" s="8">
        <f t="shared" si="18"/>
        <v>0.25500000000000012</v>
      </c>
      <c r="B62" s="48">
        <f t="shared" si="19"/>
        <v>90.629896936614401</v>
      </c>
      <c r="C62" s="48">
        <f t="shared" si="0"/>
        <v>3.3034572121102954</v>
      </c>
      <c r="D62" s="45">
        <f t="shared" si="14"/>
        <v>0.45014029635351438</v>
      </c>
      <c r="E62" s="48">
        <f t="shared" si="10"/>
        <v>-37.492711453425777</v>
      </c>
      <c r="F62" s="48">
        <f t="shared" si="20"/>
        <v>38.805482783433177</v>
      </c>
      <c r="G62" s="48">
        <f t="shared" si="15"/>
        <v>1.3127713300074006</v>
      </c>
      <c r="I62" s="45"/>
      <c r="J62" s="48">
        <f t="shared" si="21"/>
        <v>-0.99213686784171351</v>
      </c>
      <c r="Q62" s="8">
        <f t="shared" si="16"/>
        <v>100</v>
      </c>
      <c r="R62" s="9">
        <f t="shared" si="17"/>
        <v>1.4457153800805278E-2</v>
      </c>
      <c r="S62" s="8">
        <f t="shared" si="22"/>
        <v>-1</v>
      </c>
      <c r="T62" s="9">
        <f t="shared" si="23"/>
        <v>-3.2748781470565147E-2</v>
      </c>
      <c r="U62" s="9">
        <f t="shared" si="24"/>
        <v>-3.2582187859864047E-2</v>
      </c>
      <c r="V62" s="9">
        <f t="shared" si="13"/>
        <v>-7.8058703639031788E-3</v>
      </c>
    </row>
    <row r="63" spans="1:22">
      <c r="A63" s="8">
        <f t="shared" si="18"/>
        <v>0.26000000000000012</v>
      </c>
      <c r="B63" s="48">
        <f t="shared" si="19"/>
        <v>90.417231582066833</v>
      </c>
      <c r="C63" s="48">
        <f t="shared" si="0"/>
        <v>3.2085195426175268</v>
      </c>
      <c r="D63" s="45">
        <f t="shared" si="14"/>
        <v>0.44635273707944734</v>
      </c>
      <c r="E63" s="48">
        <f t="shared" si="10"/>
        <v>-37.149459253184247</v>
      </c>
      <c r="F63" s="48">
        <f t="shared" si="20"/>
        <v>38.466902901731281</v>
      </c>
      <c r="G63" s="48">
        <f t="shared" si="15"/>
        <v>1.3174436485470338</v>
      </c>
      <c r="I63" s="45"/>
      <c r="J63" s="48">
        <f t="shared" si="21"/>
        <v>-0.34246062401412475</v>
      </c>
      <c r="Q63" s="8">
        <f t="shared" si="16"/>
        <v>100</v>
      </c>
      <c r="R63" s="9">
        <f t="shared" si="17"/>
        <v>1.4521931815600688E-2</v>
      </c>
      <c r="S63" s="8">
        <f t="shared" si="22"/>
        <v>-1</v>
      </c>
      <c r="T63" s="9">
        <f t="shared" si="23"/>
        <v>-3.6031395037276592E-2</v>
      </c>
      <c r="U63" s="9">
        <f t="shared" si="24"/>
        <v>-3.5844518084256483E-2</v>
      </c>
      <c r="V63" s="9">
        <f t="shared" si="13"/>
        <v>-2.3465253932298254E-3</v>
      </c>
    </row>
    <row r="64" spans="1:22">
      <c r="A64" s="8">
        <f t="shared" si="18"/>
        <v>0.26500000000000012</v>
      </c>
      <c r="B64" s="48">
        <f t="shared" si="19"/>
        <v>88.620775913134977</v>
      </c>
      <c r="C64" s="48">
        <f t="shared" si="0"/>
        <v>2.6157333786299048</v>
      </c>
      <c r="D64" s="45">
        <f t="shared" si="14"/>
        <v>0.4193429832371709</v>
      </c>
      <c r="E64" s="48">
        <f t="shared" si="10"/>
        <v>-34.546767169576931</v>
      </c>
      <c r="F64" s="48">
        <f t="shared" si="20"/>
        <v>36.077124441637068</v>
      </c>
      <c r="G64" s="48">
        <f t="shared" si="15"/>
        <v>1.5303572720601366</v>
      </c>
      <c r="I64" s="45"/>
      <c r="J64" s="48">
        <f t="shared" si="21"/>
        <v>-2.3936253427253167</v>
      </c>
      <c r="Q64" s="8">
        <f t="shared" si="16"/>
        <v>100</v>
      </c>
      <c r="R64" s="9">
        <f t="shared" si="17"/>
        <v>1.4694799122288198E-2</v>
      </c>
      <c r="S64" s="8">
        <f t="shared" si="22"/>
        <v>-1</v>
      </c>
      <c r="T64" s="9">
        <f t="shared" si="23"/>
        <v>-1.2564568599932636E-2</v>
      </c>
      <c r="U64" s="9">
        <f t="shared" si="24"/>
        <v>-1.2498152544369081E-2</v>
      </c>
      <c r="V64" s="9">
        <f t="shared" si="13"/>
        <v>-1.9868509989728118E-2</v>
      </c>
    </row>
    <row r="65" spans="1:22">
      <c r="A65" s="8">
        <f t="shared" si="18"/>
        <v>0.27000000000000013</v>
      </c>
      <c r="B65" s="48">
        <f t="shared" si="19"/>
        <v>87.337942572686771</v>
      </c>
      <c r="C65" s="48">
        <f t="shared" si="0"/>
        <v>2.2343693172832992</v>
      </c>
      <c r="D65" s="45">
        <f t="shared" si="14"/>
        <v>0.39959735486886372</v>
      </c>
      <c r="E65" s="48">
        <f t="shared" si="10"/>
        <v>-32.665641514451053</v>
      </c>
      <c r="F65" s="48">
        <f t="shared" si="20"/>
        <v>34.356189777980042</v>
      </c>
      <c r="G65" s="48">
        <f t="shared" si="15"/>
        <v>1.6905482635289886</v>
      </c>
      <c r="I65" s="45"/>
      <c r="J65" s="48">
        <f t="shared" si="21"/>
        <v>-1.7245425564928272</v>
      </c>
      <c r="Q65" s="8">
        <f t="shared" si="16"/>
        <v>100</v>
      </c>
      <c r="R65" s="9">
        <f t="shared" si="17"/>
        <v>1.4788535165423449E-2</v>
      </c>
      <c r="S65" s="8">
        <f t="shared" si="22"/>
        <v>-1</v>
      </c>
      <c r="T65" s="9">
        <f t="shared" si="23"/>
        <v>-2.2728027440693736E-2</v>
      </c>
      <c r="U65" s="9">
        <f t="shared" si="24"/>
        <v>-2.2605626871484097E-2</v>
      </c>
      <c r="V65" s="9">
        <f t="shared" si="13"/>
        <v>-1.4475537222847433E-2</v>
      </c>
    </row>
    <row r="66" spans="1:22">
      <c r="A66" s="8">
        <f t="shared" si="18"/>
        <v>0.27500000000000013</v>
      </c>
      <c r="B66" s="48">
        <f t="shared" si="19"/>
        <v>89.75133015177127</v>
      </c>
      <c r="C66" s="48">
        <f t="shared" si="0"/>
        <v>2.9233192783359385</v>
      </c>
      <c r="D66" s="45">
        <f t="shared" si="14"/>
        <v>0.43440763112102332</v>
      </c>
      <c r="E66" s="48">
        <f t="shared" si="10"/>
        <v>-36.065343442855891</v>
      </c>
      <c r="F66" s="48">
        <f t="shared" si="20"/>
        <v>37.483894165326461</v>
      </c>
      <c r="G66" s="48">
        <f t="shared" si="15"/>
        <v>1.4185507224705702</v>
      </c>
      <c r="I66" s="45"/>
      <c r="J66" s="48">
        <f t="shared" si="21"/>
        <v>3.1242685965819392</v>
      </c>
      <c r="Q66" s="8">
        <f t="shared" si="16"/>
        <v>100</v>
      </c>
      <c r="R66" s="9">
        <f t="shared" si="17"/>
        <v>1.4713248505504629E-2</v>
      </c>
      <c r="S66" s="8">
        <f t="shared" si="22"/>
        <v>1</v>
      </c>
      <c r="T66" s="9">
        <f t="shared" si="23"/>
        <v>8.9523166390638922E-3</v>
      </c>
      <c r="U66" s="9">
        <f t="shared" si="24"/>
        <v>8.9032140534388814E-3</v>
      </c>
      <c r="V66" s="9">
        <f t="shared" si="13"/>
        <v>2.7632750531946231E-2</v>
      </c>
    </row>
    <row r="67" spans="1:22">
      <c r="A67" s="8">
        <f t="shared" si="18"/>
        <v>0.28000000000000014</v>
      </c>
      <c r="B67" s="48">
        <f t="shared" si="19"/>
        <v>91.669038291594418</v>
      </c>
      <c r="C67" s="48">
        <f t="shared" si="0"/>
        <v>3.5593436946444932</v>
      </c>
      <c r="D67" s="45">
        <f t="shared" si="14"/>
        <v>0.46179371134769309</v>
      </c>
      <c r="E67" s="48">
        <f t="shared" si="10"/>
        <v>-38.772841713704679</v>
      </c>
      <c r="F67" s="48">
        <f t="shared" si="20"/>
        <v>39.998098379123988</v>
      </c>
      <c r="G67" s="48">
        <f t="shared" si="15"/>
        <v>1.2252566654193089</v>
      </c>
      <c r="I67" s="45"/>
      <c r="J67" s="48">
        <f t="shared" si="21"/>
        <v>2.5104556369552684</v>
      </c>
      <c r="Q67" s="8">
        <f t="shared" si="16"/>
        <v>100</v>
      </c>
      <c r="R67" s="9">
        <f t="shared" si="17"/>
        <v>1.4586644095621659E-2</v>
      </c>
      <c r="S67" s="8">
        <f t="shared" si="22"/>
        <v>-1</v>
      </c>
      <c r="T67" s="9">
        <f t="shared" si="23"/>
        <v>-9.5580892930824599E-3</v>
      </c>
      <c r="U67" s="9">
        <f t="shared" si="24"/>
        <v>-9.5047135845136368E-3</v>
      </c>
      <c r="V67" s="9">
        <f t="shared" si="13"/>
        <v>2.1366904942581526E-2</v>
      </c>
    </row>
    <row r="68" spans="1:22">
      <c r="A68" s="8">
        <f t="shared" si="18"/>
        <v>0.28500000000000014</v>
      </c>
      <c r="B68" s="48">
        <f t="shared" si="19"/>
        <v>94.763704997568396</v>
      </c>
      <c r="C68" s="48">
        <f t="shared" si="0"/>
        <v>4.7824799083741354</v>
      </c>
      <c r="D68" s="45">
        <f t="shared" si="14"/>
        <v>0.50580974607809415</v>
      </c>
      <c r="E68" s="48">
        <f t="shared" si="10"/>
        <v>-43.14992565386536</v>
      </c>
      <c r="F68" s="48">
        <f t="shared" si="20"/>
        <v>44.173220919313515</v>
      </c>
      <c r="G68" s="48">
        <f t="shared" si="15"/>
        <v>1.0232952654481551</v>
      </c>
      <c r="I68" s="45"/>
      <c r="J68" s="48">
        <f t="shared" si="21"/>
        <v>4.1711225303544506</v>
      </c>
      <c r="Q68" s="8">
        <f t="shared" si="16"/>
        <v>100</v>
      </c>
      <c r="R68" s="9">
        <f t="shared" si="17"/>
        <v>1.4223317915384391E-2</v>
      </c>
      <c r="S68" s="8">
        <f t="shared" si="22"/>
        <v>1</v>
      </c>
      <c r="T68" s="9">
        <f t="shared" si="23"/>
        <v>3.3667650059226194E-2</v>
      </c>
      <c r="U68" s="9">
        <f t="shared" si="24"/>
        <v>3.3476290347174094E-2</v>
      </c>
      <c r="V68" s="9">
        <f t="shared" si="13"/>
        <v>3.3759127003492775E-2</v>
      </c>
    </row>
    <row r="69" spans="1:22">
      <c r="A69" s="8">
        <f t="shared" si="18"/>
        <v>0.29000000000000015</v>
      </c>
      <c r="B69" s="48">
        <f t="shared" si="19"/>
        <v>93.744970159682708</v>
      </c>
      <c r="C69" s="48">
        <f t="shared" si="0"/>
        <v>4.3210802633073371</v>
      </c>
      <c r="D69" s="45">
        <f t="shared" si="14"/>
        <v>0.49066061458801224</v>
      </c>
      <c r="E69" s="48">
        <f t="shared" si="10"/>
        <v>-41.675884409777446</v>
      </c>
      <c r="F69" s="48">
        <f t="shared" si="20"/>
        <v>42.757483582796077</v>
      </c>
      <c r="G69" s="48">
        <f t="shared" si="15"/>
        <v>1.0815991730186312</v>
      </c>
      <c r="I69" s="45"/>
      <c r="J69" s="48">
        <f t="shared" si="21"/>
        <v>-1.4201548794828376</v>
      </c>
      <c r="Q69" s="8">
        <f t="shared" si="16"/>
        <v>100</v>
      </c>
      <c r="R69" s="9">
        <f t="shared" si="17"/>
        <v>1.4425997361945747E-2</v>
      </c>
      <c r="S69" s="8">
        <f t="shared" si="22"/>
        <v>-1</v>
      </c>
      <c r="T69" s="9">
        <f t="shared" si="23"/>
        <v>-3.1499859377308065E-2</v>
      </c>
      <c r="U69" s="9">
        <f t="shared" si="24"/>
        <v>-3.131768899770454E-2</v>
      </c>
      <c r="V69" s="9">
        <f t="shared" si="13"/>
        <v>-1.0750263910764449E-2</v>
      </c>
    </row>
    <row r="70" spans="1:22">
      <c r="A70" s="8">
        <f t="shared" si="18"/>
        <v>0.29500000000000015</v>
      </c>
      <c r="B70" s="48">
        <f t="shared" si="19"/>
        <v>95.584005203668269</v>
      </c>
      <c r="C70" s="48">
        <f t="shared" si="0"/>
        <v>5.0995446878976125</v>
      </c>
      <c r="D70" s="45">
        <f t="shared" si="14"/>
        <v>0.51644392004955375</v>
      </c>
      <c r="E70" s="48">
        <f t="shared" si="10"/>
        <v>-44.264233653521771</v>
      </c>
      <c r="F70" s="48">
        <f t="shared" si="20"/>
        <v>45.226231148352653</v>
      </c>
      <c r="G70" s="48">
        <f t="shared" si="15"/>
        <v>0.96199749483088226</v>
      </c>
      <c r="I70" s="45"/>
      <c r="J70" s="48">
        <f t="shared" si="21"/>
        <v>2.4644716034037519</v>
      </c>
      <c r="Q70" s="8">
        <f t="shared" si="16"/>
        <v>100</v>
      </c>
      <c r="R70" s="9">
        <f t="shared" si="17"/>
        <v>1.4190349921466268E-2</v>
      </c>
      <c r="S70" s="8">
        <f t="shared" si="22"/>
        <v>-1</v>
      </c>
      <c r="T70" s="9">
        <f t="shared" si="23"/>
        <v>-1.475753341404655E-2</v>
      </c>
      <c r="U70" s="9">
        <f t="shared" si="24"/>
        <v>-1.4670720317369053E-2</v>
      </c>
      <c r="V70" s="9">
        <f t="shared" si="13"/>
        <v>1.9617426309411559E-2</v>
      </c>
    </row>
    <row r="71" spans="1:22">
      <c r="A71" s="8">
        <f t="shared" si="18"/>
        <v>0.30000000000000016</v>
      </c>
      <c r="B71" s="48">
        <f t="shared" si="19"/>
        <v>96.864874175598388</v>
      </c>
      <c r="C71" s="48">
        <f t="shared" si="0"/>
        <v>5.6814538638459027</v>
      </c>
      <c r="D71" s="45">
        <f t="shared" si="14"/>
        <v>0.5340473740462548</v>
      </c>
      <c r="E71" s="48">
        <f t="shared" si="10"/>
        <v>-46.048977826953298</v>
      </c>
      <c r="F71" s="48">
        <f t="shared" si="20"/>
        <v>46.935910354052567</v>
      </c>
      <c r="G71" s="48">
        <f t="shared" si="15"/>
        <v>0.88693252709926895</v>
      </c>
      <c r="I71" s="45"/>
      <c r="J71" s="48">
        <f t="shared" si="21"/>
        <v>1.7051563564463814</v>
      </c>
      <c r="Q71" s="8">
        <f t="shared" si="16"/>
        <v>100</v>
      </c>
      <c r="R71" s="9">
        <f t="shared" si="17"/>
        <v>1.4013325917891898E-2</v>
      </c>
      <c r="S71" s="8">
        <f t="shared" si="22"/>
        <v>-1</v>
      </c>
      <c r="T71" s="9">
        <f t="shared" si="23"/>
        <v>-2.8461605703182572E-2</v>
      </c>
      <c r="U71" s="9">
        <f t="shared" si="24"/>
        <v>-2.8291347354783412E-2</v>
      </c>
      <c r="V71" s="9">
        <f t="shared" si="13"/>
        <v>1.3400453027688801E-2</v>
      </c>
    </row>
    <row r="72" spans="1:22">
      <c r="A72" s="8">
        <f t="shared" si="18"/>
        <v>0.30500000000000016</v>
      </c>
      <c r="B72" s="48">
        <f t="shared" si="19"/>
        <v>96.290233303417523</v>
      </c>
      <c r="C72" s="48">
        <f t="shared" si="0"/>
        <v>5.3764707190438372</v>
      </c>
      <c r="D72" s="45">
        <f t="shared" si="14"/>
        <v>0.52550311860886068</v>
      </c>
      <c r="E72" s="48">
        <f t="shared" si="10"/>
        <v>-45.224347173476851</v>
      </c>
      <c r="F72" s="48">
        <f t="shared" si="20"/>
        <v>46.117875830304676</v>
      </c>
      <c r="G72" s="48">
        <f t="shared" si="15"/>
        <v>0.89352865682782578</v>
      </c>
      <c r="I72" s="45"/>
      <c r="J72" s="48">
        <f t="shared" si="21"/>
        <v>-0.82272834947067375</v>
      </c>
      <c r="Q72" s="8">
        <f t="shared" si="16"/>
        <v>100</v>
      </c>
      <c r="R72" s="9">
        <f t="shared" si="17"/>
        <v>1.4170291191991095E-2</v>
      </c>
      <c r="S72" s="8">
        <f t="shared" si="22"/>
        <v>-1</v>
      </c>
      <c r="T72" s="9">
        <f t="shared" si="23"/>
        <v>-3.7924497121796602E-2</v>
      </c>
      <c r="U72" s="9">
        <f t="shared" si="24"/>
        <v>-3.769386184211778E-2</v>
      </c>
      <c r="V72" s="9">
        <f t="shared" si="13"/>
        <v>-5.9323968267294249E-3</v>
      </c>
    </row>
    <row r="73" spans="1:22">
      <c r="A73" s="8">
        <f t="shared" si="18"/>
        <v>0.31000000000000016</v>
      </c>
      <c r="B73" s="48">
        <f t="shared" si="19"/>
        <v>95.576559888641839</v>
      </c>
      <c r="C73" s="48">
        <f t="shared" si="0"/>
        <v>5.0163731046003477</v>
      </c>
      <c r="D73" s="45">
        <f t="shared" si="14"/>
        <v>0.51484371874678925</v>
      </c>
      <c r="E73" s="48">
        <f t="shared" si="10"/>
        <v>-44.190618413493233</v>
      </c>
      <c r="F73" s="48">
        <f t="shared" si="20"/>
        <v>45.10369907919052</v>
      </c>
      <c r="G73" s="48">
        <f t="shared" si="15"/>
        <v>0.91308066569728652</v>
      </c>
      <c r="I73" s="45"/>
      <c r="J73" s="48">
        <f t="shared" si="21"/>
        <v>-1.0187887692942503</v>
      </c>
      <c r="Q73" s="8">
        <f t="shared" si="16"/>
        <v>100</v>
      </c>
      <c r="R73" s="9">
        <f t="shared" si="17"/>
        <v>1.4347139705654866E-2</v>
      </c>
      <c r="S73" s="8">
        <f t="shared" si="22"/>
        <v>-1</v>
      </c>
      <c r="T73" s="9">
        <f t="shared" si="23"/>
        <v>-3.6537183015264652E-2</v>
      </c>
      <c r="U73" s="9">
        <f t="shared" si="24"/>
        <v>-3.6311353276168676E-2</v>
      </c>
      <c r="V73" s="9">
        <f t="shared" si="13"/>
        <v>-7.4116905764144035E-3</v>
      </c>
    </row>
    <row r="74" spans="1:22">
      <c r="A74" s="8">
        <f t="shared" si="18"/>
        <v>0.31500000000000017</v>
      </c>
      <c r="B74" s="48">
        <f t="shared" si="19"/>
        <v>91.984818394077834</v>
      </c>
      <c r="C74" s="48">
        <f t="shared" si="0"/>
        <v>3.5096564142528131</v>
      </c>
      <c r="D74" s="45">
        <f t="shared" si="14"/>
        <v>0.46164858469022885</v>
      </c>
      <c r="E74" s="48">
        <f t="shared" si="10"/>
        <v>-38.955004810360947</v>
      </c>
      <c r="F74" s="48">
        <f t="shared" si="20"/>
        <v>40.215064928983125</v>
      </c>
      <c r="G74" s="48">
        <f t="shared" si="15"/>
        <v>1.260060118622178</v>
      </c>
      <c r="I74" s="45"/>
      <c r="J74" s="48">
        <f t="shared" si="21"/>
        <v>-4.8931447456413331</v>
      </c>
      <c r="Q74" s="8">
        <f t="shared" si="16"/>
        <v>100</v>
      </c>
      <c r="R74" s="9">
        <f t="shared" si="17"/>
        <v>1.4902791188797783E-2</v>
      </c>
      <c r="S74" s="8">
        <f t="shared" si="22"/>
        <v>1</v>
      </c>
      <c r="T74" s="9">
        <f t="shared" si="23"/>
        <v>5.0421610372208395E-2</v>
      </c>
      <c r="U74" s="9">
        <f t="shared" si="24"/>
        <v>5.010495274573129E-2</v>
      </c>
      <c r="V74" s="9">
        <f t="shared" si="13"/>
        <v>-3.7579731879331238E-2</v>
      </c>
    </row>
    <row r="75" spans="1:22">
      <c r="A75" s="8">
        <f t="shared" si="18"/>
        <v>0.32000000000000017</v>
      </c>
      <c r="B75" s="48">
        <f t="shared" si="19"/>
        <v>94.623647215161185</v>
      </c>
      <c r="C75" s="48">
        <f t="shared" ref="C75:C138" si="25">CallOption(B75,Vol_i,0,PL_r, PL_K,PL_T-A75)</f>
        <v>4.5393165773991484</v>
      </c>
      <c r="D75" s="45">
        <f t="shared" ref="D75:D138" si="26">CallDelta(B75,$E$6,0,PL_r, PL_K, PL_T-A75)</f>
        <v>0.49998235141718805</v>
      </c>
      <c r="E75" s="48">
        <f t="shared" si="10"/>
        <v>-42.770837056907602</v>
      </c>
      <c r="F75" s="48">
        <f t="shared" si="20"/>
        <v>43.846367455758127</v>
      </c>
      <c r="G75" s="48">
        <f t="shared" ref="G75:G106" si="27">F75+E75</f>
        <v>1.0755303988505247</v>
      </c>
      <c r="I75" s="45"/>
      <c r="J75" s="48">
        <f t="shared" si="21"/>
        <v>3.6272808192000721</v>
      </c>
      <c r="Q75" s="8">
        <f t="shared" ref="Q75:Q138" si="28">PL_K</f>
        <v>100</v>
      </c>
      <c r="R75" s="9">
        <f t="shared" ref="R75:R106" si="29">CallGamma(B75,$E$6,0,PL_r, PL_K, PL_T-A75)</f>
        <v>1.4607903280713125E-2</v>
      </c>
      <c r="S75" s="8">
        <f t="shared" si="22"/>
        <v>1</v>
      </c>
      <c r="T75" s="9">
        <f t="shared" si="23"/>
        <v>1.3764847327709053E-2</v>
      </c>
      <c r="U75" s="9">
        <f t="shared" si="24"/>
        <v>1.3677033608450632E-2</v>
      </c>
      <c r="V75" s="9">
        <f t="shared" si="13"/>
        <v>2.8687655932288537E-2</v>
      </c>
    </row>
    <row r="76" spans="1:22">
      <c r="A76" s="8">
        <f t="shared" ref="A76:A107" si="30">A75+dt</f>
        <v>0.32500000000000018</v>
      </c>
      <c r="B76" s="48">
        <f t="shared" ref="B76:B107" si="31">B75*EXP((PL_r-0.5*Vol_a^2)*dt+Vol_a*SQRT(dt)*NormalRN())</f>
        <v>92.072635929009707</v>
      </c>
      <c r="C76" s="48">
        <f t="shared" si="25"/>
        <v>3.4938182420916633</v>
      </c>
      <c r="D76" s="45">
        <f t="shared" si="26"/>
        <v>0.46156215577572501</v>
      </c>
      <c r="E76" s="48">
        <f t="shared" ref="E76:E139" si="32">C76-D76*B76</f>
        <v>-39.003426085255533</v>
      </c>
      <c r="F76" s="48">
        <f t="shared" ref="F76:F139" si="33">J76+F75*EXP(PL_r*dt)</f>
        <v>40.313303626125098</v>
      </c>
      <c r="G76" s="48">
        <f t="shared" si="27"/>
        <v>1.3098775408695644</v>
      </c>
      <c r="I76" s="45"/>
      <c r="J76" s="48">
        <f t="shared" ref="J76:J139" si="34">(D76-D75)*B76</f>
        <v>-3.5374486856177518</v>
      </c>
      <c r="Q76" s="8">
        <f t="shared" si="28"/>
        <v>100</v>
      </c>
      <c r="R76" s="9">
        <f t="shared" si="29"/>
        <v>1.4998142753322168E-2</v>
      </c>
      <c r="S76" s="8">
        <f t="shared" ref="S76:S107" si="35">IF(V76^2 &lt; ($E$6^2*dt), -1, 1)</f>
        <v>1</v>
      </c>
      <c r="T76" s="9">
        <f t="shared" ref="T76:T107" si="36">0.5*R76*(B76^2)*(V76^2-$E$6^2*dt)</f>
        <v>7.2674402199964109E-3</v>
      </c>
      <c r="U76" s="9">
        <f t="shared" ref="U76:U107" si="37">T76*EXP(-PL_r*A76)</f>
        <v>7.2203550511441197E-3</v>
      </c>
      <c r="V76" s="9">
        <f t="shared" si="13"/>
        <v>-2.6959553570692841E-2</v>
      </c>
    </row>
    <row r="77" spans="1:22">
      <c r="A77" s="8">
        <f t="shared" si="30"/>
        <v>0.33000000000000018</v>
      </c>
      <c r="B77" s="48">
        <f t="shared" si="31"/>
        <v>90.083351587021497</v>
      </c>
      <c r="C77" s="48">
        <f t="shared" si="25"/>
        <v>2.7892832927891895</v>
      </c>
      <c r="D77" s="45">
        <f t="shared" si="26"/>
        <v>0.43072903797928563</v>
      </c>
      <c r="E77" s="48">
        <f t="shared" si="32"/>
        <v>-36.012232074238327</v>
      </c>
      <c r="F77" s="48">
        <f t="shared" si="33"/>
        <v>37.539784567080254</v>
      </c>
      <c r="G77" s="48">
        <f t="shared" si="27"/>
        <v>1.5275524928419273</v>
      </c>
      <c r="I77" s="45"/>
      <c r="J77" s="48">
        <f t="shared" si="34"/>
        <v>-2.7775505909806983</v>
      </c>
      <c r="Q77" s="8">
        <f t="shared" si="28"/>
        <v>100</v>
      </c>
      <c r="R77" s="9">
        <f t="shared" si="29"/>
        <v>1.5224621523178685E-2</v>
      </c>
      <c r="S77" s="8">
        <f t="shared" si="35"/>
        <v>-1</v>
      </c>
      <c r="T77" s="9">
        <f t="shared" si="36"/>
        <v>-9.000354125778624E-3</v>
      </c>
      <c r="U77" s="9">
        <f t="shared" si="37"/>
        <v>-8.9411473857110187E-3</v>
      </c>
      <c r="V77" s="9">
        <f t="shared" ref="V77:V140" si="38">(B77-B76)/B76</f>
        <v>-2.1605597818683039E-2</v>
      </c>
    </row>
    <row r="78" spans="1:22">
      <c r="A78" s="8">
        <f t="shared" si="30"/>
        <v>0.33500000000000019</v>
      </c>
      <c r="B78" s="48">
        <f t="shared" si="31"/>
        <v>90.386816234616219</v>
      </c>
      <c r="C78" s="48">
        <f t="shared" si="25"/>
        <v>2.8642581515312884</v>
      </c>
      <c r="D78" s="45">
        <f t="shared" si="26"/>
        <v>0.43454532003324187</v>
      </c>
      <c r="E78" s="48">
        <f t="shared" si="32"/>
        <v>-36.412909835925838</v>
      </c>
      <c r="F78" s="48">
        <f t="shared" si="33"/>
        <v>37.888480317952549</v>
      </c>
      <c r="G78" s="48">
        <f t="shared" si="27"/>
        <v>1.4755704820267113</v>
      </c>
      <c r="I78" s="45"/>
      <c r="J78" s="48">
        <f t="shared" si="34"/>
        <v>0.34494158471040576</v>
      </c>
      <c r="Q78" s="8">
        <f t="shared" si="28"/>
        <v>100</v>
      </c>
      <c r="R78" s="9">
        <f t="shared" si="29"/>
        <v>1.5255541390186913E-2</v>
      </c>
      <c r="S78" s="8">
        <f t="shared" si="35"/>
        <v>-1</v>
      </c>
      <c r="T78" s="9">
        <f t="shared" si="36"/>
        <v>-3.7462085963046107E-2</v>
      </c>
      <c r="U78" s="9">
        <f t="shared" si="37"/>
        <v>-3.7211928948886135E-2</v>
      </c>
      <c r="V78" s="9">
        <f t="shared" si="38"/>
        <v>3.3687095589640952E-3</v>
      </c>
    </row>
    <row r="79" spans="1:22">
      <c r="A79" s="8">
        <f t="shared" si="30"/>
        <v>0.34000000000000019</v>
      </c>
      <c r="B79" s="48">
        <f t="shared" si="31"/>
        <v>92.862942219653092</v>
      </c>
      <c r="C79" s="48">
        <f t="shared" si="25"/>
        <v>3.7172501230573545</v>
      </c>
      <c r="D79" s="45">
        <f t="shared" si="26"/>
        <v>0.47137373757781764</v>
      </c>
      <c r="E79" s="48">
        <f t="shared" si="32"/>
        <v>-40.055902033493446</v>
      </c>
      <c r="F79" s="48">
        <f t="shared" si="33"/>
        <v>41.312264565916266</v>
      </c>
      <c r="G79" s="48">
        <f t="shared" si="27"/>
        <v>1.2563625324228198</v>
      </c>
      <c r="I79" s="45"/>
      <c r="J79" s="48">
        <f t="shared" si="34"/>
        <v>3.4199952104831985</v>
      </c>
      <c r="Q79" s="8">
        <f t="shared" si="28"/>
        <v>100</v>
      </c>
      <c r="R79" s="9">
        <f t="shared" si="29"/>
        <v>1.5069805396701639E-2</v>
      </c>
      <c r="S79" s="8">
        <f t="shared" si="35"/>
        <v>1</v>
      </c>
      <c r="T79" s="9">
        <f t="shared" si="36"/>
        <v>8.9651561691233665E-3</v>
      </c>
      <c r="U79" s="9">
        <f t="shared" si="37"/>
        <v>8.9043999125595717E-3</v>
      </c>
      <c r="V79" s="9">
        <f t="shared" si="38"/>
        <v>2.7394769372223664E-2</v>
      </c>
    </row>
    <row r="80" spans="1:22">
      <c r="A80" s="8">
        <f t="shared" si="30"/>
        <v>0.3450000000000002</v>
      </c>
      <c r="B80" s="48">
        <f t="shared" si="31"/>
        <v>92.507169861133889</v>
      </c>
      <c r="C80" s="48">
        <f t="shared" si="25"/>
        <v>3.5572496639420166</v>
      </c>
      <c r="D80" s="45">
        <f t="shared" si="26"/>
        <v>0.46530557475069334</v>
      </c>
      <c r="E80" s="48">
        <f t="shared" si="32"/>
        <v>-39.486852176852906</v>
      </c>
      <c r="F80" s="48">
        <f t="shared" si="33"/>
        <v>40.755047429547261</v>
      </c>
      <c r="G80" s="48">
        <f t="shared" si="27"/>
        <v>1.2681952526943547</v>
      </c>
      <c r="I80" s="45"/>
      <c r="J80" s="48">
        <f t="shared" si="34"/>
        <v>-0.56134856939380617</v>
      </c>
      <c r="Q80" s="8">
        <f t="shared" si="28"/>
        <v>100</v>
      </c>
      <c r="R80" s="9">
        <f t="shared" si="29"/>
        <v>1.5166994474758869E-2</v>
      </c>
      <c r="S80" s="8">
        <f t="shared" si="35"/>
        <v>-1</v>
      </c>
      <c r="T80" s="9">
        <f t="shared" si="36"/>
        <v>-3.8796486405975078E-2</v>
      </c>
      <c r="U80" s="9">
        <f t="shared" si="37"/>
        <v>-3.8529712079626056E-2</v>
      </c>
      <c r="V80" s="9">
        <f t="shared" si="38"/>
        <v>-3.8311553566510795E-3</v>
      </c>
    </row>
    <row r="81" spans="1:22">
      <c r="A81" s="8">
        <f t="shared" si="30"/>
        <v>0.3500000000000002</v>
      </c>
      <c r="B81" s="48">
        <f t="shared" si="31"/>
        <v>92.659812211235717</v>
      </c>
      <c r="C81" s="48">
        <f t="shared" si="25"/>
        <v>3.589797291231676</v>
      </c>
      <c r="D81" s="45">
        <f t="shared" si="26"/>
        <v>0.46692292540077041</v>
      </c>
      <c r="E81" s="48">
        <f t="shared" si="32"/>
        <v>-39.675193293524536</v>
      </c>
      <c r="F81" s="48">
        <f t="shared" si="33"/>
        <v>40.908986545588107</v>
      </c>
      <c r="G81" s="48">
        <f t="shared" si="27"/>
        <v>1.2337932520635704</v>
      </c>
      <c r="I81" s="45"/>
      <c r="J81" s="48">
        <f t="shared" si="34"/>
        <v>0.14986340751586086</v>
      </c>
      <c r="Q81" s="8">
        <f t="shared" si="28"/>
        <v>100</v>
      </c>
      <c r="R81" s="9">
        <f t="shared" si="29"/>
        <v>1.5205396578280354E-2</v>
      </c>
      <c r="S81" s="8">
        <f t="shared" si="35"/>
        <v>-1</v>
      </c>
      <c r="T81" s="9">
        <f t="shared" si="36"/>
        <v>-3.980355319865881E-2</v>
      </c>
      <c r="U81" s="9">
        <f t="shared" si="37"/>
        <v>-3.9525901241861554E-2</v>
      </c>
      <c r="V81" s="9">
        <f t="shared" si="38"/>
        <v>1.6500596692231094E-3</v>
      </c>
    </row>
    <row r="82" spans="1:22">
      <c r="A82" s="8">
        <f t="shared" si="30"/>
        <v>0.3550000000000002</v>
      </c>
      <c r="B82" s="48">
        <f t="shared" si="31"/>
        <v>89.402267176382381</v>
      </c>
      <c r="C82" s="48">
        <f t="shared" si="25"/>
        <v>2.4707928203283203</v>
      </c>
      <c r="D82" s="45">
        <f t="shared" si="26"/>
        <v>0.41601681782176203</v>
      </c>
      <c r="E82" s="48">
        <f t="shared" si="32"/>
        <v>-34.722053876441244</v>
      </c>
      <c r="F82" s="48">
        <f t="shared" si="33"/>
        <v>36.361956218106251</v>
      </c>
      <c r="G82" s="48">
        <f t="shared" si="27"/>
        <v>1.6399023416650067</v>
      </c>
      <c r="I82" s="45"/>
      <c r="J82" s="48">
        <f t="shared" si="34"/>
        <v>-4.5511214306881707</v>
      </c>
      <c r="Q82" s="8">
        <f t="shared" si="28"/>
        <v>100</v>
      </c>
      <c r="R82" s="9">
        <f t="shared" si="29"/>
        <v>1.5521922037330304E-2</v>
      </c>
      <c r="S82" s="8">
        <f t="shared" si="35"/>
        <v>1</v>
      </c>
      <c r="T82" s="9">
        <f t="shared" si="36"/>
        <v>3.8673056161081187E-2</v>
      </c>
      <c r="U82" s="9">
        <f t="shared" si="37"/>
        <v>3.8399449913888328E-2</v>
      </c>
      <c r="V82" s="9">
        <f t="shared" si="38"/>
        <v>-3.5155964134992432E-2</v>
      </c>
    </row>
    <row r="83" spans="1:22">
      <c r="A83" s="8">
        <f t="shared" si="30"/>
        <v>0.36000000000000021</v>
      </c>
      <c r="B83" s="48">
        <f t="shared" si="31"/>
        <v>91.735979950676224</v>
      </c>
      <c r="C83" s="48">
        <f t="shared" si="25"/>
        <v>3.2034023597364367</v>
      </c>
      <c r="D83" s="45">
        <f t="shared" si="26"/>
        <v>0.45131438855413608</v>
      </c>
      <c r="E83" s="48">
        <f t="shared" si="32"/>
        <v>-38.198365340117491</v>
      </c>
      <c r="F83" s="48">
        <f t="shared" si="33"/>
        <v>39.603649836556542</v>
      </c>
      <c r="G83" s="48">
        <f t="shared" si="27"/>
        <v>1.4052844964390516</v>
      </c>
      <c r="I83" s="45"/>
      <c r="J83" s="48">
        <f t="shared" si="34"/>
        <v>3.2380572410126418</v>
      </c>
      <c r="Q83" s="8">
        <f t="shared" si="28"/>
        <v>100</v>
      </c>
      <c r="R83" s="9">
        <f t="shared" si="29"/>
        <v>1.5415663228309383E-2</v>
      </c>
      <c r="S83" s="8">
        <f t="shared" si="35"/>
        <v>1</v>
      </c>
      <c r="T83" s="9">
        <f t="shared" si="36"/>
        <v>4.468764433004889E-3</v>
      </c>
      <c r="U83" s="9">
        <f t="shared" si="37"/>
        <v>4.4367048819681275E-3</v>
      </c>
      <c r="V83" s="9">
        <f t="shared" si="38"/>
        <v>2.6103507752098104E-2</v>
      </c>
    </row>
    <row r="84" spans="1:22">
      <c r="A84" s="8">
        <f t="shared" si="30"/>
        <v>0.36500000000000021</v>
      </c>
      <c r="B84" s="48">
        <f t="shared" si="31"/>
        <v>94.648545220028225</v>
      </c>
      <c r="C84" s="48">
        <f t="shared" si="25"/>
        <v>4.3111550512411014</v>
      </c>
      <c r="D84" s="45">
        <f t="shared" si="26"/>
        <v>0.49512828376801643</v>
      </c>
      <c r="E84" s="48">
        <f t="shared" si="32"/>
        <v>-42.552016704690971</v>
      </c>
      <c r="F84" s="48">
        <f t="shared" si="33"/>
        <v>43.754531841981581</v>
      </c>
      <c r="G84" s="48">
        <f t="shared" si="27"/>
        <v>1.2025151372906109</v>
      </c>
      <c r="I84" s="45"/>
      <c r="J84" s="48">
        <f t="shared" si="34"/>
        <v>4.1469214424165326</v>
      </c>
      <c r="Q84" s="8">
        <f t="shared" si="28"/>
        <v>100</v>
      </c>
      <c r="R84" s="9">
        <f t="shared" si="29"/>
        <v>1.5111543879273565E-2</v>
      </c>
      <c r="S84" s="8">
        <f t="shared" si="35"/>
        <v>1</v>
      </c>
      <c r="T84" s="9">
        <f t="shared" si="36"/>
        <v>2.6772088260491905E-2</v>
      </c>
      <c r="U84" s="9">
        <f t="shared" si="37"/>
        <v>2.6577363625845653E-2</v>
      </c>
      <c r="V84" s="9">
        <f t="shared" si="38"/>
        <v>3.1749432130315745E-2</v>
      </c>
    </row>
    <row r="85" spans="1:22">
      <c r="A85" s="8">
        <f t="shared" si="30"/>
        <v>0.37000000000000022</v>
      </c>
      <c r="B85" s="48">
        <f t="shared" si="31"/>
        <v>92.980109958221391</v>
      </c>
      <c r="C85" s="48">
        <f t="shared" si="25"/>
        <v>3.6104686147852263</v>
      </c>
      <c r="D85" s="45">
        <f t="shared" si="26"/>
        <v>0.46901649496084641</v>
      </c>
      <c r="E85" s="48">
        <f t="shared" si="32"/>
        <v>-39.998736658893861</v>
      </c>
      <c r="F85" s="48">
        <f t="shared" si="33"/>
        <v>41.331030519449214</v>
      </c>
      <c r="G85" s="48">
        <f t="shared" si="27"/>
        <v>1.3322938605553531</v>
      </c>
      <c r="I85" s="45"/>
      <c r="J85" s="48">
        <f t="shared" si="34"/>
        <v>-2.4278769944965233</v>
      </c>
      <c r="Q85" s="8">
        <f t="shared" si="28"/>
        <v>100</v>
      </c>
      <c r="R85" s="9">
        <f t="shared" si="29"/>
        <v>1.5398176363088727E-2</v>
      </c>
      <c r="S85" s="8">
        <f t="shared" si="35"/>
        <v>-1</v>
      </c>
      <c r="T85" s="9">
        <f t="shared" si="36"/>
        <v>-2.0085728672115194E-2</v>
      </c>
      <c r="U85" s="9">
        <f t="shared" si="37"/>
        <v>-1.9937642873161916E-2</v>
      </c>
      <c r="V85" s="9">
        <f t="shared" si="38"/>
        <v>-1.7627690504151385E-2</v>
      </c>
    </row>
    <row r="86" spans="1:22">
      <c r="A86" s="8">
        <f t="shared" si="30"/>
        <v>0.37500000000000022</v>
      </c>
      <c r="B86" s="48">
        <f t="shared" si="31"/>
        <v>93.058972401473298</v>
      </c>
      <c r="C86" s="48">
        <f t="shared" si="25"/>
        <v>3.6150489305384426</v>
      </c>
      <c r="D86" s="45">
        <f t="shared" si="26"/>
        <v>0.46952779102532538</v>
      </c>
      <c r="E86" s="48">
        <f t="shared" si="32"/>
        <v>-40.078724816212031</v>
      </c>
      <c r="F86" s="48">
        <f t="shared" si="33"/>
        <v>41.382744515516528</v>
      </c>
      <c r="G86" s="48">
        <f t="shared" si="27"/>
        <v>1.3040196993044972</v>
      </c>
      <c r="I86" s="45"/>
      <c r="J86" s="48">
        <f t="shared" si="34"/>
        <v>4.7580686353330577E-2</v>
      </c>
      <c r="Q86" s="8">
        <f t="shared" si="28"/>
        <v>100</v>
      </c>
      <c r="R86" s="9">
        <f t="shared" si="29"/>
        <v>1.5448076098559688E-2</v>
      </c>
      <c r="S86" s="8">
        <f t="shared" si="35"/>
        <v>-1</v>
      </c>
      <c r="T86" s="9">
        <f t="shared" si="36"/>
        <v>-4.0921978468621688E-2</v>
      </c>
      <c r="U86" s="9">
        <f t="shared" si="37"/>
        <v>-4.061621168881175E-2</v>
      </c>
      <c r="V86" s="9">
        <f t="shared" si="38"/>
        <v>8.4816465895063266E-4</v>
      </c>
    </row>
    <row r="87" spans="1:22">
      <c r="A87" s="8">
        <f t="shared" si="30"/>
        <v>0.38000000000000023</v>
      </c>
      <c r="B87" s="48">
        <f t="shared" si="31"/>
        <v>94.743350160232552</v>
      </c>
      <c r="C87" s="48">
        <f t="shared" si="25"/>
        <v>4.2704366750347305</v>
      </c>
      <c r="D87" s="45">
        <f t="shared" si="26"/>
        <v>0.49475473653980906</v>
      </c>
      <c r="E87" s="48">
        <f t="shared" si="32"/>
        <v>-42.60428457239</v>
      </c>
      <c r="F87" s="48">
        <f t="shared" si="33"/>
        <v>43.776968329240539</v>
      </c>
      <c r="G87" s="48">
        <f t="shared" si="27"/>
        <v>1.1726837568505388</v>
      </c>
      <c r="I87" s="45"/>
      <c r="J87" s="48">
        <f t="shared" si="34"/>
        <v>2.390085332351835</v>
      </c>
      <c r="Q87" s="8">
        <f t="shared" si="28"/>
        <v>100</v>
      </c>
      <c r="R87" s="9">
        <f t="shared" si="29"/>
        <v>1.527776773852612E-2</v>
      </c>
      <c r="S87" s="8">
        <f t="shared" si="35"/>
        <v>-1</v>
      </c>
      <c r="T87" s="9">
        <f t="shared" si="36"/>
        <v>-1.953432663387978E-2</v>
      </c>
      <c r="U87" s="9">
        <f t="shared" si="37"/>
        <v>-1.9386428476343379E-2</v>
      </c>
      <c r="V87" s="9">
        <f t="shared" si="38"/>
        <v>1.8100111308907891E-2</v>
      </c>
    </row>
    <row r="88" spans="1:22">
      <c r="A88" s="8">
        <f t="shared" si="30"/>
        <v>0.38500000000000023</v>
      </c>
      <c r="B88" s="48">
        <f t="shared" si="31"/>
        <v>95.242011232040113</v>
      </c>
      <c r="C88" s="48">
        <f t="shared" si="25"/>
        <v>4.4587274286750471</v>
      </c>
      <c r="D88" s="45">
        <f t="shared" si="26"/>
        <v>0.50177279629395566</v>
      </c>
      <c r="E88" s="48">
        <f t="shared" si="32"/>
        <v>-43.331122871886052</v>
      </c>
      <c r="F88" s="48">
        <f t="shared" si="33"/>
        <v>44.449760370897167</v>
      </c>
      <c r="G88" s="48">
        <f t="shared" si="27"/>
        <v>1.1186374990111148</v>
      </c>
      <c r="I88" s="45"/>
      <c r="J88" s="48">
        <f t="shared" si="34"/>
        <v>0.66841412593155913</v>
      </c>
      <c r="Q88" s="8">
        <f t="shared" si="28"/>
        <v>100</v>
      </c>
      <c r="R88" s="9">
        <f t="shared" si="29"/>
        <v>1.5260600435167691E-2</v>
      </c>
      <c r="S88" s="8">
        <f t="shared" si="35"/>
        <v>-1</v>
      </c>
      <c r="T88" s="9">
        <f t="shared" si="36"/>
        <v>-4.0476645174650001E-2</v>
      </c>
      <c r="U88" s="9">
        <f t="shared" si="37"/>
        <v>-4.0166171863050229E-2</v>
      </c>
      <c r="V88" s="9">
        <f t="shared" si="38"/>
        <v>5.2632830796484585E-3</v>
      </c>
    </row>
    <row r="89" spans="1:22">
      <c r="A89" s="8">
        <f t="shared" si="30"/>
        <v>0.39000000000000024</v>
      </c>
      <c r="B89" s="48">
        <f t="shared" si="31"/>
        <v>96.904948201267558</v>
      </c>
      <c r="C89" s="48">
        <f t="shared" si="25"/>
        <v>5.1960748934704881</v>
      </c>
      <c r="D89" s="45">
        <f t="shared" si="26"/>
        <v>0.52642942811608573</v>
      </c>
      <c r="E89" s="48">
        <f t="shared" si="32"/>
        <v>-45.817541569741707</v>
      </c>
      <c r="F89" s="48">
        <f t="shared" si="33"/>
        <v>46.843555198731707</v>
      </c>
      <c r="G89" s="48">
        <f t="shared" si="27"/>
        <v>1.0260136289900004</v>
      </c>
      <c r="I89" s="45"/>
      <c r="J89" s="48">
        <f t="shared" si="34"/>
        <v>2.3893496295412398</v>
      </c>
      <c r="Q89" s="8">
        <f t="shared" si="28"/>
        <v>100</v>
      </c>
      <c r="R89" s="9">
        <f t="shared" si="29"/>
        <v>1.5027153578234609E-2</v>
      </c>
      <c r="S89" s="8">
        <f t="shared" si="35"/>
        <v>-1</v>
      </c>
      <c r="T89" s="9">
        <f t="shared" si="36"/>
        <v>-2.1706378397955247E-2</v>
      </c>
      <c r="U89" s="9">
        <f t="shared" si="37"/>
        <v>-2.1537727241023728E-2</v>
      </c>
      <c r="V89" s="9">
        <f t="shared" si="38"/>
        <v>1.7460120252773714E-2</v>
      </c>
    </row>
    <row r="90" spans="1:22">
      <c r="A90" s="8">
        <f t="shared" si="30"/>
        <v>0.39500000000000024</v>
      </c>
      <c r="B90" s="48">
        <f t="shared" si="31"/>
        <v>98.489947657468733</v>
      </c>
      <c r="C90" s="48">
        <f t="shared" si="25"/>
        <v>5.9633044571002429</v>
      </c>
      <c r="D90" s="45">
        <f t="shared" si="26"/>
        <v>0.54960890806773943</v>
      </c>
      <c r="E90" s="48">
        <f t="shared" si="32"/>
        <v>-48.167648130569958</v>
      </c>
      <c r="F90" s="48">
        <f t="shared" si="33"/>
        <v>49.131185555642887</v>
      </c>
      <c r="G90" s="48">
        <f t="shared" si="27"/>
        <v>0.9635374250729285</v>
      </c>
      <c r="I90" s="45"/>
      <c r="J90" s="48">
        <f t="shared" si="34"/>
        <v>2.2829457671657192</v>
      </c>
      <c r="Q90" s="8">
        <f t="shared" si="28"/>
        <v>100</v>
      </c>
      <c r="R90" s="9">
        <f t="shared" si="29"/>
        <v>1.4763768345664475E-2</v>
      </c>
      <c r="S90" s="8">
        <f t="shared" si="35"/>
        <v>-1</v>
      </c>
      <c r="T90" s="9">
        <f t="shared" si="36"/>
        <v>-2.4702286085370211E-2</v>
      </c>
      <c r="U90" s="9">
        <f t="shared" si="37"/>
        <v>-2.4507906834270669E-2</v>
      </c>
      <c r="V90" s="9">
        <f t="shared" si="38"/>
        <v>1.6356228300222566E-2</v>
      </c>
    </row>
    <row r="91" spans="1:22">
      <c r="A91" s="8">
        <f t="shared" si="30"/>
        <v>0.40000000000000024</v>
      </c>
      <c r="B91" s="48">
        <f t="shared" si="31"/>
        <v>99.490520796033536</v>
      </c>
      <c r="C91" s="48">
        <f t="shared" si="25"/>
        <v>6.4693892919427967</v>
      </c>
      <c r="D91" s="45">
        <f t="shared" si="26"/>
        <v>0.56394410111959148</v>
      </c>
      <c r="E91" s="48">
        <f t="shared" si="32"/>
        <v>-49.637703028296357</v>
      </c>
      <c r="F91" s="48">
        <f t="shared" si="33"/>
        <v>50.562314742303009</v>
      </c>
      <c r="G91" s="48">
        <f t="shared" si="27"/>
        <v>0.92461171400665165</v>
      </c>
      <c r="I91" s="45"/>
      <c r="J91" s="48">
        <f t="shared" si="34"/>
        <v>1.4262158224404415</v>
      </c>
      <c r="Q91" s="8">
        <f t="shared" si="28"/>
        <v>100</v>
      </c>
      <c r="R91" s="9">
        <f t="shared" si="29"/>
        <v>1.4600161385839115E-2</v>
      </c>
      <c r="S91" s="8">
        <f t="shared" si="35"/>
        <v>-1</v>
      </c>
      <c r="T91" s="9">
        <f t="shared" si="36"/>
        <v>-3.6800847593174174E-2</v>
      </c>
      <c r="U91" s="9">
        <f t="shared" si="37"/>
        <v>-3.650761530548341E-2</v>
      </c>
      <c r="V91" s="9">
        <f t="shared" si="38"/>
        <v>1.0159139712863148E-2</v>
      </c>
    </row>
    <row r="92" spans="1:22">
      <c r="A92" s="8">
        <f t="shared" si="30"/>
        <v>0.40500000000000025</v>
      </c>
      <c r="B92" s="48">
        <f t="shared" si="31"/>
        <v>103.58641624957228</v>
      </c>
      <c r="C92" s="48">
        <f t="shared" si="25"/>
        <v>8.8946156945985706</v>
      </c>
      <c r="D92" s="45">
        <f t="shared" si="26"/>
        <v>0.62156021955641594</v>
      </c>
      <c r="E92" s="48">
        <f t="shared" si="32"/>
        <v>-55.490579932547874</v>
      </c>
      <c r="F92" s="48">
        <f t="shared" si="33"/>
        <v>56.535618453678801</v>
      </c>
      <c r="G92" s="48">
        <f t="shared" si="27"/>
        <v>1.0450385211309268</v>
      </c>
      <c r="I92" s="45"/>
      <c r="J92" s="48">
        <f t="shared" si="34"/>
        <v>5.9682472270815543</v>
      </c>
      <c r="Q92" s="8">
        <f t="shared" si="28"/>
        <v>100</v>
      </c>
      <c r="R92" s="9">
        <f t="shared" si="29"/>
        <v>1.3597818015630618E-2</v>
      </c>
      <c r="S92" s="8">
        <f t="shared" si="35"/>
        <v>1</v>
      </c>
      <c r="T92" s="9">
        <f t="shared" si="36"/>
        <v>7.8961854933399356E-2</v>
      </c>
      <c r="U92" s="9">
        <f t="shared" si="37"/>
        <v>7.8324847272301837E-2</v>
      </c>
      <c r="V92" s="9">
        <f t="shared" si="38"/>
        <v>4.1168700502993434E-2</v>
      </c>
    </row>
    <row r="93" spans="1:22">
      <c r="A93" s="8">
        <f t="shared" si="30"/>
        <v>0.41000000000000025</v>
      </c>
      <c r="B93" s="48">
        <f t="shared" si="31"/>
        <v>104.57298782720635</v>
      </c>
      <c r="C93" s="48">
        <f t="shared" si="25"/>
        <v>9.5154676879740165</v>
      </c>
      <c r="D93" s="45">
        <f t="shared" si="26"/>
        <v>0.63481677280435655</v>
      </c>
      <c r="E93" s="48">
        <f t="shared" si="32"/>
        <v>-56.869218967002375</v>
      </c>
      <c r="F93" s="48">
        <f t="shared" si="33"/>
        <v>57.927549679639291</v>
      </c>
      <c r="G93" s="48">
        <f t="shared" si="27"/>
        <v>1.0583307126369164</v>
      </c>
      <c r="I93" s="45"/>
      <c r="J93" s="48">
        <f t="shared" si="34"/>
        <v>1.3862773814276068</v>
      </c>
      <c r="Q93" s="8">
        <f t="shared" si="28"/>
        <v>100</v>
      </c>
      <c r="R93" s="9">
        <f t="shared" si="29"/>
        <v>1.3372257199453039E-2</v>
      </c>
      <c r="S93" s="8">
        <f t="shared" si="35"/>
        <v>-1</v>
      </c>
      <c r="T93" s="9">
        <f t="shared" si="36"/>
        <v>-3.8151369626969876E-2</v>
      </c>
      <c r="U93" s="9">
        <f t="shared" si="37"/>
        <v>-3.7839807546343529E-2</v>
      </c>
      <c r="V93" s="9">
        <f t="shared" si="38"/>
        <v>9.5241404554155529E-3</v>
      </c>
    </row>
    <row r="94" spans="1:22">
      <c r="A94" s="8">
        <f t="shared" si="30"/>
        <v>0.41500000000000026</v>
      </c>
      <c r="B94" s="48">
        <f t="shared" si="31"/>
        <v>104.23787775908599</v>
      </c>
      <c r="C94" s="48">
        <f t="shared" si="25"/>
        <v>9.2608405419103974</v>
      </c>
      <c r="D94" s="45">
        <f t="shared" si="26"/>
        <v>0.63028196414953919</v>
      </c>
      <c r="E94" s="48">
        <f t="shared" si="32"/>
        <v>-56.43841379086588</v>
      </c>
      <c r="F94" s="48">
        <f t="shared" si="33"/>
        <v>57.460643894032962</v>
      </c>
      <c r="G94" s="48">
        <f t="shared" si="27"/>
        <v>1.0222301031670824</v>
      </c>
      <c r="I94" s="45"/>
      <c r="J94" s="48">
        <f t="shared" si="34"/>
        <v>-0.47269883022169801</v>
      </c>
      <c r="Q94" s="8">
        <f t="shared" si="28"/>
        <v>100</v>
      </c>
      <c r="R94" s="9">
        <f t="shared" si="29"/>
        <v>1.3527484528308802E-2</v>
      </c>
      <c r="S94" s="8">
        <f t="shared" si="35"/>
        <v>-1</v>
      </c>
      <c r="T94" s="9">
        <f t="shared" si="36"/>
        <v>-4.4258954072870969E-2</v>
      </c>
      <c r="U94" s="9">
        <f t="shared" si="37"/>
        <v>-4.3893125044694142E-2</v>
      </c>
      <c r="V94" s="9">
        <f t="shared" si="38"/>
        <v>-3.2045566936854159E-3</v>
      </c>
    </row>
    <row r="95" spans="1:22">
      <c r="A95" s="8">
        <f t="shared" si="30"/>
        <v>0.42000000000000026</v>
      </c>
      <c r="B95" s="48">
        <f t="shared" si="31"/>
        <v>100.74586020543516</v>
      </c>
      <c r="C95" s="48">
        <f t="shared" si="25"/>
        <v>7.0549755732540191</v>
      </c>
      <c r="D95" s="45">
        <f t="shared" si="26"/>
        <v>0.58108603800579495</v>
      </c>
      <c r="E95" s="48">
        <f t="shared" si="32"/>
        <v>-51.487037179007984</v>
      </c>
      <c r="F95" s="48">
        <f t="shared" si="33"/>
        <v>52.51010434778059</v>
      </c>
      <c r="G95" s="48">
        <f t="shared" si="27"/>
        <v>1.0230671687726058</v>
      </c>
      <c r="I95" s="45"/>
      <c r="J95" s="48">
        <f t="shared" si="34"/>
        <v>-4.9562858979545705</v>
      </c>
      <c r="Q95" s="8">
        <f t="shared" si="28"/>
        <v>100</v>
      </c>
      <c r="R95" s="9">
        <f t="shared" si="29"/>
        <v>1.4548034569234338E-2</v>
      </c>
      <c r="S95" s="8">
        <f t="shared" si="35"/>
        <v>1</v>
      </c>
      <c r="T95" s="9">
        <f t="shared" si="36"/>
        <v>3.7636794010209411E-2</v>
      </c>
      <c r="U95" s="9">
        <f t="shared" si="37"/>
        <v>3.7321969056497789E-2</v>
      </c>
      <c r="V95" s="9">
        <f t="shared" si="38"/>
        <v>-3.3500466708671461E-2</v>
      </c>
    </row>
    <row r="96" spans="1:22">
      <c r="A96" s="8">
        <f t="shared" si="30"/>
        <v>0.42500000000000027</v>
      </c>
      <c r="B96" s="48">
        <f t="shared" si="31"/>
        <v>101.53116885155299</v>
      </c>
      <c r="C96" s="48">
        <f t="shared" si="25"/>
        <v>7.4868628233693642</v>
      </c>
      <c r="D96" s="45">
        <f t="shared" si="26"/>
        <v>0.59223049914982451</v>
      </c>
      <c r="E96" s="48">
        <f t="shared" si="32"/>
        <v>-52.64299198485098</v>
      </c>
      <c r="F96" s="48">
        <f t="shared" si="33"/>
        <v>53.64686578694868</v>
      </c>
      <c r="G96" s="48">
        <f t="shared" si="27"/>
        <v>1.0038738020977007</v>
      </c>
      <c r="I96" s="45"/>
      <c r="J96" s="48">
        <f t="shared" si="34"/>
        <v>1.1315101661740368</v>
      </c>
      <c r="Q96" s="8">
        <f t="shared" si="28"/>
        <v>100</v>
      </c>
      <c r="R96" s="9">
        <f t="shared" si="29"/>
        <v>1.4407578587988128E-2</v>
      </c>
      <c r="S96" s="8">
        <f t="shared" si="35"/>
        <v>-1</v>
      </c>
      <c r="T96" s="9">
        <f t="shared" si="36"/>
        <v>-4.0972578848268319E-2</v>
      </c>
      <c r="U96" s="9">
        <f t="shared" si="37"/>
        <v>-4.0625787877651282E-2</v>
      </c>
      <c r="V96" s="9">
        <f t="shared" si="38"/>
        <v>7.7949470530746402E-3</v>
      </c>
    </row>
    <row r="97" spans="1:22">
      <c r="A97" s="8">
        <f t="shared" si="30"/>
        <v>0.43000000000000027</v>
      </c>
      <c r="B97" s="48">
        <f t="shared" si="31"/>
        <v>101.69870133844401</v>
      </c>
      <c r="C97" s="48">
        <f t="shared" si="25"/>
        <v>7.5563547455590125</v>
      </c>
      <c r="D97" s="45">
        <f t="shared" si="26"/>
        <v>0.59445080126031724</v>
      </c>
      <c r="E97" s="48">
        <f t="shared" si="32"/>
        <v>-52.898519752212728</v>
      </c>
      <c r="F97" s="48">
        <f t="shared" si="33"/>
        <v>53.878032582986769</v>
      </c>
      <c r="G97" s="48">
        <f t="shared" si="27"/>
        <v>0.97951283077404128</v>
      </c>
      <c r="I97" s="45"/>
      <c r="J97" s="48">
        <f t="shared" si="34"/>
        <v>0.2258018412161174</v>
      </c>
      <c r="Q97" s="8">
        <f t="shared" si="28"/>
        <v>100</v>
      </c>
      <c r="R97" s="9">
        <f t="shared" si="29"/>
        <v>1.44272828900883E-2</v>
      </c>
      <c r="S97" s="8">
        <f t="shared" si="35"/>
        <v>-1</v>
      </c>
      <c r="T97" s="9">
        <f t="shared" si="36"/>
        <v>-4.5494261681396531E-2</v>
      </c>
      <c r="U97" s="9">
        <f t="shared" si="37"/>
        <v>-4.5104688596268393E-2</v>
      </c>
      <c r="V97" s="9">
        <f t="shared" si="38"/>
        <v>1.650059669223014E-3</v>
      </c>
    </row>
    <row r="98" spans="1:22">
      <c r="A98" s="8">
        <f t="shared" si="30"/>
        <v>0.43500000000000028</v>
      </c>
      <c r="B98" s="48">
        <f t="shared" si="31"/>
        <v>99.923181797638705</v>
      </c>
      <c r="C98" s="48">
        <f t="shared" si="25"/>
        <v>6.4938047923862001</v>
      </c>
      <c r="D98" s="45">
        <f t="shared" si="26"/>
        <v>0.56811321077120458</v>
      </c>
      <c r="E98" s="48">
        <f t="shared" si="32"/>
        <v>-50.273874849145109</v>
      </c>
      <c r="F98" s="48">
        <f t="shared" si="33"/>
        <v>51.25168481308885</v>
      </c>
      <c r="G98" s="48">
        <f t="shared" si="27"/>
        <v>0.97780996394374142</v>
      </c>
      <c r="I98" s="45"/>
      <c r="J98" s="48">
        <f t="shared" si="34"/>
        <v>-2.6317358425553645</v>
      </c>
      <c r="Q98" s="8">
        <f t="shared" si="28"/>
        <v>100</v>
      </c>
      <c r="R98" s="9">
        <f t="shared" si="29"/>
        <v>1.4954068009836121E-2</v>
      </c>
      <c r="S98" s="8">
        <f t="shared" si="35"/>
        <v>-1</v>
      </c>
      <c r="T98" s="9">
        <f t="shared" si="36"/>
        <v>-2.2971231245266895E-2</v>
      </c>
      <c r="U98" s="9">
        <f t="shared" si="37"/>
        <v>-2.277224836404931E-2</v>
      </c>
      <c r="V98" s="9">
        <f t="shared" si="38"/>
        <v>-1.7458625502960342E-2</v>
      </c>
    </row>
    <row r="99" spans="1:22">
      <c r="A99" s="8">
        <f t="shared" si="30"/>
        <v>0.44000000000000028</v>
      </c>
      <c r="B99" s="48">
        <f t="shared" si="31"/>
        <v>98.223511459695388</v>
      </c>
      <c r="C99" s="48">
        <f t="shared" si="25"/>
        <v>5.5536105802988729</v>
      </c>
      <c r="D99" s="45">
        <f t="shared" si="26"/>
        <v>0.54192460883043003</v>
      </c>
      <c r="E99" s="48">
        <f t="shared" si="32"/>
        <v>-47.676127445447811</v>
      </c>
      <c r="F99" s="48">
        <f t="shared" si="33"/>
        <v>48.684473794994062</v>
      </c>
      <c r="G99" s="48">
        <f t="shared" si="27"/>
        <v>1.008346349546251</v>
      </c>
      <c r="I99" s="45"/>
      <c r="J99" s="48">
        <f t="shared" si="34"/>
        <v>-2.5723364428430697</v>
      </c>
      <c r="Q99" s="8">
        <f t="shared" si="28"/>
        <v>100</v>
      </c>
      <c r="R99" s="9">
        <f t="shared" si="29"/>
        <v>1.5421462559337507E-2</v>
      </c>
      <c r="S99" s="8">
        <f t="shared" si="35"/>
        <v>-1</v>
      </c>
      <c r="T99" s="9">
        <f t="shared" si="36"/>
        <v>-2.4041107000932063E-2</v>
      </c>
      <c r="U99" s="9">
        <f t="shared" si="37"/>
        <v>-2.3830473406426727E-2</v>
      </c>
      <c r="V99" s="9">
        <f t="shared" si="38"/>
        <v>-1.7009769978956799E-2</v>
      </c>
    </row>
    <row r="100" spans="1:22">
      <c r="A100" s="8">
        <f t="shared" si="30"/>
        <v>0.44500000000000028</v>
      </c>
      <c r="B100" s="48">
        <f t="shared" si="31"/>
        <v>95.150017910876187</v>
      </c>
      <c r="C100" s="48">
        <f t="shared" si="25"/>
        <v>4.0808055031613151</v>
      </c>
      <c r="D100" s="45">
        <f t="shared" si="26"/>
        <v>0.49292913977980712</v>
      </c>
      <c r="E100" s="48">
        <f t="shared" si="32"/>
        <v>-42.821410975680124</v>
      </c>
      <c r="F100" s="48">
        <f t="shared" si="33"/>
        <v>44.027422728085497</v>
      </c>
      <c r="G100" s="48">
        <f t="shared" si="27"/>
        <v>1.2060117524053737</v>
      </c>
      <c r="I100" s="45"/>
      <c r="J100" s="48">
        <f t="shared" si="34"/>
        <v>-4.6619197577185494</v>
      </c>
      <c r="Q100" s="8">
        <f t="shared" si="28"/>
        <v>100</v>
      </c>
      <c r="R100" s="9">
        <f t="shared" si="29"/>
        <v>1.6077497026092916E-2</v>
      </c>
      <c r="S100" s="8">
        <f t="shared" si="35"/>
        <v>1</v>
      </c>
      <c r="T100" s="9">
        <f t="shared" si="36"/>
        <v>2.6681878979102385E-2</v>
      </c>
      <c r="U100" s="9">
        <f t="shared" si="37"/>
        <v>2.6445463863985358E-2</v>
      </c>
      <c r="V100" s="9">
        <f t="shared" si="38"/>
        <v>-3.1290813198837482E-2</v>
      </c>
    </row>
    <row r="101" spans="1:22">
      <c r="A101" s="8">
        <f t="shared" si="30"/>
        <v>0.45000000000000029</v>
      </c>
      <c r="B101" s="48">
        <f t="shared" si="31"/>
        <v>95.002186128369914</v>
      </c>
      <c r="C101" s="48">
        <f t="shared" si="25"/>
        <v>3.9894033385054399</v>
      </c>
      <c r="D101" s="45">
        <f t="shared" si="26"/>
        <v>0.48988361043472906</v>
      </c>
      <c r="E101" s="48">
        <f t="shared" si="32"/>
        <v>-42.550610601252551</v>
      </c>
      <c r="F101" s="48">
        <f t="shared" si="33"/>
        <v>43.742493744802239</v>
      </c>
      <c r="G101" s="48">
        <f t="shared" si="27"/>
        <v>1.1918831435496884</v>
      </c>
      <c r="I101" s="45"/>
      <c r="J101" s="48">
        <f t="shared" si="34"/>
        <v>-0.28933194570051918</v>
      </c>
      <c r="Q101" s="8">
        <f t="shared" si="28"/>
        <v>100</v>
      </c>
      <c r="R101" s="9">
        <f t="shared" si="29"/>
        <v>1.6172882097826479E-2</v>
      </c>
      <c r="S101" s="8">
        <f t="shared" si="35"/>
        <v>-1</v>
      </c>
      <c r="T101" s="9">
        <f t="shared" si="36"/>
        <v>-4.4526212933006015E-2</v>
      </c>
      <c r="U101" s="9">
        <f t="shared" si="37"/>
        <v>-4.4127274930448351E-2</v>
      </c>
      <c r="V101" s="9">
        <f t="shared" si="38"/>
        <v>-1.5536705694027531E-3</v>
      </c>
    </row>
    <row r="102" spans="1:22">
      <c r="A102" s="8">
        <f t="shared" si="30"/>
        <v>0.45500000000000029</v>
      </c>
      <c r="B102" s="48">
        <f t="shared" si="31"/>
        <v>96.005452597195941</v>
      </c>
      <c r="C102" s="48">
        <f t="shared" si="25"/>
        <v>4.3969964460264208</v>
      </c>
      <c r="D102" s="45">
        <f t="shared" si="26"/>
        <v>0.50542859829239184</v>
      </c>
      <c r="E102" s="48">
        <f t="shared" si="32"/>
        <v>-44.12690488860099</v>
      </c>
      <c r="F102" s="48">
        <f t="shared" si="33"/>
        <v>45.239271807789308</v>
      </c>
      <c r="G102" s="48">
        <f t="shared" si="27"/>
        <v>1.1123669191883181</v>
      </c>
      <c r="I102" s="45"/>
      <c r="J102" s="48">
        <f t="shared" si="34"/>
        <v>1.4924035948928309</v>
      </c>
      <c r="Q102" s="8">
        <f t="shared" si="28"/>
        <v>100</v>
      </c>
      <c r="R102" s="9">
        <f t="shared" si="29"/>
        <v>1.6080800529201442E-2</v>
      </c>
      <c r="S102" s="8">
        <f t="shared" si="35"/>
        <v>-1</v>
      </c>
      <c r="T102" s="9">
        <f t="shared" si="36"/>
        <v>-3.7126759385882314E-2</v>
      </c>
      <c r="U102" s="9">
        <f t="shared" si="37"/>
        <v>-3.6790438456590538E-2</v>
      </c>
      <c r="V102" s="9">
        <f t="shared" si="38"/>
        <v>1.0560456655917181E-2</v>
      </c>
    </row>
    <row r="103" spans="1:22">
      <c r="A103" s="8">
        <f t="shared" si="30"/>
        <v>0.4600000000000003</v>
      </c>
      <c r="B103" s="48">
        <f t="shared" si="31"/>
        <v>93.454301320534711</v>
      </c>
      <c r="C103" s="48">
        <f t="shared" si="25"/>
        <v>3.3151970724206521</v>
      </c>
      <c r="D103" s="45">
        <f t="shared" si="26"/>
        <v>0.46310098086066331</v>
      </c>
      <c r="E103" s="48">
        <f t="shared" si="32"/>
        <v>-39.963581534766952</v>
      </c>
      <c r="F103" s="48">
        <f t="shared" si="33"/>
        <v>41.288098047528912</v>
      </c>
      <c r="G103" s="48">
        <f t="shared" si="27"/>
        <v>1.32451651276196</v>
      </c>
      <c r="I103" s="45"/>
      <c r="J103" s="48">
        <f t="shared" si="34"/>
        <v>-3.9556979136450754</v>
      </c>
      <c r="Q103" s="8">
        <f t="shared" si="28"/>
        <v>100</v>
      </c>
      <c r="R103" s="9">
        <f t="shared" si="29"/>
        <v>1.652657616844384E-2</v>
      </c>
      <c r="S103" s="8">
        <f t="shared" si="35"/>
        <v>1</v>
      </c>
      <c r="T103" s="9">
        <f t="shared" si="36"/>
        <v>6.7567220590074471E-3</v>
      </c>
      <c r="U103" s="9">
        <f t="shared" si="37"/>
        <v>6.6948452856588746E-3</v>
      </c>
      <c r="V103" s="9">
        <f t="shared" si="38"/>
        <v>-2.6572983175913303E-2</v>
      </c>
    </row>
    <row r="104" spans="1:22">
      <c r="A104" s="8">
        <f t="shared" si="30"/>
        <v>0.4650000000000003</v>
      </c>
      <c r="B104" s="48">
        <f t="shared" si="31"/>
        <v>95.004245978584322</v>
      </c>
      <c r="C104" s="48">
        <f t="shared" si="25"/>
        <v>3.9038208041009241</v>
      </c>
      <c r="D104" s="45">
        <f t="shared" si="26"/>
        <v>0.48787808167761182</v>
      </c>
      <c r="E104" s="48">
        <f t="shared" si="32"/>
        <v>-42.446668475158759</v>
      </c>
      <c r="F104" s="48">
        <f t="shared" si="33"/>
        <v>43.6461568444306</v>
      </c>
      <c r="G104" s="48">
        <f t="shared" si="27"/>
        <v>1.1994883692718403</v>
      </c>
      <c r="I104" s="45"/>
      <c r="J104" s="48">
        <f t="shared" si="34"/>
        <v>2.3539297806495583</v>
      </c>
      <c r="Q104" s="8">
        <f t="shared" si="28"/>
        <v>100</v>
      </c>
      <c r="R104" s="9">
        <f t="shared" si="29"/>
        <v>1.6395383363299654E-2</v>
      </c>
      <c r="S104" s="8">
        <f t="shared" si="35"/>
        <v>-1</v>
      </c>
      <c r="T104" s="9">
        <f t="shared" si="36"/>
        <v>-2.4967151328945145E-2</v>
      </c>
      <c r="U104" s="9">
        <f t="shared" si="37"/>
        <v>-2.4736033186728869E-2</v>
      </c>
      <c r="V104" s="9">
        <f t="shared" si="38"/>
        <v>1.6585054258054167E-2</v>
      </c>
    </row>
    <row r="105" spans="1:22">
      <c r="A105" s="8">
        <f t="shared" si="30"/>
        <v>0.47000000000000031</v>
      </c>
      <c r="B105" s="48">
        <f t="shared" si="31"/>
        <v>94.116778378293148</v>
      </c>
      <c r="C105" s="48">
        <f t="shared" si="25"/>
        <v>3.5147260020462738</v>
      </c>
      <c r="D105" s="45">
        <f t="shared" si="26"/>
        <v>0.47251054046215624</v>
      </c>
      <c r="E105" s="48">
        <f t="shared" si="32"/>
        <v>-40.956443816038004</v>
      </c>
      <c r="F105" s="48">
        <f t="shared" si="33"/>
        <v>42.204178207558783</v>
      </c>
      <c r="G105" s="48">
        <f t="shared" si="27"/>
        <v>1.2477343915207797</v>
      </c>
      <c r="I105" s="45"/>
      <c r="J105" s="48">
        <f t="shared" si="34"/>
        <v>-1.4463434707943188</v>
      </c>
      <c r="Q105" s="8">
        <f t="shared" si="28"/>
        <v>100</v>
      </c>
      <c r="R105" s="9">
        <f t="shared" si="29"/>
        <v>1.6596036779208952E-2</v>
      </c>
      <c r="S105" s="8">
        <f t="shared" si="35"/>
        <v>-1</v>
      </c>
      <c r="T105" s="9">
        <f t="shared" si="36"/>
        <v>-3.8606965214729776E-2</v>
      </c>
      <c r="U105" s="9">
        <f t="shared" si="37"/>
        <v>-3.8245760065582307E-2</v>
      </c>
      <c r="V105" s="9">
        <f t="shared" si="38"/>
        <v>-9.3413467066643038E-3</v>
      </c>
    </row>
    <row r="106" spans="1:22">
      <c r="A106" s="8">
        <f t="shared" si="30"/>
        <v>0.47500000000000031</v>
      </c>
      <c r="B106" s="48">
        <f t="shared" si="31"/>
        <v>94.991156465335735</v>
      </c>
      <c r="C106" s="48">
        <f t="shared" si="25"/>
        <v>3.840224174522433</v>
      </c>
      <c r="D106" s="45">
        <f t="shared" si="26"/>
        <v>0.48626908606730357</v>
      </c>
      <c r="E106" s="48">
        <f t="shared" si="32"/>
        <v>-42.351038664352608</v>
      </c>
      <c r="F106" s="48">
        <f t="shared" si="33"/>
        <v>43.515338994721475</v>
      </c>
      <c r="G106" s="48">
        <f t="shared" si="27"/>
        <v>1.1643003303688673</v>
      </c>
      <c r="I106" s="45"/>
      <c r="J106" s="48">
        <f t="shared" si="34"/>
        <v>1.3069401583140074</v>
      </c>
      <c r="Q106" s="8">
        <f t="shared" si="28"/>
        <v>100</v>
      </c>
      <c r="R106" s="9">
        <f t="shared" si="29"/>
        <v>1.6550909428011205E-2</v>
      </c>
      <c r="S106" s="8">
        <f t="shared" si="35"/>
        <v>-1</v>
      </c>
      <c r="T106" s="9">
        <f t="shared" si="36"/>
        <v>-3.9291649753201048E-2</v>
      </c>
      <c r="U106" s="9">
        <f t="shared" si="37"/>
        <v>-3.8920146514937123E-2</v>
      </c>
      <c r="V106" s="9">
        <f t="shared" si="38"/>
        <v>9.2903529222824622E-3</v>
      </c>
    </row>
    <row r="107" spans="1:22">
      <c r="A107" s="8">
        <f t="shared" si="30"/>
        <v>0.48000000000000032</v>
      </c>
      <c r="B107" s="48">
        <f t="shared" si="31"/>
        <v>98.320910388000584</v>
      </c>
      <c r="C107" s="48">
        <f t="shared" si="25"/>
        <v>5.3542212304690011</v>
      </c>
      <c r="D107" s="45">
        <f t="shared" si="26"/>
        <v>0.53995006360595954</v>
      </c>
      <c r="E107" s="48">
        <f t="shared" si="32"/>
        <v>-47.734160587327764</v>
      </c>
      <c r="F107" s="48">
        <f t="shared" si="33"/>
        <v>48.797653328323364</v>
      </c>
      <c r="G107" s="48">
        <f>F107+E107</f>
        <v>1.0634927409955992</v>
      </c>
      <c r="I107" s="45"/>
      <c r="J107" s="48">
        <f t="shared" si="34"/>
        <v>5.2779625821184659</v>
      </c>
      <c r="Q107" s="8">
        <f t="shared" si="28"/>
        <v>100</v>
      </c>
      <c r="R107" s="9">
        <f t="shared" ref="R107:R138" si="39">CallGamma(B107,$E$6,0,PL_r, PL_K, PL_T-A107)</f>
        <v>1.5995933963438319E-2</v>
      </c>
      <c r="S107" s="8">
        <f t="shared" si="35"/>
        <v>1</v>
      </c>
      <c r="T107" s="9">
        <f t="shared" si="36"/>
        <v>4.7644980193014309E-2</v>
      </c>
      <c r="U107" s="9">
        <f t="shared" si="37"/>
        <v>4.7189776855139441E-2</v>
      </c>
      <c r="V107" s="9">
        <f t="shared" si="38"/>
        <v>3.5053304397656707E-2</v>
      </c>
    </row>
    <row r="108" spans="1:22">
      <c r="A108" s="8">
        <f t="shared" ref="A108:A139" si="40">A107+dt</f>
        <v>0.48500000000000032</v>
      </c>
      <c r="B108" s="48">
        <f t="shared" ref="B108:B139" si="41">B107*EXP((PL_r-0.5*Vol_a^2)*dt+Vol_a*SQRT(dt)*NormalRN())</f>
        <v>99.171966336129657</v>
      </c>
      <c r="C108" s="48">
        <f t="shared" si="25"/>
        <v>5.7668842225269401</v>
      </c>
      <c r="D108" s="45">
        <f t="shared" si="26"/>
        <v>0.55309702642443415</v>
      </c>
      <c r="E108" s="48">
        <f t="shared" si="32"/>
        <v>-49.08483546265046</v>
      </c>
      <c r="F108" s="48">
        <f t="shared" si="33"/>
        <v>50.106343491708706</v>
      </c>
      <c r="G108" s="48">
        <f>F108+E108</f>
        <v>1.0215080290582463</v>
      </c>
      <c r="I108" s="45"/>
      <c r="J108" s="48">
        <f t="shared" si="34"/>
        <v>1.3038101540561118</v>
      </c>
      <c r="Q108" s="8">
        <f t="shared" si="28"/>
        <v>100</v>
      </c>
      <c r="R108" s="9">
        <f t="shared" si="39"/>
        <v>1.5873767814687419E-2</v>
      </c>
      <c r="S108" s="8">
        <f t="shared" ref="S108:S139" si="42">IF(V108^2 &lt; ($E$6^2*dt), -1, 1)</f>
        <v>-1</v>
      </c>
      <c r="T108" s="9">
        <f t="shared" ref="T108:T139" si="43">0.5*R108*(B108^2)*(V108^2-$E$6^2*dt)</f>
        <v>-4.1963070849205093E-2</v>
      </c>
      <c r="U108" s="9">
        <f t="shared" ref="U108:U139" si="44">T108*EXP(-PL_r*A108)</f>
        <v>-4.1557996846991303E-2</v>
      </c>
      <c r="V108" s="9">
        <f t="shared" si="38"/>
        <v>8.655899795583448E-3</v>
      </c>
    </row>
    <row r="109" spans="1:22">
      <c r="A109" s="8">
        <f t="shared" si="40"/>
        <v>0.49000000000000032</v>
      </c>
      <c r="B109" s="48">
        <f t="shared" si="41"/>
        <v>103.10109166790187</v>
      </c>
      <c r="C109" s="48">
        <f t="shared" si="25"/>
        <v>8.0425389418309905</v>
      </c>
      <c r="D109" s="45">
        <f t="shared" si="26"/>
        <v>0.61331384740565498</v>
      </c>
      <c r="E109" s="48">
        <f t="shared" si="32"/>
        <v>-55.190788260733022</v>
      </c>
      <c r="F109" s="48">
        <f t="shared" si="33"/>
        <v>56.319774356532434</v>
      </c>
      <c r="G109" s="48">
        <f>F109+E109</f>
        <v>1.1289860957994122</v>
      </c>
      <c r="I109" s="45"/>
      <c r="J109" s="48">
        <f t="shared" si="34"/>
        <v>6.2084199799344857</v>
      </c>
      <c r="Q109" s="8">
        <f t="shared" si="28"/>
        <v>100</v>
      </c>
      <c r="R109" s="9">
        <f t="shared" si="39"/>
        <v>1.485206250633762E-2</v>
      </c>
      <c r="S109" s="8">
        <f t="shared" si="42"/>
        <v>1</v>
      </c>
      <c r="T109" s="9">
        <f t="shared" si="43"/>
        <v>7.5558180772494127E-2</v>
      </c>
      <c r="U109" s="9">
        <f t="shared" si="44"/>
        <v>7.4821327081286873E-2</v>
      </c>
      <c r="V109" s="9">
        <f t="shared" si="38"/>
        <v>3.9619314579837875E-2</v>
      </c>
    </row>
    <row r="110" spans="1:22">
      <c r="A110" s="8">
        <f t="shared" si="40"/>
        <v>0.49500000000000033</v>
      </c>
      <c r="B110" s="48">
        <f t="shared" si="41"/>
        <v>100.06355986156571</v>
      </c>
      <c r="C110" s="48">
        <f t="shared" si="25"/>
        <v>6.1888910341632553</v>
      </c>
      <c r="D110" s="45">
        <f t="shared" si="26"/>
        <v>0.56652078184797983</v>
      </c>
      <c r="E110" s="48">
        <f t="shared" si="32"/>
        <v>-50.499195133103079</v>
      </c>
      <c r="F110" s="48">
        <f t="shared" si="33"/>
        <v>51.643125899039752</v>
      </c>
      <c r="G110" s="48">
        <f>F110+E110</f>
        <v>1.1439307659366733</v>
      </c>
      <c r="I110" s="45"/>
      <c r="J110" s="48">
        <f t="shared" si="34"/>
        <v>-4.6822807165365958</v>
      </c>
      <c r="Q110" s="8">
        <f t="shared" si="28"/>
        <v>100</v>
      </c>
      <c r="R110" s="9">
        <f t="shared" si="39"/>
        <v>1.5806159707404885E-2</v>
      </c>
      <c r="S110" s="8">
        <f t="shared" si="42"/>
        <v>1</v>
      </c>
      <c r="T110" s="9">
        <f t="shared" si="43"/>
        <v>2.0217320633197908E-2</v>
      </c>
      <c r="U110" s="9">
        <f t="shared" si="44"/>
        <v>2.0018156647328499E-2</v>
      </c>
      <c r="V110" s="9">
        <f t="shared" si="38"/>
        <v>-2.9461684228527203E-2</v>
      </c>
    </row>
    <row r="111" spans="1:22">
      <c r="A111" s="8">
        <f t="shared" si="40"/>
        <v>0.50000000000000033</v>
      </c>
      <c r="B111" s="48">
        <f t="shared" si="41"/>
        <v>98.94200790223293</v>
      </c>
      <c r="C111" s="48">
        <f t="shared" si="25"/>
        <v>5.5479134528627725</v>
      </c>
      <c r="D111" s="45">
        <f t="shared" si="26"/>
        <v>0.54822291746063745</v>
      </c>
      <c r="E111" s="48">
        <f t="shared" si="32"/>
        <v>-48.694362778712808</v>
      </c>
      <c r="F111" s="48">
        <f t="shared" si="33"/>
        <v>49.837863027047483</v>
      </c>
      <c r="G111" s="48">
        <f>F111+E111</f>
        <v>1.143500248334675</v>
      </c>
      <c r="I111" s="45"/>
      <c r="J111" s="48">
        <f t="shared" si="34"/>
        <v>-1.810427442806416</v>
      </c>
      <c r="Q111" s="8">
        <f t="shared" si="28"/>
        <v>100</v>
      </c>
      <c r="R111" s="9">
        <f t="shared" si="39"/>
        <v>1.6172902515265854E-2</v>
      </c>
      <c r="S111" s="8">
        <f t="shared" si="42"/>
        <v>-1</v>
      </c>
      <c r="T111" s="9">
        <f t="shared" si="43"/>
        <v>-3.8541986461719351E-2</v>
      </c>
      <c r="U111" s="9">
        <f t="shared" si="44"/>
        <v>-3.8158487288787929E-2</v>
      </c>
      <c r="V111" s="9">
        <f t="shared" si="38"/>
        <v>-1.1208395552630781E-2</v>
      </c>
    </row>
    <row r="112" spans="1:22">
      <c r="A112" s="8">
        <f t="shared" si="40"/>
        <v>0.50500000000000034</v>
      </c>
      <c r="B112" s="48">
        <f t="shared" si="41"/>
        <v>100.8362755070891</v>
      </c>
      <c r="C112" s="48">
        <f t="shared" si="25"/>
        <v>6.5623817565366593</v>
      </c>
      <c r="D112" s="45">
        <f t="shared" si="26"/>
        <v>0.57814357799374438</v>
      </c>
      <c r="E112" s="48">
        <f t="shared" si="32"/>
        <v>-51.735463356694801</v>
      </c>
      <c r="F112" s="48">
        <f t="shared" si="33"/>
        <v>52.859935031418267</v>
      </c>
      <c r="G112" s="48">
        <f t="shared" ref="G112:G175" si="45">F112+E112</f>
        <v>1.1244716747234662</v>
      </c>
      <c r="J112" s="48">
        <f t="shared" si="34"/>
        <v>3.0170879688704582</v>
      </c>
      <c r="Q112" s="8">
        <f t="shared" si="28"/>
        <v>100</v>
      </c>
      <c r="R112" s="9">
        <f t="shared" si="39"/>
        <v>1.5757336623065873E-2</v>
      </c>
      <c r="S112" s="8">
        <f t="shared" si="42"/>
        <v>-1</v>
      </c>
      <c r="T112" s="9">
        <f t="shared" si="43"/>
        <v>-1.9703851149576419E-2</v>
      </c>
      <c r="U112" s="9">
        <f t="shared" si="44"/>
        <v>-1.9505843872936725E-2</v>
      </c>
      <c r="V112" s="9">
        <f t="shared" si="38"/>
        <v>1.9145231080492535E-2</v>
      </c>
    </row>
    <row r="113" spans="1:22">
      <c r="A113" s="8">
        <f t="shared" si="40"/>
        <v>0.51000000000000034</v>
      </c>
      <c r="B113" s="48">
        <f t="shared" si="41"/>
        <v>100.1459036613859</v>
      </c>
      <c r="C113" s="48">
        <f t="shared" si="25"/>
        <v>6.1359812454923741</v>
      </c>
      <c r="D113" s="45">
        <f t="shared" si="26"/>
        <v>0.56688572061516618</v>
      </c>
      <c r="E113" s="48">
        <f t="shared" si="32"/>
        <v>-50.635301518249385</v>
      </c>
      <c r="F113" s="48">
        <f t="shared" si="33"/>
        <v>51.737792988761178</v>
      </c>
      <c r="G113" s="48">
        <f t="shared" si="45"/>
        <v>1.1024914705117936</v>
      </c>
      <c r="J113" s="48">
        <f t="shared" si="34"/>
        <v>-1.1274283004687156</v>
      </c>
      <c r="Q113" s="8">
        <f t="shared" si="28"/>
        <v>100</v>
      </c>
      <c r="R113" s="9">
        <f t="shared" si="39"/>
        <v>1.6030574559660535E-2</v>
      </c>
      <c r="S113" s="8">
        <f t="shared" si="42"/>
        <v>-1</v>
      </c>
      <c r="T113" s="9">
        <f t="shared" si="43"/>
        <v>-4.5468936061464418E-2</v>
      </c>
      <c r="U113" s="9">
        <f t="shared" si="44"/>
        <v>-4.5007510186156952E-2</v>
      </c>
      <c r="V113" s="9">
        <f t="shared" si="38"/>
        <v>-6.8464631625020887E-3</v>
      </c>
    </row>
    <row r="114" spans="1:22">
      <c r="A114" s="8">
        <f t="shared" si="40"/>
        <v>0.51500000000000035</v>
      </c>
      <c r="B114" s="48">
        <f t="shared" si="41"/>
        <v>97.713418300373419</v>
      </c>
      <c r="C114" s="48">
        <f t="shared" si="25"/>
        <v>4.8265537818391735</v>
      </c>
      <c r="D114" s="45">
        <f t="shared" si="26"/>
        <v>0.52661763411932327</v>
      </c>
      <c r="E114" s="48">
        <f t="shared" si="32"/>
        <v>-46.631055385215262</v>
      </c>
      <c r="F114" s="48">
        <f t="shared" si="33"/>
        <v>47.808234646833732</v>
      </c>
      <c r="G114" s="48">
        <f t="shared" si="45"/>
        <v>1.1771792616184698</v>
      </c>
      <c r="J114" s="48">
        <f t="shared" si="34"/>
        <v>-3.9347323799239158</v>
      </c>
      <c r="Q114" s="8">
        <f t="shared" si="28"/>
        <v>100</v>
      </c>
      <c r="R114" s="9">
        <f t="shared" si="39"/>
        <v>1.6712786244025602E-2</v>
      </c>
      <c r="S114" s="8">
        <f t="shared" si="42"/>
        <v>-1</v>
      </c>
      <c r="T114" s="9">
        <f t="shared" si="43"/>
        <v>-1.7971297987756671E-3</v>
      </c>
      <c r="U114" s="9">
        <f t="shared" si="44"/>
        <v>-1.7787143641441305E-3</v>
      </c>
      <c r="V114" s="9">
        <f t="shared" si="38"/>
        <v>-2.4289414465091055E-2</v>
      </c>
    </row>
    <row r="115" spans="1:22">
      <c r="A115" s="8">
        <f t="shared" si="40"/>
        <v>0.52000000000000035</v>
      </c>
      <c r="B115" s="48">
        <f t="shared" si="41"/>
        <v>97.622970915453152</v>
      </c>
      <c r="C115" s="48">
        <f t="shared" si="25"/>
        <v>4.7501262919244809</v>
      </c>
      <c r="D115" s="45">
        <f t="shared" si="26"/>
        <v>0.52456829699398511</v>
      </c>
      <c r="E115" s="48">
        <f t="shared" si="32"/>
        <v>-46.459789308688116</v>
      </c>
      <c r="F115" s="48">
        <f t="shared" si="33"/>
        <v>47.612953330764711</v>
      </c>
      <c r="G115" s="48">
        <f t="shared" si="45"/>
        <v>1.1531640220765951</v>
      </c>
      <c r="J115" s="48">
        <f t="shared" si="34"/>
        <v>-0.20006237858284642</v>
      </c>
      <c r="Q115" s="8">
        <f t="shared" si="28"/>
        <v>100</v>
      </c>
      <c r="R115" s="9">
        <f t="shared" si="39"/>
        <v>1.6820728798525215E-2</v>
      </c>
      <c r="S115" s="8">
        <f t="shared" si="42"/>
        <v>-1</v>
      </c>
      <c r="T115" s="9">
        <f t="shared" si="43"/>
        <v>-4.9024931941751504E-2</v>
      </c>
      <c r="U115" s="9">
        <f t="shared" si="44"/>
        <v>-4.8517714750660336E-2</v>
      </c>
      <c r="V115" s="9">
        <f t="shared" si="38"/>
        <v>-9.2563934916522854E-4</v>
      </c>
    </row>
    <row r="116" spans="1:22">
      <c r="A116" s="8">
        <f t="shared" si="40"/>
        <v>0.52500000000000036</v>
      </c>
      <c r="B116" s="48">
        <f t="shared" si="41"/>
        <v>96.937915951574482</v>
      </c>
      <c r="C116" s="48">
        <f t="shared" si="25"/>
        <v>4.3921515688829302</v>
      </c>
      <c r="D116" s="45">
        <f t="shared" si="26"/>
        <v>0.51239247266802879</v>
      </c>
      <c r="E116" s="48">
        <f t="shared" si="32"/>
        <v>-45.278106880829867</v>
      </c>
      <c r="F116" s="48">
        <f t="shared" si="33"/>
        <v>46.437415829019805</v>
      </c>
      <c r="G116" s="48">
        <f t="shared" si="45"/>
        <v>1.1593089481899383</v>
      </c>
      <c r="J116" s="48">
        <f t="shared" si="34"/>
        <v>-1.1802990351506897</v>
      </c>
      <c r="Q116" s="8">
        <f t="shared" si="28"/>
        <v>100</v>
      </c>
      <c r="R116" s="9">
        <f t="shared" si="39"/>
        <v>1.70526525794851E-2</v>
      </c>
      <c r="S116" s="8">
        <f t="shared" si="42"/>
        <v>-1</v>
      </c>
      <c r="T116" s="9">
        <f t="shared" si="43"/>
        <v>-4.5128999267952087E-2</v>
      </c>
      <c r="U116" s="9">
        <f t="shared" si="44"/>
        <v>-4.4657623827455098E-2</v>
      </c>
      <c r="V116" s="9">
        <f t="shared" si="38"/>
        <v>-7.0173541888206353E-3</v>
      </c>
    </row>
    <row r="117" spans="1:22">
      <c r="A117" s="8">
        <f t="shared" si="40"/>
        <v>0.53000000000000036</v>
      </c>
      <c r="B117" s="48">
        <f t="shared" si="41"/>
        <v>95.04399276929351</v>
      </c>
      <c r="C117" s="48">
        <f t="shared" si="25"/>
        <v>3.5344426110226905</v>
      </c>
      <c r="D117" s="45">
        <f t="shared" si="26"/>
        <v>0.47898944751609485</v>
      </c>
      <c r="E117" s="48">
        <f t="shared" si="32"/>
        <v>-41.990626975264924</v>
      </c>
      <c r="F117" s="48">
        <f t="shared" si="33"/>
        <v>43.267302921784591</v>
      </c>
      <c r="G117" s="48">
        <f t="shared" si="45"/>
        <v>1.2766759465196671</v>
      </c>
      <c r="J117" s="48">
        <f t="shared" si="34"/>
        <v>-3.1747568810129385</v>
      </c>
      <c r="Q117" s="8">
        <f t="shared" si="28"/>
        <v>100</v>
      </c>
      <c r="R117" s="9">
        <f t="shared" si="39"/>
        <v>1.7468900654136081E-2</v>
      </c>
      <c r="S117" s="8">
        <f t="shared" si="42"/>
        <v>-1</v>
      </c>
      <c r="T117" s="9">
        <f t="shared" si="43"/>
        <v>-1.8209397879756933E-2</v>
      </c>
      <c r="U117" s="9">
        <f t="shared" si="44"/>
        <v>-1.8017397661148814E-2</v>
      </c>
      <c r="V117" s="9">
        <f t="shared" si="38"/>
        <v>-1.9537486067134811E-2</v>
      </c>
    </row>
    <row r="118" spans="1:22">
      <c r="A118" s="8">
        <f t="shared" si="40"/>
        <v>0.53500000000000036</v>
      </c>
      <c r="B118" s="48">
        <f t="shared" si="41"/>
        <v>93.085968899613619</v>
      </c>
      <c r="C118" s="48">
        <f t="shared" si="25"/>
        <v>2.7648207449445898</v>
      </c>
      <c r="D118" s="45">
        <f t="shared" si="26"/>
        <v>0.44358202522838064</v>
      </c>
      <c r="E118" s="48">
        <f t="shared" si="32"/>
        <v>-38.526441859892074</v>
      </c>
      <c r="F118" s="48">
        <f t="shared" si="33"/>
        <v>39.975695658530846</v>
      </c>
      <c r="G118" s="48">
        <f t="shared" si="45"/>
        <v>1.4492537986387717</v>
      </c>
      <c r="J118" s="48">
        <f t="shared" si="34"/>
        <v>-3.2959342098896509</v>
      </c>
      <c r="Q118" s="8">
        <f t="shared" si="28"/>
        <v>100</v>
      </c>
      <c r="R118" s="9">
        <f t="shared" si="39"/>
        <v>1.7777035148577962E-2</v>
      </c>
      <c r="S118" s="8">
        <f t="shared" si="42"/>
        <v>-1</v>
      </c>
      <c r="T118" s="9">
        <f t="shared" si="43"/>
        <v>-1.4486424568757707E-2</v>
      </c>
      <c r="U118" s="9">
        <f t="shared" si="44"/>
        <v>-1.433224615139268E-2</v>
      </c>
      <c r="V118" s="9">
        <f t="shared" si="38"/>
        <v>-2.0601237517795898E-2</v>
      </c>
    </row>
    <row r="119" spans="1:22">
      <c r="A119" s="8">
        <f t="shared" si="40"/>
        <v>0.54000000000000037</v>
      </c>
      <c r="B119" s="48">
        <f t="shared" si="41"/>
        <v>90.612397014130593</v>
      </c>
      <c r="C119" s="48">
        <f t="shared" si="25"/>
        <v>1.9651289155972975</v>
      </c>
      <c r="D119" s="45">
        <f t="shared" si="26"/>
        <v>0.39826900736426407</v>
      </c>
      <c r="E119" s="48">
        <f t="shared" si="32"/>
        <v>-34.122980498117101</v>
      </c>
      <c r="F119" s="48">
        <f t="shared" si="33"/>
        <v>35.873772263370121</v>
      </c>
      <c r="G119" s="48">
        <f t="shared" si="45"/>
        <v>1.7507917652530196</v>
      </c>
      <c r="J119" s="48">
        <f t="shared" si="34"/>
        <v>-4.105921164611722</v>
      </c>
      <c r="Q119" s="8">
        <f t="shared" si="28"/>
        <v>100</v>
      </c>
      <c r="R119" s="9">
        <f t="shared" si="39"/>
        <v>1.7940738349677975E-2</v>
      </c>
      <c r="S119" s="8">
        <f t="shared" si="42"/>
        <v>1</v>
      </c>
      <c r="T119" s="9">
        <f t="shared" si="43"/>
        <v>6.8955692708195298E-3</v>
      </c>
      <c r="U119" s="9">
        <f t="shared" si="44"/>
        <v>6.821497828456459E-3</v>
      </c>
      <c r="V119" s="9">
        <f t="shared" si="38"/>
        <v>-2.6572983175913341E-2</v>
      </c>
    </row>
    <row r="120" spans="1:22">
      <c r="A120" s="8">
        <f t="shared" si="40"/>
        <v>0.54500000000000037</v>
      </c>
      <c r="B120" s="48">
        <f t="shared" si="41"/>
        <v>88.689882811723109</v>
      </c>
      <c r="C120" s="48">
        <f t="shared" si="25"/>
        <v>1.4596596652233664</v>
      </c>
      <c r="D120" s="45">
        <f t="shared" si="26"/>
        <v>0.3624943704201905</v>
      </c>
      <c r="E120" s="48">
        <f t="shared" si="32"/>
        <v>-30.689923567252681</v>
      </c>
      <c r="F120" s="48">
        <f t="shared" si="33"/>
        <v>32.704511461769478</v>
      </c>
      <c r="G120" s="48">
        <f t="shared" si="45"/>
        <v>2.0145878945167972</v>
      </c>
      <c r="J120" s="48">
        <f t="shared" si="34"/>
        <v>-3.1728483582018248</v>
      </c>
      <c r="Q120" s="8">
        <f t="shared" si="28"/>
        <v>100</v>
      </c>
      <c r="R120" s="9">
        <f t="shared" si="39"/>
        <v>1.7909665397838094E-2</v>
      </c>
      <c r="S120" s="8">
        <f t="shared" si="42"/>
        <v>-1</v>
      </c>
      <c r="T120" s="9">
        <f t="shared" si="43"/>
        <v>-1.1435089640365249E-2</v>
      </c>
      <c r="U120" s="9">
        <f t="shared" si="44"/>
        <v>-1.1311124003367585E-2</v>
      </c>
      <c r="V120" s="9">
        <f t="shared" si="38"/>
        <v>-2.121690039948592E-2</v>
      </c>
    </row>
    <row r="121" spans="1:22">
      <c r="A121" s="8">
        <f t="shared" si="40"/>
        <v>0.55000000000000038</v>
      </c>
      <c r="B121" s="48">
        <f t="shared" si="41"/>
        <v>89.024006760953327</v>
      </c>
      <c r="C121" s="48">
        <f t="shared" si="25"/>
        <v>1.5141616400180062</v>
      </c>
      <c r="D121" s="45">
        <f t="shared" si="26"/>
        <v>0.36713044016318908</v>
      </c>
      <c r="E121" s="48">
        <f t="shared" si="32"/>
        <v>-31.169261147221508</v>
      </c>
      <c r="F121" s="48">
        <f t="shared" si="33"/>
        <v>33.120503580588618</v>
      </c>
      <c r="G121" s="48">
        <f t="shared" si="45"/>
        <v>1.9512424333671099</v>
      </c>
      <c r="J121" s="48">
        <f t="shared" si="34"/>
        <v>0.41272150414495601</v>
      </c>
      <c r="Q121" s="8">
        <f t="shared" si="28"/>
        <v>100</v>
      </c>
      <c r="R121" s="9">
        <f t="shared" si="39"/>
        <v>1.8017959179561026E-2</v>
      </c>
      <c r="S121" s="8">
        <f t="shared" si="42"/>
        <v>-1</v>
      </c>
      <c r="T121" s="9">
        <f t="shared" si="43"/>
        <v>-4.2718316645252663E-2</v>
      </c>
      <c r="U121" s="9">
        <f t="shared" si="44"/>
        <v>-4.2250990169968076E-2</v>
      </c>
      <c r="V121" s="9">
        <f t="shared" si="38"/>
        <v>3.7673287937421101E-3</v>
      </c>
    </row>
    <row r="122" spans="1:22">
      <c r="A122" s="8">
        <f t="shared" si="40"/>
        <v>0.55500000000000038</v>
      </c>
      <c r="B122" s="48">
        <f t="shared" si="41"/>
        <v>87.654661926651727</v>
      </c>
      <c r="C122" s="48">
        <f t="shared" si="25"/>
        <v>1.2001081098529944</v>
      </c>
      <c r="D122" s="45">
        <f t="shared" si="26"/>
        <v>0.34108730985044899</v>
      </c>
      <c r="E122" s="48">
        <f t="shared" si="32"/>
        <v>-28.697784722559216</v>
      </c>
      <c r="F122" s="48">
        <f t="shared" si="33"/>
        <v>30.84101401347975</v>
      </c>
      <c r="G122" s="48">
        <f t="shared" si="45"/>
        <v>2.1432292909205337</v>
      </c>
      <c r="J122" s="48">
        <f t="shared" si="34"/>
        <v>-2.2828017830749676</v>
      </c>
      <c r="Q122" s="8">
        <f t="shared" si="28"/>
        <v>100</v>
      </c>
      <c r="R122" s="9">
        <f t="shared" si="39"/>
        <v>1.792561042055164E-2</v>
      </c>
      <c r="S122" s="8">
        <f t="shared" si="42"/>
        <v>-1</v>
      </c>
      <c r="T122" s="9">
        <f t="shared" si="43"/>
        <v>-2.5886207956475685E-2</v>
      </c>
      <c r="U122" s="9">
        <f t="shared" si="44"/>
        <v>-2.5600459883874053E-2</v>
      </c>
      <c r="V122" s="9">
        <f t="shared" si="38"/>
        <v>-1.5381747959048347E-2</v>
      </c>
    </row>
    <row r="123" spans="1:22">
      <c r="A123" s="8">
        <f t="shared" si="40"/>
        <v>0.56000000000000039</v>
      </c>
      <c r="B123" s="48">
        <f t="shared" si="41"/>
        <v>86.781263187628838</v>
      </c>
      <c r="C123" s="48">
        <f t="shared" si="25"/>
        <v>1.0190933906873614</v>
      </c>
      <c r="D123" s="45">
        <f t="shared" si="26"/>
        <v>0.32394294464477047</v>
      </c>
      <c r="E123" s="48">
        <f t="shared" si="32"/>
        <v>-27.093084546305946</v>
      </c>
      <c r="F123" s="48">
        <f t="shared" si="33"/>
        <v>29.356288599992492</v>
      </c>
      <c r="G123" s="48">
        <f t="shared" si="45"/>
        <v>2.2632040536865468</v>
      </c>
      <c r="J123" s="48">
        <f t="shared" si="34"/>
        <v>-1.4878096690988145</v>
      </c>
      <c r="Q123" s="8">
        <f t="shared" si="28"/>
        <v>100</v>
      </c>
      <c r="R123" s="9">
        <f t="shared" si="39"/>
        <v>1.784013044568555E-2</v>
      </c>
      <c r="S123" s="8">
        <f t="shared" si="42"/>
        <v>-1</v>
      </c>
      <c r="T123" s="9">
        <f t="shared" si="43"/>
        <v>-3.4476324633035911E-2</v>
      </c>
      <c r="U123" s="9">
        <f t="shared" si="44"/>
        <v>-3.4092344101987866E-2</v>
      </c>
      <c r="V123" s="9">
        <f t="shared" si="38"/>
        <v>-9.9640877031017209E-3</v>
      </c>
    </row>
    <row r="124" spans="1:22">
      <c r="A124" s="8">
        <f t="shared" si="40"/>
        <v>0.56500000000000039</v>
      </c>
      <c r="B124" s="48">
        <f t="shared" si="41"/>
        <v>86.958990877683462</v>
      </c>
      <c r="C124" s="48">
        <f t="shared" si="25"/>
        <v>1.0319301753993191</v>
      </c>
      <c r="D124" s="45">
        <f t="shared" si="26"/>
        <v>0.32555691643848617</v>
      </c>
      <c r="E124" s="48">
        <f t="shared" si="32"/>
        <v>-27.278170751341754</v>
      </c>
      <c r="F124" s="48">
        <f t="shared" si="33"/>
        <v>29.499573734125388</v>
      </c>
      <c r="G124" s="48">
        <f t="shared" si="45"/>
        <v>2.2214029827836335</v>
      </c>
      <c r="J124" s="48">
        <f t="shared" si="34"/>
        <v>0.14034935848656163</v>
      </c>
      <c r="Q124" s="8">
        <f t="shared" si="28"/>
        <v>100</v>
      </c>
      <c r="R124" s="9">
        <f t="shared" si="39"/>
        <v>1.7942235594163931E-2</v>
      </c>
      <c r="S124" s="8">
        <f t="shared" si="42"/>
        <v>-1</v>
      </c>
      <c r="T124" s="9">
        <f t="shared" si="43"/>
        <v>-4.1266481035340176E-2</v>
      </c>
      <c r="U124" s="9">
        <f t="shared" si="44"/>
        <v>-4.0802794562213973E-2</v>
      </c>
      <c r="V124" s="9">
        <f t="shared" si="38"/>
        <v>2.0479961172074775E-3</v>
      </c>
    </row>
    <row r="125" spans="1:22">
      <c r="A125" s="8">
        <f t="shared" si="40"/>
        <v>0.5700000000000004</v>
      </c>
      <c r="B125" s="48">
        <f t="shared" si="41"/>
        <v>86.038404978616398</v>
      </c>
      <c r="C125" s="48">
        <f t="shared" si="25"/>
        <v>0.86160278212745744</v>
      </c>
      <c r="D125" s="45">
        <f t="shared" si="26"/>
        <v>0.30748946019771362</v>
      </c>
      <c r="E125" s="48">
        <f t="shared" si="32"/>
        <v>-25.594299921019577</v>
      </c>
      <c r="F125" s="48">
        <f t="shared" si="33"/>
        <v>27.948028722024567</v>
      </c>
      <c r="G125" s="48">
        <f t="shared" si="45"/>
        <v>2.3537288010049906</v>
      </c>
      <c r="J125" s="48">
        <f t="shared" si="34"/>
        <v>-1.5544951169770189</v>
      </c>
      <c r="Q125" s="8">
        <f t="shared" si="28"/>
        <v>100</v>
      </c>
      <c r="R125" s="9">
        <f t="shared" si="39"/>
        <v>1.7802450836501459E-2</v>
      </c>
      <c r="S125" s="8">
        <f t="shared" si="42"/>
        <v>-1</v>
      </c>
      <c r="T125" s="9">
        <f t="shared" si="43"/>
        <v>-3.2974296221275082E-2</v>
      </c>
      <c r="U125" s="9">
        <f t="shared" si="44"/>
        <v>-3.2600523795128192E-2</v>
      </c>
      <c r="V125" s="9">
        <f t="shared" si="38"/>
        <v>-1.0586437236397555E-2</v>
      </c>
    </row>
    <row r="126" spans="1:22">
      <c r="A126" s="8">
        <f t="shared" si="40"/>
        <v>0.5750000000000004</v>
      </c>
      <c r="B126" s="48">
        <f t="shared" si="41"/>
        <v>82.379792966606274</v>
      </c>
      <c r="C126" s="48">
        <f t="shared" si="25"/>
        <v>0.41149350046692756</v>
      </c>
      <c r="D126" s="45">
        <f t="shared" si="26"/>
        <v>0.24254104907272311</v>
      </c>
      <c r="E126" s="48">
        <f t="shared" si="32"/>
        <v>-19.568987908047493</v>
      </c>
      <c r="F126" s="48">
        <f t="shared" si="33"/>
        <v>22.600387002654827</v>
      </c>
      <c r="G126" s="48">
        <f t="shared" si="45"/>
        <v>3.0313990946073339</v>
      </c>
      <c r="J126" s="48">
        <f t="shared" si="34"/>
        <v>-5.3504366619867456</v>
      </c>
      <c r="Q126" s="8">
        <f t="shared" si="28"/>
        <v>100</v>
      </c>
      <c r="R126" s="9">
        <f t="shared" si="39"/>
        <v>1.6633583648277644E-2</v>
      </c>
      <c r="S126" s="8">
        <f t="shared" si="42"/>
        <v>1</v>
      </c>
      <c r="T126" s="9">
        <f t="shared" si="43"/>
        <v>6.748725905286268E-2</v>
      </c>
      <c r="U126" s="9">
        <f t="shared" si="44"/>
        <v>6.6715601111214065E-2</v>
      </c>
      <c r="V126" s="9">
        <f t="shared" si="38"/>
        <v>-4.2523010659244777E-2</v>
      </c>
    </row>
    <row r="127" spans="1:22">
      <c r="A127" s="8">
        <f t="shared" si="40"/>
        <v>0.5800000000000004</v>
      </c>
      <c r="B127" s="48">
        <f t="shared" si="41"/>
        <v>81.298091037617468</v>
      </c>
      <c r="C127" s="48">
        <f t="shared" si="25"/>
        <v>0.31602812146892045</v>
      </c>
      <c r="D127" s="45">
        <f t="shared" si="26"/>
        <v>0.22292299229707557</v>
      </c>
      <c r="E127" s="48">
        <f t="shared" si="32"/>
        <v>-17.807185600676824</v>
      </c>
      <c r="F127" s="48">
        <f t="shared" si="33"/>
        <v>21.007736588633055</v>
      </c>
      <c r="G127" s="48">
        <f t="shared" si="45"/>
        <v>3.2005509879562304</v>
      </c>
      <c r="J127" s="48">
        <f t="shared" si="34"/>
        <v>-1.594910565727742</v>
      </c>
      <c r="Q127" s="8">
        <f t="shared" si="28"/>
        <v>100</v>
      </c>
      <c r="R127" s="9">
        <f t="shared" si="39"/>
        <v>1.6178310017334181E-2</v>
      </c>
      <c r="S127" s="8">
        <f t="shared" si="42"/>
        <v>-1</v>
      </c>
      <c r="T127" s="9">
        <f t="shared" si="43"/>
        <v>-2.3528860886888034E-2</v>
      </c>
      <c r="U127" s="9">
        <f t="shared" si="44"/>
        <v>-2.3257503019052977E-2</v>
      </c>
      <c r="V127" s="9">
        <f t="shared" si="38"/>
        <v>-1.3130670641856171E-2</v>
      </c>
    </row>
    <row r="128" spans="1:22">
      <c r="A128" s="8">
        <f t="shared" si="40"/>
        <v>0.58500000000000041</v>
      </c>
      <c r="B128" s="48">
        <f t="shared" si="41"/>
        <v>80.796558601961507</v>
      </c>
      <c r="C128" s="48">
        <f t="shared" si="25"/>
        <v>0.2736294025773125</v>
      </c>
      <c r="D128" s="45">
        <f t="shared" si="26"/>
        <v>0.2129623798100464</v>
      </c>
      <c r="E128" s="48">
        <f t="shared" si="32"/>
        <v>-16.932997997758285</v>
      </c>
      <c r="F128" s="48">
        <f t="shared" si="33"/>
        <v>20.205054256814421</v>
      </c>
      <c r="G128" s="48">
        <f t="shared" si="45"/>
        <v>3.2720562590561357</v>
      </c>
      <c r="J128" s="48">
        <f t="shared" si="34"/>
        <v>-0.80478321051968227</v>
      </c>
      <c r="Q128" s="8">
        <f t="shared" si="28"/>
        <v>100</v>
      </c>
      <c r="R128" s="9">
        <f t="shared" si="39"/>
        <v>1.5950467172862963E-2</v>
      </c>
      <c r="S128" s="8">
        <f t="shared" si="42"/>
        <v>-1</v>
      </c>
      <c r="T128" s="9">
        <f t="shared" si="43"/>
        <v>-2.9907209569646161E-2</v>
      </c>
      <c r="U128" s="9">
        <f t="shared" si="44"/>
        <v>-2.9559334256640962E-2</v>
      </c>
      <c r="V128" s="9">
        <f t="shared" si="38"/>
        <v>-6.1690555000104008E-3</v>
      </c>
    </row>
    <row r="129" spans="1:22">
      <c r="A129" s="8">
        <f t="shared" si="40"/>
        <v>0.59000000000000041</v>
      </c>
      <c r="B129" s="48">
        <f t="shared" si="41"/>
        <v>76.840815321131714</v>
      </c>
      <c r="C129" s="48">
        <f t="shared" si="25"/>
        <v>9.6554577456912538E-2</v>
      </c>
      <c r="D129" s="45">
        <f t="shared" si="26"/>
        <v>0.15225076555843298</v>
      </c>
      <c r="E129" s="48">
        <f t="shared" si="32"/>
        <v>-11.602518381319557</v>
      </c>
      <c r="F129" s="48">
        <f t="shared" si="33"/>
        <v>15.541944924712725</v>
      </c>
      <c r="G129" s="48">
        <f t="shared" si="45"/>
        <v>3.9394265433931679</v>
      </c>
      <c r="J129" s="48">
        <f t="shared" si="34"/>
        <v>-4.6651299385560154</v>
      </c>
      <c r="Q129" s="8">
        <f t="shared" si="28"/>
        <v>100</v>
      </c>
      <c r="R129" s="9">
        <f t="shared" si="39"/>
        <v>1.367424578979253E-2</v>
      </c>
      <c r="S129" s="8">
        <f t="shared" si="42"/>
        <v>1</v>
      </c>
      <c r="T129" s="9">
        <f t="shared" si="43"/>
        <v>7.2040570239035845E-2</v>
      </c>
      <c r="U129" s="9">
        <f t="shared" si="44"/>
        <v>7.1195487305280594E-2</v>
      </c>
      <c r="V129" s="9">
        <f t="shared" si="38"/>
        <v>-4.8959304075282227E-2</v>
      </c>
    </row>
    <row r="130" spans="1:22">
      <c r="A130" s="8">
        <f t="shared" si="40"/>
        <v>0.59500000000000042</v>
      </c>
      <c r="B130" s="48">
        <f t="shared" si="41"/>
        <v>78.110574754844905</v>
      </c>
      <c r="C130" s="48">
        <f t="shared" si="25"/>
        <v>0.13113068331667854</v>
      </c>
      <c r="D130" s="45">
        <f t="shared" si="26"/>
        <v>0.16817828299584447</v>
      </c>
      <c r="E130" s="48">
        <f t="shared" si="32"/>
        <v>-13.005371662771694</v>
      </c>
      <c r="F130" s="48">
        <f t="shared" si="33"/>
        <v>16.78760673837154</v>
      </c>
      <c r="G130" s="48">
        <f t="shared" si="45"/>
        <v>3.7822350755998464</v>
      </c>
      <c r="J130" s="48">
        <f t="shared" si="34"/>
        <v>1.2441075414540266</v>
      </c>
      <c r="Q130" s="8">
        <f t="shared" si="28"/>
        <v>100</v>
      </c>
      <c r="R130" s="9">
        <f t="shared" si="39"/>
        <v>1.4444490677285099E-2</v>
      </c>
      <c r="S130" s="8">
        <f t="shared" si="42"/>
        <v>-1</v>
      </c>
      <c r="T130" s="9">
        <f t="shared" si="43"/>
        <v>-1.4957334757121703E-2</v>
      </c>
      <c r="U130" s="9">
        <f t="shared" si="44"/>
        <v>-1.4780397339152922E-2</v>
      </c>
      <c r="V130" s="9">
        <f t="shared" si="38"/>
        <v>1.6524543999261787E-2</v>
      </c>
    </row>
    <row r="131" spans="1:22">
      <c r="A131" s="8">
        <f t="shared" si="40"/>
        <v>0.60000000000000042</v>
      </c>
      <c r="B131" s="48">
        <f t="shared" si="41"/>
        <v>76.988047791921133</v>
      </c>
      <c r="C131" s="48">
        <f t="shared" si="25"/>
        <v>9.2650968484394136E-2</v>
      </c>
      <c r="D131" s="45">
        <f t="shared" si="26"/>
        <v>0.15042628564815863</v>
      </c>
      <c r="E131" s="48">
        <f t="shared" si="32"/>
        <v>-11.488375100157223</v>
      </c>
      <c r="F131" s="48">
        <f t="shared" si="33"/>
        <v>15.422593962780516</v>
      </c>
      <c r="G131" s="48">
        <f t="shared" si="45"/>
        <v>3.9342188626232932</v>
      </c>
      <c r="J131" s="48">
        <f t="shared" si="34"/>
        <v>-1.3666916202056949</v>
      </c>
      <c r="Q131" s="8">
        <f t="shared" si="28"/>
        <v>100</v>
      </c>
      <c r="R131" s="9">
        <f t="shared" si="39"/>
        <v>1.3707297313135695E-2</v>
      </c>
      <c r="S131" s="8">
        <f t="shared" si="42"/>
        <v>-1</v>
      </c>
      <c r="T131" s="9">
        <f t="shared" si="43"/>
        <v>-1.6491763509800698E-2</v>
      </c>
      <c r="U131" s="9">
        <f t="shared" si="44"/>
        <v>-1.6295045019242657E-2</v>
      </c>
      <c r="V131" s="9">
        <f t="shared" si="38"/>
        <v>-1.4370998631707614E-2</v>
      </c>
    </row>
    <row r="132" spans="1:22">
      <c r="A132" s="8">
        <f t="shared" si="40"/>
        <v>0.60500000000000043</v>
      </c>
      <c r="B132" s="48">
        <f t="shared" si="41"/>
        <v>74.924890424468984</v>
      </c>
      <c r="C132" s="48">
        <f t="shared" si="25"/>
        <v>4.8006358327199461E-2</v>
      </c>
      <c r="D132" s="45">
        <f t="shared" si="26"/>
        <v>0.12171226914038291</v>
      </c>
      <c r="E132" s="48">
        <f t="shared" si="32"/>
        <v>-9.0712720703294671</v>
      </c>
      <c r="F132" s="48">
        <f t="shared" si="33"/>
        <v>13.272741758800846</v>
      </c>
      <c r="G132" s="48">
        <f t="shared" si="45"/>
        <v>4.2014696884713789</v>
      </c>
      <c r="J132" s="48">
        <f t="shared" si="34"/>
        <v>-2.1513945404914891</v>
      </c>
      <c r="Q132" s="8">
        <f t="shared" si="28"/>
        <v>100</v>
      </c>
      <c r="R132" s="9">
        <f t="shared" si="39"/>
        <v>1.225901050612609E-2</v>
      </c>
      <c r="S132" s="8">
        <f t="shared" si="42"/>
        <v>1</v>
      </c>
      <c r="T132" s="9">
        <f t="shared" si="43"/>
        <v>3.6355245180895064E-3</v>
      </c>
      <c r="U132" s="9">
        <f t="shared" si="44"/>
        <v>3.5917997398066653E-3</v>
      </c>
      <c r="V132" s="9">
        <f t="shared" si="38"/>
        <v>-2.6798411268049452E-2</v>
      </c>
    </row>
    <row r="133" spans="1:22">
      <c r="A133" s="8">
        <f t="shared" si="40"/>
        <v>0.61000000000000043</v>
      </c>
      <c r="B133" s="48">
        <f t="shared" si="41"/>
        <v>71.525969292614434</v>
      </c>
      <c r="C133" s="48">
        <f t="shared" si="25"/>
        <v>1.4397254553425942E-2</v>
      </c>
      <c r="D133" s="45">
        <f t="shared" si="26"/>
        <v>8.2540653618354609E-2</v>
      </c>
      <c r="E133" s="48">
        <f t="shared" si="32"/>
        <v>-5.8894030015453298</v>
      </c>
      <c r="F133" s="48">
        <f t="shared" si="33"/>
        <v>10.472281330371953</v>
      </c>
      <c r="G133" s="48">
        <f t="shared" si="45"/>
        <v>4.5828783288266228</v>
      </c>
      <c r="J133" s="48">
        <f t="shared" si="34"/>
        <v>-2.8017877689706951</v>
      </c>
      <c r="Q133" s="8">
        <f t="shared" si="28"/>
        <v>100</v>
      </c>
      <c r="R133" s="9">
        <f t="shared" si="39"/>
        <v>9.7362491345227876E-3</v>
      </c>
      <c r="S133" s="8">
        <f t="shared" si="42"/>
        <v>1</v>
      </c>
      <c r="T133" s="9">
        <f t="shared" si="43"/>
        <v>3.5998575537441221E-2</v>
      </c>
      <c r="U133" s="9">
        <f t="shared" si="44"/>
        <v>3.5562061068366825E-2</v>
      </c>
      <c r="V133" s="9">
        <f t="shared" si="38"/>
        <v>-4.5364379081487848E-2</v>
      </c>
    </row>
    <row r="134" spans="1:22">
      <c r="A134" s="8">
        <f t="shared" si="40"/>
        <v>0.61500000000000044</v>
      </c>
      <c r="B134" s="48">
        <f t="shared" si="41"/>
        <v>68.656941634332782</v>
      </c>
      <c r="C134" s="48">
        <f t="shared" si="25"/>
        <v>4.3678122741135639E-3</v>
      </c>
      <c r="D134" s="45">
        <f t="shared" si="26"/>
        <v>5.6194282592430311E-2</v>
      </c>
      <c r="E134" s="48">
        <f t="shared" si="32"/>
        <v>-3.8537597678575768</v>
      </c>
      <c r="F134" s="48">
        <f t="shared" si="33"/>
        <v>8.6644673530647811</v>
      </c>
      <c r="G134" s="48">
        <f t="shared" si="45"/>
        <v>4.8107075852072043</v>
      </c>
      <c r="J134" s="48">
        <f t="shared" si="34"/>
        <v>-1.8088612578033607</v>
      </c>
      <c r="Q134" s="8">
        <f t="shared" si="28"/>
        <v>100</v>
      </c>
      <c r="R134" s="9">
        <f t="shared" si="39"/>
        <v>7.5883799042894221E-3</v>
      </c>
      <c r="S134" s="8">
        <f t="shared" si="42"/>
        <v>1</v>
      </c>
      <c r="T134" s="9">
        <f t="shared" si="43"/>
        <v>1.7821429982534991E-2</v>
      </c>
      <c r="U134" s="9">
        <f t="shared" si="44"/>
        <v>1.760356898555682E-2</v>
      </c>
      <c r="V134" s="9">
        <f t="shared" si="38"/>
        <v>-4.0111692112055022E-2</v>
      </c>
    </row>
    <row r="135" spans="1:22">
      <c r="A135" s="8">
        <f t="shared" si="40"/>
        <v>0.62000000000000044</v>
      </c>
      <c r="B135" s="48">
        <f t="shared" si="41"/>
        <v>67.142458601788874</v>
      </c>
      <c r="C135" s="48">
        <f t="shared" si="25"/>
        <v>2.0821894896445731E-3</v>
      </c>
      <c r="D135" s="45">
        <f t="shared" si="26"/>
        <v>4.4262895060524166E-2</v>
      </c>
      <c r="E135" s="48">
        <f t="shared" si="32"/>
        <v>-2.9698374097069244</v>
      </c>
      <c r="F135" s="48">
        <f t="shared" si="33"/>
        <v>7.8642311497009594</v>
      </c>
      <c r="G135" s="48">
        <f t="shared" si="45"/>
        <v>4.8943937399940349</v>
      </c>
      <c r="J135" s="48">
        <f t="shared" si="34"/>
        <v>-0.8011026934229083</v>
      </c>
      <c r="Q135" s="8">
        <f t="shared" si="28"/>
        <v>100</v>
      </c>
      <c r="R135" s="9">
        <f t="shared" si="39"/>
        <v>6.4567462769253743E-3</v>
      </c>
      <c r="S135" s="8">
        <f t="shared" si="42"/>
        <v>-1</v>
      </c>
      <c r="T135" s="9">
        <f t="shared" si="43"/>
        <v>-1.832529762996363E-3</v>
      </c>
      <c r="U135" s="9">
        <f t="shared" si="44"/>
        <v>-1.8099466982999201E-3</v>
      </c>
      <c r="V135" s="9">
        <f t="shared" si="38"/>
        <v>-2.2058702244706029E-2</v>
      </c>
    </row>
    <row r="136" spans="1:22">
      <c r="A136" s="8">
        <f t="shared" si="40"/>
        <v>0.62500000000000044</v>
      </c>
      <c r="B136" s="48">
        <f t="shared" si="41"/>
        <v>67.677036446339841</v>
      </c>
      <c r="C136" s="48">
        <f t="shared" si="25"/>
        <v>2.4301644114392978E-3</v>
      </c>
      <c r="D136" s="45">
        <f t="shared" si="26"/>
        <v>4.6533344479678718E-2</v>
      </c>
      <c r="E136" s="48">
        <f t="shared" si="32"/>
        <v>-3.1468086859098641</v>
      </c>
      <c r="F136" s="48">
        <f t="shared" si="33"/>
        <v>8.0186749002280902</v>
      </c>
      <c r="G136" s="48">
        <f t="shared" si="45"/>
        <v>4.8718662143182261</v>
      </c>
      <c r="J136" s="48">
        <f t="shared" si="34"/>
        <v>0.15365728808969376</v>
      </c>
      <c r="Q136" s="8">
        <f t="shared" si="28"/>
        <v>100</v>
      </c>
      <c r="R136" s="9">
        <f t="shared" si="39"/>
        <v>6.7130326537418348E-3</v>
      </c>
      <c r="S136" s="8">
        <f t="shared" si="42"/>
        <v>-1</v>
      </c>
      <c r="T136" s="9">
        <f t="shared" si="43"/>
        <v>-8.4417018914348507E-3</v>
      </c>
      <c r="U136" s="9">
        <f t="shared" si="44"/>
        <v>-8.3368373863682687E-3</v>
      </c>
      <c r="V136" s="9">
        <f t="shared" si="38"/>
        <v>7.9618449440682811E-3</v>
      </c>
    </row>
    <row r="137" spans="1:22">
      <c r="A137" s="8">
        <f t="shared" si="40"/>
        <v>0.63000000000000045</v>
      </c>
      <c r="B137" s="48">
        <f t="shared" si="41"/>
        <v>67.799933878753521</v>
      </c>
      <c r="C137" s="48">
        <f t="shared" si="25"/>
        <v>2.3556568532338978E-3</v>
      </c>
      <c r="D137" s="45">
        <f t="shared" si="26"/>
        <v>4.6077899803204092E-2</v>
      </c>
      <c r="E137" s="48">
        <f t="shared" si="32"/>
        <v>-3.1217229030758338</v>
      </c>
      <c r="F137" s="48">
        <f t="shared" si="33"/>
        <v>7.9885976888624137</v>
      </c>
      <c r="G137" s="48">
        <f t="shared" si="45"/>
        <v>4.8668747857865799</v>
      </c>
      <c r="J137" s="48">
        <f t="shared" si="34"/>
        <v>-3.0879118950409904E-2</v>
      </c>
      <c r="Q137" s="8">
        <f t="shared" si="28"/>
        <v>100</v>
      </c>
      <c r="R137" s="9">
        <f t="shared" si="39"/>
        <v>6.6929237157467483E-3</v>
      </c>
      <c r="S137" s="8">
        <f t="shared" si="42"/>
        <v>-1</v>
      </c>
      <c r="T137" s="9">
        <f t="shared" si="43"/>
        <v>-9.3714328726876728E-3</v>
      </c>
      <c r="U137" s="9">
        <f t="shared" si="44"/>
        <v>-9.2540936082521133E-3</v>
      </c>
      <c r="V137" s="9">
        <f t="shared" si="38"/>
        <v>1.8159399238931455E-3</v>
      </c>
    </row>
    <row r="138" spans="1:22">
      <c r="A138" s="8">
        <f t="shared" si="40"/>
        <v>0.63500000000000045</v>
      </c>
      <c r="B138" s="48">
        <f t="shared" si="41"/>
        <v>67.508903251878721</v>
      </c>
      <c r="C138" s="48">
        <f t="shared" si="25"/>
        <v>1.8876004024523454E-3</v>
      </c>
      <c r="D138" s="45">
        <f t="shared" si="26"/>
        <v>4.2907904368813421E-2</v>
      </c>
      <c r="E138" s="48">
        <f t="shared" si="32"/>
        <v>-2.8947779643726372</v>
      </c>
      <c r="F138" s="48">
        <f t="shared" si="33"/>
        <v>7.7753936734864437</v>
      </c>
      <c r="G138" s="48">
        <f t="shared" si="45"/>
        <v>4.8806157091138065</v>
      </c>
      <c r="J138" s="48">
        <f t="shared" si="34"/>
        <v>-0.21400291508917707</v>
      </c>
      <c r="Q138" s="8">
        <f t="shared" si="28"/>
        <v>100</v>
      </c>
      <c r="R138" s="9">
        <f t="shared" si="39"/>
        <v>6.3899585087661241E-3</v>
      </c>
      <c r="S138" s="8">
        <f t="shared" si="42"/>
        <v>-1</v>
      </c>
      <c r="T138" s="9">
        <f t="shared" si="43"/>
        <v>-8.6502980621573182E-3</v>
      </c>
      <c r="U138" s="9">
        <f t="shared" si="44"/>
        <v>-8.5411339362204981E-3</v>
      </c>
      <c r="V138" s="9">
        <f t="shared" si="38"/>
        <v>-4.2924913082548078E-3</v>
      </c>
    </row>
    <row r="139" spans="1:22">
      <c r="A139" s="8">
        <f t="shared" si="40"/>
        <v>0.64000000000000046</v>
      </c>
      <c r="B139" s="48">
        <f t="shared" si="41"/>
        <v>66.706304631047459</v>
      </c>
      <c r="C139" s="48">
        <f t="shared" ref="C139:C202" si="46">CallOption(B139,Vol_i,0,PL_r, PL_K,PL_T-A139)</f>
        <v>1.175656221586642E-3</v>
      </c>
      <c r="D139" s="45">
        <f t="shared" ref="D139:D202" si="47">CallDelta(B139,$E$6,0,PL_r, PL_K, PL_T-A139)</f>
        <v>3.6833931502712969E-2</v>
      </c>
      <c r="E139" s="48">
        <f t="shared" si="32"/>
        <v>-2.4558797993575201</v>
      </c>
      <c r="F139" s="48">
        <f t="shared" si="33"/>
        <v>7.3709989674052441</v>
      </c>
      <c r="G139" s="48">
        <f t="shared" si="45"/>
        <v>4.915119168047724</v>
      </c>
      <c r="J139" s="48">
        <f t="shared" si="34"/>
        <v>-0.40517228432681318</v>
      </c>
      <c r="Q139" s="8">
        <f t="shared" ref="Q139:Q202" si="48">PL_K</f>
        <v>100</v>
      </c>
      <c r="R139" s="9">
        <f t="shared" ref="R139:R170" si="49">CallGamma(B139,$E$6,0,PL_r, PL_K, PL_T-A139)</f>
        <v>5.7516957070029148E-3</v>
      </c>
      <c r="S139" s="8">
        <f t="shared" si="42"/>
        <v>-1</v>
      </c>
      <c r="T139" s="9">
        <f t="shared" si="43"/>
        <v>-6.0292764359131954E-3</v>
      </c>
      <c r="U139" s="9">
        <f t="shared" si="44"/>
        <v>-5.952593515200685E-3</v>
      </c>
      <c r="V139" s="9">
        <f t="shared" si="38"/>
        <v>-1.1888781807589593E-2</v>
      </c>
    </row>
    <row r="140" spans="1:22">
      <c r="A140" s="8">
        <f t="shared" ref="A140:A171" si="50">A139+dt</f>
        <v>0.64500000000000046</v>
      </c>
      <c r="B140" s="48">
        <f t="shared" ref="B140:B171" si="51">B139*EXP((PL_r-0.5*Vol_a^2)*dt+Vol_a*SQRT(dt)*NormalRN())</f>
        <v>68.835589690082216</v>
      </c>
      <c r="C140" s="48">
        <f t="shared" si="46"/>
        <v>2.8820418258713315E-3</v>
      </c>
      <c r="D140" s="45">
        <f t="shared" si="47"/>
        <v>4.921687433735189E-2</v>
      </c>
      <c r="E140" s="48">
        <f t="shared" ref="E140:E203" si="52">C140-D140*B140</f>
        <v>-3.3849905258884205</v>
      </c>
      <c r="F140" s="48">
        <f t="shared" ref="F140:F203" si="53">J140+F139*EXP(PL_r*dt)</f>
        <v>8.2241232762791565</v>
      </c>
      <c r="G140" s="48">
        <f t="shared" si="45"/>
        <v>4.8391327503907355</v>
      </c>
      <c r="J140" s="48">
        <f t="shared" ref="J140:J203" si="54">(D140-D139)*B140</f>
        <v>0.85238717212094839</v>
      </c>
      <c r="Q140" s="8">
        <f t="shared" si="48"/>
        <v>100</v>
      </c>
      <c r="R140" s="9">
        <f t="shared" si="49"/>
        <v>7.0948393605515681E-3</v>
      </c>
      <c r="S140" s="8">
        <f t="shared" ref="S140:S171" si="55">IF(V140^2 &lt; ($E$6^2*dt), -1, 1)</f>
        <v>1</v>
      </c>
      <c r="T140" s="9">
        <f t="shared" ref="T140:T171" si="56">0.5*R140*(B140^2)*(V140^2-$E$6^2*dt)</f>
        <v>6.8312169280485341E-3</v>
      </c>
      <c r="U140" s="9">
        <f t="shared" ref="U140:U171" si="57">T140*EXP(-PL_r*A140)</f>
        <v>6.7436601848600416E-3</v>
      </c>
      <c r="V140" s="9">
        <f t="shared" si="38"/>
        <v>3.1920297051558043E-2</v>
      </c>
    </row>
    <row r="141" spans="1:22">
      <c r="A141" s="8">
        <f t="shared" si="50"/>
        <v>0.65000000000000047</v>
      </c>
      <c r="B141" s="48">
        <f t="shared" si="51"/>
        <v>67.974461869889822</v>
      </c>
      <c r="C141" s="48">
        <f t="shared" si="46"/>
        <v>1.7736284224340454E-3</v>
      </c>
      <c r="D141" s="45">
        <f t="shared" si="47"/>
        <v>4.2082419651486291E-2</v>
      </c>
      <c r="E141" s="48">
        <f t="shared" si="52"/>
        <v>-2.8587562015702228</v>
      </c>
      <c r="F141" s="48">
        <f t="shared" si="53"/>
        <v>7.7399850117219433</v>
      </c>
      <c r="G141" s="48">
        <f t="shared" si="45"/>
        <v>4.8812288101517201</v>
      </c>
      <c r="J141" s="48">
        <f t="shared" si="54"/>
        <v>-0.48496071800682794</v>
      </c>
      <c r="Q141" s="8">
        <f t="shared" si="48"/>
        <v>100</v>
      </c>
      <c r="R141" s="9">
        <f t="shared" si="49"/>
        <v>6.3797373646894695E-3</v>
      </c>
      <c r="S141" s="8">
        <f t="shared" si="55"/>
        <v>-1</v>
      </c>
      <c r="T141" s="9">
        <f t="shared" si="56"/>
        <v>-6.7209548843006339E-3</v>
      </c>
      <c r="U141" s="9">
        <f t="shared" si="57"/>
        <v>-6.6341479384802683E-3</v>
      </c>
      <c r="V141" s="9">
        <f t="shared" ref="V141:V204" si="58">(B141-B140)/B140</f>
        <v>-1.2509921452978625E-2</v>
      </c>
    </row>
    <row r="142" spans="1:22">
      <c r="A142" s="8">
        <f t="shared" si="50"/>
        <v>0.65500000000000047</v>
      </c>
      <c r="B142" s="48">
        <f t="shared" si="51"/>
        <v>65.513172815726605</v>
      </c>
      <c r="C142" s="48">
        <f t="shared" si="46"/>
        <v>4.6823580460782915E-4</v>
      </c>
      <c r="D142" s="45">
        <f t="shared" si="47"/>
        <v>2.7374526942934629E-2</v>
      </c>
      <c r="E142" s="48">
        <f t="shared" si="52"/>
        <v>-1.7929238785566328</v>
      </c>
      <c r="F142" s="48">
        <f t="shared" si="53"/>
        <v>6.7771983321538212</v>
      </c>
      <c r="G142" s="48">
        <f t="shared" si="45"/>
        <v>4.9842744535971883</v>
      </c>
      <c r="J142" s="48">
        <f t="shared" si="54"/>
        <v>-0.96356071677051025</v>
      </c>
      <c r="Q142" s="8">
        <f t="shared" si="48"/>
        <v>100</v>
      </c>
      <c r="R142" s="9">
        <f t="shared" si="49"/>
        <v>4.6815952859139221E-3</v>
      </c>
      <c r="S142" s="8">
        <f t="shared" si="55"/>
        <v>1</v>
      </c>
      <c r="T142" s="9">
        <f t="shared" si="56"/>
        <v>7.018522806208201E-3</v>
      </c>
      <c r="U142" s="9">
        <f t="shared" si="57"/>
        <v>6.9271797606730622E-3</v>
      </c>
      <c r="V142" s="9">
        <f t="shared" si="58"/>
        <v>-3.6209025955576957E-2</v>
      </c>
    </row>
    <row r="143" spans="1:22">
      <c r="A143" s="8">
        <f t="shared" si="50"/>
        <v>0.66000000000000048</v>
      </c>
      <c r="B143" s="48">
        <f t="shared" si="51"/>
        <v>64.652940920780296</v>
      </c>
      <c r="C143" s="48">
        <f t="shared" si="46"/>
        <v>2.6066073780520518E-4</v>
      </c>
      <c r="D143" s="45">
        <f t="shared" si="47"/>
        <v>2.2658956166123123E-2</v>
      </c>
      <c r="E143" s="48">
        <f t="shared" si="52"/>
        <v>-1.4647074935971034</v>
      </c>
      <c r="F143" s="48">
        <f t="shared" si="53"/>
        <v>6.473000567033206</v>
      </c>
      <c r="G143" s="48">
        <f t="shared" si="45"/>
        <v>5.0082930734361026</v>
      </c>
      <c r="J143" s="48">
        <f t="shared" si="54"/>
        <v>-0.30487551884095238</v>
      </c>
      <c r="Q143" s="8">
        <f t="shared" si="48"/>
        <v>100</v>
      </c>
      <c r="R143" s="9">
        <f t="shared" si="49"/>
        <v>4.0780874399309365E-3</v>
      </c>
      <c r="S143" s="8">
        <f t="shared" si="55"/>
        <v>-1</v>
      </c>
      <c r="T143" s="9">
        <f t="shared" si="56"/>
        <v>-3.7509403309423798E-3</v>
      </c>
      <c r="U143" s="9">
        <f t="shared" si="57"/>
        <v>-3.701753267387491E-3</v>
      </c>
      <c r="V143" s="9">
        <f t="shared" si="58"/>
        <v>-1.3130670641856149E-2</v>
      </c>
    </row>
    <row r="144" spans="1:22">
      <c r="A144" s="8">
        <f t="shared" si="50"/>
        <v>0.66500000000000048</v>
      </c>
      <c r="B144" s="48">
        <f t="shared" si="51"/>
        <v>68.302484516951452</v>
      </c>
      <c r="C144" s="48">
        <f t="shared" si="46"/>
        <v>1.5444579578226814E-3</v>
      </c>
      <c r="D144" s="45">
        <f t="shared" si="47"/>
        <v>4.0274539461292114E-2</v>
      </c>
      <c r="E144" s="48">
        <f t="shared" si="52"/>
        <v>-2.7493066500244323</v>
      </c>
      <c r="F144" s="48">
        <f t="shared" si="53"/>
        <v>7.6768360047313395</v>
      </c>
      <c r="G144" s="48">
        <f t="shared" si="45"/>
        <v>4.9275293547069072</v>
      </c>
      <c r="J144" s="48">
        <f t="shared" si="54"/>
        <v>1.2031881052753486</v>
      </c>
      <c r="Q144" s="8">
        <f t="shared" si="48"/>
        <v>100</v>
      </c>
      <c r="R144" s="9">
        <f t="shared" si="49"/>
        <v>6.2627040609190823E-3</v>
      </c>
      <c r="S144" s="8">
        <f t="shared" si="55"/>
        <v>1</v>
      </c>
      <c r="T144" s="9">
        <f t="shared" si="56"/>
        <v>3.7600781841100578E-2</v>
      </c>
      <c r="U144" s="9">
        <f t="shared" si="57"/>
        <v>3.7104002349157464E-2</v>
      </c>
      <c r="V144" s="9">
        <f t="shared" si="58"/>
        <v>5.6448222527772832E-2</v>
      </c>
    </row>
    <row r="145" spans="1:22">
      <c r="A145" s="8">
        <f t="shared" si="50"/>
        <v>0.67000000000000048</v>
      </c>
      <c r="B145" s="48">
        <f t="shared" si="51"/>
        <v>67.363255029261893</v>
      </c>
      <c r="C145" s="48">
        <f t="shared" si="46"/>
        <v>8.7380754053801787E-4</v>
      </c>
      <c r="D145" s="45">
        <f t="shared" si="47"/>
        <v>3.3506549351626225E-2</v>
      </c>
      <c r="E145" s="48">
        <f t="shared" si="52"/>
        <v>-2.2562364215836093</v>
      </c>
      <c r="F145" s="48">
        <f t="shared" si="53"/>
        <v>7.221689882924327</v>
      </c>
      <c r="G145" s="48">
        <f t="shared" si="45"/>
        <v>4.9654534613407177</v>
      </c>
      <c r="J145" s="48">
        <f t="shared" si="54"/>
        <v>-0.45591384379294547</v>
      </c>
      <c r="Q145" s="8">
        <f t="shared" si="48"/>
        <v>100</v>
      </c>
      <c r="R145" s="9">
        <f t="shared" si="49"/>
        <v>5.5042360675193096E-3</v>
      </c>
      <c r="S145" s="8">
        <f t="shared" si="55"/>
        <v>-1</v>
      </c>
      <c r="T145" s="9">
        <f t="shared" si="56"/>
        <v>-5.2877809892563224E-3</v>
      </c>
      <c r="U145" s="9">
        <f t="shared" si="57"/>
        <v>-5.2173973475703236E-3</v>
      </c>
      <c r="V145" s="9">
        <f t="shared" si="58"/>
        <v>-1.3751029619668655E-2</v>
      </c>
    </row>
    <row r="146" spans="1:22">
      <c r="A146" s="8">
        <f t="shared" si="50"/>
        <v>0.67500000000000049</v>
      </c>
      <c r="B146" s="48">
        <f t="shared" si="51"/>
        <v>70.655127235290735</v>
      </c>
      <c r="C146" s="48">
        <f t="shared" si="46"/>
        <v>3.7805662895565445E-3</v>
      </c>
      <c r="D146" s="45">
        <f t="shared" si="47"/>
        <v>5.3858397043418438E-2</v>
      </c>
      <c r="E146" s="48">
        <f t="shared" si="52"/>
        <v>-3.8015913295019796</v>
      </c>
      <c r="F146" s="48">
        <f t="shared" si="53"/>
        <v>8.6603744761591095</v>
      </c>
      <c r="G146" s="48">
        <f t="shared" si="45"/>
        <v>4.8587831466571298</v>
      </c>
      <c r="J146" s="48">
        <f t="shared" si="54"/>
        <v>1.4379623881368369</v>
      </c>
      <c r="Q146" s="8">
        <f t="shared" si="48"/>
        <v>100</v>
      </c>
      <c r="R146" s="9">
        <f t="shared" si="49"/>
        <v>7.7608479943412842E-3</v>
      </c>
      <c r="S146" s="8">
        <f t="shared" si="55"/>
        <v>1</v>
      </c>
      <c r="T146" s="9">
        <f t="shared" si="56"/>
        <v>3.439494334693631E-2</v>
      </c>
      <c r="U146" s="9">
        <f t="shared" si="57"/>
        <v>3.3933731794361724E-2</v>
      </c>
      <c r="V146" s="9">
        <f t="shared" si="58"/>
        <v>4.8867475370643634E-2</v>
      </c>
    </row>
    <row r="147" spans="1:22">
      <c r="A147" s="8">
        <f t="shared" si="50"/>
        <v>0.68000000000000049</v>
      </c>
      <c r="B147" s="48">
        <f t="shared" si="51"/>
        <v>69.639742498469246</v>
      </c>
      <c r="C147" s="48">
        <f t="shared" si="46"/>
        <v>2.1569286821922912E-3</v>
      </c>
      <c r="D147" s="45">
        <f t="shared" si="47"/>
        <v>4.4921918645154046E-2</v>
      </c>
      <c r="E147" s="48">
        <f t="shared" si="52"/>
        <v>-3.1261939183035201</v>
      </c>
      <c r="F147" s="48">
        <f t="shared" si="53"/>
        <v>8.0389065024117752</v>
      </c>
      <c r="G147" s="48">
        <f t="shared" si="45"/>
        <v>4.9127125841082551</v>
      </c>
      <c r="J147" s="48">
        <f t="shared" si="54"/>
        <v>-0.62233405449826507</v>
      </c>
      <c r="Q147" s="8">
        <f t="shared" si="48"/>
        <v>100</v>
      </c>
      <c r="R147" s="9">
        <f t="shared" si="49"/>
        <v>6.8650033220499368E-3</v>
      </c>
      <c r="S147" s="8">
        <f t="shared" si="55"/>
        <v>-1</v>
      </c>
      <c r="T147" s="9">
        <f t="shared" si="56"/>
        <v>-6.7580860311615585E-3</v>
      </c>
      <c r="U147" s="9">
        <f t="shared" si="57"/>
        <v>-6.6667982252629158E-3</v>
      </c>
      <c r="V147" s="9">
        <f t="shared" si="58"/>
        <v>-1.4370998631707583E-2</v>
      </c>
    </row>
    <row r="148" spans="1:22">
      <c r="A148" s="8">
        <f t="shared" si="50"/>
        <v>0.6850000000000005</v>
      </c>
      <c r="B148" s="48">
        <f t="shared" si="51"/>
        <v>69.016621616808877</v>
      </c>
      <c r="C148" s="48">
        <f t="shared" si="46"/>
        <v>1.4394857650571538E-3</v>
      </c>
      <c r="D148" s="45">
        <f t="shared" si="47"/>
        <v>3.9420160111364955E-2</v>
      </c>
      <c r="E148" s="48">
        <f t="shared" si="52"/>
        <v>-2.7192067887150406</v>
      </c>
      <c r="F148" s="48">
        <f t="shared" si="53"/>
        <v>7.6599976463043182</v>
      </c>
      <c r="G148" s="48">
        <f t="shared" si="45"/>
        <v>4.9407908575892776</v>
      </c>
      <c r="J148" s="48">
        <f t="shared" si="54"/>
        <v>-0.37971278695357091</v>
      </c>
      <c r="Q148" s="8">
        <f t="shared" si="48"/>
        <v>100</v>
      </c>
      <c r="R148" s="9">
        <f t="shared" si="49"/>
        <v>6.2811938793705634E-3</v>
      </c>
      <c r="S148" s="8">
        <f t="shared" si="55"/>
        <v>-1</v>
      </c>
      <c r="T148" s="9">
        <f t="shared" si="56"/>
        <v>-7.9650417954445687E-3</v>
      </c>
      <c r="U148" s="9">
        <f t="shared" si="57"/>
        <v>-7.856664800364491E-3</v>
      </c>
      <c r="V148" s="9">
        <f t="shared" si="58"/>
        <v>-8.9477769346155544E-3</v>
      </c>
    </row>
    <row r="149" spans="1:22">
      <c r="A149" s="8">
        <f t="shared" si="50"/>
        <v>0.6900000000000005</v>
      </c>
      <c r="B149" s="48">
        <f t="shared" si="51"/>
        <v>68.430323111728597</v>
      </c>
      <c r="C149" s="48">
        <f t="shared" si="46"/>
        <v>9.5931809049936562E-4</v>
      </c>
      <c r="D149" s="45">
        <f t="shared" si="47"/>
        <v>3.4575250992154194E-2</v>
      </c>
      <c r="E149" s="48">
        <f t="shared" si="52"/>
        <v>-2.365036278971727</v>
      </c>
      <c r="F149" s="48">
        <f t="shared" si="53"/>
        <v>7.3292249878956612</v>
      </c>
      <c r="G149" s="48">
        <f t="shared" si="45"/>
        <v>4.9641887089239347</v>
      </c>
      <c r="J149" s="48">
        <f t="shared" si="54"/>
        <v>-0.33153869647455275</v>
      </c>
      <c r="Q149" s="8">
        <f t="shared" si="48"/>
        <v>100</v>
      </c>
      <c r="R149" s="9">
        <f t="shared" si="49"/>
        <v>5.7366780673672197E-3</v>
      </c>
      <c r="S149" s="8">
        <f t="shared" si="55"/>
        <v>-1</v>
      </c>
      <c r="T149" s="9">
        <f t="shared" si="56"/>
        <v>-7.2575542017341999E-3</v>
      </c>
      <c r="U149" s="9">
        <f t="shared" si="57"/>
        <v>-7.1580878501025166E-3</v>
      </c>
      <c r="V149" s="9">
        <f t="shared" si="58"/>
        <v>-8.4950333897173425E-3</v>
      </c>
    </row>
    <row r="150" spans="1:22">
      <c r="A150" s="8">
        <f t="shared" si="50"/>
        <v>0.69500000000000051</v>
      </c>
      <c r="B150" s="48">
        <f t="shared" si="51"/>
        <v>65.786849580212134</v>
      </c>
      <c r="C150" s="48">
        <f t="shared" si="46"/>
        <v>1.9857634619195336E-4</v>
      </c>
      <c r="D150" s="45">
        <f t="shared" si="47"/>
        <v>2.0765542740497023E-2</v>
      </c>
      <c r="E150" s="48">
        <f t="shared" si="52"/>
        <v>-1.3659010603743518</v>
      </c>
      <c r="F150" s="48">
        <f t="shared" si="53"/>
        <v>6.4214607475434127</v>
      </c>
      <c r="G150" s="48">
        <f t="shared" si="45"/>
        <v>5.0555596871690609</v>
      </c>
      <c r="J150" s="48">
        <f t="shared" si="54"/>
        <v>-0.90849719949838459</v>
      </c>
      <c r="Q150" s="8">
        <f t="shared" si="48"/>
        <v>100</v>
      </c>
      <c r="R150" s="9">
        <f t="shared" si="49"/>
        <v>3.9307776223566123E-3</v>
      </c>
      <c r="S150" s="8">
        <f t="shared" si="55"/>
        <v>1</v>
      </c>
      <c r="T150" s="9">
        <f t="shared" si="56"/>
        <v>7.4835018320734224E-3</v>
      </c>
      <c r="U150" s="9">
        <f t="shared" si="57"/>
        <v>7.3802007622706823E-3</v>
      </c>
      <c r="V150" s="9">
        <f t="shared" si="58"/>
        <v>-3.8630148321824681E-2</v>
      </c>
    </row>
    <row r="151" spans="1:22">
      <c r="A151" s="8">
        <f t="shared" si="50"/>
        <v>0.70000000000000051</v>
      </c>
      <c r="B151" s="48">
        <f t="shared" si="51"/>
        <v>64.33567705370497</v>
      </c>
      <c r="C151" s="48">
        <f t="shared" si="46"/>
        <v>7.0712882118733212E-5</v>
      </c>
      <c r="D151" s="45">
        <f t="shared" si="47"/>
        <v>1.4868434740726411E-2</v>
      </c>
      <c r="E151" s="48">
        <f t="shared" si="52"/>
        <v>-0.95650010289134324</v>
      </c>
      <c r="F151" s="48">
        <f t="shared" si="53"/>
        <v>6.0427084899024788</v>
      </c>
      <c r="G151" s="48">
        <f t="shared" si="45"/>
        <v>5.0862083870111352</v>
      </c>
      <c r="J151" s="48">
        <f t="shared" si="54"/>
        <v>-0.37939443582406218</v>
      </c>
      <c r="Q151" s="8">
        <f t="shared" si="48"/>
        <v>100</v>
      </c>
      <c r="R151" s="9">
        <f t="shared" si="49"/>
        <v>3.0474163791626057E-3</v>
      </c>
      <c r="S151" s="8">
        <f t="shared" si="55"/>
        <v>-1</v>
      </c>
      <c r="T151" s="9">
        <f t="shared" si="56"/>
        <v>-7.941058309361849E-4</v>
      </c>
      <c r="U151" s="9">
        <f t="shared" si="57"/>
        <v>-7.8306580977099136E-4</v>
      </c>
      <c r="V151" s="9">
        <f t="shared" si="58"/>
        <v>-2.205870224470605E-2</v>
      </c>
    </row>
    <row r="152" spans="1:22">
      <c r="A152" s="8">
        <f t="shared" si="50"/>
        <v>0.70500000000000052</v>
      </c>
      <c r="B152" s="48">
        <f t="shared" si="51"/>
        <v>63.679880200579746</v>
      </c>
      <c r="C152" s="48">
        <f t="shared" si="46"/>
        <v>3.9244599242436182E-5</v>
      </c>
      <c r="D152" s="45">
        <f t="shared" si="47"/>
        <v>1.2289566413899666E-2</v>
      </c>
      <c r="E152" s="48">
        <f t="shared" si="52"/>
        <v>-0.7825588723549568</v>
      </c>
      <c r="F152" s="48">
        <f t="shared" si="53"/>
        <v>5.8790907648606225</v>
      </c>
      <c r="G152" s="48">
        <f t="shared" si="45"/>
        <v>5.0965318925056655</v>
      </c>
      <c r="J152" s="48">
        <f t="shared" si="54"/>
        <v>-0.1642220261053966</v>
      </c>
      <c r="Q152" s="8">
        <f t="shared" si="48"/>
        <v>100</v>
      </c>
      <c r="R152" s="9">
        <f t="shared" si="49"/>
        <v>2.6340292597002582E-3</v>
      </c>
      <c r="S152" s="8">
        <f t="shared" si="55"/>
        <v>-1</v>
      </c>
      <c r="T152" s="9">
        <f t="shared" si="56"/>
        <v>-2.7162358437197017E-3</v>
      </c>
      <c r="U152" s="9">
        <f t="shared" si="57"/>
        <v>-2.6782056611731686E-3</v>
      </c>
      <c r="V152" s="9">
        <f t="shared" si="58"/>
        <v>-1.019336211504839E-2</v>
      </c>
    </row>
    <row r="153" spans="1:22">
      <c r="A153" s="8">
        <f t="shared" si="50"/>
        <v>0.71000000000000052</v>
      </c>
      <c r="B153" s="48">
        <f t="shared" si="51"/>
        <v>62.236037688028716</v>
      </c>
      <c r="C153" s="48">
        <f t="shared" si="46"/>
        <v>1.2103286750442688E-5</v>
      </c>
      <c r="D153" s="45">
        <f t="shared" si="47"/>
        <v>8.3993308770150543E-3</v>
      </c>
      <c r="E153" s="48">
        <f t="shared" si="52"/>
        <v>-0.52272896972938176</v>
      </c>
      <c r="F153" s="48">
        <f t="shared" si="53"/>
        <v>5.6375658578446837</v>
      </c>
      <c r="G153" s="48">
        <f t="shared" si="45"/>
        <v>5.1148368881153017</v>
      </c>
      <c r="J153" s="48">
        <f t="shared" si="54"/>
        <v>-0.24211284548885934</v>
      </c>
      <c r="Q153" s="8">
        <f t="shared" si="48"/>
        <v>100</v>
      </c>
      <c r="R153" s="9">
        <f t="shared" si="49"/>
        <v>1.9503307275237616E-3</v>
      </c>
      <c r="S153" s="8">
        <f t="shared" si="55"/>
        <v>-1</v>
      </c>
      <c r="T153" s="9">
        <f t="shared" si="56"/>
        <v>-3.7172534034510778E-4</v>
      </c>
      <c r="U153" s="9">
        <f t="shared" si="57"/>
        <v>-3.6648414109619661E-4</v>
      </c>
      <c r="V153" s="9">
        <f t="shared" si="58"/>
        <v>-2.2673448944991646E-2</v>
      </c>
    </row>
    <row r="154" spans="1:22">
      <c r="A154" s="8">
        <f t="shared" si="50"/>
        <v>0.71500000000000052</v>
      </c>
      <c r="B154" s="48">
        <f t="shared" si="51"/>
        <v>60.758940138914276</v>
      </c>
      <c r="C154" s="48">
        <f t="shared" si="46"/>
        <v>3.270066041215371E-6</v>
      </c>
      <c r="D154" s="45">
        <f t="shared" si="47"/>
        <v>5.5000819517623256E-3</v>
      </c>
      <c r="E154" s="48">
        <f t="shared" si="52"/>
        <v>-0.3341758800002087</v>
      </c>
      <c r="F154" s="48">
        <f t="shared" si="53"/>
        <v>5.4619743507219951</v>
      </c>
      <c r="G154" s="48">
        <f t="shared" si="45"/>
        <v>5.1277984707217863</v>
      </c>
      <c r="J154" s="48">
        <f t="shared" si="54"/>
        <v>-0.17615529189724211</v>
      </c>
      <c r="Q154" s="8">
        <f t="shared" si="48"/>
        <v>100</v>
      </c>
      <c r="R154" s="9">
        <f t="shared" si="49"/>
        <v>1.3863973491086362E-3</v>
      </c>
      <c r="S154" s="8">
        <f t="shared" si="55"/>
        <v>-1</v>
      </c>
      <c r="T154" s="9">
        <f t="shared" si="56"/>
        <v>-1.2592254631033523E-4</v>
      </c>
      <c r="U154" s="9">
        <f t="shared" si="57"/>
        <v>-1.2413466769702026E-4</v>
      </c>
      <c r="V154" s="9">
        <f t="shared" si="58"/>
        <v>-2.3733798037058582E-2</v>
      </c>
    </row>
    <row r="155" spans="1:22">
      <c r="A155" s="8">
        <f t="shared" si="50"/>
        <v>0.72000000000000053</v>
      </c>
      <c r="B155" s="48">
        <f t="shared" si="51"/>
        <v>57.514062975712115</v>
      </c>
      <c r="C155" s="48">
        <f t="shared" si="46"/>
        <v>1.6468403000360431E-7</v>
      </c>
      <c r="D155" s="45">
        <f t="shared" si="47"/>
        <v>2.0927581156098274E-3</v>
      </c>
      <c r="E155" s="48">
        <f t="shared" si="52"/>
        <v>-0.12036285737008622</v>
      </c>
      <c r="F155" s="48">
        <f t="shared" si="53"/>
        <v>5.2665515377767305</v>
      </c>
      <c r="G155" s="48">
        <f t="shared" si="45"/>
        <v>5.1461886804066443</v>
      </c>
      <c r="J155" s="48">
        <f t="shared" si="54"/>
        <v>-0.19596903769111976</v>
      </c>
      <c r="Q155" s="8">
        <f t="shared" si="48"/>
        <v>100</v>
      </c>
      <c r="R155" s="9">
        <f t="shared" si="49"/>
        <v>6.2020875358271719E-4</v>
      </c>
      <c r="S155" s="8">
        <f t="shared" si="55"/>
        <v>1</v>
      </c>
      <c r="T155" s="9">
        <f t="shared" si="56"/>
        <v>2.2974229877331027E-3</v>
      </c>
      <c r="U155" s="9">
        <f t="shared" si="57"/>
        <v>2.2645771542846157E-3</v>
      </c>
      <c r="V155" s="9">
        <f t="shared" si="58"/>
        <v>-5.3405756515557047E-2</v>
      </c>
    </row>
    <row r="156" spans="1:22">
      <c r="A156" s="8">
        <f t="shared" si="50"/>
        <v>0.72500000000000053</v>
      </c>
      <c r="B156" s="48">
        <f t="shared" si="51"/>
        <v>54.742039532277587</v>
      </c>
      <c r="C156" s="48">
        <f t="shared" si="46"/>
        <v>7.956432409528731E-9</v>
      </c>
      <c r="D156" s="45">
        <f t="shared" si="47"/>
        <v>7.8591966646934797E-4</v>
      </c>
      <c r="E156" s="48">
        <f t="shared" si="52"/>
        <v>-4.3022837494627056E-2</v>
      </c>
      <c r="F156" s="48">
        <f t="shared" si="53"/>
        <v>5.1955392172189949</v>
      </c>
      <c r="G156" s="48">
        <f t="shared" si="45"/>
        <v>5.1525163797243678</v>
      </c>
      <c r="J156" s="48">
        <f t="shared" si="54"/>
        <v>-7.1539002045148459E-2</v>
      </c>
      <c r="Q156" s="8">
        <f t="shared" si="48"/>
        <v>100</v>
      </c>
      <c r="R156" s="9">
        <f t="shared" si="49"/>
        <v>2.6852809276511533E-4</v>
      </c>
      <c r="S156" s="8">
        <f t="shared" si="55"/>
        <v>1</v>
      </c>
      <c r="T156" s="9">
        <f t="shared" si="56"/>
        <v>6.882084362797525E-4</v>
      </c>
      <c r="U156" s="9">
        <f t="shared" si="57"/>
        <v>6.7830141344791455E-4</v>
      </c>
      <c r="V156" s="9">
        <f t="shared" si="58"/>
        <v>-4.819731557836799E-2</v>
      </c>
    </row>
    <row r="157" spans="1:22">
      <c r="A157" s="8">
        <f t="shared" si="50"/>
        <v>0.73000000000000054</v>
      </c>
      <c r="B157" s="48">
        <f t="shared" si="51"/>
        <v>55.77716855343148</v>
      </c>
      <c r="C157" s="48">
        <f t="shared" si="46"/>
        <v>1.6952008002984925E-8</v>
      </c>
      <c r="D157" s="45">
        <f t="shared" si="47"/>
        <v>1.0026274937688928E-3</v>
      </c>
      <c r="E157" s="48">
        <f t="shared" si="52"/>
        <v>-5.5923705764244103E-2</v>
      </c>
      <c r="F157" s="48">
        <f t="shared" si="53"/>
        <v>5.2081461461294136</v>
      </c>
      <c r="G157" s="48">
        <f t="shared" si="45"/>
        <v>5.1522224403651693</v>
      </c>
      <c r="J157" s="48">
        <f t="shared" si="54"/>
        <v>1.2087349010134633E-2</v>
      </c>
      <c r="Q157" s="8">
        <f t="shared" si="48"/>
        <v>100</v>
      </c>
      <c r="R157" s="9">
        <f t="shared" si="49"/>
        <v>3.3271094227707668E-4</v>
      </c>
      <c r="S157" s="8">
        <f t="shared" si="55"/>
        <v>-1</v>
      </c>
      <c r="T157" s="9">
        <f t="shared" si="56"/>
        <v>-1.3194431203259214E-4</v>
      </c>
      <c r="U157" s="9">
        <f t="shared" si="57"/>
        <v>-1.3003191951265695E-4</v>
      </c>
      <c r="V157" s="9">
        <f t="shared" si="58"/>
        <v>1.8909215476773541E-2</v>
      </c>
    </row>
    <row r="158" spans="1:22">
      <c r="A158" s="8">
        <f t="shared" si="50"/>
        <v>0.73500000000000054</v>
      </c>
      <c r="B158" s="48">
        <f t="shared" si="51"/>
        <v>57.521410886419801</v>
      </c>
      <c r="C158" s="48">
        <f t="shared" si="46"/>
        <v>7.0723835798956392E-8</v>
      </c>
      <c r="D158" s="45">
        <f t="shared" si="47"/>
        <v>1.5898006973189549E-3</v>
      </c>
      <c r="E158" s="48">
        <f t="shared" si="52"/>
        <v>-9.1447508414164519E-2</v>
      </c>
      <c r="F158" s="48">
        <f t="shared" si="53"/>
        <v>5.242442017888524</v>
      </c>
      <c r="G158" s="48">
        <f t="shared" si="45"/>
        <v>5.1509945094743594</v>
      </c>
      <c r="J158" s="48">
        <f t="shared" si="54"/>
        <v>3.3775031102898534E-2</v>
      </c>
      <c r="Q158" s="8">
        <f t="shared" si="48"/>
        <v>100</v>
      </c>
      <c r="R158" s="9">
        <f t="shared" si="49"/>
        <v>4.9645571693991675E-4</v>
      </c>
      <c r="S158" s="8">
        <f t="shared" si="55"/>
        <v>1</v>
      </c>
      <c r="T158" s="9">
        <f t="shared" si="56"/>
        <v>3.0011997770112699E-4</v>
      </c>
      <c r="U158" s="9">
        <f t="shared" si="57"/>
        <v>2.9574048218444944E-4</v>
      </c>
      <c r="V158" s="9">
        <f t="shared" si="58"/>
        <v>3.12716184457702E-2</v>
      </c>
    </row>
    <row r="159" spans="1:22">
      <c r="A159" s="8">
        <f t="shared" si="50"/>
        <v>0.74000000000000055</v>
      </c>
      <c r="B159" s="48">
        <f t="shared" si="51"/>
        <v>56.111252135637059</v>
      </c>
      <c r="C159" s="48">
        <f t="shared" si="46"/>
        <v>1.2450820976411928E-8</v>
      </c>
      <c r="D159" s="45">
        <f t="shared" si="47"/>
        <v>9.0611510539007067E-4</v>
      </c>
      <c r="E159" s="48">
        <f t="shared" si="52"/>
        <v>-5.0843240691630626E-2</v>
      </c>
      <c r="F159" s="48">
        <f t="shared" si="53"/>
        <v>5.2046038336731737</v>
      </c>
      <c r="G159" s="48">
        <f t="shared" si="45"/>
        <v>5.1537605929815431</v>
      </c>
      <c r="J159" s="48">
        <f t="shared" si="54"/>
        <v>-3.8362454630223891E-2</v>
      </c>
      <c r="Q159" s="8">
        <f t="shared" si="48"/>
        <v>100</v>
      </c>
      <c r="R159" s="9">
        <f t="shared" si="49"/>
        <v>3.0711262486808328E-4</v>
      </c>
      <c r="S159" s="8">
        <f t="shared" si="55"/>
        <v>-1</v>
      </c>
      <c r="T159" s="9">
        <f t="shared" si="56"/>
        <v>-5.5582197871900872E-6</v>
      </c>
      <c r="U159" s="9">
        <f t="shared" si="57"/>
        <v>-5.4765638785506831E-6</v>
      </c>
      <c r="V159" s="9">
        <f t="shared" si="58"/>
        <v>-2.4515371390441076E-2</v>
      </c>
    </row>
    <row r="160" spans="1:22">
      <c r="A160" s="8">
        <f t="shared" si="50"/>
        <v>0.74500000000000055</v>
      </c>
      <c r="B160" s="48">
        <f t="shared" si="51"/>
        <v>55.679160464271689</v>
      </c>
      <c r="C160" s="48">
        <f t="shared" si="46"/>
        <v>5.5447253691564098E-9</v>
      </c>
      <c r="D160" s="45">
        <f t="shared" si="47"/>
        <v>6.9707066237312265E-4</v>
      </c>
      <c r="E160" s="48">
        <f t="shared" si="52"/>
        <v>-3.881230372048388E-2</v>
      </c>
      <c r="F160" s="48">
        <f t="shared" si="53"/>
        <v>5.1934849009935222</v>
      </c>
      <c r="G160" s="48">
        <f t="shared" si="45"/>
        <v>5.1546725972730387</v>
      </c>
      <c r="J160" s="48">
        <f t="shared" si="54"/>
        <v>-1.1639419086904948E-2</v>
      </c>
      <c r="Q160" s="8">
        <f t="shared" si="48"/>
        <v>100</v>
      </c>
      <c r="R160" s="9">
        <f t="shared" si="49"/>
        <v>2.4547236188045122E-4</v>
      </c>
      <c r="S160" s="8">
        <f t="shared" si="55"/>
        <v>-1</v>
      </c>
      <c r="T160" s="9">
        <f t="shared" si="56"/>
        <v>-2.1049434668834349E-4</v>
      </c>
      <c r="U160" s="9">
        <f t="shared" si="57"/>
        <v>-2.0738123122788474E-4</v>
      </c>
      <c r="V160" s="9">
        <f t="shared" si="58"/>
        <v>-7.7006242940521122E-3</v>
      </c>
    </row>
    <row r="161" spans="1:22">
      <c r="A161" s="8">
        <f t="shared" si="50"/>
        <v>0.75000000000000056</v>
      </c>
      <c r="B161" s="48">
        <f t="shared" si="51"/>
        <v>57.699987791598673</v>
      </c>
      <c r="C161" s="48">
        <f t="shared" si="46"/>
        <v>3.2809110053073961E-8</v>
      </c>
      <c r="D161" s="45">
        <f t="shared" si="47"/>
        <v>1.2379434500638942E-3</v>
      </c>
      <c r="E161" s="48">
        <f t="shared" si="52"/>
        <v>-7.1429289146266187E-2</v>
      </c>
      <c r="F161" s="48">
        <f t="shared" si="53"/>
        <v>5.2252126286984772</v>
      </c>
      <c r="G161" s="48">
        <f t="shared" si="45"/>
        <v>5.153783339552211</v>
      </c>
      <c r="J161" s="48">
        <f t="shared" si="54"/>
        <v>3.1208353246565457E-2</v>
      </c>
      <c r="Q161" s="8">
        <f t="shared" si="48"/>
        <v>100</v>
      </c>
      <c r="R161" s="9">
        <f t="shared" si="49"/>
        <v>4.0547906434299126E-4</v>
      </c>
      <c r="S161" s="8">
        <f t="shared" si="55"/>
        <v>1</v>
      </c>
      <c r="T161" s="9">
        <f t="shared" si="56"/>
        <v>4.7570096149059798E-4</v>
      </c>
      <c r="U161" s="9">
        <f t="shared" si="57"/>
        <v>4.6861869684504479E-4</v>
      </c>
      <c r="V161" s="9">
        <f t="shared" si="58"/>
        <v>3.6294141479085558E-2</v>
      </c>
    </row>
    <row r="162" spans="1:22">
      <c r="A162" s="8">
        <f t="shared" si="50"/>
        <v>0.75500000000000056</v>
      </c>
      <c r="B162" s="48">
        <f t="shared" si="51"/>
        <v>55.8209354690052</v>
      </c>
      <c r="C162" s="48">
        <f t="shared" si="46"/>
        <v>3.0912210835348842E-9</v>
      </c>
      <c r="D162" s="45">
        <f t="shared" si="47"/>
        <v>5.7613645264276148E-4</v>
      </c>
      <c r="E162" s="48">
        <f t="shared" si="52"/>
        <v>-3.2160472653092076E-2</v>
      </c>
      <c r="F162" s="48">
        <f t="shared" si="53"/>
        <v>5.1887924903923004</v>
      </c>
      <c r="G162" s="48">
        <f t="shared" si="45"/>
        <v>5.1566320177392084</v>
      </c>
      <c r="J162" s="48">
        <f t="shared" si="54"/>
        <v>-3.6942685695981137E-2</v>
      </c>
      <c r="Q162" s="8">
        <f t="shared" si="48"/>
        <v>100</v>
      </c>
      <c r="R162" s="9">
        <f t="shared" si="49"/>
        <v>2.0949937535257292E-4</v>
      </c>
      <c r="S162" s="8">
        <f t="shared" si="55"/>
        <v>1</v>
      </c>
      <c r="T162" s="9">
        <f t="shared" si="56"/>
        <v>1.4623858371133448E-4</v>
      </c>
      <c r="U162" s="9">
        <f t="shared" si="57"/>
        <v>1.4404696942747595E-4</v>
      </c>
      <c r="V162" s="9">
        <f t="shared" si="58"/>
        <v>-3.2565905028962075E-2</v>
      </c>
    </row>
    <row r="163" spans="1:22">
      <c r="A163" s="8">
        <f t="shared" si="50"/>
        <v>0.76000000000000056</v>
      </c>
      <c r="B163" s="48">
        <f t="shared" si="51"/>
        <v>55.381548324530392</v>
      </c>
      <c r="C163" s="48">
        <f t="shared" si="46"/>
        <v>1.2566111971232158E-9</v>
      </c>
      <c r="D163" s="45">
        <f t="shared" si="47"/>
        <v>4.3023234476591288E-4</v>
      </c>
      <c r="E163" s="48">
        <f t="shared" si="52"/>
        <v>-2.3826932135818227E-2</v>
      </c>
      <c r="F163" s="48">
        <f t="shared" si="53"/>
        <v>5.1812310001850381</v>
      </c>
      <c r="G163" s="48">
        <f t="shared" si="45"/>
        <v>5.1574040680492201</v>
      </c>
      <c r="J163" s="48">
        <f t="shared" si="54"/>
        <v>-8.0803954011291861E-3</v>
      </c>
      <c r="Q163" s="8">
        <f t="shared" si="48"/>
        <v>100</v>
      </c>
      <c r="R163" s="9">
        <f t="shared" si="49"/>
        <v>1.6280589036952057E-4</v>
      </c>
      <c r="S163" s="8">
        <f t="shared" si="55"/>
        <v>-1</v>
      </c>
      <c r="T163" s="9">
        <f t="shared" si="56"/>
        <v>-1.374549594884784E-4</v>
      </c>
      <c r="U163" s="9">
        <f t="shared" si="57"/>
        <v>-1.3538144275339532E-4</v>
      </c>
      <c r="V163" s="9">
        <f t="shared" si="58"/>
        <v>-7.8713683456411929E-3</v>
      </c>
    </row>
    <row r="164" spans="1:22">
      <c r="A164" s="8">
        <f t="shared" si="50"/>
        <v>0.76500000000000057</v>
      </c>
      <c r="B164" s="48">
        <f t="shared" si="51"/>
        <v>53.89741081586827</v>
      </c>
      <c r="C164" s="48">
        <f t="shared" si="46"/>
        <v>1.3235180167633985E-10</v>
      </c>
      <c r="D164" s="45">
        <f t="shared" si="47"/>
        <v>2.0752981412419658E-4</v>
      </c>
      <c r="E164" s="48">
        <f t="shared" si="52"/>
        <v>-1.1185319516040803E-2</v>
      </c>
      <c r="F164" s="48">
        <f t="shared" si="53"/>
        <v>5.1697460594083458</v>
      </c>
      <c r="G164" s="48">
        <f t="shared" si="45"/>
        <v>5.1585607398923052</v>
      </c>
      <c r="J164" s="48">
        <f t="shared" si="54"/>
        <v>-1.2003089783730075E-2</v>
      </c>
      <c r="Q164" s="8">
        <f t="shared" si="48"/>
        <v>100</v>
      </c>
      <c r="R164" s="9">
        <f t="shared" si="49"/>
        <v>8.5766860212680104E-5</v>
      </c>
      <c r="S164" s="8">
        <f t="shared" si="55"/>
        <v>1</v>
      </c>
      <c r="T164" s="9">
        <f t="shared" si="56"/>
        <v>1.316178354889969E-5</v>
      </c>
      <c r="U164" s="9">
        <f t="shared" si="57"/>
        <v>1.2961940954860121E-5</v>
      </c>
      <c r="V164" s="9">
        <f t="shared" si="58"/>
        <v>-2.679841126804949E-2</v>
      </c>
    </row>
    <row r="165" spans="1:22">
      <c r="A165" s="8">
        <f t="shared" si="50"/>
        <v>0.77000000000000057</v>
      </c>
      <c r="B165" s="48">
        <f t="shared" si="51"/>
        <v>54.313952601004182</v>
      </c>
      <c r="C165" s="48">
        <f t="shared" si="46"/>
        <v>1.4121908069774679E-10</v>
      </c>
      <c r="D165" s="45">
        <f t="shared" si="47"/>
        <v>2.1170852639540438E-4</v>
      </c>
      <c r="E165" s="48">
        <f t="shared" si="52"/>
        <v>-1.1498726726649356E-2</v>
      </c>
      <c r="F165" s="48">
        <f t="shared" si="53"/>
        <v>5.1704900222441106</v>
      </c>
      <c r="G165" s="48">
        <f t="shared" si="45"/>
        <v>5.1589912955174615</v>
      </c>
      <c r="J165" s="48">
        <f t="shared" si="54"/>
        <v>2.2696238023161539E-4</v>
      </c>
      <c r="Q165" s="8">
        <f t="shared" si="48"/>
        <v>100</v>
      </c>
      <c r="R165" s="9">
        <f t="shared" si="49"/>
        <v>8.7646018275272769E-5</v>
      </c>
      <c r="S165" s="8">
        <f t="shared" si="55"/>
        <v>-1</v>
      </c>
      <c r="T165" s="9">
        <f t="shared" si="56"/>
        <v>-7.1461262633904884E-5</v>
      </c>
      <c r="U165" s="9">
        <f t="shared" si="57"/>
        <v>-7.0369189733590618E-5</v>
      </c>
      <c r="V165" s="9">
        <f t="shared" si="58"/>
        <v>7.728419210320873E-3</v>
      </c>
    </row>
    <row r="166" spans="1:22">
      <c r="A166" s="8">
        <f t="shared" si="50"/>
        <v>0.77500000000000058</v>
      </c>
      <c r="B166" s="48">
        <f t="shared" si="51"/>
        <v>52.722501849567259</v>
      </c>
      <c r="C166" s="48">
        <f t="shared" si="46"/>
        <v>1.007808137280317E-11</v>
      </c>
      <c r="D166" s="45">
        <f t="shared" si="47"/>
        <v>9.0001232339154136E-5</v>
      </c>
      <c r="E166" s="48">
        <f t="shared" si="52"/>
        <v>-4.7450901283863046E-3</v>
      </c>
      <c r="F166" s="48">
        <f t="shared" si="53"/>
        <v>5.1645903840636604</v>
      </c>
      <c r="G166" s="48">
        <f t="shared" si="45"/>
        <v>5.1598452939352741</v>
      </c>
      <c r="J166" s="48">
        <f t="shared" si="54"/>
        <v>-6.4167130359864795E-3</v>
      </c>
      <c r="Q166" s="8">
        <f t="shared" si="48"/>
        <v>100</v>
      </c>
      <c r="R166" s="9">
        <f t="shared" si="49"/>
        <v>4.0949390373383613E-5</v>
      </c>
      <c r="S166" s="8">
        <f t="shared" si="55"/>
        <v>1</v>
      </c>
      <c r="T166" s="9">
        <f t="shared" si="56"/>
        <v>1.4003153383256245E-5</v>
      </c>
      <c r="U166" s="9">
        <f t="shared" si="57"/>
        <v>1.3787777977190624E-5</v>
      </c>
      <c r="V166" s="9">
        <f t="shared" si="58"/>
        <v>-2.9300956296218809E-2</v>
      </c>
    </row>
    <row r="167" spans="1:22">
      <c r="A167" s="8">
        <f t="shared" si="50"/>
        <v>0.78000000000000058</v>
      </c>
      <c r="B167" s="48">
        <f t="shared" si="51"/>
        <v>53.096565255224391</v>
      </c>
      <c r="C167" s="48">
        <f t="shared" si="46"/>
        <v>9.8952972941596482E-12</v>
      </c>
      <c r="D167" s="45">
        <f t="shared" si="47"/>
        <v>8.9381808265120988E-5</v>
      </c>
      <c r="E167" s="48">
        <f t="shared" si="52"/>
        <v>-4.7458670052836537E-3</v>
      </c>
      <c r="F167" s="48">
        <f t="shared" si="53"/>
        <v>5.1650739796351122</v>
      </c>
      <c r="G167" s="48">
        <f t="shared" si="45"/>
        <v>5.1603281126298288</v>
      </c>
      <c r="J167" s="48">
        <f t="shared" si="54"/>
        <v>-3.288929076755799E-5</v>
      </c>
      <c r="Q167" s="8">
        <f t="shared" si="48"/>
        <v>100</v>
      </c>
      <c r="R167" s="9">
        <f t="shared" si="49"/>
        <v>4.0854172412475619E-5</v>
      </c>
      <c r="S167" s="8">
        <f t="shared" si="55"/>
        <v>-1</v>
      </c>
      <c r="T167" s="9">
        <f t="shared" si="56"/>
        <v>-3.2374311593144521E-5</v>
      </c>
      <c r="U167" s="9">
        <f t="shared" si="57"/>
        <v>-3.1873191233774223E-5</v>
      </c>
      <c r="V167" s="9">
        <f t="shared" si="58"/>
        <v>7.0949479355976851E-3</v>
      </c>
    </row>
    <row r="168" spans="1:22">
      <c r="A168" s="8">
        <f t="shared" si="50"/>
        <v>0.78500000000000059</v>
      </c>
      <c r="B168" s="48">
        <f t="shared" si="51"/>
        <v>53.147236831187264</v>
      </c>
      <c r="C168" s="48">
        <f t="shared" si="46"/>
        <v>6.0606204208675817E-12</v>
      </c>
      <c r="D168" s="45">
        <f t="shared" si="47"/>
        <v>7.6170282526377697E-5</v>
      </c>
      <c r="E168" s="48">
        <f t="shared" si="52"/>
        <v>-4.04824003886722E-3</v>
      </c>
      <c r="F168" s="48">
        <f t="shared" si="53"/>
        <v>5.1648883567719688</v>
      </c>
      <c r="G168" s="48">
        <f t="shared" si="45"/>
        <v>5.1608401167331017</v>
      </c>
      <c r="J168" s="48">
        <f t="shared" si="54"/>
        <v>-7.0215608733831595E-4</v>
      </c>
      <c r="Q168" s="8">
        <f t="shared" si="48"/>
        <v>100</v>
      </c>
      <c r="R168" s="9">
        <f t="shared" si="49"/>
        <v>3.5518314447997705E-5</v>
      </c>
      <c r="S168" s="8">
        <f t="shared" si="55"/>
        <v>-1</v>
      </c>
      <c r="T168" s="9">
        <f t="shared" si="56"/>
        <v>-3.0679168186394379E-5</v>
      </c>
      <c r="U168" s="9">
        <f t="shared" si="57"/>
        <v>-3.0201266589857517E-5</v>
      </c>
      <c r="V168" s="9">
        <f t="shared" si="58"/>
        <v>9.5432869752130564E-4</v>
      </c>
    </row>
    <row r="169" spans="1:22">
      <c r="A169" s="8">
        <f t="shared" si="50"/>
        <v>0.79000000000000059</v>
      </c>
      <c r="B169" s="48">
        <f t="shared" si="51"/>
        <v>54.471802838210849</v>
      </c>
      <c r="C169" s="48">
        <f t="shared" si="46"/>
        <v>2.2380445273107634E-11</v>
      </c>
      <c r="D169" s="45">
        <f t="shared" si="47"/>
        <v>1.1611159928370807E-4</v>
      </c>
      <c r="E169" s="48">
        <f t="shared" si="52"/>
        <v>-6.324808121031044E-3</v>
      </c>
      <c r="F169" s="48">
        <f t="shared" si="53"/>
        <v>5.1675805469644525</v>
      </c>
      <c r="G169" s="48">
        <f t="shared" si="45"/>
        <v>5.1612557388434217</v>
      </c>
      <c r="J169" s="48">
        <f t="shared" si="54"/>
        <v>2.1756755315038268E-3</v>
      </c>
      <c r="Q169" s="8">
        <f t="shared" si="48"/>
        <v>100</v>
      </c>
      <c r="R169" s="9">
        <f t="shared" si="49"/>
        <v>5.2117642086727167E-5</v>
      </c>
      <c r="S169" s="8">
        <f t="shared" si="55"/>
        <v>1</v>
      </c>
      <c r="T169" s="9">
        <f t="shared" si="56"/>
        <v>6.676491207205297E-7</v>
      </c>
      <c r="U169" s="9">
        <f t="shared" si="57"/>
        <v>6.5718316340185567E-7</v>
      </c>
      <c r="V169" s="9">
        <f t="shared" si="58"/>
        <v>2.492257520801754E-2</v>
      </c>
    </row>
    <row r="170" spans="1:22">
      <c r="A170" s="8">
        <f t="shared" si="50"/>
        <v>0.7950000000000006</v>
      </c>
      <c r="B170" s="48">
        <f t="shared" si="51"/>
        <v>55.488968677316734</v>
      </c>
      <c r="C170" s="48">
        <f t="shared" si="46"/>
        <v>5.1744133787740326E-11</v>
      </c>
      <c r="D170" s="45">
        <f t="shared" si="47"/>
        <v>1.5218505188452358E-4</v>
      </c>
      <c r="E170" s="48">
        <f t="shared" si="52"/>
        <v>-8.4445915254320169E-3</v>
      </c>
      <c r="F170" s="48">
        <f t="shared" si="53"/>
        <v>5.1700990095393626</v>
      </c>
      <c r="G170" s="48">
        <f t="shared" si="45"/>
        <v>5.1616544180139305</v>
      </c>
      <c r="J170" s="48">
        <f t="shared" si="54"/>
        <v>2.0016786814493221E-3</v>
      </c>
      <c r="Q170" s="8">
        <f t="shared" si="48"/>
        <v>100</v>
      </c>
      <c r="R170" s="9">
        <f t="shared" si="49"/>
        <v>6.6733385669787691E-5</v>
      </c>
      <c r="S170" s="8">
        <f t="shared" si="55"/>
        <v>-1</v>
      </c>
      <c r="T170" s="9">
        <f t="shared" si="56"/>
        <v>-2.7102977696109282E-5</v>
      </c>
      <c r="U170" s="9">
        <f t="shared" si="57"/>
        <v>-2.6675448217039104E-5</v>
      </c>
      <c r="V170" s="9">
        <f t="shared" si="58"/>
        <v>1.8673254529999961E-2</v>
      </c>
    </row>
    <row r="171" spans="1:22">
      <c r="A171" s="8">
        <f t="shared" si="50"/>
        <v>0.8000000000000006</v>
      </c>
      <c r="B171" s="48">
        <f t="shared" si="51"/>
        <v>53.819967441874233</v>
      </c>
      <c r="C171" s="48">
        <f t="shared" si="46"/>
        <v>2.6583857470054712E-12</v>
      </c>
      <c r="D171" s="45">
        <f t="shared" si="47"/>
        <v>5.8078939165095989E-5</v>
      </c>
      <c r="E171" s="48">
        <f t="shared" si="52"/>
        <v>-3.1258066122656749E-3</v>
      </c>
      <c r="F171" s="48">
        <f t="shared" si="53"/>
        <v>5.1655512573690325</v>
      </c>
      <c r="G171" s="48">
        <f t="shared" si="45"/>
        <v>5.1624254507567668</v>
      </c>
      <c r="J171" s="48">
        <f t="shared" si="54"/>
        <v>-5.0647879226409396E-3</v>
      </c>
      <c r="Q171" s="8">
        <f t="shared" si="48"/>
        <v>100</v>
      </c>
      <c r="R171" s="9">
        <f t="shared" ref="R171:R202" si="59">CallGamma(B171,$E$6,0,PL_r, PL_K, PL_T-A171)</f>
        <v>2.816530576346674E-5</v>
      </c>
      <c r="S171" s="8">
        <f t="shared" si="55"/>
        <v>1</v>
      </c>
      <c r="T171" s="9">
        <f t="shared" si="56"/>
        <v>1.1918932676731525E-5</v>
      </c>
      <c r="U171" s="9">
        <f t="shared" si="57"/>
        <v>1.1729747273071161E-5</v>
      </c>
      <c r="V171" s="9">
        <f t="shared" si="58"/>
        <v>-3.0078072727359406E-2</v>
      </c>
    </row>
    <row r="172" spans="1:22">
      <c r="A172" s="8">
        <f t="shared" ref="A172:A203" si="60">A171+dt</f>
        <v>0.8050000000000006</v>
      </c>
      <c r="B172" s="48">
        <f t="shared" ref="B172:B203" si="61">B171*EXP((PL_r-0.5*Vol_a^2)*dt+Vol_a*SQRT(dt)*NormalRN())</f>
        <v>53.45114408547051</v>
      </c>
      <c r="C172" s="48">
        <f t="shared" si="46"/>
        <v>7.8918231769830569E-13</v>
      </c>
      <c r="D172" s="45">
        <f t="shared" si="47"/>
        <v>3.9026046816270643E-5</v>
      </c>
      <c r="E172" s="48">
        <f t="shared" si="52"/>
        <v>-2.0859868506736172E-3</v>
      </c>
      <c r="F172" s="48">
        <f t="shared" si="53"/>
        <v>5.1650494394292048</v>
      </c>
      <c r="G172" s="48">
        <f t="shared" si="45"/>
        <v>5.1629634525785315</v>
      </c>
      <c r="J172" s="48">
        <f t="shared" si="54"/>
        <v>-1.0183988941820223E-3</v>
      </c>
      <c r="Q172" s="8">
        <f t="shared" si="48"/>
        <v>100</v>
      </c>
      <c r="R172" s="9">
        <f t="shared" si="59"/>
        <v>1.973010684566347E-5</v>
      </c>
      <c r="S172" s="8">
        <f t="shared" ref="S172:S203" si="62">IF(V172^2 &lt; ($E$6^2*dt), -1, 1)</f>
        <v>-1</v>
      </c>
      <c r="T172" s="9">
        <f t="shared" ref="T172:T203" si="63">0.5*R172*(B172^2)*(V172^2-$E$6^2*dt)</f>
        <v>-1.5939509862733428E-5</v>
      </c>
      <c r="U172" s="9">
        <f t="shared" ref="U172:U203" si="64">T172*EXP(-PL_r*A172)</f>
        <v>-1.5684938551924134E-5</v>
      </c>
      <c r="V172" s="9">
        <f t="shared" si="58"/>
        <v>-6.8529093184988253E-3</v>
      </c>
    </row>
    <row r="173" spans="1:22">
      <c r="A173" s="8">
        <f t="shared" si="60"/>
        <v>0.81000000000000061</v>
      </c>
      <c r="B173" s="48">
        <f t="shared" si="61"/>
        <v>54.714430912656468</v>
      </c>
      <c r="C173" s="48">
        <f t="shared" si="46"/>
        <v>2.7613753196756551E-12</v>
      </c>
      <c r="D173" s="45">
        <f t="shared" si="47"/>
        <v>5.8696738022057104E-5</v>
      </c>
      <c r="E173" s="48">
        <f t="shared" si="52"/>
        <v>-3.2115586145447642E-3</v>
      </c>
      <c r="F173" s="48">
        <f t="shared" si="53"/>
        <v>5.1666422408742392</v>
      </c>
      <c r="G173" s="48">
        <f t="shared" si="45"/>
        <v>5.163430682259694</v>
      </c>
      <c r="J173" s="48">
        <f t="shared" si="54"/>
        <v>1.0762706749832024E-3</v>
      </c>
      <c r="Q173" s="8">
        <f t="shared" si="48"/>
        <v>100</v>
      </c>
      <c r="R173" s="9">
        <f t="shared" si="59"/>
        <v>2.8709686996129163E-5</v>
      </c>
      <c r="S173" s="8">
        <f t="shared" si="62"/>
        <v>-1</v>
      </c>
      <c r="T173" s="9">
        <f t="shared" si="63"/>
        <v>-2.3168880867735189E-6</v>
      </c>
      <c r="U173" s="9">
        <f t="shared" si="64"/>
        <v>-2.2796568867309162E-6</v>
      </c>
      <c r="V173" s="9">
        <f t="shared" si="58"/>
        <v>2.3634420718215345E-2</v>
      </c>
    </row>
    <row r="174" spans="1:22">
      <c r="A174" s="8">
        <f t="shared" si="60"/>
        <v>0.81500000000000061</v>
      </c>
      <c r="B174" s="48">
        <f t="shared" si="61"/>
        <v>57.726878441449017</v>
      </c>
      <c r="C174" s="48">
        <f t="shared" si="46"/>
        <v>1.0822797441236875E-10</v>
      </c>
      <c r="D174" s="45">
        <f t="shared" si="47"/>
        <v>1.9267285890633978E-4</v>
      </c>
      <c r="E174" s="48">
        <f t="shared" si="52"/>
        <v>-1.112240259682476E-2</v>
      </c>
      <c r="F174" s="48">
        <f t="shared" si="53"/>
        <v>5.1748929541767428</v>
      </c>
      <c r="G174" s="48">
        <f t="shared" si="45"/>
        <v>5.1637705515799182</v>
      </c>
      <c r="J174" s="48">
        <f t="shared" si="54"/>
        <v>7.734023244343865E-3</v>
      </c>
      <c r="Q174" s="8">
        <f t="shared" si="48"/>
        <v>100</v>
      </c>
      <c r="R174" s="9">
        <f t="shared" si="59"/>
        <v>8.4200559880365526E-5</v>
      </c>
      <c r="S174" s="8">
        <f t="shared" si="62"/>
        <v>1</v>
      </c>
      <c r="T174" s="9">
        <f t="shared" si="63"/>
        <v>3.3935087517978404E-4</v>
      </c>
      <c r="U174" s="9">
        <f t="shared" si="64"/>
        <v>3.3386429303579004E-4</v>
      </c>
      <c r="V174" s="9">
        <f t="shared" si="58"/>
        <v>5.5057641622947302E-2</v>
      </c>
    </row>
    <row r="175" spans="1:22">
      <c r="A175" s="8">
        <f t="shared" si="60"/>
        <v>0.82000000000000062</v>
      </c>
      <c r="B175" s="48">
        <f t="shared" si="61"/>
        <v>59.054074259074341</v>
      </c>
      <c r="C175" s="48">
        <f t="shared" si="46"/>
        <v>3.4982235085535962E-10</v>
      </c>
      <c r="D175" s="45">
        <f t="shared" si="47"/>
        <v>2.8179368816250161E-4</v>
      </c>
      <c r="E175" s="48">
        <f t="shared" si="52"/>
        <v>-1.6641065036664456E-2</v>
      </c>
      <c r="F175" s="48">
        <f t="shared" si="53"/>
        <v>5.1806734174164122</v>
      </c>
      <c r="G175" s="48">
        <f t="shared" si="45"/>
        <v>5.1640323523797473</v>
      </c>
      <c r="J175" s="48">
        <f t="shared" si="54"/>
        <v>5.2629480689236653E-3</v>
      </c>
      <c r="Q175" s="8">
        <f t="shared" si="48"/>
        <v>100</v>
      </c>
      <c r="R175" s="9">
        <f t="shared" si="59"/>
        <v>1.1897378439765413E-4</v>
      </c>
      <c r="S175" s="8">
        <f t="shared" si="62"/>
        <v>-1</v>
      </c>
      <c r="T175" s="9">
        <f t="shared" si="63"/>
        <v>-1.7408716110215811E-5</v>
      </c>
      <c r="U175" s="9">
        <f t="shared" si="64"/>
        <v>-1.7125541544306217E-5</v>
      </c>
      <c r="V175" s="9">
        <f t="shared" si="58"/>
        <v>2.2990950722746359E-2</v>
      </c>
    </row>
    <row r="176" spans="1:22">
      <c r="A176" s="8">
        <f t="shared" si="60"/>
        <v>0.82500000000000062</v>
      </c>
      <c r="B176" s="48">
        <f t="shared" si="61"/>
        <v>59.259295491504524</v>
      </c>
      <c r="C176" s="48">
        <f t="shared" si="46"/>
        <v>2.5433008301941917E-10</v>
      </c>
      <c r="D176" s="45">
        <f t="shared" si="47"/>
        <v>2.5394927963295899E-4</v>
      </c>
      <c r="E176" s="48">
        <f t="shared" si="52"/>
        <v>-1.5048855147294146E-2</v>
      </c>
      <c r="F176" s="48">
        <f t="shared" si="53"/>
        <v>5.1795414706295464</v>
      </c>
      <c r="G176" s="48">
        <f t="shared" ref="G176:G211" si="65">F176+E176</f>
        <v>5.1644926154822519</v>
      </c>
      <c r="J176" s="48">
        <f t="shared" si="54"/>
        <v>-1.6500400328383351E-3</v>
      </c>
      <c r="Q176" s="8">
        <f t="shared" si="48"/>
        <v>100</v>
      </c>
      <c r="R176" s="9">
        <f t="shared" si="59"/>
        <v>1.0913298736182988E-4</v>
      </c>
      <c r="S176" s="8">
        <f t="shared" si="62"/>
        <v>-1</v>
      </c>
      <c r="T176" s="9">
        <f t="shared" si="63"/>
        <v>-1.1505264888998243E-4</v>
      </c>
      <c r="U176" s="9">
        <f t="shared" si="64"/>
        <v>-1.1316985594079968E-4</v>
      </c>
      <c r="V176" s="9">
        <f t="shared" si="58"/>
        <v>3.4751409619912686E-3</v>
      </c>
    </row>
    <row r="177" spans="1:22">
      <c r="A177" s="8">
        <f t="shared" si="60"/>
        <v>0.83000000000000063</v>
      </c>
      <c r="B177" s="48">
        <f t="shared" si="61"/>
        <v>60.889148299417251</v>
      </c>
      <c r="C177" s="48">
        <f t="shared" si="46"/>
        <v>1.1604658246692768E-9</v>
      </c>
      <c r="D177" s="45">
        <f t="shared" si="47"/>
        <v>4.1570164392712439E-4</v>
      </c>
      <c r="E177" s="48">
        <f t="shared" si="52"/>
        <v>-2.5311717884924399E-2</v>
      </c>
      <c r="F177" s="48">
        <f t="shared" si="53"/>
        <v>5.1899084143724687</v>
      </c>
      <c r="G177" s="48">
        <f t="shared" si="65"/>
        <v>5.1645966964875445</v>
      </c>
      <c r="J177" s="48">
        <f t="shared" si="54"/>
        <v>9.8489636972888001E-3</v>
      </c>
      <c r="Q177" s="8">
        <f t="shared" si="48"/>
        <v>100</v>
      </c>
      <c r="R177" s="9">
        <f t="shared" si="59"/>
        <v>1.7042609901644866E-4</v>
      </c>
      <c r="S177" s="8">
        <f t="shared" si="62"/>
        <v>1</v>
      </c>
      <c r="T177" s="9">
        <f t="shared" si="63"/>
        <v>4.5479571091213249E-5</v>
      </c>
      <c r="U177" s="9">
        <f t="shared" si="64"/>
        <v>4.4730841856983234E-5</v>
      </c>
      <c r="V177" s="9">
        <f t="shared" si="58"/>
        <v>2.7503749317208538E-2</v>
      </c>
    </row>
    <row r="178" spans="1:22">
      <c r="A178" s="8">
        <f t="shared" si="60"/>
        <v>0.83500000000000063</v>
      </c>
      <c r="B178" s="48">
        <f t="shared" si="61"/>
        <v>59.962495331154351</v>
      </c>
      <c r="C178" s="48">
        <f t="shared" si="46"/>
        <v>1.8788641337969433E-10</v>
      </c>
      <c r="D178" s="45">
        <f t="shared" si="47"/>
        <v>2.2994259404385264E-4</v>
      </c>
      <c r="E178" s="48">
        <f t="shared" si="52"/>
        <v>-1.3787931533901621E-2</v>
      </c>
      <c r="F178" s="48">
        <f t="shared" si="53"/>
        <v>5.1792888550029685</v>
      </c>
      <c r="G178" s="48">
        <f t="shared" si="65"/>
        <v>5.1655009234690672</v>
      </c>
      <c r="J178" s="48">
        <f t="shared" si="54"/>
        <v>-1.1138576161345349E-2</v>
      </c>
      <c r="Q178" s="8">
        <f t="shared" si="48"/>
        <v>100</v>
      </c>
      <c r="R178" s="9">
        <f t="shared" si="59"/>
        <v>1.012470112340052E-4</v>
      </c>
      <c r="S178" s="8">
        <f t="shared" si="62"/>
        <v>-1</v>
      </c>
      <c r="T178" s="9">
        <f t="shared" si="63"/>
        <v>-6.9328678659737089E-5</v>
      </c>
      <c r="U178" s="9">
        <f t="shared" si="64"/>
        <v>-6.8180503671689182E-5</v>
      </c>
      <c r="V178" s="9">
        <f t="shared" si="58"/>
        <v>-1.5218688290829133E-2</v>
      </c>
    </row>
    <row r="179" spans="1:22">
      <c r="A179" s="8">
        <f t="shared" si="60"/>
        <v>0.84000000000000064</v>
      </c>
      <c r="B179" s="48">
        <f t="shared" si="61"/>
        <v>58.985878649489045</v>
      </c>
      <c r="C179" s="48">
        <f t="shared" si="46"/>
        <v>2.3983923427627019E-11</v>
      </c>
      <c r="D179" s="45">
        <f t="shared" si="47"/>
        <v>1.1772450880920271E-4</v>
      </c>
      <c r="E179" s="48">
        <f t="shared" si="52"/>
        <v>-6.944083566706412E-3</v>
      </c>
      <c r="F179" s="48">
        <f t="shared" si="53"/>
        <v>5.1731875274278476</v>
      </c>
      <c r="G179" s="48">
        <f t="shared" si="65"/>
        <v>5.1662434438611413</v>
      </c>
      <c r="J179" s="48">
        <f t="shared" si="54"/>
        <v>-6.6192823579290794E-3</v>
      </c>
      <c r="Q179" s="8">
        <f t="shared" si="48"/>
        <v>100</v>
      </c>
      <c r="R179" s="9">
        <f t="shared" si="59"/>
        <v>5.5857441139776581E-5</v>
      </c>
      <c r="S179" s="8">
        <f t="shared" si="62"/>
        <v>-1</v>
      </c>
      <c r="T179" s="9">
        <f t="shared" si="63"/>
        <v>-3.3741455989959219E-5</v>
      </c>
      <c r="U179" s="9">
        <f t="shared" si="64"/>
        <v>-3.3179334570286754E-5</v>
      </c>
      <c r="V179" s="9">
        <f t="shared" si="58"/>
        <v>-1.6287125415174152E-2</v>
      </c>
    </row>
    <row r="180" spans="1:22">
      <c r="A180" s="8">
        <f t="shared" si="60"/>
        <v>0.84500000000000064</v>
      </c>
      <c r="B180" s="48">
        <f t="shared" si="61"/>
        <v>59.116469979737445</v>
      </c>
      <c r="C180" s="48">
        <f t="shared" si="46"/>
        <v>1.3804465172632005E-11</v>
      </c>
      <c r="D180" s="45">
        <f t="shared" si="47"/>
        <v>9.8306518793500608E-5</v>
      </c>
      <c r="E180" s="48">
        <f t="shared" si="52"/>
        <v>-5.8115343532640085E-3</v>
      </c>
      <c r="F180" s="48">
        <f t="shared" si="53"/>
        <v>5.1725569490235603</v>
      </c>
      <c r="G180" s="48">
        <f t="shared" si="65"/>
        <v>5.166745414670296</v>
      </c>
      <c r="J180" s="48">
        <f t="shared" si="54"/>
        <v>-1.1479230238300947E-3</v>
      </c>
      <c r="Q180" s="8">
        <f t="shared" si="48"/>
        <v>100</v>
      </c>
      <c r="R180" s="9">
        <f t="shared" si="59"/>
        <v>4.7807551726119576E-5</v>
      </c>
      <c r="S180" s="8">
        <f t="shared" si="62"/>
        <v>-1</v>
      </c>
      <c r="T180" s="9">
        <f t="shared" si="63"/>
        <v>-5.0757492414637198E-5</v>
      </c>
      <c r="U180" s="9">
        <f t="shared" si="64"/>
        <v>-4.9906898555684286E-5</v>
      </c>
      <c r="V180" s="9">
        <f t="shared" si="58"/>
        <v>2.213942272936394E-3</v>
      </c>
    </row>
    <row r="181" spans="1:22">
      <c r="A181" s="8">
        <f t="shared" si="60"/>
        <v>0.85000000000000064</v>
      </c>
      <c r="B181" s="48">
        <f t="shared" si="61"/>
        <v>61.468801978644223</v>
      </c>
      <c r="C181" s="48">
        <f t="shared" si="46"/>
        <v>1.9514767042321275E-10</v>
      </c>
      <c r="D181" s="45">
        <f t="shared" si="47"/>
        <v>2.3259313435686213E-4</v>
      </c>
      <c r="E181" s="48">
        <f t="shared" si="52"/>
        <v>-1.4297221122226478E-2</v>
      </c>
      <c r="F181" s="48">
        <f t="shared" si="53"/>
        <v>5.1813286679625561</v>
      </c>
      <c r="G181" s="48">
        <f t="shared" si="65"/>
        <v>5.1670314468403298</v>
      </c>
      <c r="J181" s="48">
        <f t="shared" si="54"/>
        <v>8.2544373804465925E-3</v>
      </c>
      <c r="Q181" s="8">
        <f t="shared" si="48"/>
        <v>100</v>
      </c>
      <c r="R181" s="9">
        <f t="shared" si="59"/>
        <v>1.0470035861535522E-4</v>
      </c>
      <c r="S181" s="8">
        <f t="shared" si="62"/>
        <v>1</v>
      </c>
      <c r="T181" s="9">
        <f t="shared" si="63"/>
        <v>1.9203713615889231E-4</v>
      </c>
      <c r="U181" s="9">
        <f t="shared" si="64"/>
        <v>1.8880009762998923E-4</v>
      </c>
      <c r="V181" s="9">
        <f t="shared" si="58"/>
        <v>3.9791482808649678E-2</v>
      </c>
    </row>
    <row r="182" spans="1:22">
      <c r="A182" s="8">
        <f t="shared" si="60"/>
        <v>0.85500000000000065</v>
      </c>
      <c r="B182" s="48">
        <f t="shared" si="61"/>
        <v>62.28469204316216</v>
      </c>
      <c r="C182" s="48">
        <f t="shared" si="46"/>
        <v>2.9521840989831499E-10</v>
      </c>
      <c r="D182" s="45">
        <f t="shared" si="47"/>
        <v>2.661124121438041E-4</v>
      </c>
      <c r="E182" s="48">
        <f t="shared" si="52"/>
        <v>-1.6574729344021474E-2</v>
      </c>
      <c r="F182" s="48">
        <f t="shared" si="53"/>
        <v>5.1839345646313282</v>
      </c>
      <c r="G182" s="48">
        <f t="shared" si="65"/>
        <v>5.1673598352873071</v>
      </c>
      <c r="J182" s="48">
        <f t="shared" si="54"/>
        <v>2.0877378944688866E-3</v>
      </c>
      <c r="Q182" s="8">
        <f t="shared" si="48"/>
        <v>100</v>
      </c>
      <c r="R182" s="9">
        <f t="shared" si="59"/>
        <v>1.1915307278050524E-4</v>
      </c>
      <c r="S182" s="8">
        <f t="shared" si="62"/>
        <v>-1</v>
      </c>
      <c r="T182" s="9">
        <f t="shared" si="63"/>
        <v>-1.0084262703606453E-4</v>
      </c>
      <c r="U182" s="9">
        <f t="shared" si="64"/>
        <v>-9.9132878129006629E-5</v>
      </c>
      <c r="V182" s="9">
        <f t="shared" si="58"/>
        <v>1.3273238427542439E-2</v>
      </c>
    </row>
    <row r="183" spans="1:22">
      <c r="A183" s="8">
        <f t="shared" si="60"/>
        <v>0.86000000000000065</v>
      </c>
      <c r="B183" s="48">
        <f t="shared" si="61"/>
        <v>64.298372286529727</v>
      </c>
      <c r="C183" s="48">
        <f t="shared" si="46"/>
        <v>2.1620542663700248E-9</v>
      </c>
      <c r="D183" s="45">
        <f t="shared" si="47"/>
        <v>5.0909003783672357E-4</v>
      </c>
      <c r="E183" s="48">
        <f t="shared" si="52"/>
        <v>-3.2733658618134889E-2</v>
      </c>
      <c r="F183" s="48">
        <f t="shared" si="53"/>
        <v>5.200076049842429</v>
      </c>
      <c r="G183" s="48">
        <f t="shared" si="65"/>
        <v>5.1673423912242944</v>
      </c>
      <c r="J183" s="48">
        <f t="shared" si="54"/>
        <v>1.5623065834100407E-2</v>
      </c>
      <c r="Q183" s="8">
        <f t="shared" si="48"/>
        <v>100</v>
      </c>
      <c r="R183" s="9">
        <f t="shared" si="59"/>
        <v>2.1458436733587578E-4</v>
      </c>
      <c r="S183" s="8">
        <f t="shared" si="62"/>
        <v>1</v>
      </c>
      <c r="T183" s="9">
        <f t="shared" si="63"/>
        <v>1.9195559217714762E-4</v>
      </c>
      <c r="U183" s="9">
        <f t="shared" si="64"/>
        <v>1.8868218796782804E-4</v>
      </c>
      <c r="V183" s="9">
        <f t="shared" si="58"/>
        <v>3.2330259287019082E-2</v>
      </c>
    </row>
    <row r="184" spans="1:22">
      <c r="A184" s="8">
        <f t="shared" si="60"/>
        <v>0.86500000000000066</v>
      </c>
      <c r="B184" s="48">
        <f t="shared" si="61"/>
        <v>65.110864625606439</v>
      </c>
      <c r="C184" s="48">
        <f t="shared" si="46"/>
        <v>3.1279410076689811E-9</v>
      </c>
      <c r="D184" s="45">
        <f t="shared" si="47"/>
        <v>5.7447552626699316E-4</v>
      </c>
      <c r="E184" s="48">
        <f t="shared" si="52"/>
        <v>-3.7404595093553199E-2</v>
      </c>
      <c r="F184" s="48">
        <f t="shared" si="53"/>
        <v>5.2048533891343229</v>
      </c>
      <c r="G184" s="48">
        <f t="shared" si="65"/>
        <v>5.1674487940407694</v>
      </c>
      <c r="J184" s="48">
        <f t="shared" si="54"/>
        <v>4.2573056856624394E-3</v>
      </c>
      <c r="Q184" s="8">
        <f t="shared" si="48"/>
        <v>100</v>
      </c>
      <c r="R184" s="9">
        <f t="shared" si="59"/>
        <v>2.4131458428154788E-4</v>
      </c>
      <c r="S184" s="8">
        <f t="shared" si="62"/>
        <v>-1</v>
      </c>
      <c r="T184" s="9">
        <f t="shared" si="63"/>
        <v>-2.3162760008811658E-4</v>
      </c>
      <c r="U184" s="9">
        <f t="shared" si="64"/>
        <v>-2.2765490549662797E-4</v>
      </c>
      <c r="V184" s="9">
        <f t="shared" si="58"/>
        <v>1.2636281606881771E-2</v>
      </c>
    </row>
    <row r="185" spans="1:22">
      <c r="A185" s="8">
        <f t="shared" si="60"/>
        <v>0.87000000000000066</v>
      </c>
      <c r="B185" s="48">
        <f t="shared" si="61"/>
        <v>65.963744381094557</v>
      </c>
      <c r="C185" s="48">
        <f t="shared" si="46"/>
        <v>4.6920235066274562E-9</v>
      </c>
      <c r="D185" s="45">
        <f t="shared" si="47"/>
        <v>6.5611767035411717E-4</v>
      </c>
      <c r="E185" s="48">
        <f t="shared" si="52"/>
        <v>-4.3279973599134741E-2</v>
      </c>
      <c r="F185" s="48">
        <f t="shared" si="53"/>
        <v>5.2107593220216586</v>
      </c>
      <c r="G185" s="48">
        <f t="shared" si="65"/>
        <v>5.1674793484225239</v>
      </c>
      <c r="J185" s="48">
        <f t="shared" si="54"/>
        <v>5.3854215232875379E-3</v>
      </c>
      <c r="Q185" s="8">
        <f t="shared" si="48"/>
        <v>100</v>
      </c>
      <c r="R185" s="9">
        <f t="shared" si="59"/>
        <v>2.7442895546921146E-4</v>
      </c>
      <c r="S185" s="8">
        <f t="shared" si="62"/>
        <v>-1</v>
      </c>
      <c r="T185" s="9">
        <f t="shared" si="63"/>
        <v>-2.6325070838697628E-4</v>
      </c>
      <c r="U185" s="9">
        <f t="shared" si="64"/>
        <v>-2.5870976682005275E-4</v>
      </c>
      <c r="V185" s="9">
        <f t="shared" si="58"/>
        <v>1.3098885422459929E-2</v>
      </c>
    </row>
    <row r="186" spans="1:22">
      <c r="A186" s="8">
        <f t="shared" si="60"/>
        <v>0.87500000000000067</v>
      </c>
      <c r="B186" s="48">
        <f t="shared" si="61"/>
        <v>65.55290823869943</v>
      </c>
      <c r="C186" s="48">
        <f t="shared" si="46"/>
        <v>1.3113537040739832E-9</v>
      </c>
      <c r="D186" s="45">
        <f t="shared" si="47"/>
        <v>4.3315489799178319E-4</v>
      </c>
      <c r="E186" s="48">
        <f t="shared" si="52"/>
        <v>-2.8394561969844873E-2</v>
      </c>
      <c r="F186" s="48">
        <f t="shared" si="53"/>
        <v>5.1966645658512123</v>
      </c>
      <c r="G186" s="48">
        <f t="shared" si="65"/>
        <v>5.1682700038813678</v>
      </c>
      <c r="J186" s="48">
        <f t="shared" si="54"/>
        <v>-1.4615858157314109E-2</v>
      </c>
      <c r="Q186" s="8">
        <f t="shared" si="48"/>
        <v>100</v>
      </c>
      <c r="R186" s="9">
        <f t="shared" si="59"/>
        <v>1.917875573891029E-4</v>
      </c>
      <c r="S186" s="8">
        <f t="shared" si="62"/>
        <v>-1</v>
      </c>
      <c r="T186" s="9">
        <f t="shared" si="63"/>
        <v>-2.3641025582314353E-4</v>
      </c>
      <c r="U186" s="9">
        <f t="shared" si="64"/>
        <v>-2.3230906641876387E-4</v>
      </c>
      <c r="V186" s="9">
        <f t="shared" si="58"/>
        <v>-6.228211364436638E-3</v>
      </c>
    </row>
    <row r="187" spans="1:22">
      <c r="A187" s="8">
        <f t="shared" si="60"/>
        <v>0.88000000000000067</v>
      </c>
      <c r="B187" s="48">
        <f t="shared" si="61"/>
        <v>65.503075858654341</v>
      </c>
      <c r="C187" s="48">
        <f t="shared" si="46"/>
        <v>5.4778324458903498E-10</v>
      </c>
      <c r="D187" s="45">
        <f t="shared" si="47"/>
        <v>3.2602085287536386E-4</v>
      </c>
      <c r="E187" s="48">
        <f t="shared" si="52"/>
        <v>-2.13553681096149E-2</v>
      </c>
      <c r="F187" s="48">
        <f t="shared" si="53"/>
        <v>5.1901666488076819</v>
      </c>
      <c r="G187" s="48">
        <f t="shared" si="65"/>
        <v>5.1688112806980673</v>
      </c>
      <c r="J187" s="48">
        <f t="shared" si="54"/>
        <v>-7.0176094843053122E-3</v>
      </c>
      <c r="Q187" s="8">
        <f t="shared" si="48"/>
        <v>100</v>
      </c>
      <c r="R187" s="9">
        <f t="shared" si="59"/>
        <v>1.5045762210670233E-4</v>
      </c>
      <c r="S187" s="8">
        <f t="shared" si="62"/>
        <v>-1</v>
      </c>
      <c r="T187" s="9">
        <f t="shared" si="63"/>
        <v>-1.9751666166383644E-4</v>
      </c>
      <c r="U187" s="9">
        <f t="shared" si="64"/>
        <v>-1.9407078111657283E-4</v>
      </c>
      <c r="V187" s="9">
        <f t="shared" si="58"/>
        <v>-7.6018564826495834E-4</v>
      </c>
    </row>
    <row r="188" spans="1:22">
      <c r="A188" s="8">
        <f t="shared" si="60"/>
        <v>0.88500000000000068</v>
      </c>
      <c r="B188" s="48">
        <f t="shared" si="61"/>
        <v>66.247424575125279</v>
      </c>
      <c r="C188" s="48">
        <f t="shared" si="46"/>
        <v>6.7198258571372269E-10</v>
      </c>
      <c r="D188" s="45">
        <f t="shared" si="47"/>
        <v>3.4878443457375674E-4</v>
      </c>
      <c r="E188" s="48">
        <f t="shared" si="52"/>
        <v>-2.3106069850420085E-2</v>
      </c>
      <c r="F188" s="48">
        <f t="shared" si="53"/>
        <v>5.1921937200858848</v>
      </c>
      <c r="G188" s="48">
        <f t="shared" si="65"/>
        <v>5.1690876502354648</v>
      </c>
      <c r="J188" s="48">
        <f t="shared" si="54"/>
        <v>1.5080286616239843E-3</v>
      </c>
      <c r="Q188" s="8">
        <f t="shared" si="48"/>
        <v>100</v>
      </c>
      <c r="R188" s="9">
        <f t="shared" si="59"/>
        <v>1.6180847172597718E-4</v>
      </c>
      <c r="S188" s="8">
        <f t="shared" si="62"/>
        <v>-1</v>
      </c>
      <c r="T188" s="9">
        <f t="shared" si="63"/>
        <v>-1.7162807219655934E-4</v>
      </c>
      <c r="U188" s="9">
        <f t="shared" si="64"/>
        <v>-1.6861698207785557E-4</v>
      </c>
      <c r="V188" s="9">
        <f t="shared" si="58"/>
        <v>1.1363568912048181E-2</v>
      </c>
    </row>
    <row r="189" spans="1:22">
      <c r="A189" s="8">
        <f t="shared" si="60"/>
        <v>0.89000000000000068</v>
      </c>
      <c r="B189" s="48">
        <f t="shared" si="61"/>
        <v>66.155451892681612</v>
      </c>
      <c r="C189" s="48">
        <f t="shared" si="46"/>
        <v>2.3770364650098056E-10</v>
      </c>
      <c r="D189" s="45">
        <f t="shared" si="47"/>
        <v>2.4866083419050611E-4</v>
      </c>
      <c r="E189" s="48">
        <f t="shared" si="52"/>
        <v>-1.6450269616180461E-2</v>
      </c>
      <c r="F189" s="48">
        <f t="shared" si="53"/>
        <v>5.1860892433912511</v>
      </c>
      <c r="G189" s="48">
        <f t="shared" si="65"/>
        <v>5.1696389737750703</v>
      </c>
      <c r="J189" s="48">
        <f t="shared" si="54"/>
        <v>-6.6237220284762156E-3</v>
      </c>
      <c r="Q189" s="8">
        <f t="shared" si="48"/>
        <v>100</v>
      </c>
      <c r="R189" s="9">
        <f t="shared" si="59"/>
        <v>1.2090593379383187E-4</v>
      </c>
      <c r="S189" s="8">
        <f t="shared" si="62"/>
        <v>-1</v>
      </c>
      <c r="T189" s="9">
        <f t="shared" si="63"/>
        <v>-1.6154227206854302E-4</v>
      </c>
      <c r="U189" s="9">
        <f t="shared" si="64"/>
        <v>-1.5869225998270861E-4</v>
      </c>
      <c r="V189" s="9">
        <f t="shared" si="58"/>
        <v>-1.3883208748646518E-3</v>
      </c>
    </row>
    <row r="190" spans="1:22">
      <c r="A190" s="8">
        <f t="shared" si="60"/>
        <v>0.89500000000000068</v>
      </c>
      <c r="B190" s="48">
        <f t="shared" si="61"/>
        <v>66.86515517873076</v>
      </c>
      <c r="C190" s="48">
        <f t="shared" si="46"/>
        <v>2.6128662660465325E-10</v>
      </c>
      <c r="D190" s="45">
        <f t="shared" si="47"/>
        <v>2.5672747458871381E-4</v>
      </c>
      <c r="E190" s="48">
        <f t="shared" si="52"/>
        <v>-1.7166122165731379E-2</v>
      </c>
      <c r="F190" s="48">
        <f t="shared" si="53"/>
        <v>5.1871472554088989</v>
      </c>
      <c r="G190" s="48">
        <f t="shared" si="65"/>
        <v>5.1699811332431675</v>
      </c>
      <c r="J190" s="48">
        <f t="shared" si="54"/>
        <v>5.3937716199717659E-4</v>
      </c>
      <c r="Q190" s="8">
        <f t="shared" si="48"/>
        <v>100</v>
      </c>
      <c r="R190" s="9">
        <f t="shared" si="59"/>
        <v>1.2613697552213228E-4</v>
      </c>
      <c r="S190" s="8">
        <f t="shared" si="62"/>
        <v>-1</v>
      </c>
      <c r="T190" s="9">
        <f t="shared" si="63"/>
        <v>-1.4025881628578494E-4</v>
      </c>
      <c r="U190" s="9">
        <f t="shared" si="64"/>
        <v>-1.3777052016378651E-4</v>
      </c>
      <c r="V190" s="9">
        <f t="shared" si="58"/>
        <v>1.0727812534640981E-2</v>
      </c>
    </row>
    <row r="191" spans="1:22">
      <c r="A191" s="8">
        <f t="shared" si="60"/>
        <v>0.90000000000000069</v>
      </c>
      <c r="B191" s="48">
        <f t="shared" si="61"/>
        <v>67.954330738244082</v>
      </c>
      <c r="C191" s="48">
        <f t="shared" si="46"/>
        <v>4.9357596495677276E-10</v>
      </c>
      <c r="D191" s="45">
        <f t="shared" si="47"/>
        <v>3.1645114121725548E-4</v>
      </c>
      <c r="E191" s="48">
        <f t="shared" si="52"/>
        <v>-2.1504225019196199E-2</v>
      </c>
      <c r="F191" s="48">
        <f t="shared" si="53"/>
        <v>5.1917244778660177</v>
      </c>
      <c r="G191" s="48">
        <f t="shared" si="65"/>
        <v>5.1702202528468213</v>
      </c>
      <c r="J191" s="48">
        <f t="shared" si="54"/>
        <v>4.0584817949765517E-3</v>
      </c>
      <c r="Q191" s="8">
        <f t="shared" si="48"/>
        <v>100</v>
      </c>
      <c r="R191" s="9">
        <f t="shared" si="59"/>
        <v>1.5453030639517453E-4</v>
      </c>
      <c r="S191" s="8">
        <f t="shared" si="62"/>
        <v>-1</v>
      </c>
      <c r="T191" s="9">
        <f t="shared" si="63"/>
        <v>-1.2386617362714639E-4</v>
      </c>
      <c r="U191" s="9">
        <f t="shared" si="64"/>
        <v>-1.2165652896391061E-4</v>
      </c>
      <c r="V191" s="9">
        <f t="shared" si="58"/>
        <v>1.6289135299274372E-2</v>
      </c>
    </row>
    <row r="192" spans="1:22">
      <c r="A192" s="8">
        <f t="shared" si="60"/>
        <v>0.90500000000000069</v>
      </c>
      <c r="B192" s="48">
        <f t="shared" si="61"/>
        <v>66.189759856666541</v>
      </c>
      <c r="C192" s="48">
        <f t="shared" si="46"/>
        <v>9.513434813185188E-12</v>
      </c>
      <c r="D192" s="45">
        <f t="shared" si="47"/>
        <v>8.7191164920952247E-5</v>
      </c>
      <c r="E192" s="48">
        <f t="shared" si="52"/>
        <v>-5.771162258227402E-3</v>
      </c>
      <c r="F192" s="48">
        <f t="shared" si="53"/>
        <v>5.177069013497495</v>
      </c>
      <c r="G192" s="48">
        <f t="shared" si="65"/>
        <v>5.1712978512392676</v>
      </c>
      <c r="J192" s="48">
        <f t="shared" si="54"/>
        <v>-1.5174662775797374E-2</v>
      </c>
      <c r="Q192" s="8">
        <f t="shared" si="48"/>
        <v>100</v>
      </c>
      <c r="R192" s="9">
        <f t="shared" si="59"/>
        <v>4.8722119189828497E-5</v>
      </c>
      <c r="S192" s="8">
        <f t="shared" si="62"/>
        <v>1</v>
      </c>
      <c r="T192" s="9">
        <f t="shared" si="63"/>
        <v>6.5942533178865755E-6</v>
      </c>
      <c r="U192" s="9">
        <f t="shared" si="64"/>
        <v>6.4759710168450096E-6</v>
      </c>
      <c r="V192" s="9">
        <f t="shared" si="58"/>
        <v>-2.5967011409097084E-2</v>
      </c>
    </row>
    <row r="193" spans="1:22">
      <c r="A193" s="8">
        <f t="shared" si="60"/>
        <v>0.9100000000000007</v>
      </c>
      <c r="B193" s="48">
        <f t="shared" si="61"/>
        <v>66.450121227465246</v>
      </c>
      <c r="C193" s="48">
        <f t="shared" si="46"/>
        <v>4.0269950949888608E-12</v>
      </c>
      <c r="D193" s="45">
        <f t="shared" si="47"/>
        <v>6.5964744695001798E-5</v>
      </c>
      <c r="E193" s="48">
        <f t="shared" si="52"/>
        <v>-4.3833652776946695E-3</v>
      </c>
      <c r="F193" s="48">
        <f t="shared" si="53"/>
        <v>5.1761762480878133</v>
      </c>
      <c r="G193" s="48">
        <f t="shared" si="65"/>
        <v>5.1717928828101183</v>
      </c>
      <c r="J193" s="48">
        <f t="shared" si="54"/>
        <v>-1.4104981972395275E-3</v>
      </c>
      <c r="Q193" s="8">
        <f t="shared" si="48"/>
        <v>100</v>
      </c>
      <c r="R193" s="9">
        <f t="shared" si="59"/>
        <v>3.8343144475036984E-5</v>
      </c>
      <c r="S193" s="8">
        <f t="shared" si="62"/>
        <v>-1</v>
      </c>
      <c r="T193" s="9">
        <f t="shared" si="63"/>
        <v>-5.0540942481414256E-5</v>
      </c>
      <c r="U193" s="9">
        <f t="shared" si="64"/>
        <v>-4.9629417367779242E-5</v>
      </c>
      <c r="V193" s="9">
        <f t="shared" si="58"/>
        <v>3.9335596829859461E-3</v>
      </c>
    </row>
    <row r="194" spans="1:22">
      <c r="A194" s="8">
        <f t="shared" si="60"/>
        <v>0.9150000000000007</v>
      </c>
      <c r="B194" s="48">
        <f t="shared" si="61"/>
        <v>67.86143477224968</v>
      </c>
      <c r="C194" s="48">
        <f t="shared" si="46"/>
        <v>1.2287758025658136E-11</v>
      </c>
      <c r="D194" s="45">
        <f t="shared" si="47"/>
        <v>9.5097821546263894E-5</v>
      </c>
      <c r="E194" s="48">
        <f t="shared" si="52"/>
        <v>-6.4534746015570696E-3</v>
      </c>
      <c r="F194" s="48">
        <f t="shared" si="53"/>
        <v>5.1786709039888237</v>
      </c>
      <c r="G194" s="48">
        <f t="shared" si="65"/>
        <v>5.1722174293872669</v>
      </c>
      <c r="J194" s="48">
        <f t="shared" si="54"/>
        <v>1.9770123944568598E-3</v>
      </c>
      <c r="Q194" s="8">
        <f t="shared" si="48"/>
        <v>100</v>
      </c>
      <c r="R194" s="9">
        <f t="shared" si="59"/>
        <v>5.4512133943292854E-5</v>
      </c>
      <c r="S194" s="8">
        <f t="shared" si="62"/>
        <v>-1</v>
      </c>
      <c r="T194" s="9">
        <f t="shared" si="63"/>
        <v>-2.0261020586267081E-5</v>
      </c>
      <c r="U194" s="9">
        <f t="shared" si="64"/>
        <v>-1.9893615915563943E-5</v>
      </c>
      <c r="V194" s="9">
        <f t="shared" si="58"/>
        <v>2.1238690294534908E-2</v>
      </c>
    </row>
    <row r="195" spans="1:22">
      <c r="A195" s="8">
        <f t="shared" si="60"/>
        <v>0.92000000000000071</v>
      </c>
      <c r="B195" s="48">
        <f t="shared" si="61"/>
        <v>70.606125822232926</v>
      </c>
      <c r="C195" s="48">
        <f t="shared" si="46"/>
        <v>3.3167504555325809E-10</v>
      </c>
      <c r="D195" s="45">
        <f t="shared" si="47"/>
        <v>2.8012415897149534E-4</v>
      </c>
      <c r="E195" s="48">
        <f t="shared" si="52"/>
        <v>-1.9778481282513534E-2</v>
      </c>
      <c r="F195" s="48">
        <f t="shared" si="53"/>
        <v>5.1922527898341126</v>
      </c>
      <c r="G195" s="48">
        <f t="shared" si="65"/>
        <v>5.1724743085515987</v>
      </c>
      <c r="J195" s="48">
        <f t="shared" si="54"/>
        <v>1.3063992860672816E-2</v>
      </c>
      <c r="Q195" s="8">
        <f t="shared" si="48"/>
        <v>100</v>
      </c>
      <c r="R195" s="9">
        <f t="shared" si="59"/>
        <v>1.4843840365347661E-4</v>
      </c>
      <c r="S195" s="8">
        <f t="shared" si="62"/>
        <v>1</v>
      </c>
      <c r="T195" s="9">
        <f t="shared" si="63"/>
        <v>3.7863525417112745E-4</v>
      </c>
      <c r="U195" s="9">
        <f t="shared" si="64"/>
        <v>3.7173206955360956E-4</v>
      </c>
      <c r="V195" s="9">
        <f t="shared" si="58"/>
        <v>4.0445520481474137E-2</v>
      </c>
    </row>
    <row r="196" spans="1:22">
      <c r="A196" s="8">
        <f t="shared" si="60"/>
        <v>0.92500000000000071</v>
      </c>
      <c r="B196" s="48">
        <f t="shared" si="61"/>
        <v>72.535575728538888</v>
      </c>
      <c r="C196" s="48">
        <f t="shared" si="46"/>
        <v>2.0151977370961788E-9</v>
      </c>
      <c r="D196" s="45">
        <f t="shared" si="47"/>
        <v>5.0757299562309566E-4</v>
      </c>
      <c r="E196" s="48">
        <f t="shared" si="52"/>
        <v>-3.6817097446582653E-2</v>
      </c>
      <c r="F196" s="48">
        <f t="shared" si="53"/>
        <v>5.2092701733905358</v>
      </c>
      <c r="G196" s="48">
        <f t="shared" si="65"/>
        <v>5.1724530759439533</v>
      </c>
      <c r="J196" s="48">
        <f t="shared" si="54"/>
        <v>1.6498132315310225E-2</v>
      </c>
      <c r="Q196" s="8">
        <f t="shared" si="48"/>
        <v>100</v>
      </c>
      <c r="R196" s="9">
        <f t="shared" si="59"/>
        <v>2.591675537838085E-4</v>
      </c>
      <c r="S196" s="8">
        <f t="shared" si="62"/>
        <v>1</v>
      </c>
      <c r="T196" s="9">
        <f t="shared" si="63"/>
        <v>9.1538985741889349E-5</v>
      </c>
      <c r="U196" s="9">
        <f t="shared" si="64"/>
        <v>8.9861082961297458E-5</v>
      </c>
      <c r="V196" s="9">
        <f t="shared" si="58"/>
        <v>2.7326947681052396E-2</v>
      </c>
    </row>
    <row r="197" spans="1:22">
      <c r="A197" s="8">
        <f t="shared" si="60"/>
        <v>0.93000000000000071</v>
      </c>
      <c r="B197" s="48">
        <f t="shared" si="61"/>
        <v>73.096161065431005</v>
      </c>
      <c r="C197" s="48">
        <f t="shared" si="46"/>
        <v>1.3384659735418719E-9</v>
      </c>
      <c r="D197" s="45">
        <f t="shared" si="47"/>
        <v>4.4545679795038318E-4</v>
      </c>
      <c r="E197" s="48">
        <f t="shared" si="52"/>
        <v>-3.256118051220639E-2</v>
      </c>
      <c r="F197" s="48">
        <f t="shared" si="53"/>
        <v>5.2052506708652375</v>
      </c>
      <c r="G197" s="48">
        <f t="shared" si="65"/>
        <v>5.1726894903530312</v>
      </c>
      <c r="J197" s="48">
        <f t="shared" si="54"/>
        <v>-4.5404555898567421E-3</v>
      </c>
      <c r="Q197" s="8">
        <f t="shared" si="48"/>
        <v>100</v>
      </c>
      <c r="R197" s="9">
        <f t="shared" si="59"/>
        <v>2.3588506819589733E-4</v>
      </c>
      <c r="S197" s="8">
        <f t="shared" si="62"/>
        <v>-1</v>
      </c>
      <c r="T197" s="9">
        <f t="shared" si="63"/>
        <v>-3.4834153764767313E-4</v>
      </c>
      <c r="U197" s="9">
        <f t="shared" si="64"/>
        <v>-3.4192226930941134E-4</v>
      </c>
      <c r="V197" s="9">
        <f t="shared" si="58"/>
        <v>7.7284192103207767E-3</v>
      </c>
    </row>
    <row r="198" spans="1:22">
      <c r="A198" s="8">
        <f t="shared" si="60"/>
        <v>0.93500000000000072</v>
      </c>
      <c r="B198" s="48">
        <f t="shared" si="61"/>
        <v>74.066383839390511</v>
      </c>
      <c r="C198" s="48">
        <f t="shared" si="46"/>
        <v>1.6037278422833768E-9</v>
      </c>
      <c r="D198" s="45">
        <f t="shared" si="47"/>
        <v>4.7470040053188001E-4</v>
      </c>
      <c r="E198" s="48">
        <f t="shared" si="52"/>
        <v>-3.5159340470778795E-2</v>
      </c>
      <c r="F198" s="48">
        <f t="shared" si="53"/>
        <v>5.2079371898530926</v>
      </c>
      <c r="G198" s="48">
        <f t="shared" si="65"/>
        <v>5.1727778493823138</v>
      </c>
      <c r="J198" s="48">
        <f t="shared" si="54"/>
        <v>2.1659678936477357E-3</v>
      </c>
      <c r="Q198" s="8">
        <f t="shared" si="48"/>
        <v>100</v>
      </c>
      <c r="R198" s="9">
        <f t="shared" si="59"/>
        <v>2.5624558024755877E-4</v>
      </c>
      <c r="S198" s="8">
        <f t="shared" si="62"/>
        <v>-1</v>
      </c>
      <c r="T198" s="9">
        <f t="shared" si="63"/>
        <v>-3.0667256643105096E-4</v>
      </c>
      <c r="U198" s="9">
        <f t="shared" si="64"/>
        <v>-3.0099107692801747E-4</v>
      </c>
      <c r="V198" s="9">
        <f t="shared" si="58"/>
        <v>1.327323842754238E-2</v>
      </c>
    </row>
    <row r="199" spans="1:22">
      <c r="A199" s="8">
        <f t="shared" si="60"/>
        <v>0.94000000000000072</v>
      </c>
      <c r="B199" s="48">
        <f t="shared" si="61"/>
        <v>74.591880976508989</v>
      </c>
      <c r="C199" s="48">
        <f t="shared" si="46"/>
        <v>8.44503807679018E-10</v>
      </c>
      <c r="D199" s="45">
        <f t="shared" si="47"/>
        <v>3.8643118177628111E-4</v>
      </c>
      <c r="E199" s="48">
        <f t="shared" si="52"/>
        <v>-2.8824627872164263E-2</v>
      </c>
      <c r="F199" s="48">
        <f t="shared" si="53"/>
        <v>5.2018738425533249</v>
      </c>
      <c r="G199" s="48">
        <f t="shared" si="65"/>
        <v>5.1730492146811606</v>
      </c>
      <c r="J199" s="48">
        <f t="shared" si="54"/>
        <v>-6.5841670593070681E-3</v>
      </c>
      <c r="Q199" s="8">
        <f t="shared" si="48"/>
        <v>100</v>
      </c>
      <c r="R199" s="9">
        <f t="shared" si="59"/>
        <v>2.1882854222380775E-4</v>
      </c>
      <c r="S199" s="8">
        <f t="shared" si="62"/>
        <v>-1</v>
      </c>
      <c r="T199" s="9">
        <f t="shared" si="63"/>
        <v>-3.4223021787599416E-4</v>
      </c>
      <c r="U199" s="9">
        <f t="shared" si="64"/>
        <v>-3.3585639147739997E-4</v>
      </c>
      <c r="V199" s="9">
        <f t="shared" si="58"/>
        <v>7.0949479355978005E-3</v>
      </c>
    </row>
    <row r="200" spans="1:22">
      <c r="A200" s="8">
        <f t="shared" si="60"/>
        <v>0.94500000000000073</v>
      </c>
      <c r="B200" s="48">
        <f t="shared" si="61"/>
        <v>75.534444990115162</v>
      </c>
      <c r="C200" s="48">
        <f t="shared" si="46"/>
        <v>8.1680967578470499E-10</v>
      </c>
      <c r="D200" s="45">
        <f t="shared" si="47"/>
        <v>3.843673322287966E-4</v>
      </c>
      <c r="E200" s="48">
        <f t="shared" si="52"/>
        <v>-2.9032972295423679E-2</v>
      </c>
      <c r="F200" s="48">
        <f t="shared" si="53"/>
        <v>5.2022381642177047</v>
      </c>
      <c r="G200" s="48">
        <f t="shared" si="65"/>
        <v>5.173205191922281</v>
      </c>
      <c r="J200" s="48">
        <f t="shared" si="54"/>
        <v>-1.558917301123427E-4</v>
      </c>
      <c r="Q200" s="8">
        <f t="shared" si="48"/>
        <v>100</v>
      </c>
      <c r="R200" s="9">
        <f t="shared" si="59"/>
        <v>2.2458741607275424E-4</v>
      </c>
      <c r="S200" s="8">
        <f t="shared" si="62"/>
        <v>-1</v>
      </c>
      <c r="T200" s="9">
        <f t="shared" si="63"/>
        <v>-2.9011842814405045E-4</v>
      </c>
      <c r="U200" s="9">
        <f t="shared" si="64"/>
        <v>-2.846866815460334E-4</v>
      </c>
      <c r="V200" s="9">
        <f t="shared" si="58"/>
        <v>1.2636281606881747E-2</v>
      </c>
    </row>
    <row r="201" spans="1:22">
      <c r="A201" s="8">
        <f t="shared" si="60"/>
        <v>0.95000000000000073</v>
      </c>
      <c r="B201" s="48">
        <f t="shared" si="61"/>
        <v>72.351225326541325</v>
      </c>
      <c r="C201" s="48">
        <f t="shared" si="46"/>
        <v>1.2936242133925722E-13</v>
      </c>
      <c r="D201" s="45">
        <f t="shared" si="47"/>
        <v>2.22041081031632E-5</v>
      </c>
      <c r="E201" s="48">
        <f t="shared" si="52"/>
        <v>-1.6064944284174803E-3</v>
      </c>
      <c r="F201" s="48">
        <f t="shared" si="53"/>
        <v>5.1765554610124838</v>
      </c>
      <c r="G201" s="48">
        <f t="shared" si="65"/>
        <v>5.1749489665840667</v>
      </c>
      <c r="J201" s="48">
        <f t="shared" si="54"/>
        <v>-2.6202953033700391E-2</v>
      </c>
      <c r="Q201" s="8">
        <f t="shared" si="48"/>
        <v>100</v>
      </c>
      <c r="R201" s="9">
        <f t="shared" si="59"/>
        <v>1.6873056754746369E-5</v>
      </c>
      <c r="S201" s="8">
        <f t="shared" si="62"/>
        <v>1</v>
      </c>
      <c r="T201" s="9">
        <f t="shared" si="63"/>
        <v>5.138332480336837E-5</v>
      </c>
      <c r="U201" s="9">
        <f t="shared" si="64"/>
        <v>5.0416257860483935E-5</v>
      </c>
      <c r="V201" s="9">
        <f t="shared" si="58"/>
        <v>-4.2142623328872149E-2</v>
      </c>
    </row>
    <row r="202" spans="1:22">
      <c r="A202" s="8">
        <f t="shared" si="60"/>
        <v>0.95500000000000074</v>
      </c>
      <c r="B202" s="48">
        <f t="shared" si="61"/>
        <v>76.047255243340899</v>
      </c>
      <c r="C202" s="48">
        <f t="shared" si="46"/>
        <v>3.3966188735503704E-11</v>
      </c>
      <c r="D202" s="45">
        <f t="shared" si="47"/>
        <v>1.3704823642246566E-4</v>
      </c>
      <c r="E202" s="48">
        <f t="shared" si="52"/>
        <v>-1.0422142181902785E-2</v>
      </c>
      <c r="F202" s="48">
        <f t="shared" si="53"/>
        <v>5.185806723181722</v>
      </c>
      <c r="G202" s="48">
        <f t="shared" si="65"/>
        <v>5.1753845809998191</v>
      </c>
      <c r="J202" s="48">
        <f t="shared" si="54"/>
        <v>8.7335807394969892E-3</v>
      </c>
      <c r="Q202" s="8">
        <f t="shared" si="48"/>
        <v>100</v>
      </c>
      <c r="R202" s="9">
        <f t="shared" si="59"/>
        <v>9.421225028124206E-5</v>
      </c>
      <c r="S202" s="8">
        <f t="shared" si="62"/>
        <v>1</v>
      </c>
      <c r="T202" s="9">
        <f t="shared" si="63"/>
        <v>5.4406541002593393E-4</v>
      </c>
      <c r="U202" s="9">
        <f t="shared" si="64"/>
        <v>5.3377237212145362E-4</v>
      </c>
      <c r="V202" s="9">
        <f t="shared" si="58"/>
        <v>5.1084551783585654E-2</v>
      </c>
    </row>
    <row r="203" spans="1:22">
      <c r="A203" s="8">
        <f t="shared" si="60"/>
        <v>0.96000000000000074</v>
      </c>
      <c r="B203" s="48">
        <f t="shared" si="61"/>
        <v>77.742122849958051</v>
      </c>
      <c r="C203" s="48">
        <f t="shared" ref="C203:C210" si="66">CallOption(B203,Vol_i,0,PL_r, PL_K,PL_T-A203)</f>
        <v>9.2884402337760425E-11</v>
      </c>
      <c r="D203" s="45">
        <f t="shared" ref="D203:D210" si="67">CallDelta(B203,$E$6,0,PL_r, PL_K, PL_T-A203)</f>
        <v>1.924164423936503E-4</v>
      </c>
      <c r="E203" s="48">
        <f t="shared" si="52"/>
        <v>-1.4958862610034637E-2</v>
      </c>
      <c r="F203" s="48">
        <f t="shared" si="53"/>
        <v>5.1906297716545318</v>
      </c>
      <c r="G203" s="48">
        <f t="shared" si="65"/>
        <v>5.1756709090444968</v>
      </c>
      <c r="J203" s="48">
        <f t="shared" si="54"/>
        <v>4.3044418705936172E-3</v>
      </c>
      <c r="Q203" s="8">
        <f t="shared" ref="Q203:Q211" si="68">PL_K</f>
        <v>100</v>
      </c>
      <c r="R203" s="9">
        <f t="shared" ref="R203:R210" si="69">CallGamma(B203,$E$6,0,PL_r, PL_K, PL_T-A203)</f>
        <v>1.3429255874820365E-4</v>
      </c>
      <c r="S203" s="8">
        <f t="shared" si="62"/>
        <v>-1</v>
      </c>
      <c r="T203" s="9">
        <f t="shared" si="63"/>
        <v>-4.6989310651579581E-5</v>
      </c>
      <c r="U203" s="9">
        <f t="shared" si="64"/>
        <v>-4.6095721791011839E-5</v>
      </c>
      <c r="V203" s="9">
        <f t="shared" si="58"/>
        <v>2.2287031940782152E-2</v>
      </c>
    </row>
    <row r="204" spans="1:22">
      <c r="A204" s="8">
        <f t="shared" ref="A204:A211" si="70">A203+dt</f>
        <v>0.96500000000000075</v>
      </c>
      <c r="B204" s="48">
        <f t="shared" ref="B204:B211" si="71">B203*EXP((PL_r-0.5*Vol_a^2)*dt+Vol_a*SQRT(dt)*NormalRN())</f>
        <v>75.175549566327987</v>
      </c>
      <c r="C204" s="48">
        <f t="shared" si="66"/>
        <v>6.4951479615757972E-15</v>
      </c>
      <c r="D204" s="45">
        <f t="shared" si="67"/>
        <v>8.0089160005014648E-6</v>
      </c>
      <c r="E204" s="48">
        <f t="shared" ref="E204:E211" si="72">C204-D204*B204</f>
        <v>-6.0207466176176005E-4</v>
      </c>
      <c r="F204" s="48">
        <f t="shared" ref="F204:F211" si="73">J204+F203*EXP(PL_r*dt)</f>
        <v>5.1772859234449395</v>
      </c>
      <c r="G204" s="48">
        <f t="shared" si="65"/>
        <v>5.1766838487831777</v>
      </c>
      <c r="J204" s="48">
        <f t="shared" ref="J204:J211" si="74">(D204-D203)*B204</f>
        <v>-1.3862937140772098E-2</v>
      </c>
      <c r="Q204" s="8">
        <f t="shared" si="68"/>
        <v>100</v>
      </c>
      <c r="R204" s="9">
        <f t="shared" si="69"/>
        <v>7.3587809002063266E-6</v>
      </c>
      <c r="S204" s="8">
        <f t="shared" ref="S204:S211" si="75">IF(V204^2 &lt; ($E$6^2*dt), -1, 1)</f>
        <v>1</v>
      </c>
      <c r="T204" s="9">
        <f t="shared" ref="T204:T211" si="76">0.5*R204*(B204^2)*(V204^2-$E$6^2*dt)</f>
        <v>9.9272632552380502E-6</v>
      </c>
      <c r="U204" s="9">
        <f t="shared" ref="U204:U211" si="77">T204*EXP(-PL_r*A204)</f>
        <v>9.737504140117368E-6</v>
      </c>
      <c r="V204" s="9">
        <f t="shared" si="58"/>
        <v>-3.3013933624935071E-2</v>
      </c>
    </row>
    <row r="205" spans="1:22">
      <c r="A205" s="8">
        <f t="shared" si="70"/>
        <v>0.97000000000000075</v>
      </c>
      <c r="B205" s="48">
        <f t="shared" si="71"/>
        <v>74.925238529227499</v>
      </c>
      <c r="C205" s="48">
        <f t="shared" si="66"/>
        <v>0</v>
      </c>
      <c r="D205" s="45">
        <f t="shared" si="67"/>
        <v>1.1704125032485635E-6</v>
      </c>
      <c r="E205" s="48">
        <f t="shared" si="72"/>
        <v>-8.769343598348887E-5</v>
      </c>
      <c r="F205" s="48">
        <f t="shared" si="73"/>
        <v>5.1772913014188626</v>
      </c>
      <c r="G205" s="48">
        <f t="shared" si="65"/>
        <v>5.1772036079828787</v>
      </c>
      <c r="J205" s="48">
        <f t="shared" si="74"/>
        <v>-5.1237650571463005E-4</v>
      </c>
      <c r="Q205" s="8">
        <f t="shared" si="68"/>
        <v>100</v>
      </c>
      <c r="R205" s="9">
        <f t="shared" si="69"/>
        <v>1.2657214682987087E-6</v>
      </c>
      <c r="S205" s="8">
        <f t="shared" si="75"/>
        <v>-1</v>
      </c>
      <c r="T205" s="9">
        <f t="shared" si="76"/>
        <v>-2.1366695687750173E-6</v>
      </c>
      <c r="U205" s="9">
        <f t="shared" si="77"/>
        <v>-2.0956176700744837E-6</v>
      </c>
      <c r="V205" s="9">
        <f t="shared" ref="V205:V211" si="78">(B205-B204)/B204</f>
        <v>-3.3296868269600947E-3</v>
      </c>
    </row>
    <row r="206" spans="1:22">
      <c r="A206" s="8">
        <f t="shared" si="70"/>
        <v>0.97500000000000075</v>
      </c>
      <c r="B206" s="48">
        <f t="shared" si="71"/>
        <v>76.581920064315483</v>
      </c>
      <c r="C206" s="48">
        <f t="shared" si="66"/>
        <v>0</v>
      </c>
      <c r="D206" s="45">
        <f t="shared" si="67"/>
        <v>8.5781972036791387E-7</v>
      </c>
      <c r="E206" s="48">
        <f t="shared" si="72"/>
        <v>-6.5693481254809044E-5</v>
      </c>
      <c r="F206" s="48">
        <f t="shared" si="73"/>
        <v>5.1777851174808127</v>
      </c>
      <c r="G206" s="48">
        <f t="shared" si="65"/>
        <v>5.1777194239995579</v>
      </c>
      <c r="J206" s="48">
        <f t="shared" si="74"/>
        <v>-2.3938955511247836E-5</v>
      </c>
      <c r="Q206" s="8">
        <f t="shared" si="68"/>
        <v>100</v>
      </c>
      <c r="R206" s="9">
        <f t="shared" si="69"/>
        <v>1.0063959858130233E-6</v>
      </c>
      <c r="S206" s="8">
        <f t="shared" si="75"/>
        <v>-1</v>
      </c>
      <c r="T206" s="9">
        <f t="shared" si="76"/>
        <v>-3.6475639898908059E-7</v>
      </c>
      <c r="U206" s="9">
        <f t="shared" si="77"/>
        <v>-3.5771254993759774E-7</v>
      </c>
      <c r="V206" s="9">
        <f t="shared" si="78"/>
        <v>2.2111127940443332E-2</v>
      </c>
    </row>
    <row r="207" spans="1:22">
      <c r="A207" s="8">
        <f t="shared" si="70"/>
        <v>0.98000000000000076</v>
      </c>
      <c r="B207" s="48">
        <f t="shared" si="71"/>
        <v>78.190308091151039</v>
      </c>
      <c r="C207" s="48">
        <f t="shared" si="66"/>
        <v>0</v>
      </c>
      <c r="D207" s="45">
        <f t="shared" si="67"/>
        <v>3.9600659973437757E-7</v>
      </c>
      <c r="E207" s="48">
        <f t="shared" si="72"/>
        <v>-3.0963878039360113E-5</v>
      </c>
      <c r="F207" s="48">
        <f t="shared" si="73"/>
        <v>5.1782668125721667</v>
      </c>
      <c r="G207" s="48">
        <f t="shared" si="65"/>
        <v>5.1782358486941273</v>
      </c>
      <c r="J207" s="48">
        <f t="shared" si="74"/>
        <v>-3.6109310182872107E-5</v>
      </c>
      <c r="Q207" s="8">
        <f t="shared" si="68"/>
        <v>100</v>
      </c>
      <c r="R207" s="9">
        <f t="shared" si="69"/>
        <v>5.2373890332850844E-7</v>
      </c>
      <c r="S207" s="8">
        <f t="shared" si="75"/>
        <v>-1</v>
      </c>
      <c r="T207" s="9">
        <f t="shared" si="76"/>
        <v>-2.7442383302378672E-7</v>
      </c>
      <c r="U207" s="9">
        <f t="shared" si="77"/>
        <v>-2.6909749452655142E-7</v>
      </c>
      <c r="V207" s="9">
        <f t="shared" si="78"/>
        <v>2.1002189883523287E-2</v>
      </c>
    </row>
    <row r="208" spans="1:22">
      <c r="A208" s="8">
        <f t="shared" si="70"/>
        <v>0.98500000000000076</v>
      </c>
      <c r="B208" s="48">
        <f t="shared" si="71"/>
        <v>73.667973375272979</v>
      </c>
      <c r="C208" s="48">
        <f t="shared" si="66"/>
        <v>0</v>
      </c>
      <c r="D208" s="45">
        <f t="shared" si="67"/>
        <v>6.2438942904918804E-13</v>
      </c>
      <c r="E208" s="48">
        <f t="shared" si="72"/>
        <v>-4.5997503834997478E-11</v>
      </c>
      <c r="F208" s="48">
        <f t="shared" si="73"/>
        <v>5.1787554921879737</v>
      </c>
      <c r="G208" s="48">
        <f t="shared" si="65"/>
        <v>5.1787554921419758</v>
      </c>
      <c r="J208" s="48">
        <f t="shared" si="74"/>
        <v>-2.9172957648160676E-5</v>
      </c>
      <c r="Q208" s="8">
        <f t="shared" si="68"/>
        <v>100</v>
      </c>
      <c r="R208" s="9">
        <f t="shared" si="69"/>
        <v>1.4212357104423408E-12</v>
      </c>
      <c r="S208" s="8">
        <f t="shared" si="75"/>
        <v>1</v>
      </c>
      <c r="T208" s="9">
        <f t="shared" si="76"/>
        <v>1.0538587827778721E-11</v>
      </c>
      <c r="U208" s="9">
        <f t="shared" si="77"/>
        <v>1.0333009245150046E-11</v>
      </c>
      <c r="V208" s="9">
        <f t="shared" si="78"/>
        <v>-5.7837535447566063E-2</v>
      </c>
    </row>
    <row r="209" spans="1:22">
      <c r="A209" s="8">
        <f t="shared" si="70"/>
        <v>0.99000000000000077</v>
      </c>
      <c r="B209" s="48">
        <f t="shared" si="71"/>
        <v>73.330402190028565</v>
      </c>
      <c r="C209" s="48">
        <f t="shared" si="66"/>
        <v>0</v>
      </c>
      <c r="D209" s="45">
        <f t="shared" si="67"/>
        <v>0</v>
      </c>
      <c r="E209" s="48">
        <f t="shared" si="72"/>
        <v>0</v>
      </c>
      <c r="F209" s="48">
        <f t="shared" si="73"/>
        <v>5.1792733935860467</v>
      </c>
      <c r="G209" s="48">
        <f t="shared" si="65"/>
        <v>5.1792733935860467</v>
      </c>
      <c r="J209" s="48">
        <f t="shared" si="74"/>
        <v>-4.5786727955379263E-11</v>
      </c>
      <c r="Q209" s="8">
        <f t="shared" si="68"/>
        <v>100</v>
      </c>
      <c r="R209" s="9">
        <f t="shared" si="69"/>
        <v>1.6764364887276866E-18</v>
      </c>
      <c r="S209" s="8">
        <f t="shared" si="75"/>
        <v>-1</v>
      </c>
      <c r="T209" s="9">
        <f t="shared" si="76"/>
        <v>-2.6661318636903509E-18</v>
      </c>
      <c r="U209" s="9">
        <f t="shared" si="77"/>
        <v>-2.6138616357035418E-18</v>
      </c>
      <c r="V209" s="9">
        <f t="shared" si="78"/>
        <v>-4.582332997336418E-3</v>
      </c>
    </row>
    <row r="210" spans="1:22">
      <c r="A210" s="8">
        <f t="shared" si="70"/>
        <v>0.99500000000000077</v>
      </c>
      <c r="B210" s="48">
        <f t="shared" si="71"/>
        <v>72.074020155022879</v>
      </c>
      <c r="C210" s="48">
        <f t="shared" si="66"/>
        <v>0</v>
      </c>
      <c r="D210" s="45">
        <f t="shared" si="67"/>
        <v>0</v>
      </c>
      <c r="E210" s="48">
        <f t="shared" si="72"/>
        <v>0</v>
      </c>
      <c r="F210" s="48">
        <f t="shared" si="73"/>
        <v>5.1797913468226353</v>
      </c>
      <c r="G210" s="48">
        <f t="shared" si="65"/>
        <v>5.1797913468226353</v>
      </c>
      <c r="J210" s="48">
        <f t="shared" si="74"/>
        <v>0</v>
      </c>
      <c r="Q210" s="8">
        <f t="shared" si="68"/>
        <v>100</v>
      </c>
      <c r="R210" s="9">
        <f t="shared" si="69"/>
        <v>2.6555686078754208E-39</v>
      </c>
      <c r="S210" s="8">
        <f t="shared" si="75"/>
        <v>-1</v>
      </c>
      <c r="T210" s="9">
        <f t="shared" si="76"/>
        <v>-2.1999553848988671E-39</v>
      </c>
      <c r="U210" s="9">
        <f t="shared" si="77"/>
        <v>-2.1566089997292089E-39</v>
      </c>
      <c r="V210" s="9">
        <f t="shared" si="78"/>
        <v>-1.7133167110551156E-2</v>
      </c>
    </row>
    <row r="211" spans="1:22">
      <c r="A211" s="8">
        <f t="shared" si="70"/>
        <v>1.0000000000000007</v>
      </c>
      <c r="B211" s="48">
        <f t="shared" si="71"/>
        <v>73.495245066900409</v>
      </c>
      <c r="C211" s="60">
        <f>MAX(B211-PL_K,0)</f>
        <v>0</v>
      </c>
      <c r="D211" s="46">
        <f>IF(B211&gt;PL_K,1,0)</f>
        <v>0</v>
      </c>
      <c r="E211" s="48">
        <f t="shared" si="72"/>
        <v>0</v>
      </c>
      <c r="F211" s="48">
        <f t="shared" si="73"/>
        <v>5.1803093518571375</v>
      </c>
      <c r="G211" s="48">
        <f t="shared" si="65"/>
        <v>5.1803093518571375</v>
      </c>
      <c r="J211" s="48">
        <f t="shared" si="74"/>
        <v>0</v>
      </c>
      <c r="Q211" s="8">
        <f t="shared" si="68"/>
        <v>100</v>
      </c>
      <c r="R211" s="9">
        <v>0</v>
      </c>
      <c r="S211" s="8">
        <f t="shared" si="75"/>
        <v>-1</v>
      </c>
      <c r="T211" s="9">
        <f t="shared" si="76"/>
        <v>0</v>
      </c>
      <c r="U211" s="9">
        <f t="shared" si="77"/>
        <v>0</v>
      </c>
      <c r="V211" s="9">
        <f t="shared" si="78"/>
        <v>1.9718962655623205E-2</v>
      </c>
    </row>
  </sheetData>
  <phoneticPr fontId="4" type="noConversion"/>
  <conditionalFormatting sqref="D11:D210">
    <cfRule type="dataBar" priority="4">
      <dataBar>
        <cfvo type="num" val="$Q$1"/>
        <cfvo type="num" val="$Q$2"/>
        <color rgb="FFFFB628"/>
      </dataBar>
      <extLst>
        <ext xmlns:x14="http://schemas.microsoft.com/office/spreadsheetml/2009/9/main" uri="{B025F937-C7B1-47D3-B67F-A62EFF666E3E}">
          <x14:id>{D37C8063-4E24-ED40-812A-AD9B4592E30D}</x14:id>
        </ext>
      </extLst>
    </cfRule>
  </conditionalFormatting>
  <conditionalFormatting sqref="D211">
    <cfRule type="dataBar" priority="3">
      <dataBar>
        <cfvo type="num" val="$Q$1"/>
        <cfvo type="num" val="$Q$2"/>
        <color rgb="FFFFB628"/>
      </dataBar>
      <extLst>
        <ext xmlns:x14="http://schemas.microsoft.com/office/spreadsheetml/2009/9/main" uri="{B025F937-C7B1-47D3-B67F-A62EFF666E3E}">
          <x14:id>{29D72B28-E7E8-C44A-A4DC-FBD0CF8A327C}</x14:id>
        </ext>
      </extLst>
    </cfRule>
  </conditionalFormatting>
  <conditionalFormatting sqref="R11:R211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{EDB03965-2FBA-8347-8239-D5A3C6E9F9F5}</x14:id>
        </ext>
      </extLst>
    </cfRule>
  </conditionalFormatting>
  <conditionalFormatting sqref="S12:S211">
    <cfRule type="iconSet" priority="1">
      <iconSet iconSet="3Arrows"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E6" xr:uid="{00000000-0002-0000-0200-000000000000}">
      <formula1>$E$1:$E$2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Recalculate">
                <anchor moveWithCells="1" sizeWithCells="1">
                  <from>
                    <xdr:col>7</xdr:col>
                    <xdr:colOff>25400</xdr:colOff>
                    <xdr:row>6</xdr:row>
                    <xdr:rowOff>63500</xdr:rowOff>
                  </from>
                  <to>
                    <xdr:col>8</xdr:col>
                    <xdr:colOff>355600</xdr:colOff>
                    <xdr:row>8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7C8063-4E24-ED40-812A-AD9B4592E30D}">
            <x14:dataBar minLength="0" maxLength="100">
              <x14:cfvo type="num">
                <xm:f>$Q$1</xm:f>
              </x14:cfvo>
              <x14:cfvo type="num">
                <xm:f>$Q$2</xm:f>
              </x14:cfvo>
              <x14:negativeFillColor rgb="FFFF0000"/>
              <x14:axisColor rgb="FF000000"/>
            </x14:dataBar>
          </x14:cfRule>
          <xm:sqref>D11:D210</xm:sqref>
        </x14:conditionalFormatting>
        <x14:conditionalFormatting xmlns:xm="http://schemas.microsoft.com/office/excel/2006/main">
          <x14:cfRule type="dataBar" id="{29D72B28-E7E8-C44A-A4DC-FBD0CF8A327C}">
            <x14:dataBar minLength="0" maxLength="100">
              <x14:cfvo type="num">
                <xm:f>$Q$1</xm:f>
              </x14:cfvo>
              <x14:cfvo type="num">
                <xm:f>$Q$2</xm:f>
              </x14:cfvo>
              <x14:negativeFillColor rgb="FFFF0000"/>
              <x14:axisColor rgb="FF000000"/>
            </x14:dataBar>
          </x14:cfRule>
          <xm:sqref>D211</xm:sqref>
        </x14:conditionalFormatting>
        <x14:conditionalFormatting xmlns:xm="http://schemas.microsoft.com/office/excel/2006/main">
          <x14:cfRule type="dataBar" id="{EDB03965-2FBA-8347-8239-D5A3C6E9F9F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R11:R211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V103"/>
  <sheetViews>
    <sheetView workbookViewId="0">
      <selection activeCell="K7" sqref="K7"/>
    </sheetView>
  </sheetViews>
  <sheetFormatPr defaultColWidth="8.81640625" defaultRowHeight="12.5"/>
  <cols>
    <col min="1" max="1" width="15.453125" style="1" bestFit="1" customWidth="1"/>
    <col min="2" max="2" width="12.453125" style="1" customWidth="1"/>
    <col min="3" max="3" width="9.81640625" style="1" bestFit="1" customWidth="1"/>
    <col min="4" max="9" width="8.81640625" style="1"/>
    <col min="10" max="10" width="11.81640625" style="1" bestFit="1" customWidth="1"/>
    <col min="11" max="11" width="10.6328125" style="1" bestFit="1" customWidth="1"/>
    <col min="12" max="12" width="10.1796875" style="1" customWidth="1"/>
    <col min="13" max="13" width="11.6328125" style="1" bestFit="1" customWidth="1"/>
    <col min="14" max="14" width="11.6328125" style="1" customWidth="1"/>
    <col min="15" max="15" width="10.81640625" style="1" customWidth="1"/>
    <col min="16" max="16" width="8.81640625" style="1"/>
    <col min="17" max="17" width="10.36328125" style="1" customWidth="1"/>
    <col min="18" max="18" width="8.81640625" style="1"/>
    <col min="19" max="19" width="10.36328125" style="1" customWidth="1"/>
    <col min="20" max="16384" width="8.81640625" style="1"/>
  </cols>
  <sheetData>
    <row r="1" spans="1:22" ht="12.75" customHeight="1">
      <c r="A1" s="2" t="s">
        <v>0</v>
      </c>
      <c r="B1" s="3">
        <v>0.05</v>
      </c>
      <c r="K1" s="2" t="s">
        <v>3</v>
      </c>
      <c r="L1" s="2" t="s">
        <v>12</v>
      </c>
      <c r="M1" s="18" t="s">
        <v>36</v>
      </c>
      <c r="N1" s="2" t="s">
        <v>17</v>
      </c>
      <c r="O1" s="2" t="s">
        <v>13</v>
      </c>
      <c r="P1" s="2" t="s">
        <v>14</v>
      </c>
      <c r="Q1" s="2" t="s">
        <v>15</v>
      </c>
      <c r="R1" s="2" t="s">
        <v>16</v>
      </c>
      <c r="S1" s="64" t="s">
        <v>35</v>
      </c>
      <c r="T1" s="64"/>
      <c r="U1" s="64"/>
      <c r="V1" s="19"/>
    </row>
    <row r="2" spans="1:22">
      <c r="A2" s="2" t="s">
        <v>2</v>
      </c>
      <c r="B2" s="3">
        <v>0.2</v>
      </c>
      <c r="C2" s="22" t="s">
        <v>37</v>
      </c>
      <c r="J2" s="1">
        <v>0</v>
      </c>
      <c r="K2" s="4">
        <f t="array" ref="K2:M102">OneOptionPricing(B3,B2,B1,A9,B9,C9,B5,F9)</f>
        <v>0</v>
      </c>
      <c r="L2" s="4">
        <v>0</v>
      </c>
      <c r="M2" s="5">
        <v>0</v>
      </c>
      <c r="N2" s="5">
        <v>0</v>
      </c>
      <c r="O2" s="6">
        <v>0</v>
      </c>
      <c r="P2" s="6">
        <v>0</v>
      </c>
      <c r="Q2" s="6">
        <v>0</v>
      </c>
      <c r="R2" s="6">
        <v>0</v>
      </c>
      <c r="S2" s="64"/>
      <c r="T2" s="64"/>
      <c r="U2" s="64"/>
      <c r="V2" s="19"/>
    </row>
    <row r="3" spans="1:22">
      <c r="A3" s="2" t="s">
        <v>1</v>
      </c>
      <c r="B3" s="3">
        <v>0.3</v>
      </c>
      <c r="J3" s="1">
        <v>1</v>
      </c>
      <c r="K3" s="4">
        <v>2</v>
      </c>
      <c r="L3" s="4">
        <v>0</v>
      </c>
      <c r="M3" s="5">
        <v>2.2544624073056298E-40</v>
      </c>
      <c r="N3" s="5">
        <f>CallOption(K3,$B$2,0,$B$1,$B$9,$C$9)</f>
        <v>0</v>
      </c>
      <c r="O3" s="6">
        <v>6.5999928942209183E-41</v>
      </c>
      <c r="P3" s="6">
        <v>8.439180566126974E-30</v>
      </c>
      <c r="Q3" s="6">
        <v>2.8469608456769175E-29</v>
      </c>
      <c r="R3" s="6">
        <v>9.8333276650028909E-42</v>
      </c>
      <c r="S3" s="64"/>
      <c r="T3" s="64"/>
      <c r="U3" s="64"/>
      <c r="V3" s="19"/>
    </row>
    <row r="4" spans="1:22">
      <c r="A4" s="2" t="s">
        <v>3</v>
      </c>
      <c r="B4" s="4">
        <v>100</v>
      </c>
      <c r="J4" s="1">
        <v>2</v>
      </c>
      <c r="K4" s="4">
        <v>4</v>
      </c>
      <c r="L4" s="4">
        <v>0</v>
      </c>
      <c r="M4" s="5">
        <v>4.2958761208341698E-37</v>
      </c>
      <c r="N4" s="5">
        <f t="shared" ref="N4:N67" si="0">CallOption(K4,$B$2,0,$B$1,$B$9,$C$9)</f>
        <v>0</v>
      </c>
      <c r="O4" s="6">
        <v>1.2460186635953301E-37</v>
      </c>
      <c r="P4" s="6">
        <v>9.3311098560869905E-27</v>
      </c>
      <c r="Q4" s="6">
        <v>2.7984028060444071E-26</v>
      </c>
      <c r="R4" s="6">
        <v>2.1246789974367519E-38</v>
      </c>
      <c r="S4" s="64"/>
      <c r="T4" s="64"/>
      <c r="U4" s="64"/>
    </row>
    <row r="5" spans="1:22">
      <c r="A5" s="2" t="s">
        <v>11</v>
      </c>
      <c r="B5" s="4">
        <v>100</v>
      </c>
      <c r="J5" s="1">
        <v>3</v>
      </c>
      <c r="K5" s="4">
        <v>6</v>
      </c>
      <c r="L5" s="4">
        <v>0</v>
      </c>
      <c r="M5" s="5">
        <v>2.7443709690886624E-34</v>
      </c>
      <c r="N5" s="5">
        <f t="shared" si="0"/>
        <v>0</v>
      </c>
      <c r="O5" s="6">
        <v>7.8832618108765562E-35</v>
      </c>
      <c r="P5" s="6">
        <v>3.0024145466304735E-24</v>
      </c>
      <c r="Q5" s="6">
        <v>8.0401872655617652E-24</v>
      </c>
      <c r="R5" s="6">
        <v>1.5324398589953763E-35</v>
      </c>
      <c r="S5" s="64"/>
      <c r="T5" s="64"/>
      <c r="U5" s="64"/>
    </row>
    <row r="6" spans="1:22">
      <c r="J6" s="1">
        <v>4</v>
      </c>
      <c r="K6" s="4">
        <v>8</v>
      </c>
      <c r="L6" s="4">
        <v>0</v>
      </c>
      <c r="M6" s="5">
        <v>8.6558074255347441E-32</v>
      </c>
      <c r="N6" s="5">
        <f t="shared" si="0"/>
        <v>0</v>
      </c>
      <c r="O6" s="6">
        <v>2.4613143558263484E-32</v>
      </c>
      <c r="P6" s="6">
        <v>4.429153545729096E-22</v>
      </c>
      <c r="Q6" s="6">
        <v>1.0641048017496917E-21</v>
      </c>
      <c r="R6" s="6">
        <v>5.4325735835289068E-33</v>
      </c>
    </row>
    <row r="7" spans="1:22">
      <c r="J7" s="1">
        <v>5</v>
      </c>
      <c r="K7" s="4">
        <v>10</v>
      </c>
      <c r="L7" s="4">
        <v>0</v>
      </c>
      <c r="M7" s="5">
        <v>1.6051261312859586E-29</v>
      </c>
      <c r="N7" s="5">
        <f>CallOption(K7,$B$2,0,$B$1,$B$9,$C$9)</f>
        <v>0</v>
      </c>
      <c r="O7" s="6">
        <v>4.5160446488446657E-30</v>
      </c>
      <c r="P7" s="6">
        <v>3.6629299317025716E-20</v>
      </c>
      <c r="Q7" s="6">
        <v>7.9348226710877384E-20</v>
      </c>
      <c r="R7" s="6">
        <v>1.1271049325852272E-30</v>
      </c>
    </row>
    <row r="8" spans="1:22">
      <c r="A8" s="2" t="s">
        <v>5</v>
      </c>
      <c r="B8" s="2" t="s">
        <v>4</v>
      </c>
      <c r="C8" s="2" t="s">
        <v>7</v>
      </c>
      <c r="D8" s="2" t="s">
        <v>8</v>
      </c>
      <c r="E8" s="2" t="s">
        <v>9</v>
      </c>
      <c r="F8" s="2" t="s">
        <v>10</v>
      </c>
      <c r="J8" s="1">
        <v>6</v>
      </c>
      <c r="K8" s="4">
        <v>12</v>
      </c>
      <c r="L8" s="4">
        <v>0</v>
      </c>
      <c r="M8" s="5">
        <v>1.9369655663212971E-27</v>
      </c>
      <c r="N8" s="5">
        <f t="shared" si="0"/>
        <v>0</v>
      </c>
      <c r="O8" s="6">
        <v>5.3893947263842175E-28</v>
      </c>
      <c r="P8" s="6">
        <v>1.9054674509255224E-18</v>
      </c>
      <c r="Q8" s="6">
        <v>3.7415897790099209E-18</v>
      </c>
      <c r="R8" s="6">
        <v>1.5145152638345574E-28</v>
      </c>
    </row>
    <row r="9" spans="1:22">
      <c r="A9" s="1" t="s">
        <v>6</v>
      </c>
      <c r="B9" s="1">
        <v>100</v>
      </c>
      <c r="C9" s="1">
        <v>0.5</v>
      </c>
      <c r="D9" s="1">
        <v>0.39</v>
      </c>
      <c r="E9" s="1">
        <v>0.59</v>
      </c>
      <c r="F9" s="1">
        <v>1</v>
      </c>
      <c r="J9" s="1">
        <v>7</v>
      </c>
      <c r="K9" s="4">
        <v>14</v>
      </c>
      <c r="L9" s="4">
        <v>0</v>
      </c>
      <c r="M9" s="5">
        <v>1.6261350402759054E-25</v>
      </c>
      <c r="N9" s="5">
        <f t="shared" si="0"/>
        <v>0</v>
      </c>
      <c r="O9" s="6">
        <v>4.4720694373077566E-26</v>
      </c>
      <c r="P9" s="6">
        <v>6.7226935582013928E-17</v>
      </c>
      <c r="Q9" s="6">
        <v>1.2032672821429476E-16</v>
      </c>
      <c r="R9" s="6">
        <v>1.408908158962121E-26</v>
      </c>
    </row>
    <row r="10" spans="1:22">
      <c r="J10" s="1">
        <v>8</v>
      </c>
      <c r="K10" s="4">
        <v>16</v>
      </c>
      <c r="L10" s="4">
        <v>0</v>
      </c>
      <c r="M10" s="5">
        <v>9.9594533212179348E-24</v>
      </c>
      <c r="N10" s="5">
        <f t="shared" si="0"/>
        <v>0</v>
      </c>
      <c r="O10" s="6">
        <v>2.7056427496266355E-24</v>
      </c>
      <c r="P10" s="6">
        <v>1.6972132298728506E-15</v>
      </c>
      <c r="Q10" s="6">
        <v>2.7851094315051376E-15</v>
      </c>
      <c r="R10" s="6">
        <v>9.5137370760019889E-25</v>
      </c>
    </row>
    <row r="11" spans="1:22">
      <c r="J11" s="1">
        <v>9</v>
      </c>
      <c r="K11" s="4">
        <v>18</v>
      </c>
      <c r="L11" s="4">
        <v>0</v>
      </c>
      <c r="M11" s="5">
        <v>4.6112312897593474E-22</v>
      </c>
      <c r="N11" s="5">
        <f t="shared" si="0"/>
        <v>0</v>
      </c>
      <c r="O11" s="6">
        <v>1.2367088376263686E-22</v>
      </c>
      <c r="P11" s="6">
        <v>3.1929680220743E-14</v>
      </c>
      <c r="Q11" s="6">
        <v>4.8327823267387782E-14</v>
      </c>
      <c r="R11" s="6">
        <v>4.8314182914656649E-23</v>
      </c>
    </row>
    <row r="12" spans="1:22">
      <c r="J12" s="1">
        <v>10</v>
      </c>
      <c r="K12" s="4">
        <v>20</v>
      </c>
      <c r="L12" s="4">
        <v>0</v>
      </c>
      <c r="M12" s="5">
        <v>1.6594122098146663E-20</v>
      </c>
      <c r="N12" s="5">
        <f t="shared" si="0"/>
        <v>0</v>
      </c>
      <c r="O12" s="6">
        <v>4.3907170219930363E-21</v>
      </c>
      <c r="P12" s="6">
        <v>4.622539551804347E-13</v>
      </c>
      <c r="Q12" s="6">
        <v>6.4931125475793996E-13</v>
      </c>
      <c r="R12" s="6">
        <v>1.8969000184893488E-21</v>
      </c>
    </row>
    <row r="13" spans="1:22">
      <c r="J13" s="1">
        <v>11</v>
      </c>
      <c r="K13" s="4">
        <v>22</v>
      </c>
      <c r="L13" s="4">
        <v>0</v>
      </c>
      <c r="M13" s="5">
        <v>4.7461466385313518E-19</v>
      </c>
      <c r="N13" s="5">
        <f t="shared" si="0"/>
        <v>0</v>
      </c>
      <c r="O13" s="6">
        <v>1.2380819060867765E-19</v>
      </c>
      <c r="P13" s="6">
        <v>5.2879317307629288E-12</v>
      </c>
      <c r="Q13" s="6">
        <v>6.9364038657813055E-12</v>
      </c>
      <c r="R13" s="6">
        <v>5.8869908796606814E-20</v>
      </c>
    </row>
    <row r="14" spans="1:22">
      <c r="J14" s="1">
        <v>12</v>
      </c>
      <c r="K14" s="4">
        <v>24</v>
      </c>
      <c r="L14" s="4">
        <v>0</v>
      </c>
      <c r="M14" s="5">
        <v>1.0989369073054653E-17</v>
      </c>
      <c r="N14" s="5">
        <f t="shared" si="0"/>
        <v>0</v>
      </c>
      <c r="O14" s="6">
        <v>2.8241320476253375E-18</v>
      </c>
      <c r="P14" s="6">
        <v>4.8883259117164865E-11</v>
      </c>
      <c r="Q14" s="6">
        <v>6.0254777916618596E-11</v>
      </c>
      <c r="R14" s="6">
        <v>1.4708165039226892E-18</v>
      </c>
    </row>
    <row r="15" spans="1:22">
      <c r="J15" s="1">
        <v>13</v>
      </c>
      <c r="K15" s="4">
        <v>26</v>
      </c>
      <c r="L15" s="4">
        <v>0</v>
      </c>
      <c r="M15" s="5">
        <v>2.0921190069822161E-16</v>
      </c>
      <c r="N15" s="5">
        <f t="shared" si="0"/>
        <v>0</v>
      </c>
      <c r="O15" s="6">
        <v>5.2924799938537336E-17</v>
      </c>
      <c r="P15" s="6">
        <v>3.72376563596227E-10</v>
      </c>
      <c r="Q15" s="6">
        <v>4.3397656631423163E-10</v>
      </c>
      <c r="R15" s="6">
        <v>3.0041581187741855E-17</v>
      </c>
    </row>
    <row r="16" spans="1:22">
      <c r="J16" s="1">
        <v>14</v>
      </c>
      <c r="K16" s="4">
        <v>28</v>
      </c>
      <c r="L16" s="4">
        <v>0</v>
      </c>
      <c r="M16" s="5">
        <v>3.318687406954774E-15</v>
      </c>
      <c r="N16" s="5">
        <f t="shared" si="0"/>
        <v>0</v>
      </c>
      <c r="O16" s="6">
        <v>8.2572455604461484E-16</v>
      </c>
      <c r="P16" s="6">
        <v>2.3783147983616754E-9</v>
      </c>
      <c r="Q16" s="6">
        <v>2.6363403569271915E-9</v>
      </c>
      <c r="R16" s="6">
        <v>5.083015920614388E-16</v>
      </c>
    </row>
    <row r="17" spans="10:18">
      <c r="J17" s="1">
        <v>15</v>
      </c>
      <c r="K17" s="4">
        <v>30</v>
      </c>
      <c r="L17" s="4">
        <v>0</v>
      </c>
      <c r="M17" s="5">
        <v>4.43774415207013E-14</v>
      </c>
      <c r="N17" s="5">
        <f t="shared" si="0"/>
        <v>3.3306690738754696E-15</v>
      </c>
      <c r="O17" s="6">
        <v>1.0850273400968663E-14</v>
      </c>
      <c r="P17" s="6">
        <v>1.2935457939712045E-8</v>
      </c>
      <c r="Q17" s="6">
        <v>1.3716645824003039E-8</v>
      </c>
      <c r="R17" s="6">
        <v>7.2071218672916961E-15</v>
      </c>
    </row>
    <row r="18" spans="10:18">
      <c r="J18" s="1">
        <v>16</v>
      </c>
      <c r="K18" s="4">
        <v>32</v>
      </c>
      <c r="L18" s="4">
        <v>0</v>
      </c>
      <c r="M18" s="5">
        <v>5.0541655533939644E-13</v>
      </c>
      <c r="N18" s="5">
        <f t="shared" si="0"/>
        <v>5.7456340104937602E-15</v>
      </c>
      <c r="O18" s="6">
        <v>1.213189406858208E-13</v>
      </c>
      <c r="P18" s="6">
        <v>6.0766009012966164E-8</v>
      </c>
      <c r="Q18" s="6">
        <v>6.1973412317907725E-8</v>
      </c>
      <c r="R18" s="6">
        <v>8.6513817452525631E-14</v>
      </c>
    </row>
    <row r="19" spans="10:18">
      <c r="J19" s="1">
        <v>17</v>
      </c>
      <c r="K19" s="4">
        <v>34</v>
      </c>
      <c r="L19" s="4">
        <v>0</v>
      </c>
      <c r="M19" s="5">
        <v>4.9482258776300384E-12</v>
      </c>
      <c r="N19" s="5">
        <f t="shared" si="0"/>
        <v>5.3117304611292542E-14</v>
      </c>
      <c r="O19" s="6">
        <v>1.1649244973377972E-12</v>
      </c>
      <c r="P19" s="6">
        <v>2.4975711317990884E-7</v>
      </c>
      <c r="Q19" s="6">
        <v>2.4621783207207712E-7</v>
      </c>
      <c r="R19" s="6">
        <v>8.8734022056785264E-13</v>
      </c>
    </row>
    <row r="20" spans="10:18">
      <c r="J20" s="1">
        <v>18</v>
      </c>
      <c r="K20" s="4">
        <v>36</v>
      </c>
      <c r="L20" s="4">
        <v>0</v>
      </c>
      <c r="M20" s="5">
        <v>4.199738293320528E-11</v>
      </c>
      <c r="N20" s="5">
        <f t="shared" si="0"/>
        <v>1.0230951254565479E-12</v>
      </c>
      <c r="O20" s="6">
        <v>9.6869056117737397E-12</v>
      </c>
      <c r="P20" s="6">
        <v>9.088585896044854E-7</v>
      </c>
      <c r="Q20" s="6">
        <v>8.7006064957807724E-7</v>
      </c>
      <c r="R20" s="6">
        <v>7.841946130475175E-12</v>
      </c>
    </row>
    <row r="21" spans="10:18">
      <c r="J21" s="1">
        <v>19</v>
      </c>
      <c r="K21" s="4">
        <v>38</v>
      </c>
      <c r="L21" s="4">
        <v>0</v>
      </c>
      <c r="M21" s="5">
        <v>3.1141303493047954E-10</v>
      </c>
      <c r="N21" s="5">
        <f t="shared" si="0"/>
        <v>1.6095682188097928E-11</v>
      </c>
      <c r="O21" s="6">
        <v>7.0297001366058543E-11</v>
      </c>
      <c r="P21" s="6">
        <v>2.9601375585623226E-6</v>
      </c>
      <c r="Q21" s="6">
        <v>2.7632366059108677E-6</v>
      </c>
      <c r="R21" s="6">
        <v>6.0180686629940482E-11</v>
      </c>
    </row>
    <row r="22" spans="10:18">
      <c r="J22" s="1">
        <v>20</v>
      </c>
      <c r="K22" s="4">
        <v>40</v>
      </c>
      <c r="L22" s="4">
        <v>0</v>
      </c>
      <c r="M22" s="5">
        <v>2.0320158712333621E-9</v>
      </c>
      <c r="N22" s="5">
        <f t="shared" si="0"/>
        <v>1.930216996562394E-10</v>
      </c>
      <c r="O22" s="6">
        <v>4.4839866767771508E-10</v>
      </c>
      <c r="P22" s="6">
        <v>8.7153301929903514E-6</v>
      </c>
      <c r="Q22" s="6">
        <v>7.9624954890120631E-6</v>
      </c>
      <c r="R22" s="6">
        <v>4.0396142958558704E-10</v>
      </c>
    </row>
    <row r="23" spans="10:18">
      <c r="J23" s="1">
        <v>21</v>
      </c>
      <c r="K23" s="4">
        <v>42</v>
      </c>
      <c r="L23" s="4">
        <v>0</v>
      </c>
      <c r="M23" s="5">
        <v>1.1747213583690334E-8</v>
      </c>
      <c r="N23" s="5">
        <f t="shared" si="0"/>
        <v>1.8242997026938244E-9</v>
      </c>
      <c r="O23" s="6">
        <v>2.5309717956863414E-9</v>
      </c>
      <c r="P23" s="6">
        <v>2.3407764492898838E-5</v>
      </c>
      <c r="Q23" s="6">
        <v>2.0999067667156451E-5</v>
      </c>
      <c r="R23" s="6">
        <v>2.3880602475648454E-9</v>
      </c>
    </row>
    <row r="24" spans="10:18">
      <c r="J24" s="1">
        <v>22</v>
      </c>
      <c r="K24" s="4">
        <v>44</v>
      </c>
      <c r="L24" s="4">
        <v>0</v>
      </c>
      <c r="M24" s="5">
        <v>6.0554020816100939E-8</v>
      </c>
      <c r="N24" s="5">
        <f t="shared" si="0"/>
        <v>1.3970713350862492E-8</v>
      </c>
      <c r="O24" s="6">
        <v>1.2722352913728187E-8</v>
      </c>
      <c r="P24" s="6">
        <v>5.7828154313816793E-5</v>
      </c>
      <c r="Q24" s="6">
        <v>5.1084435161721125E-5</v>
      </c>
      <c r="R24" s="6">
        <v>1.251421006950886E-8</v>
      </c>
    </row>
    <row r="25" spans="10:18">
      <c r="J25" s="1">
        <v>23</v>
      </c>
      <c r="K25" s="4">
        <v>46</v>
      </c>
      <c r="L25" s="4">
        <v>0</v>
      </c>
      <c r="M25" s="5">
        <v>2.8002773172814576E-7</v>
      </c>
      <c r="N25" s="5">
        <f t="shared" si="0"/>
        <v>8.8771985901954796E-8</v>
      </c>
      <c r="O25" s="6">
        <v>5.7297288384834033E-8</v>
      </c>
      <c r="P25" s="6">
        <v>1.3240213521709696E-4</v>
      </c>
      <c r="Q25" s="6">
        <v>1.1545690972022434E-4</v>
      </c>
      <c r="R25" s="6">
        <v>5.8496100111616994E-8</v>
      </c>
    </row>
    <row r="26" spans="10:18">
      <c r="J26" s="1">
        <v>24</v>
      </c>
      <c r="K26" s="4">
        <v>48</v>
      </c>
      <c r="L26" s="4">
        <v>0</v>
      </c>
      <c r="M26" s="5">
        <v>1.168542195932668E-6</v>
      </c>
      <c r="N26" s="5">
        <f t="shared" si="0"/>
        <v>4.7763169975743993E-7</v>
      </c>
      <c r="O26" s="6">
        <v>2.3254312982911199E-7</v>
      </c>
      <c r="P26" s="6">
        <v>2.828761727001285E-4</v>
      </c>
      <c r="Q26" s="6">
        <v>2.4401169632162238E-4</v>
      </c>
      <c r="R26" s="6">
        <v>2.453741787817257E-7</v>
      </c>
    </row>
    <row r="27" spans="10:18">
      <c r="J27" s="1">
        <v>25</v>
      </c>
      <c r="K27" s="4">
        <v>50</v>
      </c>
      <c r="L27" s="4">
        <v>0</v>
      </c>
      <c r="M27" s="5">
        <v>4.4249463993535491E-6</v>
      </c>
      <c r="N27" s="5">
        <f t="shared" si="0"/>
        <v>2.2144978938359991E-6</v>
      </c>
      <c r="O27" s="6">
        <v>8.5524982188859132E-7</v>
      </c>
      <c r="P27" s="6">
        <v>5.6745625939128724E-4</v>
      </c>
      <c r="Q27" s="6">
        <v>4.8507944256955926E-4</v>
      </c>
      <c r="R27" s="6">
        <v>9.2904221520028428E-7</v>
      </c>
    </row>
    <row r="28" spans="10:18">
      <c r="J28" s="1">
        <v>26</v>
      </c>
      <c r="K28" s="4">
        <v>52</v>
      </c>
      <c r="L28" s="4">
        <v>0</v>
      </c>
      <c r="M28" s="5">
        <v>1.5287482192303919E-5</v>
      </c>
      <c r="N28" s="5">
        <f t="shared" si="0"/>
        <v>8.9829114202776179E-6</v>
      </c>
      <c r="O28" s="6">
        <v>2.8656967880624489E-6</v>
      </c>
      <c r="P28" s="6">
        <v>1.0748167958096546E-3</v>
      </c>
      <c r="Q28" s="6">
        <v>9.1187890820879016E-4</v>
      </c>
      <c r="R28" s="6">
        <v>3.192959088179189E-6</v>
      </c>
    </row>
    <row r="29" spans="10:18">
      <c r="J29" s="1">
        <v>27</v>
      </c>
      <c r="K29" s="4">
        <v>54</v>
      </c>
      <c r="L29" s="4">
        <v>0</v>
      </c>
      <c r="M29" s="5">
        <v>4.8438149616589388E-5</v>
      </c>
      <c r="N29" s="5">
        <f t="shared" si="0"/>
        <v>3.2305009845541533E-5</v>
      </c>
      <c r="O29" s="6">
        <v>8.7934563300850459E-6</v>
      </c>
      <c r="P29" s="6">
        <v>1.9319636786185596E-3</v>
      </c>
      <c r="Q29" s="6">
        <v>1.6288250102857696E-3</v>
      </c>
      <c r="R29" s="6">
        <v>1.0015516625744881E-5</v>
      </c>
    </row>
    <row r="30" spans="10:18">
      <c r="J30" s="1">
        <v>28</v>
      </c>
      <c r="K30" s="4">
        <v>56</v>
      </c>
      <c r="L30" s="4">
        <v>0</v>
      </c>
      <c r="M30" s="5">
        <v>1.4146230453167418E-4</v>
      </c>
      <c r="N30" s="5">
        <f t="shared" si="0"/>
        <v>1.0420191214526855E-4</v>
      </c>
      <c r="O30" s="6">
        <v>2.4833935410589716E-5</v>
      </c>
      <c r="P30" s="6">
        <v>3.3106187739334355E-3</v>
      </c>
      <c r="Q30" s="6">
        <v>2.7766204118528683E-3</v>
      </c>
      <c r="R30" s="6">
        <v>2.8825111675702651E-5</v>
      </c>
    </row>
    <row r="31" spans="10:18">
      <c r="J31" s="1">
        <v>29</v>
      </c>
      <c r="K31" s="4">
        <v>58</v>
      </c>
      <c r="L31" s="4">
        <v>0</v>
      </c>
      <c r="M31" s="5">
        <v>3.8264293422298471E-4</v>
      </c>
      <c r="N31" s="5">
        <f t="shared" si="0"/>
        <v>3.0456287098686377E-4</v>
      </c>
      <c r="O31" s="6">
        <v>6.4859561849831996E-5</v>
      </c>
      <c r="P31" s="6">
        <v>5.4306995795183229E-3</v>
      </c>
      <c r="Q31" s="6">
        <v>4.5349820775147948E-3</v>
      </c>
      <c r="R31" s="6">
        <v>7.6507706762930655E-5</v>
      </c>
    </row>
    <row r="32" spans="10:18">
      <c r="J32" s="1">
        <v>30</v>
      </c>
      <c r="K32" s="4">
        <v>60</v>
      </c>
      <c r="L32" s="4">
        <v>0</v>
      </c>
      <c r="M32" s="5">
        <v>9.6308600074236563E-4</v>
      </c>
      <c r="N32" s="5">
        <f t="shared" si="0"/>
        <v>8.139652850463891E-4</v>
      </c>
      <c r="O32" s="6">
        <v>1.5738112517821692E-4</v>
      </c>
      <c r="P32" s="6">
        <v>8.5596529901942765E-3</v>
      </c>
      <c r="Q32" s="6">
        <v>7.1219992643420495E-3</v>
      </c>
      <c r="R32" s="6">
        <v>1.8819823694429458E-4</v>
      </c>
    </row>
    <row r="33" spans="10:18">
      <c r="J33" s="1">
        <v>31</v>
      </c>
      <c r="K33" s="4">
        <v>62</v>
      </c>
      <c r="L33" s="4">
        <v>0</v>
      </c>
      <c r="M33" s="5">
        <v>2.2656529191287258E-3</v>
      </c>
      <c r="N33" s="5">
        <f t="shared" si="0"/>
        <v>2.0052025005018251E-3</v>
      </c>
      <c r="O33" s="6">
        <v>3.5637741633169184E-4</v>
      </c>
      <c r="P33" s="6">
        <v>1.300685080539769E-2</v>
      </c>
      <c r="Q33" s="6">
        <v>1.0789477026180029E-2</v>
      </c>
      <c r="R33" s="6">
        <v>4.3108144960674164E-4</v>
      </c>
    </row>
    <row r="34" spans="10:18">
      <c r="J34" s="1">
        <v>32</v>
      </c>
      <c r="K34" s="4">
        <v>64</v>
      </c>
      <c r="L34" s="4">
        <v>0</v>
      </c>
      <c r="M34" s="5">
        <v>5.0030663952406436E-3</v>
      </c>
      <c r="N34" s="5">
        <f t="shared" si="0"/>
        <v>4.5862166887150752E-3</v>
      </c>
      <c r="O34" s="6">
        <v>7.5630246995005796E-4</v>
      </c>
      <c r="P34" s="6">
        <v>1.9112887323807226E-2</v>
      </c>
      <c r="Q34" s="6">
        <v>1.5814128278877494E-2</v>
      </c>
      <c r="R34" s="6">
        <v>9.2365192790442089E-4</v>
      </c>
    </row>
    <row r="35" spans="10:18">
      <c r="J35" s="1">
        <v>33</v>
      </c>
      <c r="K35" s="4">
        <v>66</v>
      </c>
      <c r="L35" s="4">
        <v>0</v>
      </c>
      <c r="M35" s="5">
        <v>1.0412852416255015E-2</v>
      </c>
      <c r="N35" s="5">
        <f t="shared" si="0"/>
        <v>9.8014708990293298E-3</v>
      </c>
      <c r="O35" s="6">
        <v>1.5103479880940872E-3</v>
      </c>
      <c r="P35" s="6">
        <v>2.7234315543383892E-2</v>
      </c>
      <c r="Q35" s="6">
        <v>2.2485042420567886E-2</v>
      </c>
      <c r="R35" s="6">
        <v>1.8592870663584856E-3</v>
      </c>
    </row>
    <row r="36" spans="10:18">
      <c r="J36" s="1">
        <v>34</v>
      </c>
      <c r="K36" s="4">
        <v>68</v>
      </c>
      <c r="L36" s="4">
        <v>0</v>
      </c>
      <c r="M36" s="5">
        <v>2.0506313934113923E-2</v>
      </c>
      <c r="N36" s="5">
        <f t="shared" si="0"/>
        <v>1.9687169983491071E-2</v>
      </c>
      <c r="O36" s="6">
        <v>2.8493253727151077E-3</v>
      </c>
      <c r="P36" s="6">
        <v>3.77249893012684E-2</v>
      </c>
      <c r="Q36" s="6">
        <v>3.1088375330889113E-2</v>
      </c>
      <c r="R36" s="6">
        <v>3.5307580563708322E-3</v>
      </c>
    </row>
    <row r="37" spans="10:18">
      <c r="J37" s="1">
        <v>35</v>
      </c>
      <c r="K37" s="4">
        <v>70</v>
      </c>
      <c r="L37" s="4">
        <v>0</v>
      </c>
      <c r="M37" s="5">
        <v>3.8353211403568746E-2</v>
      </c>
      <c r="N37" s="5">
        <f t="shared" si="0"/>
        <v>3.7359440651769993E-2</v>
      </c>
      <c r="O37" s="6">
        <v>5.0967943605067139E-3</v>
      </c>
      <c r="P37" s="6">
        <v>5.0915637341290676E-2</v>
      </c>
      <c r="Q37" s="6">
        <v>4.1890586062971372E-2</v>
      </c>
      <c r="R37" s="6">
        <v>6.3500471990295066E-3</v>
      </c>
    </row>
    <row r="38" spans="10:18">
      <c r="J38" s="1">
        <v>36</v>
      </c>
      <c r="K38" s="4">
        <v>72</v>
      </c>
      <c r="L38" s="4">
        <v>0</v>
      </c>
      <c r="M38" s="5">
        <v>6.8366351210363857E-2</v>
      </c>
      <c r="N38" s="5">
        <f t="shared" si="0"/>
        <v>6.7297256549429418E-2</v>
      </c>
      <c r="O38" s="6">
        <v>8.674983735857034E-3</v>
      </c>
      <c r="P38" s="6">
        <v>6.7093517198530739E-2</v>
      </c>
      <c r="Q38" s="6">
        <v>5.5121734499412808E-2</v>
      </c>
      <c r="R38" s="6">
        <v>1.0856446367080323E-2</v>
      </c>
    </row>
    <row r="39" spans="10:18">
      <c r="J39" s="1">
        <v>37</v>
      </c>
      <c r="K39" s="4">
        <v>74</v>
      </c>
      <c r="L39" s="4">
        <v>0</v>
      </c>
      <c r="M39" s="5">
        <v>0.11653584021828281</v>
      </c>
      <c r="N39" s="5">
        <f t="shared" si="0"/>
        <v>0.11556871246050759</v>
      </c>
      <c r="O39" s="6">
        <v>1.4096279746250818E-2</v>
      </c>
      <c r="P39" s="6">
        <v>8.6483966495523368E-2</v>
      </c>
      <c r="Q39" s="6">
        <v>7.0960336278386396E-2</v>
      </c>
      <c r="R39" s="6">
        <v>1.7706226175402726E-2</v>
      </c>
    </row>
    <row r="40" spans="10:18">
      <c r="J40" s="1">
        <v>38</v>
      </c>
      <c r="K40" s="4">
        <v>76</v>
      </c>
      <c r="L40" s="4">
        <v>0</v>
      </c>
      <c r="M40" s="5">
        <v>0.19055670561792035</v>
      </c>
      <c r="N40" s="5">
        <f t="shared" si="0"/>
        <v>0.18994520352937494</v>
      </c>
      <c r="O40" s="6">
        <v>2.1936926366095288E-2</v>
      </c>
      <c r="P40" s="6">
        <v>0.10923541538082825</v>
      </c>
      <c r="Q40" s="6">
        <v>8.9521067748659158E-2</v>
      </c>
      <c r="R40" s="6">
        <v>2.7639590031120615E-2</v>
      </c>
    </row>
    <row r="41" spans="10:18">
      <c r="J41" s="1">
        <v>39</v>
      </c>
      <c r="K41" s="4">
        <v>78</v>
      </c>
      <c r="L41" s="4">
        <v>0</v>
      </c>
      <c r="M41" s="5">
        <v>0.29979963926572611</v>
      </c>
      <c r="N41" s="5">
        <f t="shared" si="0"/>
        <v>0.29985610463308454</v>
      </c>
      <c r="O41" s="6">
        <v>3.2792874616037443E-2</v>
      </c>
      <c r="P41" s="6">
        <v>0.13540900610310316</v>
      </c>
      <c r="Q41" s="6">
        <v>0.11084627264833334</v>
      </c>
      <c r="R41" s="6">
        <v>4.1424858482587229E-2</v>
      </c>
    </row>
    <row r="42" spans="10:18">
      <c r="J42" s="1">
        <v>40</v>
      </c>
      <c r="K42" s="4">
        <v>80</v>
      </c>
      <c r="L42" s="4">
        <v>0</v>
      </c>
      <c r="M42" s="5">
        <v>0.45509332595625035</v>
      </c>
      <c r="N42" s="5">
        <f t="shared" si="0"/>
        <v>0.45615635982011149</v>
      </c>
      <c r="O42" s="6">
        <v>4.7221681161481129E-2</v>
      </c>
      <c r="P42" s="6">
        <v>0.1649734588305041</v>
      </c>
      <c r="Q42" s="6">
        <v>0.13490180529424189</v>
      </c>
      <c r="R42" s="6">
        <v>5.9784879428052128E-2</v>
      </c>
    </row>
    <row r="43" spans="10:18">
      <c r="J43" s="1">
        <v>41</v>
      </c>
      <c r="K43" s="4">
        <v>82</v>
      </c>
      <c r="L43" s="4">
        <v>0</v>
      </c>
      <c r="M43" s="5">
        <v>0.66831497309454324</v>
      </c>
      <c r="N43" s="5">
        <f t="shared" si="0"/>
        <v>0.67070732469980854</v>
      </c>
      <c r="O43" s="6">
        <v>6.5677922612835768E-2</v>
      </c>
      <c r="P43" s="6">
        <v>0.19780530164126442</v>
      </c>
      <c r="Q43" s="6">
        <v>0.16157731484810486</v>
      </c>
      <c r="R43" s="6">
        <v>8.3315166498488816E-2</v>
      </c>
    </row>
    <row r="44" spans="10:18">
      <c r="J44" s="1">
        <v>42</v>
      </c>
      <c r="K44" s="4">
        <v>84</v>
      </c>
      <c r="L44" s="4">
        <v>0</v>
      </c>
      <c r="M44" s="5">
        <v>0.95181723131057627</v>
      </c>
      <c r="N44" s="5">
        <f t="shared" si="0"/>
        <v>0.95580132769995352</v>
      </c>
      <c r="O44" s="6">
        <v>8.8451746769961731E-2</v>
      </c>
      <c r="P44" s="6">
        <v>0.23369411084780381</v>
      </c>
      <c r="Q44" s="6">
        <v>0.1906906851161384</v>
      </c>
      <c r="R44" s="6">
        <v>0.11240596079555043</v>
      </c>
    </row>
    <row r="45" spans="10:18">
      <c r="J45" s="1">
        <v>43</v>
      </c>
      <c r="K45" s="4">
        <v>86</v>
      </c>
      <c r="L45" s="4">
        <v>0</v>
      </c>
      <c r="M45" s="5">
        <v>1.3177475971893169</v>
      </c>
      <c r="N45" s="5">
        <f t="shared" si="0"/>
        <v>1.3234862974145862</v>
      </c>
      <c r="O45" s="6">
        <v>0.11562031030834174</v>
      </c>
      <c r="P45" s="6">
        <v>0.27235203139871839</v>
      </c>
      <c r="Q45" s="6">
        <v>0.22199603260828735</v>
      </c>
      <c r="R45" s="6">
        <v>0.14718053537649087</v>
      </c>
    </row>
    <row r="46" spans="10:18">
      <c r="J46" s="1">
        <v>44</v>
      </c>
      <c r="K46" s="4">
        <v>88</v>
      </c>
      <c r="L46" s="4">
        <v>0</v>
      </c>
      <c r="M46" s="5">
        <v>1.7773345697251925</v>
      </c>
      <c r="N46" s="5">
        <f t="shared" si="0"/>
        <v>1.78486329032825</v>
      </c>
      <c r="O46" s="6">
        <v>0.14701992954651852</v>
      </c>
      <c r="P46" s="6">
        <v>0.31342659174745052</v>
      </c>
      <c r="Q46" s="6">
        <v>0.25519445322199003</v>
      </c>
      <c r="R46" s="6">
        <v>0.18745959665277701</v>
      </c>
    </row>
    <row r="47" spans="10:18">
      <c r="J47" s="1">
        <v>45</v>
      </c>
      <c r="K47" s="4">
        <v>90</v>
      </c>
      <c r="L47" s="4">
        <v>0</v>
      </c>
      <c r="M47" s="5">
        <v>2.3402198611316662</v>
      </c>
      <c r="N47" s="5">
        <f t="shared" si="0"/>
        <v>2.3494341850316296</v>
      </c>
      <c r="O47" s="6">
        <v>0.18224333245192104</v>
      </c>
      <c r="P47" s="6">
        <v>0.35651569973481778</v>
      </c>
      <c r="Q47" s="6">
        <v>0.28994659971090919</v>
      </c>
      <c r="R47" s="6">
        <v>0.23275724858709471</v>
      </c>
    </row>
    <row r="48" spans="10:18">
      <c r="J48" s="1">
        <v>46</v>
      </c>
      <c r="K48" s="4">
        <v>92</v>
      </c>
      <c r="L48" s="4">
        <v>0</v>
      </c>
      <c r="M48" s="5">
        <v>3.0139076707286923</v>
      </c>
      <c r="N48" s="5">
        <f t="shared" si="0"/>
        <v>3.0245693680775005</v>
      </c>
      <c r="O48" s="6">
        <v>0.22066231832569777</v>
      </c>
      <c r="P48" s="6">
        <v>0.40118369614261995</v>
      </c>
      <c r="Q48" s="6">
        <v>0.32588615981679375</v>
      </c>
      <c r="R48" s="6">
        <v>0.28230876832116253</v>
      </c>
    </row>
    <row r="49" spans="10:18">
      <c r="J49" s="1">
        <v>47</v>
      </c>
      <c r="K49" s="4">
        <v>94</v>
      </c>
      <c r="L49" s="4">
        <v>0</v>
      </c>
      <c r="M49" s="5">
        <v>3.8033831493922849</v>
      </c>
      <c r="N49" s="5">
        <f t="shared" si="0"/>
        <v>3.8151484910708291</v>
      </c>
      <c r="O49" s="6">
        <v>0.26147231021054779</v>
      </c>
      <c r="P49" s="6">
        <v>0.4469774296466314</v>
      </c>
      <c r="Q49" s="6">
        <v>0.36263337150031782</v>
      </c>
      <c r="R49" s="6">
        <v>0.33512556677257627</v>
      </c>
    </row>
    <row r="50" spans="10:18">
      <c r="J50" s="1">
        <v>48</v>
      </c>
      <c r="K50" s="4">
        <v>96</v>
      </c>
      <c r="L50" s="4">
        <v>0</v>
      </c>
      <c r="M50" s="5">
        <v>4.7109272716747768</v>
      </c>
      <c r="N50" s="5">
        <f t="shared" si="0"/>
        <v>4.7234053100201905</v>
      </c>
      <c r="O50" s="6">
        <v>0.30375240870138259</v>
      </c>
      <c r="P50" s="6">
        <v>0.49344147356508583</v>
      </c>
      <c r="Q50" s="6">
        <v>0.39980783541846537</v>
      </c>
      <c r="R50" s="6">
        <v>0.39006910978967979</v>
      </c>
    </row>
    <row r="51" spans="10:18">
      <c r="J51" s="1">
        <v>49</v>
      </c>
      <c r="K51" s="4">
        <v>98</v>
      </c>
      <c r="L51" s="4">
        <v>0</v>
      </c>
      <c r="M51" s="5">
        <v>5.7361294449367133</v>
      </c>
      <c r="N51" s="5">
        <f t="shared" si="0"/>
        <v>5.7489146267422626</v>
      </c>
      <c r="O51" s="6">
        <v>0.34653298523963311</v>
      </c>
      <c r="P51" s="6">
        <v>0.54013180209816047</v>
      </c>
      <c r="Q51" s="6">
        <v>0.43704004304840838</v>
      </c>
      <c r="R51" s="6">
        <v>0.44593376502940391</v>
      </c>
    </row>
    <row r="52" spans="10:18">
      <c r="J52" s="1">
        <v>50</v>
      </c>
      <c r="K52" s="4">
        <v>100</v>
      </c>
      <c r="L52" s="4">
        <v>0</v>
      </c>
      <c r="M52" s="5">
        <v>6.8760766824844906</v>
      </c>
      <c r="N52" s="5">
        <f t="shared" si="0"/>
        <v>6.8887182220808114</v>
      </c>
      <c r="O52" s="6">
        <v>0.38911034920044441</v>
      </c>
      <c r="P52" s="6">
        <v>0.58639016383841069</v>
      </c>
      <c r="Q52" s="6">
        <v>0.47398121087612111</v>
      </c>
      <c r="R52" s="6">
        <v>0.5015285650430773</v>
      </c>
    </row>
    <row r="53" spans="10:18">
      <c r="J53" s="1">
        <v>51</v>
      </c>
      <c r="K53" s="4">
        <v>102</v>
      </c>
      <c r="L53" s="4">
        <v>2</v>
      </c>
      <c r="M53" s="5">
        <v>8.1256819690280224</v>
      </c>
      <c r="N53" s="5">
        <f t="shared" si="0"/>
        <v>8.1378429106297432</v>
      </c>
      <c r="O53" s="6">
        <v>0.4310957607556305</v>
      </c>
      <c r="P53" s="6">
        <v>0.63133979370546145</v>
      </c>
      <c r="Q53" s="6">
        <v>0.51031117967778172</v>
      </c>
      <c r="R53" s="6">
        <v>0.55574941093105479</v>
      </c>
    </row>
    <row r="54" spans="10:18">
      <c r="J54" s="1">
        <v>52</v>
      </c>
      <c r="K54" s="4">
        <v>104</v>
      </c>
      <c r="L54" s="4">
        <v>4</v>
      </c>
      <c r="M54" s="5">
        <v>9.4781057731176528</v>
      </c>
      <c r="N54" s="5">
        <f t="shared" si="0"/>
        <v>9.4894820162950069</v>
      </c>
      <c r="O54" s="6">
        <v>0.47214110105950752</v>
      </c>
      <c r="P54" s="6">
        <v>0.67422208742500656</v>
      </c>
      <c r="Q54" s="6">
        <v>0.54574429038735817</v>
      </c>
      <c r="R54" s="6">
        <v>0.60763573638663837</v>
      </c>
    </row>
    <row r="55" spans="10:18">
      <c r="J55" s="1">
        <v>53</v>
      </c>
      <c r="K55" s="4">
        <v>106</v>
      </c>
      <c r="L55" s="4">
        <v>6</v>
      </c>
      <c r="M55" s="5">
        <v>10.925223211421688</v>
      </c>
      <c r="N55" s="5">
        <f t="shared" si="0"/>
        <v>10.935584394802987</v>
      </c>
      <c r="O55" s="6">
        <v>0.51194357001037283</v>
      </c>
      <c r="P55" s="6">
        <v>0.71442685310344722</v>
      </c>
      <c r="Q55" s="6">
        <v>0.58003327616356359</v>
      </c>
      <c r="R55" s="6">
        <v>0.65640850821905172</v>
      </c>
    </row>
    <row r="56" spans="10:18">
      <c r="J56" s="1">
        <v>54</v>
      </c>
      <c r="K56" s="4">
        <v>108</v>
      </c>
      <c r="L56" s="4">
        <v>8</v>
      </c>
      <c r="M56" s="5">
        <v>12.458093759675656</v>
      </c>
      <c r="N56" s="5">
        <f t="shared" si="0"/>
        <v>12.467296157216609</v>
      </c>
      <c r="O56" s="6">
        <v>0.55024824743658363</v>
      </c>
      <c r="P56" s="6">
        <v>0.75150666801725119</v>
      </c>
      <c r="Q56" s="6">
        <v>0.61297130995238414</v>
      </c>
      <c r="R56" s="6">
        <v>0.70148913479160235</v>
      </c>
    </row>
    <row r="57" spans="10:18">
      <c r="J57" s="1">
        <v>55</v>
      </c>
      <c r="K57" s="4">
        <v>110</v>
      </c>
      <c r="L57" s="4">
        <v>10</v>
      </c>
      <c r="M57" s="5">
        <v>14.067398697316614</v>
      </c>
      <c r="N57" s="5">
        <f t="shared" si="0"/>
        <v>14.075380149176652</v>
      </c>
      <c r="O57" s="6">
        <v>0.58684873828893591</v>
      </c>
      <c r="P57" s="6">
        <v>0.78517713011183032</v>
      </c>
      <c r="Q57" s="6">
        <v>0.64439241737360575</v>
      </c>
      <c r="R57" s="6">
        <v>0.74250102400598983</v>
      </c>
    </row>
    <row r="58" spans="10:18">
      <c r="J58" s="1">
        <v>56</v>
      </c>
      <c r="K58" s="4">
        <v>112</v>
      </c>
      <c r="L58" s="4">
        <v>12</v>
      </c>
      <c r="M58" s="5">
        <v>15.743821655874514</v>
      </c>
      <c r="N58" s="5">
        <f t="shared" si="0"/>
        <v>15.750588470135213</v>
      </c>
      <c r="O58" s="6">
        <v>0.62158617892061474</v>
      </c>
      <c r="P58" s="6">
        <v>0.81530583411294988</v>
      </c>
      <c r="Q58" s="6">
        <v>0.67417050794410804</v>
      </c>
      <c r="R58" s="6">
        <v>0.77925699400451787</v>
      </c>
    </row>
    <row r="59" spans="10:18">
      <c r="J59" s="1">
        <v>57</v>
      </c>
      <c r="K59" s="4">
        <v>114</v>
      </c>
      <c r="L59" s="4">
        <v>14</v>
      </c>
      <c r="M59" s="5">
        <v>17.478357978069599</v>
      </c>
      <c r="N59" s="5">
        <f t="shared" si="0"/>
        <v>17.483969057349725</v>
      </c>
      <c r="O59" s="6">
        <v>0.65434691113661669</v>
      </c>
      <c r="P59" s="6">
        <v>0.84189335521493158</v>
      </c>
      <c r="Q59" s="6">
        <v>0.70221729695399615</v>
      </c>
      <c r="R59" s="6">
        <v>0.81173647045117925</v>
      </c>
    </row>
    <row r="60" spans="10:18">
      <c r="J60" s="1">
        <v>58</v>
      </c>
      <c r="K60" s="4">
        <v>116</v>
      </c>
      <c r="L60" s="4">
        <v>16</v>
      </c>
      <c r="M60" s="5">
        <v>19.262547813644169</v>
      </c>
      <c r="N60" s="5">
        <f t="shared" si="0"/>
        <v>19.267098798317889</v>
      </c>
      <c r="O60" s="6">
        <v>0.68505913709111188</v>
      </c>
      <c r="P60" s="6">
        <v>0.8650495021057536</v>
      </c>
      <c r="Q60" s="6">
        <v>0.72847939010710805</v>
      </c>
      <c r="R60" s="6">
        <v>0.84005649919718806</v>
      </c>
    </row>
    <row r="61" spans="10:18">
      <c r="J61" s="1">
        <v>59</v>
      </c>
      <c r="K61" s="4">
        <v>118</v>
      </c>
      <c r="L61" s="4">
        <v>18</v>
      </c>
      <c r="M61" s="5">
        <v>21.088635223765468</v>
      </c>
      <c r="N61" s="5">
        <f t="shared" si="0"/>
        <v>21.092244136402059</v>
      </c>
      <c r="O61" s="6">
        <v>0.71368885589575537</v>
      </c>
      <c r="P61" s="6">
        <v>0.88496774192008687</v>
      </c>
      <c r="Q61" s="6">
        <v>0.75293478799002789</v>
      </c>
      <c r="R61" s="6">
        <v>0.86444022333162129</v>
      </c>
    </row>
    <row r="62" spans="10:18">
      <c r="J62" s="1">
        <v>60</v>
      </c>
      <c r="K62" s="4">
        <v>120</v>
      </c>
      <c r="L62" s="4">
        <v>20</v>
      </c>
      <c r="M62" s="5">
        <v>22.949660748211301</v>
      </c>
      <c r="N62" s="5">
        <f t="shared" si="0"/>
        <v>22.952455889941064</v>
      </c>
      <c r="O62" s="6">
        <v>0.74023535688709818</v>
      </c>
      <c r="P62" s="6">
        <v>0.90190013818387538</v>
      </c>
      <c r="Q62" s="6">
        <v>0.77558904204410084</v>
      </c>
      <c r="R62" s="6">
        <v>0.88518579971034217</v>
      </c>
    </row>
    <row r="63" spans="10:18">
      <c r="J63" s="1">
        <v>61</v>
      </c>
      <c r="K63" s="4">
        <v>122</v>
      </c>
      <c r="L63" s="4">
        <v>22</v>
      </c>
      <c r="M63" s="5">
        <v>24.839497975829232</v>
      </c>
      <c r="N63" s="5">
        <f t="shared" si="0"/>
        <v>24.841608373259191</v>
      </c>
      <c r="O63" s="6">
        <v>0.76472650963311162</v>
      </c>
      <c r="P63" s="6">
        <v>0.91613449856580942</v>
      </c>
      <c r="Q63" s="6">
        <v>0.79647126201520735</v>
      </c>
      <c r="R63" s="6">
        <v>0.90263792821495514</v>
      </c>
    </row>
    <row r="64" spans="10:18">
      <c r="J64" s="1">
        <v>62</v>
      </c>
      <c r="K64" s="4">
        <v>124</v>
      </c>
      <c r="L64" s="4">
        <v>24</v>
      </c>
      <c r="M64" s="5">
        <v>26.752845947776809</v>
      </c>
      <c r="N64" s="5">
        <f t="shared" si="0"/>
        <v>26.754394347614507</v>
      </c>
      <c r="O64" s="6">
        <v>0.78721405116105536</v>
      </c>
      <c r="P64" s="6">
        <v>0.92797479664072879</v>
      </c>
      <c r="Q64" s="6">
        <v>0.8156301402372842</v>
      </c>
      <c r="R64" s="6">
        <v>0.91716336881723348</v>
      </c>
    </row>
    <row r="65" spans="10:18">
      <c r="J65" s="1">
        <v>63</v>
      </c>
      <c r="K65" s="4">
        <v>126</v>
      </c>
      <c r="L65" s="4">
        <v>26</v>
      </c>
      <c r="M65" s="5">
        <v>28.685189128418195</v>
      </c>
      <c r="N65" s="5">
        <f t="shared" si="0"/>
        <v>28.686287333137415</v>
      </c>
      <c r="O65" s="6">
        <v>0.80776903004950096</v>
      </c>
      <c r="P65" s="6">
        <v>0.93772537587361038</v>
      </c>
      <c r="Q65" s="6">
        <v>0.83313012325041835</v>
      </c>
      <c r="R65" s="6">
        <v>0.92913111647347579</v>
      </c>
    </row>
    <row r="66" spans="10:18">
      <c r="J66" s="1">
        <v>64</v>
      </c>
      <c r="K66" s="4">
        <v>128</v>
      </c>
      <c r="L66" s="4">
        <v>28</v>
      </c>
      <c r="M66" s="5">
        <v>30.632735636795058</v>
      </c>
      <c r="N66" s="5">
        <f t="shared" si="0"/>
        <v>30.633481847385454</v>
      </c>
      <c r="O66" s="6">
        <v>0.82647752761546722</v>
      </c>
      <c r="P66" s="6">
        <v>0.94567900087475043</v>
      </c>
      <c r="Q66" s="6">
        <v>0.84904782814675517</v>
      </c>
      <c r="R66" s="6">
        <v>0.93889734093035593</v>
      </c>
    </row>
    <row r="67" spans="10:18">
      <c r="J67" s="1">
        <v>65</v>
      </c>
      <c r="K67" s="4">
        <v>130</v>
      </c>
      <c r="L67" s="4">
        <v>30</v>
      </c>
      <c r="M67" s="5">
        <v>32.592342839061018</v>
      </c>
      <c r="N67" s="5">
        <f t="shared" si="0"/>
        <v>32.59282060803946</v>
      </c>
      <c r="O67" s="6">
        <v>0.84343674031186211</v>
      </c>
      <c r="P67" s="6">
        <v>0.95210850242393086</v>
      </c>
      <c r="Q67" s="6">
        <v>0.86346877102414166</v>
      </c>
      <c r="R67" s="6">
        <v>0.94679479338202444</v>
      </c>
    </row>
    <row r="68" spans="10:18">
      <c r="J68" s="1">
        <v>66</v>
      </c>
      <c r="K68" s="4">
        <v>132</v>
      </c>
      <c r="L68" s="4">
        <v>32</v>
      </c>
      <c r="M68" s="5">
        <v>34.561437582074426</v>
      </c>
      <c r="N68" s="5">
        <f t="shared" ref="N68:N102" si="1">CallOption(K68,$B$2,0,$B$1,$B$9,$C$9)</f>
        <v>34.561715969495623</v>
      </c>
      <c r="O68" s="6">
        <v>0.85875147578470512</v>
      </c>
      <c r="P68" s="6">
        <v>0.95726156248515182</v>
      </c>
      <c r="Q68" s="6">
        <v>0.87648444880875931</v>
      </c>
      <c r="R68" s="6">
        <v>0.95312612645721095</v>
      </c>
    </row>
    <row r="69" spans="10:18">
      <c r="J69" s="1">
        <v>67</v>
      </c>
      <c r="K69" s="4">
        <v>134</v>
      </c>
      <c r="L69" s="4">
        <v>34</v>
      </c>
      <c r="M69" s="5">
        <v>36.537936537596181</v>
      </c>
      <c r="N69" s="5">
        <f t="shared" si="1"/>
        <v>36.538071091149845</v>
      </c>
      <c r="O69" s="6">
        <v>0.87253108838591631</v>
      </c>
      <c r="P69" s="6">
        <v>0.96135808582209947</v>
      </c>
      <c r="Q69" s="6">
        <v>0.88818979384183272</v>
      </c>
      <c r="R69" s="6">
        <v>0.95816044570960557</v>
      </c>
    </row>
    <row r="70" spans="10:18">
      <c r="J70" s="1">
        <v>68</v>
      </c>
      <c r="K70" s="4">
        <v>136</v>
      </c>
      <c r="L70" s="4">
        <v>36</v>
      </c>
      <c r="M70" s="5">
        <v>38.520170480070419</v>
      </c>
      <c r="N70" s="5">
        <f t="shared" si="1"/>
        <v>38.520204713418394</v>
      </c>
      <c r="O70" s="6">
        <v>0.8848868584000843</v>
      </c>
      <c r="P70" s="6">
        <v>0.96458958302547593</v>
      </c>
      <c r="Q70" s="6">
        <v>0.89868100303110809</v>
      </c>
      <c r="R70" s="6">
        <v>0.962132380635358</v>
      </c>
    </row>
    <row r="71" spans="10:18">
      <c r="J71" s="1">
        <v>69</v>
      </c>
      <c r="K71" s="4">
        <v>138</v>
      </c>
      <c r="L71" s="4">
        <v>38</v>
      </c>
      <c r="M71" s="5">
        <v>40.506814923799844</v>
      </c>
      <c r="N71" s="5">
        <f t="shared" si="1"/>
        <v>40.506782032316707</v>
      </c>
      <c r="O71" s="6">
        <v>0.89592980259786148</v>
      </c>
      <c r="P71" s="6">
        <v>0.96712002229387461</v>
      </c>
      <c r="Q71" s="6">
        <v>0.90805372982197941</v>
      </c>
      <c r="R71" s="6">
        <v>0.96524300162118915</v>
      </c>
    </row>
    <row r="72" spans="10:18">
      <c r="J72" s="1">
        <v>70</v>
      </c>
      <c r="K72" s="4">
        <v>140</v>
      </c>
      <c r="L72" s="4">
        <v>40</v>
      </c>
      <c r="M72" s="5">
        <v>42.49682842891189</v>
      </c>
      <c r="N72" s="5">
        <f t="shared" si="1"/>
        <v>42.496753048744964</v>
      </c>
      <c r="O72" s="6">
        <v>0.90576889153379092</v>
      </c>
      <c r="P72" s="6">
        <v>0.96908767306858312</v>
      </c>
      <c r="Q72" s="6">
        <v>0.91640161736364001</v>
      </c>
      <c r="R72" s="6">
        <v>0.96766198961156136</v>
      </c>
    </row>
    <row r="73" spans="10:18">
      <c r="J73" s="1">
        <v>71</v>
      </c>
      <c r="K73" s="4">
        <v>142</v>
      </c>
      <c r="L73" s="4">
        <v>42</v>
      </c>
      <c r="M73" s="5">
        <v>44.489399044106122</v>
      </c>
      <c r="N73" s="5">
        <f t="shared" si="1"/>
        <v>44.489298921859856</v>
      </c>
      <c r="O73" s="6">
        <v>0.9145096406984452</v>
      </c>
      <c r="P73" s="6">
        <v>0.97060754647060576</v>
      </c>
      <c r="Q73" s="6">
        <v>0.92381514455974445</v>
      </c>
      <c r="R73" s="6">
        <v>0.96953056617283795</v>
      </c>
    </row>
    <row r="74" spans="10:18">
      <c r="J74" s="1">
        <v>72</v>
      </c>
      <c r="K74" s="4">
        <v>144</v>
      </c>
      <c r="L74" s="4">
        <v>44</v>
      </c>
      <c r="M74" s="5">
        <v>46.483898759219876</v>
      </c>
      <c r="N74" s="5">
        <f t="shared" si="1"/>
        <v>46.483786251463471</v>
      </c>
      <c r="O74" s="6">
        <v>0.92225303759807942</v>
      </c>
      <c r="P74" s="6">
        <v>0.97177412273191832</v>
      </c>
      <c r="Q74" s="6">
        <v>0.93038075269125875</v>
      </c>
      <c r="R74" s="6">
        <v>0.97096479711012207</v>
      </c>
    </row>
    <row r="75" spans="10:18">
      <c r="J75" s="1">
        <v>73</v>
      </c>
      <c r="K75" s="4">
        <v>146</v>
      </c>
      <c r="L75" s="4">
        <v>46</v>
      </c>
      <c r="M75" s="5">
        <v>48.479845452155722</v>
      </c>
      <c r="N75" s="5">
        <f t="shared" si="1"/>
        <v>48.479728814687334</v>
      </c>
      <c r="O75" s="6">
        <v>0.929094764454379</v>
      </c>
      <c r="P75" s="6">
        <v>0.97266413595663981</v>
      </c>
      <c r="Q75" s="6">
        <v>0.93618021847473154</v>
      </c>
      <c r="R75" s="6">
        <v>0.97205898219468623</v>
      </c>
    </row>
    <row r="76" spans="10:18">
      <c r="J76" s="1">
        <v>74</v>
      </c>
      <c r="K76" s="4">
        <v>148</v>
      </c>
      <c r="L76" s="4">
        <v>48</v>
      </c>
      <c r="M76" s="5">
        <v>50.476871589454099</v>
      </c>
      <c r="N76" s="5">
        <f t="shared" si="1"/>
        <v>50.47675604594555</v>
      </c>
      <c r="O76" s="6">
        <v>0.93512467591302639</v>
      </c>
      <c r="P76" s="6">
        <v>0.97333925663866683</v>
      </c>
      <c r="Q76" s="6">
        <v>0.94129023929565336</v>
      </c>
      <c r="R76" s="6">
        <v>0.9728889306497196</v>
      </c>
    </row>
    <row r="77" spans="10:18">
      <c r="J77" s="1">
        <v>75</v>
      </c>
      <c r="K77" s="4">
        <v>150</v>
      </c>
      <c r="L77" s="4">
        <v>50</v>
      </c>
      <c r="M77" s="5">
        <v>52.474698836647363</v>
      </c>
      <c r="N77" s="5">
        <f t="shared" si="1"/>
        <v>52.474587436175227</v>
      </c>
      <c r="O77" s="6">
        <v>0.94042649240117082</v>
      </c>
      <c r="P77" s="6">
        <v>0.97384857017798399</v>
      </c>
      <c r="Q77" s="6">
        <v>0.94578219750482473</v>
      </c>
      <c r="R77" s="6">
        <v>0.97351499399391939</v>
      </c>
    </row>
    <row r="78" spans="10:18">
      <c r="J78" s="1">
        <v>76</v>
      </c>
      <c r="K78" s="4">
        <v>152</v>
      </c>
      <c r="L78" s="4">
        <v>52</v>
      </c>
      <c r="M78" s="5">
        <v>54.473117717500713</v>
      </c>
      <c r="N78" s="5">
        <f t="shared" si="1"/>
        <v>54.473012002326854</v>
      </c>
      <c r="O78" s="6">
        <v>0.94507767212809701</v>
      </c>
      <c r="P78" s="6">
        <v>0.97423079488124431</v>
      </c>
      <c r="Q78" s="6">
        <v>0.94972207271330467</v>
      </c>
      <c r="R78" s="6">
        <v>0.97398478423851376</v>
      </c>
    </row>
    <row r="79" spans="10:18">
      <c r="J79" s="1">
        <v>77</v>
      </c>
      <c r="K79" s="4">
        <v>154</v>
      </c>
      <c r="L79" s="4">
        <v>54</v>
      </c>
      <c r="M79" s="5">
        <v>56.471971500766628</v>
      </c>
      <c r="N79" s="5">
        <f t="shared" si="1"/>
        <v>56.471872011486965</v>
      </c>
      <c r="O79" s="6">
        <v>0.94914942780087608</v>
      </c>
      <c r="P79" s="6">
        <v>0.97451621652969889</v>
      </c>
      <c r="Q79" s="6">
        <v>0.95317047365585461</v>
      </c>
      <c r="R79" s="6">
        <v>0.97433554738940809</v>
      </c>
    </row>
    <row r="80" spans="10:18">
      <c r="J80" s="1">
        <v>78</v>
      </c>
      <c r="K80" s="4">
        <v>156</v>
      </c>
      <c r="L80" s="4">
        <v>56</v>
      </c>
      <c r="M80" s="5">
        <v>58.471143566163377</v>
      </c>
      <c r="N80" s="5">
        <f t="shared" si="1"/>
        <v>58.47105021279279</v>
      </c>
      <c r="O80" s="6">
        <v>0.95270685761914087</v>
      </c>
      <c r="P80" s="6">
        <v>0.97472834014183207</v>
      </c>
      <c r="Q80" s="6">
        <v>0.95618276415958947</v>
      </c>
      <c r="R80" s="6">
        <v>0.9745961916770739</v>
      </c>
    </row>
    <row r="81" spans="10:18">
      <c r="J81" s="1">
        <v>79</v>
      </c>
      <c r="K81" s="4">
        <v>158</v>
      </c>
      <c r="L81" s="4">
        <v>58</v>
      </c>
      <c r="M81" s="5">
        <v>60.470547590978313</v>
      </c>
      <c r="N81" s="5">
        <f t="shared" si="1"/>
        <v>60.470459917199321</v>
      </c>
      <c r="O81" s="6">
        <v>0.95580916377788749</v>
      </c>
      <c r="P81" s="6">
        <v>0.97488527490146204</v>
      </c>
      <c r="Q81" s="6">
        <v>0.95880926085394125</v>
      </c>
      <c r="R81" s="6">
        <v>0.97478898920869983</v>
      </c>
    </row>
    <row r="82" spans="10:18">
      <c r="J82" s="1">
        <v>80</v>
      </c>
      <c r="K82" s="4">
        <v>160</v>
      </c>
      <c r="L82" s="4">
        <v>60</v>
      </c>
      <c r="M82" s="5">
        <v>62.470119993159727</v>
      </c>
      <c r="N82" s="5">
        <f t="shared" si="1"/>
        <v>62.470037358028833</v>
      </c>
      <c r="O82" s="6">
        <v>0.95850993536064277</v>
      </c>
      <c r="P82" s="6">
        <v>0.97500087720468664</v>
      </c>
      <c r="Q82" s="6">
        <v>0.96109548333865735</v>
      </c>
      <c r="R82" s="6">
        <v>0.97493098108756615</v>
      </c>
    </row>
    <row r="83" spans="10:18">
      <c r="J83" s="1">
        <v>81</v>
      </c>
      <c r="K83" s="4">
        <v>162</v>
      </c>
      <c r="L83" s="4">
        <v>62</v>
      </c>
      <c r="M83" s="5">
        <v>64.469814158279348</v>
      </c>
      <c r="N83" s="5">
        <f t="shared" si="1"/>
        <v>64.469735856025423</v>
      </c>
      <c r="O83" s="6">
        <v>0.9608574760143237</v>
      </c>
      <c r="P83" s="6">
        <v>0.97508568106656512</v>
      </c>
      <c r="Q83" s="6">
        <v>0.96308244047890024</v>
      </c>
      <c r="R83" s="6">
        <v>0.97503512153912097</v>
      </c>
    </row>
    <row r="84" spans="10:18">
      <c r="J84" s="1">
        <v>82</v>
      </c>
      <c r="K84" s="4">
        <v>164</v>
      </c>
      <c r="L84" s="4">
        <v>64</v>
      </c>
      <c r="M84" s="5">
        <v>66.469596061731124</v>
      </c>
      <c r="N84" s="5">
        <f t="shared" si="1"/>
        <v>66.469521396489284</v>
      </c>
      <c r="O84" s="6">
        <v>0.96289516007075915</v>
      </c>
      <c r="P84" s="6">
        <v>0.97514764613189819</v>
      </c>
      <c r="Q84" s="6">
        <v>0.96480693924606931</v>
      </c>
      <c r="R84" s="6">
        <v>0.97511119797412971</v>
      </c>
    </row>
    <row r="85" spans="10:18">
      <c r="J85" s="1">
        <v>83</v>
      </c>
      <c r="K85" s="4">
        <v>166</v>
      </c>
      <c r="L85" s="4">
        <v>66</v>
      </c>
      <c r="M85" s="5">
        <v>68.469440971662621</v>
      </c>
      <c r="N85" s="5">
        <f t="shared" si="1"/>
        <v>68.469369300429165</v>
      </c>
      <c r="O85" s="6">
        <v>0.96466180376156896</v>
      </c>
      <c r="P85" s="6">
        <v>0.97519275238690528</v>
      </c>
      <c r="Q85" s="6">
        <v>0.96630190502364199</v>
      </c>
      <c r="R85" s="6">
        <v>0.97516656261524703</v>
      </c>
    </row>
    <row r="86" spans="10:18">
      <c r="J86" s="1">
        <v>84</v>
      </c>
      <c r="K86" s="4">
        <v>168</v>
      </c>
      <c r="L86" s="4">
        <v>68</v>
      </c>
      <c r="M86" s="5">
        <v>70.469330981649861</v>
      </c>
      <c r="N86" s="5">
        <f t="shared" si="1"/>
        <v>70.46926173561684</v>
      </c>
      <c r="O86" s="6">
        <v>0.96619204083332966</v>
      </c>
      <c r="P86" s="6">
        <v>0.97522546823708678</v>
      </c>
      <c r="Q86" s="6">
        <v>0.96759670452541435</v>
      </c>
      <c r="R86" s="6">
        <v>0.97520670839378476</v>
      </c>
    </row>
    <row r="87" spans="10:18">
      <c r="J87" s="1">
        <v>85</v>
      </c>
      <c r="K87" s="4">
        <v>170</v>
      </c>
      <c r="L87" s="4">
        <v>70</v>
      </c>
      <c r="M87" s="5">
        <v>72.469253175266417</v>
      </c>
      <c r="N87" s="5">
        <f t="shared" si="1"/>
        <v>72.469185867075353</v>
      </c>
      <c r="O87" s="6">
        <v>0.96751669419971142</v>
      </c>
      <c r="P87" s="6">
        <v>0.9752491155341767</v>
      </c>
      <c r="Q87" s="6">
        <v>0.9687174644223574</v>
      </c>
      <c r="R87" s="6">
        <v>0.9752357180773531</v>
      </c>
    </row>
    <row r="88" spans="10:18">
      <c r="J88" s="1">
        <v>86</v>
      </c>
      <c r="K88" s="4">
        <v>172</v>
      </c>
      <c r="L88" s="4">
        <v>72</v>
      </c>
      <c r="M88" s="5">
        <v>74.469198268289688</v>
      </c>
      <c r="N88" s="5">
        <f t="shared" si="1"/>
        <v>74.469132490638046</v>
      </c>
      <c r="O88" s="6">
        <v>0.9686631372727047</v>
      </c>
      <c r="P88" s="6">
        <v>0.97526615184101006</v>
      </c>
      <c r="Q88" s="6">
        <v>0.96968738044973268</v>
      </c>
      <c r="R88" s="6">
        <v>0.97525661156465282</v>
      </c>
    </row>
    <row r="89" spans="10:18">
      <c r="J89" s="1">
        <v>87</v>
      </c>
      <c r="K89" s="4">
        <v>174</v>
      </c>
      <c r="L89" s="4">
        <v>74</v>
      </c>
      <c r="M89" s="5">
        <v>76.469159609458984</v>
      </c>
      <c r="N89" s="5">
        <f t="shared" si="1"/>
        <v>76.469095028854667</v>
      </c>
      <c r="O89" s="6">
        <v>0.9696556403128388</v>
      </c>
      <c r="P89" s="6">
        <v>0.9752783870037931</v>
      </c>
      <c r="Q89" s="6">
        <v>0.97052701318267587</v>
      </c>
      <c r="R89" s="6">
        <v>0.97527161233930559</v>
      </c>
    </row>
    <row r="90" spans="10:18">
      <c r="J90" s="1">
        <v>88</v>
      </c>
      <c r="K90" s="4">
        <v>176</v>
      </c>
      <c r="L90" s="4">
        <v>76</v>
      </c>
      <c r="M90" s="5">
        <v>78.469132448669782</v>
      </c>
      <c r="N90" s="5">
        <f t="shared" si="1"/>
        <v>78.469068796896181</v>
      </c>
      <c r="O90" s="6">
        <v>0.97051569855200592</v>
      </c>
      <c r="P90" s="6">
        <v>0.97528714812810535</v>
      </c>
      <c r="Q90" s="6">
        <v>0.97125456784633379</v>
      </c>
      <c r="R90" s="6">
        <v>0.97528235042538669</v>
      </c>
    </row>
    <row r="91" spans="10:18">
      <c r="J91" s="1">
        <v>89</v>
      </c>
      <c r="K91" s="4">
        <v>178</v>
      </c>
      <c r="L91" s="4">
        <v>78</v>
      </c>
      <c r="M91" s="5">
        <v>80.469113403455836</v>
      </c>
      <c r="N91" s="5">
        <f t="shared" si="1"/>
        <v>80.469050468410956</v>
      </c>
      <c r="O91" s="6">
        <v>0.97126233999966838</v>
      </c>
      <c r="P91" s="6">
        <v>0.97529340441664425</v>
      </c>
      <c r="Q91" s="6">
        <v>0.97188615648925047</v>
      </c>
      <c r="R91" s="6">
        <v>0.97529001594532871</v>
      </c>
    </row>
    <row r="92" spans="10:18">
      <c r="J92" s="1">
        <v>90</v>
      </c>
      <c r="K92" s="4">
        <v>180</v>
      </c>
      <c r="L92" s="4">
        <v>80</v>
      </c>
      <c r="M92" s="5">
        <v>82.469100071669857</v>
      </c>
      <c r="N92" s="5">
        <f t="shared" si="1"/>
        <v>82.469037688609603</v>
      </c>
      <c r="O92" s="6">
        <v>0.97191241177311205</v>
      </c>
      <c r="P92" s="6">
        <v>0.97529786105519078</v>
      </c>
      <c r="Q92" s="6">
        <v>0.97243604162081776</v>
      </c>
      <c r="R92" s="6">
        <v>0.97529547458740795</v>
      </c>
    </row>
    <row r="93" spans="10:18">
      <c r="J93" s="1">
        <v>91</v>
      </c>
      <c r="K93" s="4">
        <v>182</v>
      </c>
      <c r="L93" s="4">
        <v>82</v>
      </c>
      <c r="M93" s="5">
        <v>84.469090751390709</v>
      </c>
      <c r="N93" s="5">
        <f t="shared" si="1"/>
        <v>84.469028795177735</v>
      </c>
      <c r="O93" s="6">
        <v>0.97248084452442041</v>
      </c>
      <c r="P93" s="6">
        <v>0.9753010294238954</v>
      </c>
      <c r="Q93" s="6">
        <v>0.97291686102006059</v>
      </c>
      <c r="R93" s="6">
        <v>0.97529935394066525</v>
      </c>
    </row>
    <row r="94" spans="10:18">
      <c r="J94" s="1">
        <v>92</v>
      </c>
      <c r="K94" s="4">
        <v>184</v>
      </c>
      <c r="L94" s="4">
        <v>84</v>
      </c>
      <c r="M94" s="5">
        <v>86.469084239079962</v>
      </c>
      <c r="N94" s="5">
        <f t="shared" si="1"/>
        <v>86.469022617765759</v>
      </c>
      <c r="O94" s="6">
        <v>0.97298089509929331</v>
      </c>
      <c r="P94" s="6">
        <v>0.97530327933736904</v>
      </c>
      <c r="Q94" s="6">
        <v>0.97333983388769008</v>
      </c>
      <c r="R94" s="6">
        <v>0.97530210771822046</v>
      </c>
    </row>
    <row r="95" spans="10:18">
      <c r="J95" s="1">
        <v>93</v>
      </c>
      <c r="K95" s="4">
        <v>186</v>
      </c>
      <c r="L95" s="4">
        <v>86</v>
      </c>
      <c r="M95" s="5">
        <v>88.469079684563596</v>
      </c>
      <c r="N95" s="5">
        <f t="shared" si="1"/>
        <v>88.469018334470903</v>
      </c>
      <c r="O95" s="6">
        <v>0.97342436798225529</v>
      </c>
      <c r="P95" s="6">
        <v>0.97530487774163355</v>
      </c>
      <c r="Q95" s="6">
        <v>0.97371494885853638</v>
      </c>
      <c r="R95" s="6">
        <v>0.97530406331970532</v>
      </c>
    </row>
    <row r="96" spans="10:18">
      <c r="J96" s="1">
        <v>94</v>
      </c>
      <c r="K96" s="4">
        <v>188</v>
      </c>
      <c r="L96" s="4">
        <v>88</v>
      </c>
      <c r="M96" s="5">
        <v>90.469076487080002</v>
      </c>
      <c r="N96" s="5">
        <f t="shared" si="1"/>
        <v>90.469015369474533</v>
      </c>
      <c r="O96" s="6">
        <v>0.9738218163833795</v>
      </c>
      <c r="P96" s="6">
        <v>0.97530601727703858</v>
      </c>
      <c r="Q96" s="6">
        <v>0.97405113463751025</v>
      </c>
      <c r="R96" s="6">
        <v>0.97530545692892701</v>
      </c>
    </row>
    <row r="97" spans="10:18">
      <c r="J97" s="1">
        <v>95</v>
      </c>
      <c r="K97" s="4">
        <v>190</v>
      </c>
      <c r="L97" s="4">
        <v>90</v>
      </c>
      <c r="M97" s="5">
        <v>92.469074220853841</v>
      </c>
      <c r="N97" s="5">
        <f t="shared" si="1"/>
        <v>92.469013320276034</v>
      </c>
      <c r="O97" s="6">
        <v>0.97418272402508543</v>
      </c>
      <c r="P97" s="6">
        <v>0.97530683731249046</v>
      </c>
      <c r="Q97" s="6">
        <v>0.97435641418732211</v>
      </c>
      <c r="R97" s="6">
        <v>0.97530645935317217</v>
      </c>
    </row>
    <row r="98" spans="10:18">
      <c r="J98" s="1">
        <v>96</v>
      </c>
      <c r="K98" s="4">
        <v>192</v>
      </c>
      <c r="L98" s="4">
        <v>92</v>
      </c>
      <c r="M98" s="5">
        <v>94.469072581776089</v>
      </c>
      <c r="N98" s="5">
        <f t="shared" si="1"/>
        <v>94.469011906128031</v>
      </c>
      <c r="O98" s="6">
        <v>0.97451566881289886</v>
      </c>
      <c r="P98" s="6">
        <v>0.97530743942949438</v>
      </c>
      <c r="Q98" s="6">
        <v>0.97463804349630645</v>
      </c>
      <c r="R98" s="6">
        <v>0.97530719503871965</v>
      </c>
    </row>
    <row r="99" spans="10:18">
      <c r="J99" s="1">
        <v>97</v>
      </c>
      <c r="K99" s="4">
        <v>194</v>
      </c>
      <c r="L99" s="4">
        <v>94</v>
      </c>
      <c r="M99" s="5">
        <v>96.46907134906472</v>
      </c>
      <c r="N99" s="5">
        <f t="shared" si="1"/>
        <v>96.46901093160433</v>
      </c>
      <c r="O99" s="6">
        <v>0.974828469637808</v>
      </c>
      <c r="P99" s="6">
        <v>0.97530789885068137</v>
      </c>
      <c r="Q99" s="6">
        <v>0.97490263600366334</v>
      </c>
      <c r="R99" s="6">
        <v>0.97530775610143772</v>
      </c>
    </row>
    <row r="100" spans="10:18">
      <c r="J100" s="1">
        <v>98</v>
      </c>
      <c r="K100" s="4">
        <v>196</v>
      </c>
      <c r="L100" s="4">
        <v>96</v>
      </c>
      <c r="M100" s="5">
        <v>98.469070357455038</v>
      </c>
      <c r="N100" s="5">
        <f t="shared" si="1"/>
        <v>98.469010260931171</v>
      </c>
      <c r="O100" s="6">
        <v>0.9751283175740918</v>
      </c>
      <c r="P100" s="6">
        <v>0.97530827293761124</v>
      </c>
      <c r="Q100" s="6">
        <v>0.97515627376903635</v>
      </c>
      <c r="R100" s="6">
        <v>0.97530821275599466</v>
      </c>
    </row>
    <row r="101" spans="10:18">
      <c r="J101" s="1">
        <v>99</v>
      </c>
      <c r="K101" s="4">
        <v>198</v>
      </c>
      <c r="L101" s="4">
        <v>98</v>
      </c>
      <c r="M101" s="5">
        <v>100.46906947668487</v>
      </c>
      <c r="N101" s="5">
        <f t="shared" si="1"/>
        <v>100.46900979994984</v>
      </c>
      <c r="O101" s="6">
        <v>0.97542189271707802</v>
      </c>
      <c r="P101" s="6">
        <v>0.97530860760239846</v>
      </c>
      <c r="Q101" s="6">
        <v>0.97540460645350413</v>
      </c>
      <c r="R101" s="6">
        <v>0.97530862118227968</v>
      </c>
    </row>
    <row r="102" spans="10:18">
      <c r="J102" s="1">
        <v>100</v>
      </c>
      <c r="K102" s="1">
        <v>200</v>
      </c>
      <c r="L102" s="1">
        <v>100</v>
      </c>
      <c r="M102" s="1">
        <v>102.46906859591469</v>
      </c>
      <c r="N102" s="5">
        <f t="shared" si="1"/>
        <v>102.46900948347353</v>
      </c>
      <c r="O102" s="1">
        <v>0.97530894226718567</v>
      </c>
      <c r="P102" s="1">
        <v>0.97571546786006425</v>
      </c>
    </row>
    <row r="103" spans="10:18">
      <c r="N103" s="5"/>
    </row>
  </sheetData>
  <mergeCells count="1">
    <mergeCell ref="S1:U5"/>
  </mergeCells>
  <phoneticPr fontId="2" type="noConversion"/>
  <dataValidations xWindow="198" yWindow="280" count="1">
    <dataValidation type="list" allowBlank="1" showInputMessage="1" showErrorMessage="1" sqref="A9" xr:uid="{00000000-0002-0000-0300-000000000000}">
      <formula1>"Digital Call,Digital Put,Call,Put"</formula1>
    </dataValidation>
  </dataValidations>
  <pageMargins left="0.75" right="0.75" top="1" bottom="1" header="0.5" footer="0.5"/>
  <pageSetup paperSize="9" orientation="portrait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工作表</vt:lpstr>
      </vt:variant>
      <vt:variant>
        <vt:i4>4</vt:i4>
      </vt:variant>
      <vt:variant>
        <vt:lpstr>图表</vt:lpstr>
      </vt:variant>
      <vt:variant>
        <vt:i4>1</vt:i4>
      </vt:variant>
      <vt:variant>
        <vt:lpstr>命名范围</vt:lpstr>
      </vt:variant>
      <vt:variant>
        <vt:i4>23</vt:i4>
      </vt:variant>
    </vt:vector>
  </HeadingPairs>
  <TitlesOfParts>
    <vt:vector size="28" baseType="lpstr">
      <vt:lpstr>Greeks</vt:lpstr>
      <vt:lpstr>Delta Hedge</vt:lpstr>
      <vt:lpstr>P&amp;L Study</vt:lpstr>
      <vt:lpstr>Uncertain Vol.</vt:lpstr>
      <vt:lpstr>UVM Binary</vt:lpstr>
      <vt:lpstr>BS_IVHigh</vt:lpstr>
      <vt:lpstr>BS_IVLow</vt:lpstr>
      <vt:lpstr>BS_K</vt:lpstr>
      <vt:lpstr>BS_r</vt:lpstr>
      <vt:lpstr>BS_T</vt:lpstr>
      <vt:lpstr>Delta_0</vt:lpstr>
      <vt:lpstr>DH_dt</vt:lpstr>
      <vt:lpstr>DH_PriceT</vt:lpstr>
      <vt:lpstr>DH_Rate</vt:lpstr>
      <vt:lpstr>DH_Strike</vt:lpstr>
      <vt:lpstr>DH_Term</vt:lpstr>
      <vt:lpstr>dt</vt:lpstr>
      <vt:lpstr>PL_K</vt:lpstr>
      <vt:lpstr>PL_r</vt:lpstr>
      <vt:lpstr>PL_T</vt:lpstr>
      <vt:lpstr>PL_Vol_a</vt:lpstr>
      <vt:lpstr>PL_Vol_i</vt:lpstr>
      <vt:lpstr>PL_Vol_sim</vt:lpstr>
      <vt:lpstr>S_0</vt:lpstr>
      <vt:lpstr>V_0</vt:lpstr>
      <vt:lpstr>Vol_a</vt:lpstr>
      <vt:lpstr>Vol_i</vt:lpstr>
      <vt:lpstr>Vol_sim</vt:lpstr>
    </vt:vector>
  </TitlesOfParts>
  <Company>7city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User</cp:lastModifiedBy>
  <cp:lastPrinted>2009-11-06T16:10:01Z</cp:lastPrinted>
  <dcterms:created xsi:type="dcterms:W3CDTF">2007-05-28T17:38:06Z</dcterms:created>
  <dcterms:modified xsi:type="dcterms:W3CDTF">2022-04-13T10:23:55Z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-895191373</vt:i4>
  </property>
  <property fmtid="{D5CDD505-2E9C-101B-9397-08002B2CF9AE}" pid="3" name="_NewReviewCycle">
    <vt:lpwstr/>
  </property>
  <property fmtid="{D5CDD505-2E9C-101B-9397-08002B2CF9AE}" pid="4" name="_EmailSubject">
    <vt:lpwstr>LECTURE NOTES CQF Lecture Thursday 1st September - Understanding Volatility </vt:lpwstr>
  </property>
  <property fmtid="{D5CDD505-2E9C-101B-9397-08002B2CF9AE}" pid="5" name="_AuthorEmail">
    <vt:lpwstr>Richard.Diamond@fitchlearning.com</vt:lpwstr>
  </property>
  <property fmtid="{D5CDD505-2E9C-101B-9397-08002B2CF9AE}" pid="6" name="_AuthorEmailDisplayName">
    <vt:lpwstr>Richard Diamond</vt:lpwstr>
  </property>
  <property fmtid="{D5CDD505-2E9C-101B-9397-08002B2CF9AE}" pid="7" name="_PreviousAdHocReviewCycleID">
    <vt:i4>563546608</vt:i4>
  </property>
  <property fmtid="{D5CDD505-2E9C-101B-9397-08002B2CF9AE}" pid="8" name="_ReviewingToolsShownOnce">
    <vt:lpwstr/>
  </property>
</Properties>
</file>