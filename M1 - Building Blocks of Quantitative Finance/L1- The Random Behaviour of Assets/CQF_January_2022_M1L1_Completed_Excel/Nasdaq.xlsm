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syTech\Desktop\CQF\M1\Lecture1\CQF_January_2022_M1L1_Completed_Excel\"/>
    </mc:Choice>
  </mc:AlternateContent>
  <xr:revisionPtr revIDLastSave="0" documentId="13_ncr:1_{E3AA3624-E775-4BF2-A3C4-4CBA5F80B122}" xr6:coauthVersionLast="47" xr6:coauthVersionMax="47" xr10:uidLastSave="{00000000-0000-0000-0000-000000000000}"/>
  <bookViews>
    <workbookView xWindow="-110" yWindow="-110" windowWidth="21820" windowHeight="14020" xr2:uid="{00000000-000D-0000-FFFF-FFFF00000000}"/>
  </bookViews>
  <sheets>
    <sheet name="Nasdaq" sheetId="1" r:id="rId1"/>
  </sheets>
  <definedNames>
    <definedName name="avrtn">Nasdaq!$H$1</definedName>
    <definedName name="bucketwidth">Nasdaq!$H$5</definedName>
    <definedName name="datacount">Nasdaq!$L$1</definedName>
    <definedName name="sdrtn">Nasdaq!$H$2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8" i="1"/>
  <c r="L1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8" i="1"/>
  <c r="H8" i="1" a="1"/>
  <c r="H8" i="1" s="1"/>
  <c r="F224" i="1"/>
  <c r="F225" i="1"/>
  <c r="F226" i="1" s="1"/>
  <c r="F227" i="1" s="1"/>
  <c r="F228" i="1" s="1"/>
  <c r="F229" i="1" s="1"/>
  <c r="F230" i="1" s="1"/>
  <c r="F231" i="1" s="1"/>
  <c r="F232" i="1" s="1"/>
  <c r="F10" i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9" i="1"/>
  <c r="F8" i="1"/>
  <c r="H5" i="1"/>
  <c r="H4" i="1"/>
  <c r="H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3" i="1"/>
  <c r="H2" i="1"/>
  <c r="H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3" i="1"/>
  <c r="H229" i="1" l="1"/>
  <c r="H223" i="1"/>
  <c r="H217" i="1"/>
  <c r="H211" i="1"/>
  <c r="H205" i="1"/>
  <c r="H199" i="1"/>
  <c r="H193" i="1"/>
  <c r="H187" i="1"/>
  <c r="H181" i="1"/>
  <c r="H175" i="1"/>
  <c r="H169" i="1"/>
  <c r="H163" i="1"/>
  <c r="H157" i="1"/>
  <c r="H151" i="1"/>
  <c r="H145" i="1"/>
  <c r="H139" i="1"/>
  <c r="H133" i="1"/>
  <c r="H127" i="1"/>
  <c r="H121" i="1"/>
  <c r="H115" i="1"/>
  <c r="H109" i="1"/>
  <c r="H103" i="1"/>
  <c r="H97" i="1"/>
  <c r="H91" i="1"/>
  <c r="H85" i="1"/>
  <c r="H79" i="1"/>
  <c r="H73" i="1"/>
  <c r="H67" i="1"/>
  <c r="H61" i="1"/>
  <c r="H55" i="1"/>
  <c r="H49" i="1"/>
  <c r="H43" i="1"/>
  <c r="H37" i="1"/>
  <c r="H31" i="1"/>
  <c r="H25" i="1"/>
  <c r="H19" i="1"/>
  <c r="H13" i="1"/>
  <c r="H228" i="1"/>
  <c r="H222" i="1"/>
  <c r="H216" i="1"/>
  <c r="H210" i="1"/>
  <c r="H204" i="1"/>
  <c r="H198" i="1"/>
  <c r="H192" i="1"/>
  <c r="H186" i="1"/>
  <c r="H180" i="1"/>
  <c r="H174" i="1"/>
  <c r="H168" i="1"/>
  <c r="H162" i="1"/>
  <c r="H156" i="1"/>
  <c r="H150" i="1"/>
  <c r="H144" i="1"/>
  <c r="H138" i="1"/>
  <c r="H132" i="1"/>
  <c r="H126" i="1"/>
  <c r="H120" i="1"/>
  <c r="H114" i="1"/>
  <c r="H108" i="1"/>
  <c r="H102" i="1"/>
  <c r="H96" i="1"/>
  <c r="H90" i="1"/>
  <c r="H84" i="1"/>
  <c r="H78" i="1"/>
  <c r="H72" i="1"/>
  <c r="H66" i="1"/>
  <c r="H60" i="1"/>
  <c r="H54" i="1"/>
  <c r="H48" i="1"/>
  <c r="H42" i="1"/>
  <c r="H36" i="1"/>
  <c r="H30" i="1"/>
  <c r="H24" i="1"/>
  <c r="H18" i="1"/>
  <c r="H12" i="1"/>
  <c r="H215" i="1"/>
  <c r="H197" i="1"/>
  <c r="H179" i="1"/>
  <c r="H161" i="1"/>
  <c r="H143" i="1"/>
  <c r="H131" i="1"/>
  <c r="H113" i="1"/>
  <c r="H95" i="1"/>
  <c r="H77" i="1"/>
  <c r="H65" i="1"/>
  <c r="H47" i="1"/>
  <c r="H29" i="1"/>
  <c r="H11" i="1"/>
  <c r="H232" i="1"/>
  <c r="H226" i="1"/>
  <c r="H220" i="1"/>
  <c r="H214" i="1"/>
  <c r="H208" i="1"/>
  <c r="H202" i="1"/>
  <c r="H196" i="1"/>
  <c r="H190" i="1"/>
  <c r="H184" i="1"/>
  <c r="H178" i="1"/>
  <c r="H172" i="1"/>
  <c r="H166" i="1"/>
  <c r="H160" i="1"/>
  <c r="H154" i="1"/>
  <c r="H148" i="1"/>
  <c r="H142" i="1"/>
  <c r="H136" i="1"/>
  <c r="H130" i="1"/>
  <c r="H124" i="1"/>
  <c r="H118" i="1"/>
  <c r="H112" i="1"/>
  <c r="H106" i="1"/>
  <c r="H100" i="1"/>
  <c r="H94" i="1"/>
  <c r="H88" i="1"/>
  <c r="H82" i="1"/>
  <c r="H76" i="1"/>
  <c r="H70" i="1"/>
  <c r="H64" i="1"/>
  <c r="H58" i="1"/>
  <c r="H52" i="1"/>
  <c r="H46" i="1"/>
  <c r="H40" i="1"/>
  <c r="H34" i="1"/>
  <c r="H28" i="1"/>
  <c r="H22" i="1"/>
  <c r="H16" i="1"/>
  <c r="H10" i="1"/>
  <c r="H227" i="1"/>
  <c r="H209" i="1"/>
  <c r="H185" i="1"/>
  <c r="H167" i="1"/>
  <c r="H149" i="1"/>
  <c r="H119" i="1"/>
  <c r="H101" i="1"/>
  <c r="H83" i="1"/>
  <c r="H59" i="1"/>
  <c r="H41" i="1"/>
  <c r="H17" i="1"/>
  <c r="H231" i="1"/>
  <c r="H225" i="1"/>
  <c r="H219" i="1"/>
  <c r="H213" i="1"/>
  <c r="H207" i="1"/>
  <c r="H201" i="1"/>
  <c r="H195" i="1"/>
  <c r="H189" i="1"/>
  <c r="H183" i="1"/>
  <c r="H177" i="1"/>
  <c r="H171" i="1"/>
  <c r="H165" i="1"/>
  <c r="H159" i="1"/>
  <c r="H153" i="1"/>
  <c r="H147" i="1"/>
  <c r="H141" i="1"/>
  <c r="H135" i="1"/>
  <c r="H129" i="1"/>
  <c r="H123" i="1"/>
  <c r="H117" i="1"/>
  <c r="H111" i="1"/>
  <c r="H105" i="1"/>
  <c r="H99" i="1"/>
  <c r="H93" i="1"/>
  <c r="H87" i="1"/>
  <c r="H81" i="1"/>
  <c r="H75" i="1"/>
  <c r="H69" i="1"/>
  <c r="H63" i="1"/>
  <c r="H57" i="1"/>
  <c r="H51" i="1"/>
  <c r="H45" i="1"/>
  <c r="H39" i="1"/>
  <c r="H33" i="1"/>
  <c r="H27" i="1"/>
  <c r="H21" i="1"/>
  <c r="H15" i="1"/>
  <c r="H9" i="1"/>
  <c r="H221" i="1"/>
  <c r="H203" i="1"/>
  <c r="H191" i="1"/>
  <c r="H173" i="1"/>
  <c r="H155" i="1"/>
  <c r="H137" i="1"/>
  <c r="H125" i="1"/>
  <c r="H107" i="1"/>
  <c r="H89" i="1"/>
  <c r="H71" i="1"/>
  <c r="H53" i="1"/>
  <c r="H35" i="1"/>
  <c r="H23" i="1"/>
  <c r="H230" i="1"/>
  <c r="H224" i="1"/>
  <c r="H218" i="1"/>
  <c r="H212" i="1"/>
  <c r="H206" i="1"/>
  <c r="H200" i="1"/>
  <c r="H194" i="1"/>
  <c r="H188" i="1"/>
  <c r="H182" i="1"/>
  <c r="H176" i="1"/>
  <c r="H170" i="1"/>
  <c r="H164" i="1"/>
  <c r="H158" i="1"/>
  <c r="H152" i="1"/>
  <c r="H146" i="1"/>
  <c r="H140" i="1"/>
  <c r="H134" i="1"/>
  <c r="H128" i="1"/>
  <c r="H122" i="1"/>
  <c r="H116" i="1"/>
  <c r="H110" i="1"/>
  <c r="H104" i="1"/>
  <c r="H98" i="1"/>
  <c r="H92" i="1"/>
  <c r="H86" i="1"/>
  <c r="H80" i="1"/>
  <c r="H74" i="1"/>
  <c r="H68" i="1"/>
  <c r="H62" i="1"/>
  <c r="H56" i="1"/>
  <c r="H50" i="1"/>
  <c r="H44" i="1"/>
  <c r="H38" i="1"/>
  <c r="H32" i="1"/>
  <c r="H26" i="1"/>
  <c r="H20" i="1"/>
  <c r="H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Wilmott</author>
  </authors>
  <commentList>
    <comment ref="H1" authorId="0" shapeId="0" xr:uid="{2A41EF12-47AA-4C9F-998A-9CC3C989C442}">
      <text>
        <r>
          <rPr>
            <sz val="9"/>
            <color indexed="81"/>
            <rFont val="Tahoma"/>
            <family val="2"/>
          </rPr>
          <t>=AVERAGE(C:C)</t>
        </r>
      </text>
    </comment>
    <comment ref="L1" authorId="0" shapeId="0" xr:uid="{CA26F0B1-2FD7-445E-899D-FBC02F3E6ED6}">
      <text>
        <r>
          <rPr>
            <sz val="9"/>
            <color indexed="81"/>
            <rFont val="Tahoma"/>
            <family val="2"/>
          </rPr>
          <t>=COUNT(D:D)</t>
        </r>
      </text>
    </comment>
    <comment ref="H2" authorId="0" shapeId="0" xr:uid="{9724E4DB-A41B-451A-80FF-21CC113F6DB6}">
      <text>
        <r>
          <rPr>
            <sz val="9"/>
            <color indexed="81"/>
            <rFont val="Tahoma"/>
            <family val="2"/>
          </rPr>
          <t>=STDEV(C:C)</t>
        </r>
      </text>
    </comment>
    <comment ref="C3" authorId="0" shapeId="0" xr:uid="{9769561F-84E0-481A-8C43-E7B0D1BDC8B3}">
      <text>
        <r>
          <rPr>
            <sz val="9"/>
            <color indexed="81"/>
            <rFont val="Tahoma"/>
            <family val="2"/>
          </rPr>
          <t>=(B3-B2)/B2</t>
        </r>
      </text>
    </comment>
    <comment ref="D3" authorId="0" shapeId="0" xr:uid="{F7ED4EA7-3904-48BA-B5C6-F6980D7F27CB}">
      <text>
        <r>
          <rPr>
            <sz val="9"/>
            <color indexed="81"/>
            <rFont val="Tahoma"/>
            <family val="2"/>
          </rPr>
          <t>=(C3-avrtn)/sdrtn</t>
        </r>
      </text>
    </comment>
    <comment ref="H3" authorId="0" shapeId="0" xr:uid="{BDB6C98A-DC8E-4B18-805B-D1AC0EEF8F75}">
      <text>
        <r>
          <rPr>
            <sz val="9"/>
            <color indexed="81"/>
            <rFont val="Tahoma"/>
            <family val="2"/>
          </rPr>
          <t>=MIN(D:D)</t>
        </r>
      </text>
    </comment>
    <comment ref="H4" authorId="0" shapeId="0" xr:uid="{3810FC84-6C2B-4735-9B16-F0C14B345F6F}">
      <text>
        <r>
          <rPr>
            <sz val="9"/>
            <color indexed="81"/>
            <rFont val="Tahoma"/>
            <family val="2"/>
          </rPr>
          <t>=MAX(D:D)</t>
        </r>
      </text>
    </comment>
    <comment ref="H5" authorId="0" shapeId="0" xr:uid="{8F36EB31-0EF2-44D7-9AF7-1EEF2C76D9DF}">
      <text>
        <r>
          <rPr>
            <sz val="9"/>
            <color indexed="81"/>
            <rFont val="Tahoma"/>
            <family val="2"/>
          </rPr>
          <t>=(H4-H3)/200</t>
        </r>
      </text>
    </comment>
    <comment ref="F8" authorId="0" shapeId="0" xr:uid="{570F1173-75F8-46F2-879B-A4DCFCA2C395}">
      <text>
        <r>
          <rPr>
            <sz val="9"/>
            <color indexed="81"/>
            <rFont val="Tahoma"/>
            <family val="2"/>
          </rPr>
          <t>=H3</t>
        </r>
      </text>
    </comment>
    <comment ref="G8" authorId="0" shapeId="0" xr:uid="{06D9705F-5260-49CF-A932-F69ADC26D0AD}">
      <text>
        <r>
          <rPr>
            <sz val="9"/>
            <color indexed="81"/>
            <rFont val="Tahoma"/>
            <family val="2"/>
          </rPr>
          <t>=F8-0.5*bucketwidth</t>
        </r>
      </text>
    </comment>
    <comment ref="H8" authorId="0" shapeId="0" xr:uid="{EAC71BB0-B208-4B7B-BFFC-99D21D60DE99}">
      <text>
        <r>
          <rPr>
            <sz val="9"/>
            <color indexed="81"/>
            <rFont val="Tahoma"/>
            <family val="2"/>
          </rPr>
          <t>=FREQUENCY(D3:D12853,F8:F232)</t>
        </r>
      </text>
    </comment>
    <comment ref="I8" authorId="0" shapeId="0" xr:uid="{3FCBF290-5093-423B-B760-C43B5CB5A186}">
      <text>
        <r>
          <rPr>
            <sz val="9"/>
            <color indexed="81"/>
            <rFont val="Tahoma"/>
            <family val="2"/>
          </rPr>
          <t>=H8/datacount/bucketwidth</t>
        </r>
      </text>
    </comment>
    <comment ref="J8" authorId="0" shapeId="0" xr:uid="{6B4D6368-18AA-4C97-A42F-A3028F32375F}">
      <text>
        <r>
          <rPr>
            <sz val="9"/>
            <color indexed="81"/>
            <rFont val="Tahoma"/>
            <family val="2"/>
          </rPr>
          <t>=1/SQRT(2*PI())*EXP(-0.5*G8*G8)</t>
        </r>
      </text>
    </comment>
    <comment ref="F9" authorId="0" shapeId="0" xr:uid="{841A0E7D-00BE-4ED2-BED4-44B66AF11431}">
      <text>
        <r>
          <rPr>
            <sz val="9"/>
            <color indexed="81"/>
            <rFont val="Tahoma"/>
            <family val="2"/>
          </rPr>
          <t>=F8+bucketwidth</t>
        </r>
      </text>
    </comment>
  </commentList>
</comments>
</file>

<file path=xl/sharedStrings.xml><?xml version="1.0" encoding="utf-8"?>
<sst xmlns="http://schemas.openxmlformats.org/spreadsheetml/2006/main" count="15" uniqueCount="15">
  <si>
    <t>Date</t>
  </si>
  <si>
    <t>Adj Close</t>
  </si>
  <si>
    <t>Rtn</t>
  </si>
  <si>
    <t>Mean</t>
  </si>
  <si>
    <t>Std Dev</t>
  </si>
  <si>
    <t>Std'd</t>
  </si>
  <si>
    <t>Min</t>
  </si>
  <si>
    <t>Max</t>
  </si>
  <si>
    <t>Bucketwidth</t>
  </si>
  <si>
    <t>Bin</t>
  </si>
  <si>
    <t>Mid bucket</t>
  </si>
  <si>
    <t>Freq</t>
  </si>
  <si>
    <t>PDF</t>
  </si>
  <si>
    <t>Count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</si>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</sst>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8"/>
      <color theme="3"/>
      <name val="等线 Light"/>
      <family val="2"/>
      <scheme val="major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9C0006"/>
      <name val="等线"/>
      <family val="2"/>
      <scheme val="minor"/>
    </font>
    <font>
      <sz val="11"/>
      <color rgb="FF9C5700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i/>
      <sz val="11"/>
      <color rgb="FF7F7F7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9"/>
      <color indexed="81"/>
      <name val="Tahoma"/>
      <family val="2"/>
    </font>
    <font>
      <sz val="9"/>
      <name val="等线"/>
      <family val="3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264344341891779E-2"/>
          <c:y val="6.5851451404395342E-2"/>
          <c:w val="0.932003499562554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Empirical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Nasdaq!$G$8:$G$232</c:f>
              <c:numCache>
                <c:formatCode>General</c:formatCode>
                <c:ptCount val="225"/>
                <c:pt idx="0">
                  <c:v>-9.9467226586971922</c:v>
                </c:pt>
                <c:pt idx="1">
                  <c:v>-9.8407499952795199</c:v>
                </c:pt>
                <c:pt idx="2">
                  <c:v>-9.7347773318618476</c:v>
                </c:pt>
                <c:pt idx="3">
                  <c:v>-9.6288046684441753</c:v>
                </c:pt>
                <c:pt idx="4">
                  <c:v>-9.522832005026503</c:v>
                </c:pt>
                <c:pt idx="5">
                  <c:v>-9.4168593416088306</c:v>
                </c:pt>
                <c:pt idx="6">
                  <c:v>-9.3108866781911583</c:v>
                </c:pt>
                <c:pt idx="7">
                  <c:v>-9.204914014773486</c:v>
                </c:pt>
                <c:pt idx="8">
                  <c:v>-9.0989413513558137</c:v>
                </c:pt>
                <c:pt idx="9">
                  <c:v>-8.9929686879381414</c:v>
                </c:pt>
                <c:pt idx="10">
                  <c:v>-8.8869960245204691</c:v>
                </c:pt>
                <c:pt idx="11">
                  <c:v>-8.7810233611027968</c:v>
                </c:pt>
                <c:pt idx="12">
                  <c:v>-8.6750506976851245</c:v>
                </c:pt>
                <c:pt idx="13">
                  <c:v>-8.5690780342674522</c:v>
                </c:pt>
                <c:pt idx="14">
                  <c:v>-8.4631053708497799</c:v>
                </c:pt>
                <c:pt idx="15">
                  <c:v>-8.3571327074321076</c:v>
                </c:pt>
                <c:pt idx="16">
                  <c:v>-8.2511600440144353</c:v>
                </c:pt>
                <c:pt idx="17">
                  <c:v>-8.1451873805967629</c:v>
                </c:pt>
                <c:pt idx="18">
                  <c:v>-8.0392147171790906</c:v>
                </c:pt>
                <c:pt idx="19">
                  <c:v>-7.9332420537614192</c:v>
                </c:pt>
                <c:pt idx="20">
                  <c:v>-7.8272693903437469</c:v>
                </c:pt>
                <c:pt idx="21">
                  <c:v>-7.7212967269260746</c:v>
                </c:pt>
                <c:pt idx="22">
                  <c:v>-7.6153240635084023</c:v>
                </c:pt>
                <c:pt idx="23">
                  <c:v>-7.50935140009073</c:v>
                </c:pt>
                <c:pt idx="24">
                  <c:v>-7.4033787366730577</c:v>
                </c:pt>
                <c:pt idx="25">
                  <c:v>-7.2974060732553854</c:v>
                </c:pt>
                <c:pt idx="26">
                  <c:v>-7.1914334098377131</c:v>
                </c:pt>
                <c:pt idx="27">
                  <c:v>-7.0854607464200408</c:v>
                </c:pt>
                <c:pt idx="28">
                  <c:v>-6.9794880830023684</c:v>
                </c:pt>
                <c:pt idx="29">
                  <c:v>-6.8735154195846961</c:v>
                </c:pt>
                <c:pt idx="30">
                  <c:v>-6.7675427561670238</c:v>
                </c:pt>
                <c:pt idx="31">
                  <c:v>-6.6615700927493515</c:v>
                </c:pt>
                <c:pt idx="32">
                  <c:v>-6.5555974293316792</c:v>
                </c:pt>
                <c:pt idx="33">
                  <c:v>-6.4496247659140069</c:v>
                </c:pt>
                <c:pt idx="34">
                  <c:v>-6.3436521024963346</c:v>
                </c:pt>
                <c:pt idx="35">
                  <c:v>-6.2376794390786623</c:v>
                </c:pt>
                <c:pt idx="36">
                  <c:v>-6.13170677566099</c:v>
                </c:pt>
                <c:pt idx="37">
                  <c:v>-6.0257341122433177</c:v>
                </c:pt>
                <c:pt idx="38">
                  <c:v>-5.9197614488256454</c:v>
                </c:pt>
                <c:pt idx="39">
                  <c:v>-5.8137887854079731</c:v>
                </c:pt>
                <c:pt idx="40">
                  <c:v>-5.7078161219903008</c:v>
                </c:pt>
                <c:pt idx="41">
                  <c:v>-5.6018434585726284</c:v>
                </c:pt>
                <c:pt idx="42">
                  <c:v>-5.4958707951549561</c:v>
                </c:pt>
                <c:pt idx="43">
                  <c:v>-5.3898981317372838</c:v>
                </c:pt>
                <c:pt idx="44">
                  <c:v>-5.2839254683196115</c:v>
                </c:pt>
                <c:pt idx="45">
                  <c:v>-5.1779528049019392</c:v>
                </c:pt>
                <c:pt idx="46">
                  <c:v>-5.0719801414842669</c:v>
                </c:pt>
                <c:pt idx="47">
                  <c:v>-4.9660074780665946</c:v>
                </c:pt>
                <c:pt idx="48">
                  <c:v>-4.8600348146489223</c:v>
                </c:pt>
                <c:pt idx="49">
                  <c:v>-4.75406215123125</c:v>
                </c:pt>
                <c:pt idx="50">
                  <c:v>-4.6480894878135777</c:v>
                </c:pt>
                <c:pt idx="51">
                  <c:v>-4.5421168243959054</c:v>
                </c:pt>
                <c:pt idx="52">
                  <c:v>-4.4361441609782331</c:v>
                </c:pt>
                <c:pt idx="53">
                  <c:v>-4.3301714975605607</c:v>
                </c:pt>
                <c:pt idx="54">
                  <c:v>-4.2241988341428884</c:v>
                </c:pt>
                <c:pt idx="55">
                  <c:v>-4.1182261707252161</c:v>
                </c:pt>
                <c:pt idx="56">
                  <c:v>-4.0122535073075438</c:v>
                </c:pt>
                <c:pt idx="57">
                  <c:v>-3.9062808438898724</c:v>
                </c:pt>
                <c:pt idx="58">
                  <c:v>-3.8003081804722005</c:v>
                </c:pt>
                <c:pt idx="59">
                  <c:v>-3.6943355170545287</c:v>
                </c:pt>
                <c:pt idx="60">
                  <c:v>-3.5883628536368568</c:v>
                </c:pt>
                <c:pt idx="61">
                  <c:v>-3.4823901902191849</c:v>
                </c:pt>
                <c:pt idx="62">
                  <c:v>-3.3764175268015131</c:v>
                </c:pt>
                <c:pt idx="63">
                  <c:v>-3.2704448633838412</c:v>
                </c:pt>
                <c:pt idx="64">
                  <c:v>-3.1644721999661694</c:v>
                </c:pt>
                <c:pt idx="65">
                  <c:v>-3.0584995365484975</c:v>
                </c:pt>
                <c:pt idx="66">
                  <c:v>-2.9525268731308256</c:v>
                </c:pt>
                <c:pt idx="67">
                  <c:v>-2.8465542097131538</c:v>
                </c:pt>
                <c:pt idx="68">
                  <c:v>-2.7405815462954819</c:v>
                </c:pt>
                <c:pt idx="69">
                  <c:v>-2.63460888287781</c:v>
                </c:pt>
                <c:pt idx="70">
                  <c:v>-2.5286362194601382</c:v>
                </c:pt>
                <c:pt idx="71">
                  <c:v>-2.4226635560424663</c:v>
                </c:pt>
                <c:pt idx="72">
                  <c:v>-2.3166908926247944</c:v>
                </c:pt>
                <c:pt idx="73">
                  <c:v>-2.2107182292071226</c:v>
                </c:pt>
                <c:pt idx="74">
                  <c:v>-2.1047455657894507</c:v>
                </c:pt>
                <c:pt idx="75">
                  <c:v>-1.9987729023717786</c:v>
                </c:pt>
                <c:pt idx="76">
                  <c:v>-1.8928002389541068</c:v>
                </c:pt>
                <c:pt idx="77">
                  <c:v>-1.7868275755364349</c:v>
                </c:pt>
                <c:pt idx="78">
                  <c:v>-1.680854912118763</c:v>
                </c:pt>
                <c:pt idx="79">
                  <c:v>-1.5748822487010912</c:v>
                </c:pt>
                <c:pt idx="80">
                  <c:v>-1.4689095852834193</c:v>
                </c:pt>
                <c:pt idx="81">
                  <c:v>-1.3629369218657474</c:v>
                </c:pt>
                <c:pt idx="82">
                  <c:v>-1.2569642584480756</c:v>
                </c:pt>
                <c:pt idx="83">
                  <c:v>-1.1509915950304037</c:v>
                </c:pt>
                <c:pt idx="84">
                  <c:v>-1.0450189316127318</c:v>
                </c:pt>
                <c:pt idx="85">
                  <c:v>-0.93904626819505976</c:v>
                </c:pt>
                <c:pt idx="86">
                  <c:v>-0.83307360477738779</c:v>
                </c:pt>
                <c:pt idx="87">
                  <c:v>-0.72710094135971581</c:v>
                </c:pt>
                <c:pt idx="88">
                  <c:v>-0.62112827794204384</c:v>
                </c:pt>
                <c:pt idx="89">
                  <c:v>-0.51515561452437186</c:v>
                </c:pt>
                <c:pt idx="90">
                  <c:v>-0.40918295110669994</c:v>
                </c:pt>
                <c:pt idx="91">
                  <c:v>-0.30321028768902797</c:v>
                </c:pt>
                <c:pt idx="92">
                  <c:v>-0.19723762427135599</c:v>
                </c:pt>
                <c:pt idx="93">
                  <c:v>-9.126496085368406E-2</c:v>
                </c:pt>
                <c:pt idx="94">
                  <c:v>1.4707702563987887E-2</c:v>
                </c:pt>
                <c:pt idx="95">
                  <c:v>0.12068036598165983</c:v>
                </c:pt>
                <c:pt idx="96">
                  <c:v>0.2266530293993318</c:v>
                </c:pt>
                <c:pt idx="97">
                  <c:v>0.33262569281700377</c:v>
                </c:pt>
                <c:pt idx="98">
                  <c:v>0.43859835623467575</c:v>
                </c:pt>
                <c:pt idx="99">
                  <c:v>0.54457101965234778</c:v>
                </c:pt>
                <c:pt idx="100">
                  <c:v>0.65054368307001975</c:v>
                </c:pt>
                <c:pt idx="101">
                  <c:v>0.75651634648769173</c:v>
                </c:pt>
                <c:pt idx="102">
                  <c:v>0.8624890099053637</c:v>
                </c:pt>
                <c:pt idx="103">
                  <c:v>0.96846167332303557</c:v>
                </c:pt>
                <c:pt idx="104">
                  <c:v>1.0744343367407074</c:v>
                </c:pt>
                <c:pt idx="105">
                  <c:v>1.1804070001583793</c:v>
                </c:pt>
                <c:pt idx="106">
                  <c:v>1.2863796635760512</c:v>
                </c:pt>
                <c:pt idx="107">
                  <c:v>1.392352326993723</c:v>
                </c:pt>
                <c:pt idx="108">
                  <c:v>1.4983249904113949</c:v>
                </c:pt>
                <c:pt idx="109">
                  <c:v>1.6042976538290667</c:v>
                </c:pt>
                <c:pt idx="110">
                  <c:v>1.7102703172467386</c:v>
                </c:pt>
                <c:pt idx="111">
                  <c:v>1.8162429806644105</c:v>
                </c:pt>
                <c:pt idx="112">
                  <c:v>1.9222156440820823</c:v>
                </c:pt>
                <c:pt idx="113">
                  <c:v>2.0281883074997542</c:v>
                </c:pt>
                <c:pt idx="114">
                  <c:v>2.1341609709174261</c:v>
                </c:pt>
                <c:pt idx="115">
                  <c:v>2.2401336343350979</c:v>
                </c:pt>
                <c:pt idx="116">
                  <c:v>2.3461062977527698</c:v>
                </c:pt>
                <c:pt idx="117">
                  <c:v>2.4520789611704417</c:v>
                </c:pt>
                <c:pt idx="118">
                  <c:v>2.5580516245881135</c:v>
                </c:pt>
                <c:pt idx="119">
                  <c:v>2.6640242880057854</c:v>
                </c:pt>
                <c:pt idx="120">
                  <c:v>2.7699969514234573</c:v>
                </c:pt>
                <c:pt idx="121">
                  <c:v>2.8759696148411291</c:v>
                </c:pt>
                <c:pt idx="122">
                  <c:v>2.981942278258801</c:v>
                </c:pt>
                <c:pt idx="123">
                  <c:v>3.0879149416764728</c:v>
                </c:pt>
                <c:pt idx="124">
                  <c:v>3.1938876050941447</c:v>
                </c:pt>
                <c:pt idx="125">
                  <c:v>3.2998602685118166</c:v>
                </c:pt>
                <c:pt idx="126">
                  <c:v>3.4058329319294884</c:v>
                </c:pt>
                <c:pt idx="127">
                  <c:v>3.5118055953471603</c:v>
                </c:pt>
                <c:pt idx="128">
                  <c:v>3.6177782587648322</c:v>
                </c:pt>
                <c:pt idx="129">
                  <c:v>3.723750922182504</c:v>
                </c:pt>
                <c:pt idx="130">
                  <c:v>3.8297235856001759</c:v>
                </c:pt>
                <c:pt idx="131">
                  <c:v>3.9356962490178478</c:v>
                </c:pt>
                <c:pt idx="132">
                  <c:v>4.0416689124355196</c:v>
                </c:pt>
                <c:pt idx="133">
                  <c:v>4.1476415758531919</c:v>
                </c:pt>
                <c:pt idx="134">
                  <c:v>4.2536142392708642</c:v>
                </c:pt>
                <c:pt idx="135">
                  <c:v>4.3595869026885365</c:v>
                </c:pt>
                <c:pt idx="136">
                  <c:v>4.4655595661062089</c:v>
                </c:pt>
                <c:pt idx="137">
                  <c:v>4.5715322295238812</c:v>
                </c:pt>
                <c:pt idx="138">
                  <c:v>4.6775048929415535</c:v>
                </c:pt>
                <c:pt idx="139">
                  <c:v>4.7834775563592258</c:v>
                </c:pt>
                <c:pt idx="140">
                  <c:v>4.8894502197768981</c:v>
                </c:pt>
                <c:pt idx="141">
                  <c:v>4.9954228831945704</c:v>
                </c:pt>
                <c:pt idx="142">
                  <c:v>5.1013955466122427</c:v>
                </c:pt>
                <c:pt idx="143">
                  <c:v>5.207368210029915</c:v>
                </c:pt>
                <c:pt idx="144">
                  <c:v>5.3133408734475873</c:v>
                </c:pt>
                <c:pt idx="145">
                  <c:v>5.4193135368652596</c:v>
                </c:pt>
                <c:pt idx="146">
                  <c:v>5.5252862002829319</c:v>
                </c:pt>
                <c:pt idx="147">
                  <c:v>5.6312588637006042</c:v>
                </c:pt>
                <c:pt idx="148">
                  <c:v>5.7372315271182766</c:v>
                </c:pt>
                <c:pt idx="149">
                  <c:v>5.8432041905359489</c:v>
                </c:pt>
                <c:pt idx="150">
                  <c:v>5.9491768539536212</c:v>
                </c:pt>
                <c:pt idx="151">
                  <c:v>6.0551495173712935</c:v>
                </c:pt>
                <c:pt idx="152">
                  <c:v>6.1611221807889658</c:v>
                </c:pt>
                <c:pt idx="153">
                  <c:v>6.2670948442066381</c:v>
                </c:pt>
                <c:pt idx="154">
                  <c:v>6.3730675076243104</c:v>
                </c:pt>
                <c:pt idx="155">
                  <c:v>6.4790401710419827</c:v>
                </c:pt>
                <c:pt idx="156">
                  <c:v>6.585012834459655</c:v>
                </c:pt>
                <c:pt idx="157">
                  <c:v>6.6909854978773273</c:v>
                </c:pt>
                <c:pt idx="158">
                  <c:v>6.7969581612949996</c:v>
                </c:pt>
                <c:pt idx="159">
                  <c:v>6.9029308247126719</c:v>
                </c:pt>
                <c:pt idx="160">
                  <c:v>7.0089034881303443</c:v>
                </c:pt>
                <c:pt idx="161">
                  <c:v>7.1148761515480166</c:v>
                </c:pt>
                <c:pt idx="162">
                  <c:v>7.2208488149656889</c:v>
                </c:pt>
                <c:pt idx="163">
                  <c:v>7.3268214783833612</c:v>
                </c:pt>
                <c:pt idx="164">
                  <c:v>7.4327941418010335</c:v>
                </c:pt>
                <c:pt idx="165">
                  <c:v>7.5387668052187058</c:v>
                </c:pt>
                <c:pt idx="166">
                  <c:v>7.6447394686363781</c:v>
                </c:pt>
                <c:pt idx="167">
                  <c:v>7.7507121320540504</c:v>
                </c:pt>
                <c:pt idx="168">
                  <c:v>7.8566847954717227</c:v>
                </c:pt>
                <c:pt idx="169">
                  <c:v>7.962657458889395</c:v>
                </c:pt>
                <c:pt idx="170">
                  <c:v>8.0686301223070682</c:v>
                </c:pt>
                <c:pt idx="171">
                  <c:v>8.1746027857247405</c:v>
                </c:pt>
                <c:pt idx="172">
                  <c:v>8.2805754491424128</c:v>
                </c:pt>
                <c:pt idx="173">
                  <c:v>8.3865481125600851</c:v>
                </c:pt>
                <c:pt idx="174">
                  <c:v>8.4925207759777575</c:v>
                </c:pt>
                <c:pt idx="175">
                  <c:v>8.5984934393954298</c:v>
                </c:pt>
                <c:pt idx="176">
                  <c:v>8.7044661028131021</c:v>
                </c:pt>
                <c:pt idx="177">
                  <c:v>8.8104387662307744</c:v>
                </c:pt>
                <c:pt idx="178">
                  <c:v>8.9164114296484467</c:v>
                </c:pt>
                <c:pt idx="179">
                  <c:v>9.022384093066119</c:v>
                </c:pt>
                <c:pt idx="180">
                  <c:v>9.1283567564837913</c:v>
                </c:pt>
                <c:pt idx="181">
                  <c:v>9.2343294199014636</c:v>
                </c:pt>
                <c:pt idx="182">
                  <c:v>9.3403020833191359</c:v>
                </c:pt>
                <c:pt idx="183">
                  <c:v>9.4462747467368082</c:v>
                </c:pt>
                <c:pt idx="184">
                  <c:v>9.5522474101544805</c:v>
                </c:pt>
                <c:pt idx="185">
                  <c:v>9.6582200735721528</c:v>
                </c:pt>
                <c:pt idx="186">
                  <c:v>9.7641927369898251</c:v>
                </c:pt>
                <c:pt idx="187">
                  <c:v>9.8701654004074975</c:v>
                </c:pt>
                <c:pt idx="188">
                  <c:v>9.9761380638251698</c:v>
                </c:pt>
                <c:pt idx="189">
                  <c:v>10.082110727242842</c:v>
                </c:pt>
                <c:pt idx="190">
                  <c:v>10.188083390660514</c:v>
                </c:pt>
                <c:pt idx="191">
                  <c:v>10.294056054078187</c:v>
                </c:pt>
                <c:pt idx="192">
                  <c:v>10.400028717495859</c:v>
                </c:pt>
                <c:pt idx="193">
                  <c:v>10.506001380913531</c:v>
                </c:pt>
                <c:pt idx="194">
                  <c:v>10.611974044331204</c:v>
                </c:pt>
                <c:pt idx="195">
                  <c:v>10.717946707748876</c:v>
                </c:pt>
                <c:pt idx="196">
                  <c:v>10.823919371166548</c:v>
                </c:pt>
                <c:pt idx="197">
                  <c:v>10.929892034584221</c:v>
                </c:pt>
                <c:pt idx="198">
                  <c:v>11.035864698001893</c:v>
                </c:pt>
                <c:pt idx="199">
                  <c:v>11.141837361419565</c:v>
                </c:pt>
                <c:pt idx="200">
                  <c:v>11.247810024837237</c:v>
                </c:pt>
                <c:pt idx="201">
                  <c:v>11.35378268825491</c:v>
                </c:pt>
                <c:pt idx="202">
                  <c:v>11.459755351672582</c:v>
                </c:pt>
                <c:pt idx="203">
                  <c:v>11.565728015090254</c:v>
                </c:pt>
                <c:pt idx="204">
                  <c:v>11.671700678507927</c:v>
                </c:pt>
                <c:pt idx="205">
                  <c:v>11.777673341925599</c:v>
                </c:pt>
                <c:pt idx="206">
                  <c:v>11.883646005343271</c:v>
                </c:pt>
                <c:pt idx="207">
                  <c:v>11.989618668760944</c:v>
                </c:pt>
                <c:pt idx="208">
                  <c:v>12.095591332178616</c:v>
                </c:pt>
                <c:pt idx="209">
                  <c:v>12.201563995596288</c:v>
                </c:pt>
                <c:pt idx="210">
                  <c:v>12.307536659013961</c:v>
                </c:pt>
                <c:pt idx="211">
                  <c:v>12.413509322431633</c:v>
                </c:pt>
                <c:pt idx="212">
                  <c:v>12.519481985849305</c:v>
                </c:pt>
                <c:pt idx="213">
                  <c:v>12.625454649266977</c:v>
                </c:pt>
                <c:pt idx="214">
                  <c:v>12.73142731268465</c:v>
                </c:pt>
                <c:pt idx="215">
                  <c:v>12.837399976102322</c:v>
                </c:pt>
                <c:pt idx="216">
                  <c:v>12.943372639519994</c:v>
                </c:pt>
                <c:pt idx="217">
                  <c:v>13.049345302937667</c:v>
                </c:pt>
                <c:pt idx="218">
                  <c:v>13.155317966355339</c:v>
                </c:pt>
                <c:pt idx="219">
                  <c:v>13.261290629773011</c:v>
                </c:pt>
                <c:pt idx="220">
                  <c:v>13.367263293190684</c:v>
                </c:pt>
                <c:pt idx="221">
                  <c:v>13.473235956608356</c:v>
                </c:pt>
                <c:pt idx="222">
                  <c:v>13.579208620026028</c:v>
                </c:pt>
                <c:pt idx="223">
                  <c:v>13.685181283443701</c:v>
                </c:pt>
                <c:pt idx="224">
                  <c:v>13.791153946861373</c:v>
                </c:pt>
              </c:numCache>
            </c:numRef>
          </c:xVal>
          <c:yVal>
            <c:numRef>
              <c:f>Nasdaq!$I$8:$I$232</c:f>
              <c:numCache>
                <c:formatCode>General</c:formatCode>
                <c:ptCount val="225"/>
                <c:pt idx="0">
                  <c:v>7.3429272724661416E-4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7.3429272724661416E-4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7.3429272724661416E-4</c:v>
                </c:pt>
                <c:pt idx="22">
                  <c:v>7.3429272724661416E-4</c:v>
                </c:pt>
                <c:pt idx="23">
                  <c:v>0</c:v>
                </c:pt>
                <c:pt idx="24">
                  <c:v>7.3429272724661416E-4</c:v>
                </c:pt>
                <c:pt idx="25">
                  <c:v>7.3429272724661416E-4</c:v>
                </c:pt>
                <c:pt idx="26">
                  <c:v>1.4685854544932283E-3</c:v>
                </c:pt>
                <c:pt idx="27">
                  <c:v>0</c:v>
                </c:pt>
                <c:pt idx="28">
                  <c:v>0</c:v>
                </c:pt>
                <c:pt idx="29">
                  <c:v>7.3429272724661416E-4</c:v>
                </c:pt>
                <c:pt idx="30">
                  <c:v>7.3429272724661416E-4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7.3429272724661416E-4</c:v>
                </c:pt>
                <c:pt idx="37">
                  <c:v>0</c:v>
                </c:pt>
                <c:pt idx="38">
                  <c:v>7.3429272724661416E-4</c:v>
                </c:pt>
                <c:pt idx="39">
                  <c:v>1.4685854544932283E-3</c:v>
                </c:pt>
                <c:pt idx="40">
                  <c:v>1.4685854544932283E-3</c:v>
                </c:pt>
                <c:pt idx="41">
                  <c:v>7.3429272724661416E-4</c:v>
                </c:pt>
                <c:pt idx="42">
                  <c:v>7.3429272724661416E-4</c:v>
                </c:pt>
                <c:pt idx="43">
                  <c:v>0</c:v>
                </c:pt>
                <c:pt idx="44">
                  <c:v>7.3429272724661416E-4</c:v>
                </c:pt>
                <c:pt idx="45">
                  <c:v>0</c:v>
                </c:pt>
                <c:pt idx="46">
                  <c:v>7.3429272724661416E-4</c:v>
                </c:pt>
                <c:pt idx="47">
                  <c:v>2.2028781817398425E-3</c:v>
                </c:pt>
                <c:pt idx="48">
                  <c:v>7.3429272724661416E-4</c:v>
                </c:pt>
                <c:pt idx="49">
                  <c:v>7.3429272724661416E-4</c:v>
                </c:pt>
                <c:pt idx="50">
                  <c:v>2.2028781817398425E-3</c:v>
                </c:pt>
                <c:pt idx="51">
                  <c:v>1.4685854544932283E-3</c:v>
                </c:pt>
                <c:pt idx="52">
                  <c:v>2.9371709089864566E-3</c:v>
                </c:pt>
                <c:pt idx="53">
                  <c:v>2.2028781817398425E-3</c:v>
                </c:pt>
                <c:pt idx="54">
                  <c:v>1.4685854544932283E-3</c:v>
                </c:pt>
                <c:pt idx="55">
                  <c:v>2.9371709089864566E-3</c:v>
                </c:pt>
                <c:pt idx="56">
                  <c:v>3.6714636362330712E-3</c:v>
                </c:pt>
                <c:pt idx="57">
                  <c:v>2.9371709089864566E-3</c:v>
                </c:pt>
                <c:pt idx="58">
                  <c:v>2.9371709089864566E-3</c:v>
                </c:pt>
                <c:pt idx="59">
                  <c:v>2.2028781817398425E-3</c:v>
                </c:pt>
                <c:pt idx="60">
                  <c:v>5.8743418179729133E-3</c:v>
                </c:pt>
                <c:pt idx="61">
                  <c:v>4.405756363479685E-3</c:v>
                </c:pt>
                <c:pt idx="62">
                  <c:v>8.0772199997127571E-3</c:v>
                </c:pt>
                <c:pt idx="63">
                  <c:v>8.0772199997127571E-3</c:v>
                </c:pt>
                <c:pt idx="64">
                  <c:v>1.2482976363192443E-2</c:v>
                </c:pt>
                <c:pt idx="65">
                  <c:v>1.0280098181452601E-2</c:v>
                </c:pt>
                <c:pt idx="66">
                  <c:v>1.1748683635945827E-2</c:v>
                </c:pt>
                <c:pt idx="67">
                  <c:v>8.8115127269593699E-3</c:v>
                </c:pt>
                <c:pt idx="68">
                  <c:v>1.3217269090439056E-2</c:v>
                </c:pt>
                <c:pt idx="69">
                  <c:v>1.8357318181165354E-2</c:v>
                </c:pt>
                <c:pt idx="70">
                  <c:v>1.5420147272178898E-2</c:v>
                </c:pt>
                <c:pt idx="71">
                  <c:v>3.1574587271604414E-2</c:v>
                </c:pt>
                <c:pt idx="72">
                  <c:v>2.3497367271891653E-2</c:v>
                </c:pt>
                <c:pt idx="73">
                  <c:v>2.6434538180878112E-2</c:v>
                </c:pt>
                <c:pt idx="74">
                  <c:v>3.3777465453344251E-2</c:v>
                </c:pt>
                <c:pt idx="75">
                  <c:v>4.1854685453057011E-2</c:v>
                </c:pt>
                <c:pt idx="76">
                  <c:v>4.1120392725810404E-2</c:v>
                </c:pt>
                <c:pt idx="77">
                  <c:v>4.7729027271029921E-2</c:v>
                </c:pt>
                <c:pt idx="78">
                  <c:v>6.0946296361468977E-2</c:v>
                </c:pt>
                <c:pt idx="79">
                  <c:v>6.0946296361468977E-2</c:v>
                </c:pt>
                <c:pt idx="80">
                  <c:v>5.9477710906975755E-2</c:v>
                </c:pt>
                <c:pt idx="81">
                  <c:v>7.8569321815387713E-2</c:v>
                </c:pt>
                <c:pt idx="82">
                  <c:v>0.11454966545047182</c:v>
                </c:pt>
                <c:pt idx="83">
                  <c:v>0.10647244545075907</c:v>
                </c:pt>
                <c:pt idx="84">
                  <c:v>0.11675254363221166</c:v>
                </c:pt>
                <c:pt idx="85">
                  <c:v>0.15273288726729575</c:v>
                </c:pt>
                <c:pt idx="86">
                  <c:v>0.15934152181251529</c:v>
                </c:pt>
                <c:pt idx="87">
                  <c:v>0.23864513635514961</c:v>
                </c:pt>
                <c:pt idx="88">
                  <c:v>0.25773674726356155</c:v>
                </c:pt>
                <c:pt idx="89">
                  <c:v>0.32382309271575688</c:v>
                </c:pt>
                <c:pt idx="90">
                  <c:v>0.35760055816910113</c:v>
                </c:pt>
                <c:pt idx="91">
                  <c:v>0.50225622543668413</c:v>
                </c:pt>
                <c:pt idx="92">
                  <c:v>0.53162793452654866</c:v>
                </c:pt>
                <c:pt idx="93">
                  <c:v>0.60799437816019664</c:v>
                </c:pt>
                <c:pt idx="94">
                  <c:v>0.70932677452022941</c:v>
                </c:pt>
                <c:pt idx="95">
                  <c:v>0.68582940724833763</c:v>
                </c:pt>
                <c:pt idx="96">
                  <c:v>0.64030325815904754</c:v>
                </c:pt>
                <c:pt idx="97">
                  <c:v>0.59037135270627783</c:v>
                </c:pt>
                <c:pt idx="98">
                  <c:v>0.49638188361871122</c:v>
                </c:pt>
                <c:pt idx="99">
                  <c:v>0.43323270907550243</c:v>
                </c:pt>
                <c:pt idx="100">
                  <c:v>0.33924323998793576</c:v>
                </c:pt>
                <c:pt idx="101">
                  <c:v>0.24305089271862931</c:v>
                </c:pt>
                <c:pt idx="102">
                  <c:v>0.19018181635687309</c:v>
                </c:pt>
                <c:pt idx="103">
                  <c:v>0.16227869272150175</c:v>
                </c:pt>
                <c:pt idx="104">
                  <c:v>0.12042400726844474</c:v>
                </c:pt>
                <c:pt idx="105">
                  <c:v>0.1086753236324989</c:v>
                </c:pt>
                <c:pt idx="106">
                  <c:v>8.2975078178867415E-2</c:v>
                </c:pt>
                <c:pt idx="107">
                  <c:v>6.7554930906688501E-2</c:v>
                </c:pt>
                <c:pt idx="108">
                  <c:v>6.2414881815962206E-2</c:v>
                </c:pt>
                <c:pt idx="109">
                  <c:v>5.1400490907262994E-2</c:v>
                </c:pt>
                <c:pt idx="110">
                  <c:v>4.1120392725810404E-2</c:v>
                </c:pt>
                <c:pt idx="111">
                  <c:v>3.4511758180590872E-2</c:v>
                </c:pt>
                <c:pt idx="112">
                  <c:v>2.937170908986457E-2</c:v>
                </c:pt>
                <c:pt idx="113">
                  <c:v>3.0106001817111185E-2</c:v>
                </c:pt>
                <c:pt idx="114">
                  <c:v>1.6154439999425514E-2</c:v>
                </c:pt>
                <c:pt idx="115">
                  <c:v>1.4685854544932285E-2</c:v>
                </c:pt>
                <c:pt idx="116">
                  <c:v>1.762302545391874E-2</c:v>
                </c:pt>
                <c:pt idx="117">
                  <c:v>1.3951561817685672E-2</c:v>
                </c:pt>
                <c:pt idx="118">
                  <c:v>1.1748683635945827E-2</c:v>
                </c:pt>
                <c:pt idx="119">
                  <c:v>1.2482976363192443E-2</c:v>
                </c:pt>
                <c:pt idx="120">
                  <c:v>9.5458054542059845E-3</c:v>
                </c:pt>
                <c:pt idx="121">
                  <c:v>9.5458054542059845E-3</c:v>
                </c:pt>
                <c:pt idx="122">
                  <c:v>4.405756363479685E-3</c:v>
                </c:pt>
                <c:pt idx="123">
                  <c:v>6.6086345452195279E-3</c:v>
                </c:pt>
                <c:pt idx="124">
                  <c:v>3.6714636362330712E-3</c:v>
                </c:pt>
                <c:pt idx="125">
                  <c:v>6.6086345452195279E-3</c:v>
                </c:pt>
                <c:pt idx="126">
                  <c:v>4.405756363479685E-3</c:v>
                </c:pt>
                <c:pt idx="127">
                  <c:v>2.9371709089864566E-3</c:v>
                </c:pt>
                <c:pt idx="128">
                  <c:v>5.1400490907263004E-3</c:v>
                </c:pt>
                <c:pt idx="129">
                  <c:v>1.4685854544932283E-3</c:v>
                </c:pt>
                <c:pt idx="130">
                  <c:v>2.9371709089864566E-3</c:v>
                </c:pt>
                <c:pt idx="131">
                  <c:v>2.9371709089864566E-3</c:v>
                </c:pt>
                <c:pt idx="132">
                  <c:v>2.2028781817398425E-3</c:v>
                </c:pt>
                <c:pt idx="133">
                  <c:v>4.405756363479685E-3</c:v>
                </c:pt>
                <c:pt idx="134">
                  <c:v>2.9371709089864566E-3</c:v>
                </c:pt>
                <c:pt idx="135">
                  <c:v>1.4685854544932283E-3</c:v>
                </c:pt>
                <c:pt idx="136">
                  <c:v>1.4685854544932283E-3</c:v>
                </c:pt>
                <c:pt idx="137">
                  <c:v>1.4685854544932283E-3</c:v>
                </c:pt>
                <c:pt idx="138">
                  <c:v>1.4685854544932283E-3</c:v>
                </c:pt>
                <c:pt idx="139">
                  <c:v>2.2028781817398425E-3</c:v>
                </c:pt>
                <c:pt idx="140">
                  <c:v>0</c:v>
                </c:pt>
                <c:pt idx="141">
                  <c:v>1.4685854544932283E-3</c:v>
                </c:pt>
                <c:pt idx="142">
                  <c:v>7.3429272724661416E-4</c:v>
                </c:pt>
                <c:pt idx="143">
                  <c:v>2.2028781817398425E-3</c:v>
                </c:pt>
                <c:pt idx="144">
                  <c:v>0</c:v>
                </c:pt>
                <c:pt idx="145">
                  <c:v>7.3429272724661416E-4</c:v>
                </c:pt>
                <c:pt idx="146">
                  <c:v>0</c:v>
                </c:pt>
                <c:pt idx="147">
                  <c:v>7.3429272724661416E-4</c:v>
                </c:pt>
                <c:pt idx="148">
                  <c:v>7.3429272724661416E-4</c:v>
                </c:pt>
                <c:pt idx="149">
                  <c:v>1.4685854544932283E-3</c:v>
                </c:pt>
                <c:pt idx="150">
                  <c:v>0</c:v>
                </c:pt>
                <c:pt idx="151">
                  <c:v>7.3429272724661416E-4</c:v>
                </c:pt>
                <c:pt idx="152">
                  <c:v>1.4685854544932283E-3</c:v>
                </c:pt>
                <c:pt idx="153">
                  <c:v>1.4685854544932283E-3</c:v>
                </c:pt>
                <c:pt idx="154">
                  <c:v>0</c:v>
                </c:pt>
                <c:pt idx="155">
                  <c:v>1.4685854544932283E-3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7.3429272724661416E-4</c:v>
                </c:pt>
                <c:pt idx="162">
                  <c:v>0</c:v>
                </c:pt>
                <c:pt idx="163">
                  <c:v>0</c:v>
                </c:pt>
                <c:pt idx="164">
                  <c:v>7.3429272724661416E-4</c:v>
                </c:pt>
                <c:pt idx="165">
                  <c:v>7.3429272724661416E-4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7.3429272724661416E-4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7.3429272724661416E-4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7.3429272724661416E-4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E4-4CD8-840B-E5B16495B575}"/>
            </c:ext>
          </c:extLst>
        </c:ser>
        <c:ser>
          <c:idx val="1"/>
          <c:order val="1"/>
          <c:tx>
            <c:v>Normal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Nasdaq!$G$8:$G$232</c:f>
              <c:numCache>
                <c:formatCode>General</c:formatCode>
                <c:ptCount val="225"/>
                <c:pt idx="0">
                  <c:v>-9.9467226586971922</c:v>
                </c:pt>
                <c:pt idx="1">
                  <c:v>-9.8407499952795199</c:v>
                </c:pt>
                <c:pt idx="2">
                  <c:v>-9.7347773318618476</c:v>
                </c:pt>
                <c:pt idx="3">
                  <c:v>-9.6288046684441753</c:v>
                </c:pt>
                <c:pt idx="4">
                  <c:v>-9.522832005026503</c:v>
                </c:pt>
                <c:pt idx="5">
                  <c:v>-9.4168593416088306</c:v>
                </c:pt>
                <c:pt idx="6">
                  <c:v>-9.3108866781911583</c:v>
                </c:pt>
                <c:pt idx="7">
                  <c:v>-9.204914014773486</c:v>
                </c:pt>
                <c:pt idx="8">
                  <c:v>-9.0989413513558137</c:v>
                </c:pt>
                <c:pt idx="9">
                  <c:v>-8.9929686879381414</c:v>
                </c:pt>
                <c:pt idx="10">
                  <c:v>-8.8869960245204691</c:v>
                </c:pt>
                <c:pt idx="11">
                  <c:v>-8.7810233611027968</c:v>
                </c:pt>
                <c:pt idx="12">
                  <c:v>-8.6750506976851245</c:v>
                </c:pt>
                <c:pt idx="13">
                  <c:v>-8.5690780342674522</c:v>
                </c:pt>
                <c:pt idx="14">
                  <c:v>-8.4631053708497799</c:v>
                </c:pt>
                <c:pt idx="15">
                  <c:v>-8.3571327074321076</c:v>
                </c:pt>
                <c:pt idx="16">
                  <c:v>-8.2511600440144353</c:v>
                </c:pt>
                <c:pt idx="17">
                  <c:v>-8.1451873805967629</c:v>
                </c:pt>
                <c:pt idx="18">
                  <c:v>-8.0392147171790906</c:v>
                </c:pt>
                <c:pt idx="19">
                  <c:v>-7.9332420537614192</c:v>
                </c:pt>
                <c:pt idx="20">
                  <c:v>-7.8272693903437469</c:v>
                </c:pt>
                <c:pt idx="21">
                  <c:v>-7.7212967269260746</c:v>
                </c:pt>
                <c:pt idx="22">
                  <c:v>-7.6153240635084023</c:v>
                </c:pt>
                <c:pt idx="23">
                  <c:v>-7.50935140009073</c:v>
                </c:pt>
                <c:pt idx="24">
                  <c:v>-7.4033787366730577</c:v>
                </c:pt>
                <c:pt idx="25">
                  <c:v>-7.2974060732553854</c:v>
                </c:pt>
                <c:pt idx="26">
                  <c:v>-7.1914334098377131</c:v>
                </c:pt>
                <c:pt idx="27">
                  <c:v>-7.0854607464200408</c:v>
                </c:pt>
                <c:pt idx="28">
                  <c:v>-6.9794880830023684</c:v>
                </c:pt>
                <c:pt idx="29">
                  <c:v>-6.8735154195846961</c:v>
                </c:pt>
                <c:pt idx="30">
                  <c:v>-6.7675427561670238</c:v>
                </c:pt>
                <c:pt idx="31">
                  <c:v>-6.6615700927493515</c:v>
                </c:pt>
                <c:pt idx="32">
                  <c:v>-6.5555974293316792</c:v>
                </c:pt>
                <c:pt idx="33">
                  <c:v>-6.4496247659140069</c:v>
                </c:pt>
                <c:pt idx="34">
                  <c:v>-6.3436521024963346</c:v>
                </c:pt>
                <c:pt idx="35">
                  <c:v>-6.2376794390786623</c:v>
                </c:pt>
                <c:pt idx="36">
                  <c:v>-6.13170677566099</c:v>
                </c:pt>
                <c:pt idx="37">
                  <c:v>-6.0257341122433177</c:v>
                </c:pt>
                <c:pt idx="38">
                  <c:v>-5.9197614488256454</c:v>
                </c:pt>
                <c:pt idx="39">
                  <c:v>-5.8137887854079731</c:v>
                </c:pt>
                <c:pt idx="40">
                  <c:v>-5.7078161219903008</c:v>
                </c:pt>
                <c:pt idx="41">
                  <c:v>-5.6018434585726284</c:v>
                </c:pt>
                <c:pt idx="42">
                  <c:v>-5.4958707951549561</c:v>
                </c:pt>
                <c:pt idx="43">
                  <c:v>-5.3898981317372838</c:v>
                </c:pt>
                <c:pt idx="44">
                  <c:v>-5.2839254683196115</c:v>
                </c:pt>
                <c:pt idx="45">
                  <c:v>-5.1779528049019392</c:v>
                </c:pt>
                <c:pt idx="46">
                  <c:v>-5.0719801414842669</c:v>
                </c:pt>
                <c:pt idx="47">
                  <c:v>-4.9660074780665946</c:v>
                </c:pt>
                <c:pt idx="48">
                  <c:v>-4.8600348146489223</c:v>
                </c:pt>
                <c:pt idx="49">
                  <c:v>-4.75406215123125</c:v>
                </c:pt>
                <c:pt idx="50">
                  <c:v>-4.6480894878135777</c:v>
                </c:pt>
                <c:pt idx="51">
                  <c:v>-4.5421168243959054</c:v>
                </c:pt>
                <c:pt idx="52">
                  <c:v>-4.4361441609782331</c:v>
                </c:pt>
                <c:pt idx="53">
                  <c:v>-4.3301714975605607</c:v>
                </c:pt>
                <c:pt idx="54">
                  <c:v>-4.2241988341428884</c:v>
                </c:pt>
                <c:pt idx="55">
                  <c:v>-4.1182261707252161</c:v>
                </c:pt>
                <c:pt idx="56">
                  <c:v>-4.0122535073075438</c:v>
                </c:pt>
                <c:pt idx="57">
                  <c:v>-3.9062808438898724</c:v>
                </c:pt>
                <c:pt idx="58">
                  <c:v>-3.8003081804722005</c:v>
                </c:pt>
                <c:pt idx="59">
                  <c:v>-3.6943355170545287</c:v>
                </c:pt>
                <c:pt idx="60">
                  <c:v>-3.5883628536368568</c:v>
                </c:pt>
                <c:pt idx="61">
                  <c:v>-3.4823901902191849</c:v>
                </c:pt>
                <c:pt idx="62">
                  <c:v>-3.3764175268015131</c:v>
                </c:pt>
                <c:pt idx="63">
                  <c:v>-3.2704448633838412</c:v>
                </c:pt>
                <c:pt idx="64">
                  <c:v>-3.1644721999661694</c:v>
                </c:pt>
                <c:pt idx="65">
                  <c:v>-3.0584995365484975</c:v>
                </c:pt>
                <c:pt idx="66">
                  <c:v>-2.9525268731308256</c:v>
                </c:pt>
                <c:pt idx="67">
                  <c:v>-2.8465542097131538</c:v>
                </c:pt>
                <c:pt idx="68">
                  <c:v>-2.7405815462954819</c:v>
                </c:pt>
                <c:pt idx="69">
                  <c:v>-2.63460888287781</c:v>
                </c:pt>
                <c:pt idx="70">
                  <c:v>-2.5286362194601382</c:v>
                </c:pt>
                <c:pt idx="71">
                  <c:v>-2.4226635560424663</c:v>
                </c:pt>
                <c:pt idx="72">
                  <c:v>-2.3166908926247944</c:v>
                </c:pt>
                <c:pt idx="73">
                  <c:v>-2.2107182292071226</c:v>
                </c:pt>
                <c:pt idx="74">
                  <c:v>-2.1047455657894507</c:v>
                </c:pt>
                <c:pt idx="75">
                  <c:v>-1.9987729023717786</c:v>
                </c:pt>
                <c:pt idx="76">
                  <c:v>-1.8928002389541068</c:v>
                </c:pt>
                <c:pt idx="77">
                  <c:v>-1.7868275755364349</c:v>
                </c:pt>
                <c:pt idx="78">
                  <c:v>-1.680854912118763</c:v>
                </c:pt>
                <c:pt idx="79">
                  <c:v>-1.5748822487010912</c:v>
                </c:pt>
                <c:pt idx="80">
                  <c:v>-1.4689095852834193</c:v>
                </c:pt>
                <c:pt idx="81">
                  <c:v>-1.3629369218657474</c:v>
                </c:pt>
                <c:pt idx="82">
                  <c:v>-1.2569642584480756</c:v>
                </c:pt>
                <c:pt idx="83">
                  <c:v>-1.1509915950304037</c:v>
                </c:pt>
                <c:pt idx="84">
                  <c:v>-1.0450189316127318</c:v>
                </c:pt>
                <c:pt idx="85">
                  <c:v>-0.93904626819505976</c:v>
                </c:pt>
                <c:pt idx="86">
                  <c:v>-0.83307360477738779</c:v>
                </c:pt>
                <c:pt idx="87">
                  <c:v>-0.72710094135971581</c:v>
                </c:pt>
                <c:pt idx="88">
                  <c:v>-0.62112827794204384</c:v>
                </c:pt>
                <c:pt idx="89">
                  <c:v>-0.51515561452437186</c:v>
                </c:pt>
                <c:pt idx="90">
                  <c:v>-0.40918295110669994</c:v>
                </c:pt>
                <c:pt idx="91">
                  <c:v>-0.30321028768902797</c:v>
                </c:pt>
                <c:pt idx="92">
                  <c:v>-0.19723762427135599</c:v>
                </c:pt>
                <c:pt idx="93">
                  <c:v>-9.126496085368406E-2</c:v>
                </c:pt>
                <c:pt idx="94">
                  <c:v>1.4707702563987887E-2</c:v>
                </c:pt>
                <c:pt idx="95">
                  <c:v>0.12068036598165983</c:v>
                </c:pt>
                <c:pt idx="96">
                  <c:v>0.2266530293993318</c:v>
                </c:pt>
                <c:pt idx="97">
                  <c:v>0.33262569281700377</c:v>
                </c:pt>
                <c:pt idx="98">
                  <c:v>0.43859835623467575</c:v>
                </c:pt>
                <c:pt idx="99">
                  <c:v>0.54457101965234778</c:v>
                </c:pt>
                <c:pt idx="100">
                  <c:v>0.65054368307001975</c:v>
                </c:pt>
                <c:pt idx="101">
                  <c:v>0.75651634648769173</c:v>
                </c:pt>
                <c:pt idx="102">
                  <c:v>0.8624890099053637</c:v>
                </c:pt>
                <c:pt idx="103">
                  <c:v>0.96846167332303557</c:v>
                </c:pt>
                <c:pt idx="104">
                  <c:v>1.0744343367407074</c:v>
                </c:pt>
                <c:pt idx="105">
                  <c:v>1.1804070001583793</c:v>
                </c:pt>
                <c:pt idx="106">
                  <c:v>1.2863796635760512</c:v>
                </c:pt>
                <c:pt idx="107">
                  <c:v>1.392352326993723</c:v>
                </c:pt>
                <c:pt idx="108">
                  <c:v>1.4983249904113949</c:v>
                </c:pt>
                <c:pt idx="109">
                  <c:v>1.6042976538290667</c:v>
                </c:pt>
                <c:pt idx="110">
                  <c:v>1.7102703172467386</c:v>
                </c:pt>
                <c:pt idx="111">
                  <c:v>1.8162429806644105</c:v>
                </c:pt>
                <c:pt idx="112">
                  <c:v>1.9222156440820823</c:v>
                </c:pt>
                <c:pt idx="113">
                  <c:v>2.0281883074997542</c:v>
                </c:pt>
                <c:pt idx="114">
                  <c:v>2.1341609709174261</c:v>
                </c:pt>
                <c:pt idx="115">
                  <c:v>2.2401336343350979</c:v>
                </c:pt>
                <c:pt idx="116">
                  <c:v>2.3461062977527698</c:v>
                </c:pt>
                <c:pt idx="117">
                  <c:v>2.4520789611704417</c:v>
                </c:pt>
                <c:pt idx="118">
                  <c:v>2.5580516245881135</c:v>
                </c:pt>
                <c:pt idx="119">
                  <c:v>2.6640242880057854</c:v>
                </c:pt>
                <c:pt idx="120">
                  <c:v>2.7699969514234573</c:v>
                </c:pt>
                <c:pt idx="121">
                  <c:v>2.8759696148411291</c:v>
                </c:pt>
                <c:pt idx="122">
                  <c:v>2.981942278258801</c:v>
                </c:pt>
                <c:pt idx="123">
                  <c:v>3.0879149416764728</c:v>
                </c:pt>
                <c:pt idx="124">
                  <c:v>3.1938876050941447</c:v>
                </c:pt>
                <c:pt idx="125">
                  <c:v>3.2998602685118166</c:v>
                </c:pt>
                <c:pt idx="126">
                  <c:v>3.4058329319294884</c:v>
                </c:pt>
                <c:pt idx="127">
                  <c:v>3.5118055953471603</c:v>
                </c:pt>
                <c:pt idx="128">
                  <c:v>3.6177782587648322</c:v>
                </c:pt>
                <c:pt idx="129">
                  <c:v>3.723750922182504</c:v>
                </c:pt>
                <c:pt idx="130">
                  <c:v>3.8297235856001759</c:v>
                </c:pt>
                <c:pt idx="131">
                  <c:v>3.9356962490178478</c:v>
                </c:pt>
                <c:pt idx="132">
                  <c:v>4.0416689124355196</c:v>
                </c:pt>
                <c:pt idx="133">
                  <c:v>4.1476415758531919</c:v>
                </c:pt>
                <c:pt idx="134">
                  <c:v>4.2536142392708642</c:v>
                </c:pt>
                <c:pt idx="135">
                  <c:v>4.3595869026885365</c:v>
                </c:pt>
                <c:pt idx="136">
                  <c:v>4.4655595661062089</c:v>
                </c:pt>
                <c:pt idx="137">
                  <c:v>4.5715322295238812</c:v>
                </c:pt>
                <c:pt idx="138">
                  <c:v>4.6775048929415535</c:v>
                </c:pt>
                <c:pt idx="139">
                  <c:v>4.7834775563592258</c:v>
                </c:pt>
                <c:pt idx="140">
                  <c:v>4.8894502197768981</c:v>
                </c:pt>
                <c:pt idx="141">
                  <c:v>4.9954228831945704</c:v>
                </c:pt>
                <c:pt idx="142">
                  <c:v>5.1013955466122427</c:v>
                </c:pt>
                <c:pt idx="143">
                  <c:v>5.207368210029915</c:v>
                </c:pt>
                <c:pt idx="144">
                  <c:v>5.3133408734475873</c:v>
                </c:pt>
                <c:pt idx="145">
                  <c:v>5.4193135368652596</c:v>
                </c:pt>
                <c:pt idx="146">
                  <c:v>5.5252862002829319</c:v>
                </c:pt>
                <c:pt idx="147">
                  <c:v>5.6312588637006042</c:v>
                </c:pt>
                <c:pt idx="148">
                  <c:v>5.7372315271182766</c:v>
                </c:pt>
                <c:pt idx="149">
                  <c:v>5.8432041905359489</c:v>
                </c:pt>
                <c:pt idx="150">
                  <c:v>5.9491768539536212</c:v>
                </c:pt>
                <c:pt idx="151">
                  <c:v>6.0551495173712935</c:v>
                </c:pt>
                <c:pt idx="152">
                  <c:v>6.1611221807889658</c:v>
                </c:pt>
                <c:pt idx="153">
                  <c:v>6.2670948442066381</c:v>
                </c:pt>
                <c:pt idx="154">
                  <c:v>6.3730675076243104</c:v>
                </c:pt>
                <c:pt idx="155">
                  <c:v>6.4790401710419827</c:v>
                </c:pt>
                <c:pt idx="156">
                  <c:v>6.585012834459655</c:v>
                </c:pt>
                <c:pt idx="157">
                  <c:v>6.6909854978773273</c:v>
                </c:pt>
                <c:pt idx="158">
                  <c:v>6.7969581612949996</c:v>
                </c:pt>
                <c:pt idx="159">
                  <c:v>6.9029308247126719</c:v>
                </c:pt>
                <c:pt idx="160">
                  <c:v>7.0089034881303443</c:v>
                </c:pt>
                <c:pt idx="161">
                  <c:v>7.1148761515480166</c:v>
                </c:pt>
                <c:pt idx="162">
                  <c:v>7.2208488149656889</c:v>
                </c:pt>
                <c:pt idx="163">
                  <c:v>7.3268214783833612</c:v>
                </c:pt>
                <c:pt idx="164">
                  <c:v>7.4327941418010335</c:v>
                </c:pt>
                <c:pt idx="165">
                  <c:v>7.5387668052187058</c:v>
                </c:pt>
                <c:pt idx="166">
                  <c:v>7.6447394686363781</c:v>
                </c:pt>
                <c:pt idx="167">
                  <c:v>7.7507121320540504</c:v>
                </c:pt>
                <c:pt idx="168">
                  <c:v>7.8566847954717227</c:v>
                </c:pt>
                <c:pt idx="169">
                  <c:v>7.962657458889395</c:v>
                </c:pt>
                <c:pt idx="170">
                  <c:v>8.0686301223070682</c:v>
                </c:pt>
                <c:pt idx="171">
                  <c:v>8.1746027857247405</c:v>
                </c:pt>
                <c:pt idx="172">
                  <c:v>8.2805754491424128</c:v>
                </c:pt>
                <c:pt idx="173">
                  <c:v>8.3865481125600851</c:v>
                </c:pt>
                <c:pt idx="174">
                  <c:v>8.4925207759777575</c:v>
                </c:pt>
                <c:pt idx="175">
                  <c:v>8.5984934393954298</c:v>
                </c:pt>
                <c:pt idx="176">
                  <c:v>8.7044661028131021</c:v>
                </c:pt>
                <c:pt idx="177">
                  <c:v>8.8104387662307744</c:v>
                </c:pt>
                <c:pt idx="178">
                  <c:v>8.9164114296484467</c:v>
                </c:pt>
                <c:pt idx="179">
                  <c:v>9.022384093066119</c:v>
                </c:pt>
                <c:pt idx="180">
                  <c:v>9.1283567564837913</c:v>
                </c:pt>
                <c:pt idx="181">
                  <c:v>9.2343294199014636</c:v>
                </c:pt>
                <c:pt idx="182">
                  <c:v>9.3403020833191359</c:v>
                </c:pt>
                <c:pt idx="183">
                  <c:v>9.4462747467368082</c:v>
                </c:pt>
                <c:pt idx="184">
                  <c:v>9.5522474101544805</c:v>
                </c:pt>
                <c:pt idx="185">
                  <c:v>9.6582200735721528</c:v>
                </c:pt>
                <c:pt idx="186">
                  <c:v>9.7641927369898251</c:v>
                </c:pt>
                <c:pt idx="187">
                  <c:v>9.8701654004074975</c:v>
                </c:pt>
                <c:pt idx="188">
                  <c:v>9.9761380638251698</c:v>
                </c:pt>
                <c:pt idx="189">
                  <c:v>10.082110727242842</c:v>
                </c:pt>
                <c:pt idx="190">
                  <c:v>10.188083390660514</c:v>
                </c:pt>
                <c:pt idx="191">
                  <c:v>10.294056054078187</c:v>
                </c:pt>
                <c:pt idx="192">
                  <c:v>10.400028717495859</c:v>
                </c:pt>
                <c:pt idx="193">
                  <c:v>10.506001380913531</c:v>
                </c:pt>
                <c:pt idx="194">
                  <c:v>10.611974044331204</c:v>
                </c:pt>
                <c:pt idx="195">
                  <c:v>10.717946707748876</c:v>
                </c:pt>
                <c:pt idx="196">
                  <c:v>10.823919371166548</c:v>
                </c:pt>
                <c:pt idx="197">
                  <c:v>10.929892034584221</c:v>
                </c:pt>
                <c:pt idx="198">
                  <c:v>11.035864698001893</c:v>
                </c:pt>
                <c:pt idx="199">
                  <c:v>11.141837361419565</c:v>
                </c:pt>
                <c:pt idx="200">
                  <c:v>11.247810024837237</c:v>
                </c:pt>
                <c:pt idx="201">
                  <c:v>11.35378268825491</c:v>
                </c:pt>
                <c:pt idx="202">
                  <c:v>11.459755351672582</c:v>
                </c:pt>
                <c:pt idx="203">
                  <c:v>11.565728015090254</c:v>
                </c:pt>
                <c:pt idx="204">
                  <c:v>11.671700678507927</c:v>
                </c:pt>
                <c:pt idx="205">
                  <c:v>11.777673341925599</c:v>
                </c:pt>
                <c:pt idx="206">
                  <c:v>11.883646005343271</c:v>
                </c:pt>
                <c:pt idx="207">
                  <c:v>11.989618668760944</c:v>
                </c:pt>
                <c:pt idx="208">
                  <c:v>12.095591332178616</c:v>
                </c:pt>
                <c:pt idx="209">
                  <c:v>12.201563995596288</c:v>
                </c:pt>
                <c:pt idx="210">
                  <c:v>12.307536659013961</c:v>
                </c:pt>
                <c:pt idx="211">
                  <c:v>12.413509322431633</c:v>
                </c:pt>
                <c:pt idx="212">
                  <c:v>12.519481985849305</c:v>
                </c:pt>
                <c:pt idx="213">
                  <c:v>12.625454649266977</c:v>
                </c:pt>
                <c:pt idx="214">
                  <c:v>12.73142731268465</c:v>
                </c:pt>
                <c:pt idx="215">
                  <c:v>12.837399976102322</c:v>
                </c:pt>
                <c:pt idx="216">
                  <c:v>12.943372639519994</c:v>
                </c:pt>
                <c:pt idx="217">
                  <c:v>13.049345302937667</c:v>
                </c:pt>
                <c:pt idx="218">
                  <c:v>13.155317966355339</c:v>
                </c:pt>
                <c:pt idx="219">
                  <c:v>13.261290629773011</c:v>
                </c:pt>
                <c:pt idx="220">
                  <c:v>13.367263293190684</c:v>
                </c:pt>
                <c:pt idx="221">
                  <c:v>13.473235956608356</c:v>
                </c:pt>
                <c:pt idx="222">
                  <c:v>13.579208620026028</c:v>
                </c:pt>
                <c:pt idx="223">
                  <c:v>13.685181283443701</c:v>
                </c:pt>
                <c:pt idx="224">
                  <c:v>13.791153946861373</c:v>
                </c:pt>
              </c:numCache>
            </c:numRef>
          </c:xVal>
          <c:yVal>
            <c:numRef>
              <c:f>Nasdaq!$J$8:$J$232</c:f>
              <c:numCache>
                <c:formatCode>General</c:formatCode>
                <c:ptCount val="225"/>
                <c:pt idx="0">
                  <c:v>1.309031679775745E-22</c:v>
                </c:pt>
                <c:pt idx="1">
                  <c:v>3.735020390476222E-22</c:v>
                </c:pt>
                <c:pt idx="2">
                  <c:v>1.0538009383161663E-21</c:v>
                </c:pt>
                <c:pt idx="3">
                  <c:v>2.9399975503739874E-21</c:v>
                </c:pt>
                <c:pt idx="4">
                  <c:v>8.1106963022970245E-21</c:v>
                </c:pt>
                <c:pt idx="5">
                  <c:v>2.2125449118905498E-20</c:v>
                </c:pt>
                <c:pt idx="6">
                  <c:v>5.968275111541858E-20</c:v>
                </c:pt>
                <c:pt idx="7">
                  <c:v>1.5919460903375343E-19</c:v>
                </c:pt>
                <c:pt idx="8">
                  <c:v>4.1988529295511622E-19</c:v>
                </c:pt>
                <c:pt idx="9">
                  <c:v>1.0951049786323041E-18</c:v>
                </c:pt>
                <c:pt idx="10">
                  <c:v>2.8242531861566632E-18</c:v>
                </c:pt>
                <c:pt idx="11">
                  <c:v>7.2023510437213264E-18</c:v>
                </c:pt>
                <c:pt idx="12">
                  <c:v>1.8162169592406685E-17</c:v>
                </c:pt>
                <c:pt idx="13">
                  <c:v>4.5288084474486464E-17</c:v>
                </c:pt>
                <c:pt idx="14">
                  <c:v>1.1166651463014686E-16</c:v>
                </c:pt>
                <c:pt idx="15">
                  <c:v>2.7226057277794124E-16</c:v>
                </c:pt>
                <c:pt idx="16">
                  <c:v>6.5640114574855649E-16</c:v>
                </c:pt>
                <c:pt idx="17">
                  <c:v>1.5648643285152087E-15</c:v>
                </c:pt>
                <c:pt idx="18">
                  <c:v>3.6889845380944223E-15</c:v>
                </c:pt>
                <c:pt idx="19">
                  <c:v>8.5992339174180346E-15</c:v>
                </c:pt>
                <c:pt idx="20">
                  <c:v>1.9821452429083183E-14</c:v>
                </c:pt>
                <c:pt idx="21">
                  <c:v>4.5178724950133122E-14</c:v>
                </c:pt>
                <c:pt idx="22">
                  <c:v>1.018251946943182E-13</c:v>
                </c:pt>
                <c:pt idx="23">
                  <c:v>2.2693386619445179E-13</c:v>
                </c:pt>
                <c:pt idx="24">
                  <c:v>5.0011071424205407E-13</c:v>
                </c:pt>
                <c:pt idx="25">
                  <c:v>1.0898225488107091E-12</c:v>
                </c:pt>
                <c:pt idx="26">
                  <c:v>2.3483790839533367E-12</c:v>
                </c:pt>
                <c:pt idx="27">
                  <c:v>5.0038398524930292E-12</c:v>
                </c:pt>
                <c:pt idx="28">
                  <c:v>1.0542931468013461E-11</c:v>
                </c:pt>
                <c:pt idx="29">
                  <c:v>2.1965553385753218E-11</c:v>
                </c:pt>
                <c:pt idx="30">
                  <c:v>4.52528252404312E-11</c:v>
                </c:pt>
                <c:pt idx="31">
                  <c:v>9.2187498698629078E-11</c:v>
                </c:pt>
                <c:pt idx="32">
                  <c:v>1.8570395297022115E-10</c:v>
                </c:pt>
                <c:pt idx="33">
                  <c:v>3.6990742520292061E-10</c:v>
                </c:pt>
                <c:pt idx="34">
                  <c:v>7.2859759518413328E-10</c:v>
                </c:pt>
                <c:pt idx="35">
                  <c:v>1.4190745182036733E-9</c:v>
                </c:pt>
                <c:pt idx="36">
                  <c:v>2.7330366373468705E-9</c:v>
                </c:pt>
                <c:pt idx="37">
                  <c:v>5.2048532520302715E-9</c:v>
                </c:pt>
                <c:pt idx="38">
                  <c:v>9.8015398240874808E-9</c:v>
                </c:pt>
                <c:pt idx="39">
                  <c:v>1.8251682783157671E-8</c:v>
                </c:pt>
                <c:pt idx="40">
                  <c:v>3.3607352334658142E-8</c:v>
                </c:pt>
                <c:pt idx="41">
                  <c:v>6.1191129522191947E-8</c:v>
                </c:pt>
                <c:pt idx="42">
                  <c:v>1.1017052637932548E-7</c:v>
                </c:pt>
                <c:pt idx="43">
                  <c:v>1.961395446664286E-7</c:v>
                </c:pt>
                <c:pt idx="44">
                  <c:v>3.4529292900777055E-7</c:v>
                </c:pt>
                <c:pt idx="45">
                  <c:v>6.0108098678680362E-7</c:v>
                </c:pt>
                <c:pt idx="46">
                  <c:v>1.034668149656866E-6</c:v>
                </c:pt>
                <c:pt idx="47">
                  <c:v>1.7611321841042891E-6</c:v>
                </c:pt>
                <c:pt idx="48">
                  <c:v>2.9641870862511219E-6</c:v>
                </c:pt>
                <c:pt idx="49">
                  <c:v>4.9333514079793739E-6</c:v>
                </c:pt>
                <c:pt idx="50">
                  <c:v>8.1189763535910331E-6</c:v>
                </c:pt>
                <c:pt idx="51">
                  <c:v>1.3212447815128793E-5</c:v>
                </c:pt>
                <c:pt idx="52">
                  <c:v>2.1261214902442252E-5</c:v>
                </c:pt>
                <c:pt idx="53">
                  <c:v>3.383106372746081E-5</c:v>
                </c:pt>
                <c:pt idx="54">
                  <c:v>5.323117013536724E-5</c:v>
                </c:pt>
                <c:pt idx="55">
                  <c:v>8.2820749525976884E-5</c:v>
                </c:pt>
                <c:pt idx="56">
                  <c:v>1.2741926155487323E-4</c:v>
                </c:pt>
                <c:pt idx="57">
                  <c:v>1.9384463914698405E-4</c:v>
                </c:pt>
                <c:pt idx="58">
                  <c:v>2.9160521716232882E-4</c:v>
                </c:pt>
                <c:pt idx="59">
                  <c:v>4.3377005585490988E-4</c:v>
                </c:pt>
                <c:pt idx="60">
                  <c:v>6.3803812593566896E-4</c:v>
                </c:pt>
                <c:pt idx="61">
                  <c:v>9.2801816439133384E-4</c:v>
                </c:pt>
                <c:pt idx="62">
                  <c:v>1.3347167380881816E-3</c:v>
                </c:pt>
                <c:pt idx="63">
                  <c:v>1.8982111516660681E-3</c:v>
                </c:pt>
                <c:pt idx="64">
                  <c:v>2.6694556990540675E-3</c:v>
                </c:pt>
                <c:pt idx="65">
                  <c:v>3.7121344633985242E-3</c:v>
                </c:pt>
                <c:pt idx="66">
                  <c:v>5.1044324876693831E-3</c:v>
                </c:pt>
                <c:pt idx="67">
                  <c:v>6.940552007628116E-3</c:v>
                </c:pt>
                <c:pt idx="68">
                  <c:v>9.3317553710845699E-3</c:v>
                </c:pt>
                <c:pt idx="69">
                  <c:v>1.2406676596496904E-2</c:v>
                </c:pt>
                <c:pt idx="70">
                  <c:v>1.6310615941845651E-2</c:v>
                </c:pt>
                <c:pt idx="71">
                  <c:v>2.120352397053386E-2</c:v>
                </c:pt>
                <c:pt idx="72">
                  <c:v>2.7256401195831212E-2</c:v>
                </c:pt>
                <c:pt idx="73">
                  <c:v>3.4645893375241266E-2</c:v>
                </c:pt>
                <c:pt idx="74">
                  <c:v>4.3546955705498679E-2</c:v>
                </c:pt>
                <c:pt idx="75">
                  <c:v>5.4123592867175642E-2</c:v>
                </c:pt>
                <c:pt idx="76">
                  <c:v>6.6517852713206482E-2</c:v>
                </c:pt>
                <c:pt idx="77">
                  <c:v>8.0837450418823356E-2</c:v>
                </c:pt>
                <c:pt idx="78">
                  <c:v>9.7142612232980416E-2</c:v>
                </c:pt>
                <c:pt idx="79">
                  <c:v>0.11543293328830061</c:v>
                </c:pt>
                <c:pt idx="80">
                  <c:v>0.13563521791315863</c:v>
                </c:pt>
                <c:pt idx="81">
                  <c:v>0.15759338753605673</c:v>
                </c:pt>
                <c:pt idx="82">
                  <c:v>0.1810615759933322</c:v>
                </c:pt>
                <c:pt idx="83">
                  <c:v>0.20570146524812438</c:v>
                </c:pt>
                <c:pt idx="84">
                  <c:v>0.23108473514343111</c:v>
                </c:pt>
                <c:pt idx="85">
                  <c:v>0.25670120931522283</c:v>
                </c:pt>
                <c:pt idx="86">
                  <c:v>0.28197288964019401</c:v>
                </c:pt>
                <c:pt idx="87">
                  <c:v>0.30627361108710727</c:v>
                </c:pt>
                <c:pt idx="88">
                  <c:v>0.3289535570923704</c:v>
                </c:pt>
                <c:pt idx="89">
                  <c:v>0.34936740057551374</c:v>
                </c:pt>
                <c:pt idx="90">
                  <c:v>0.36690442875849971</c:v>
                </c:pt>
                <c:pt idx="91">
                  <c:v>0.38101871951202654</c:v>
                </c:pt>
                <c:pt idx="92">
                  <c:v>0.3912573022442884</c:v>
                </c:pt>
                <c:pt idx="93">
                  <c:v>0.39728428169945157</c:v>
                </c:pt>
                <c:pt idx="94">
                  <c:v>0.39889913383296999</c:v>
                </c:pt>
                <c:pt idx="95">
                  <c:v>0.39604778390860013</c:v>
                </c:pt>
                <c:pt idx="96">
                  <c:v>0.3888256131693017</c:v>
                </c:pt>
                <c:pt idx="97">
                  <c:v>0.37747216090265023</c:v>
                </c:pt>
                <c:pt idx="98">
                  <c:v>0.36235793235455416</c:v>
                </c:pt>
                <c:pt idx="99">
                  <c:v>0.34396432584432785</c:v>
                </c:pt>
                <c:pt idx="100">
                  <c:v>0.32285819562345386</c:v>
                </c:pt>
                <c:pt idx="101">
                  <c:v>0.29966292347052786</c:v>
                </c:pt>
                <c:pt idx="102">
                  <c:v>0.27502805198261454</c:v>
                </c:pt>
                <c:pt idx="103">
                  <c:v>0.24959952649286657</c:v>
                </c:pt>
                <c:pt idx="104">
                  <c:v>0.2239924114428129</c:v>
                </c:pt>
                <c:pt idx="105">
                  <c:v>0.19876761981575478</c:v>
                </c:pt>
                <c:pt idx="106">
                  <c:v>0.17441376329665867</c:v>
                </c:pt>
                <c:pt idx="107">
                  <c:v>0.15133474606108102</c:v>
                </c:pt>
                <c:pt idx="108">
                  <c:v>0.12984323748721352</c:v>
                </c:pt>
                <c:pt idx="109">
                  <c:v>0.11015971472081752</c:v>
                </c:pt>
                <c:pt idx="110">
                  <c:v>9.2416401356122627E-2</c:v>
                </c:pt>
                <c:pt idx="111">
                  <c:v>7.6665167320221911E-2</c:v>
                </c:pt>
                <c:pt idx="112">
                  <c:v>6.2888307404153979E-2</c:v>
                </c:pt>
                <c:pt idx="113">
                  <c:v>5.101107879655925E-2</c:v>
                </c:pt>
                <c:pt idx="114">
                  <c:v>4.0914937682595652E-2</c:v>
                </c:pt>
                <c:pt idx="115">
                  <c:v>3.2450550122623205E-2</c:v>
                </c:pt>
                <c:pt idx="116">
                  <c:v>2.5449837695772252E-2</c:v>
                </c:pt>
                <c:pt idx="117">
                  <c:v>1.9736527957752856E-2</c:v>
                </c:pt>
                <c:pt idx="118">
                  <c:v>1.5134890215267862E-2</c:v>
                </c:pt>
                <c:pt idx="119">
                  <c:v>1.1476529562092982E-2</c:v>
                </c:pt>
                <c:pt idx="120">
                  <c:v>8.6052733048739873E-3</c:v>
                </c:pt>
                <c:pt idx="121">
                  <c:v>6.3803064749740025E-3</c:v>
                </c:pt>
                <c:pt idx="122">
                  <c:v>4.6777951182933311E-3</c:v>
                </c:pt>
                <c:pt idx="123">
                  <c:v>3.3912799017056738E-3</c:v>
                </c:pt>
                <c:pt idx="124">
                  <c:v>2.4311337900141147E-3</c:v>
                </c:pt>
                <c:pt idx="125">
                  <c:v>1.7233634058895608E-3</c:v>
                </c:pt>
                <c:pt idx="126">
                  <c:v>1.2080020127194938E-3</c:v>
                </c:pt>
                <c:pt idx="127">
                  <c:v>8.3730027278686159E-4</c:v>
                </c:pt>
                <c:pt idx="128">
                  <c:v>5.7387537726237233E-4</c:v>
                </c:pt>
                <c:pt idx="129">
                  <c:v>3.8893473746556259E-4</c:v>
                </c:pt>
                <c:pt idx="130">
                  <c:v>2.606505584417513E-4</c:v>
                </c:pt>
                <c:pt idx="131">
                  <c:v>1.7272824866276047E-4</c:v>
                </c:pt>
                <c:pt idx="132">
                  <c:v>1.1318551813163006E-4</c:v>
                </c:pt>
                <c:pt idx="133">
                  <c:v>7.3340039694805073E-5</c:v>
                </c:pt>
                <c:pt idx="134">
                  <c:v>4.6990947486823058E-5</c:v>
                </c:pt>
                <c:pt idx="135">
                  <c:v>2.977213960764295E-5</c:v>
                </c:pt>
                <c:pt idx="136">
                  <c:v>1.865214038652585E-5</c:v>
                </c:pt>
                <c:pt idx="137">
                  <c:v>1.1555003677326915E-5</c:v>
                </c:pt>
                <c:pt idx="138">
                  <c:v>7.0783866894192713E-6</c:v>
                </c:pt>
                <c:pt idx="139">
                  <c:v>4.2876691287952863E-6</c:v>
                </c:pt>
                <c:pt idx="140">
                  <c:v>2.5682129296518495E-6</c:v>
                </c:pt>
                <c:pt idx="141">
                  <c:v>1.5211203470573204E-6</c:v>
                </c:pt>
                <c:pt idx="142">
                  <c:v>8.9087937992829768E-7</c:v>
                </c:pt>
                <c:pt idx="143">
                  <c:v>5.1593741343199515E-7</c:v>
                </c:pt>
                <c:pt idx="144">
                  <c:v>2.9545947441373216E-7</c:v>
                </c:pt>
                <c:pt idx="145">
                  <c:v>1.6730988610319444E-7</c:v>
                </c:pt>
                <c:pt idx="146">
                  <c:v>9.3684570471444996E-8</c:v>
                </c:pt>
                <c:pt idx="147">
                  <c:v>5.1872516812915296E-8</c:v>
                </c:pt>
                <c:pt idx="148">
                  <c:v>2.840072025286028E-8</c:v>
                </c:pt>
                <c:pt idx="149">
                  <c:v>1.5376028374364039E-8</c:v>
                </c:pt>
                <c:pt idx="150">
                  <c:v>8.2315528943652757E-9</c:v>
                </c:pt>
                <c:pt idx="151">
                  <c:v>4.3575477866497944E-9</c:v>
                </c:pt>
                <c:pt idx="152">
                  <c:v>2.2810002215640253E-9</c:v>
                </c:pt>
                <c:pt idx="153">
                  <c:v>1.1806774815148262E-9</c:v>
                </c:pt>
                <c:pt idx="154">
                  <c:v>6.0431032817230254E-10</c:v>
                </c:pt>
                <c:pt idx="155">
                  <c:v>3.0585214953586306E-10</c:v>
                </c:pt>
                <c:pt idx="156">
                  <c:v>1.5306850522074589E-10</c:v>
                </c:pt>
                <c:pt idx="157">
                  <c:v>7.5750050898869513E-11</c:v>
                </c:pt>
                <c:pt idx="158">
                  <c:v>3.7068311216897925E-11</c:v>
                </c:pt>
                <c:pt idx="159">
                  <c:v>1.7936820250148634E-11</c:v>
                </c:pt>
                <c:pt idx="160">
                  <c:v>8.5824423550711831E-12</c:v>
                </c:pt>
                <c:pt idx="161">
                  <c:v>4.0606832871893774E-12</c:v>
                </c:pt>
                <c:pt idx="162">
                  <c:v>1.8998098048061581E-12</c:v>
                </c:pt>
                <c:pt idx="163">
                  <c:v>8.7890900708853432E-13</c:v>
                </c:pt>
                <c:pt idx="164">
                  <c:v>4.0206890705325008E-13</c:v>
                </c:pt>
                <c:pt idx="165">
                  <c:v>1.8187786492602686E-13</c:v>
                </c:pt>
                <c:pt idx="166">
                  <c:v>8.1354576585044161E-14</c:v>
                </c:pt>
                <c:pt idx="167">
                  <c:v>3.5983790915724028E-14</c:v>
                </c:pt>
                <c:pt idx="168">
                  <c:v>1.5738184196976621E-14</c:v>
                </c:pt>
                <c:pt idx="169">
                  <c:v>6.8065198745472783E-15</c:v>
                </c:pt>
                <c:pt idx="170">
                  <c:v>2.9108403990253558E-15</c:v>
                </c:pt>
                <c:pt idx="171">
                  <c:v>1.2309331121262494E-15</c:v>
                </c:pt>
                <c:pt idx="172">
                  <c:v>5.1472267280758468E-16</c:v>
                </c:pt>
                <c:pt idx="173">
                  <c:v>2.1283102021813425E-16</c:v>
                </c:pt>
                <c:pt idx="174">
                  <c:v>8.7020052054395645E-17</c:v>
                </c:pt>
                <c:pt idx="175">
                  <c:v>3.5182486881730347E-17</c:v>
                </c:pt>
                <c:pt idx="176">
                  <c:v>1.4065543358817908E-17</c:v>
                </c:pt>
                <c:pt idx="177">
                  <c:v>5.5604415130800609E-18</c:v>
                </c:pt>
                <c:pt idx="178">
                  <c:v>2.1736260185290185E-18</c:v>
                </c:pt>
                <c:pt idx="179">
                  <c:v>8.4020092382455617E-19</c:v>
                </c:pt>
                <c:pt idx="180">
                  <c:v>3.2114729565375339E-19</c:v>
                </c:pt>
                <c:pt idx="181">
                  <c:v>1.2138028908304617E-19</c:v>
                </c:pt>
                <c:pt idx="182">
                  <c:v>4.5364366401486087E-20</c:v>
                </c:pt>
                <c:pt idx="183">
                  <c:v>1.6765029243773647E-20</c:v>
                </c:pt>
                <c:pt idx="184">
                  <c:v>6.1265582195572079E-21</c:v>
                </c:pt>
                <c:pt idx="185">
                  <c:v>2.2138673645787624E-21</c:v>
                </c:pt>
                <c:pt idx="186">
                  <c:v>7.9105998249294976E-22</c:v>
                </c:pt>
                <c:pt idx="187">
                  <c:v>2.7950527990454522E-22</c:v>
                </c:pt>
                <c:pt idx="188">
                  <c:v>9.7654756362101087E-23</c:v>
                </c:pt>
                <c:pt idx="189">
                  <c:v>3.3738018283359642E-23</c:v>
                </c:pt>
                <c:pt idx="190">
                  <c:v>1.1525732117107645E-23</c:v>
                </c:pt>
                <c:pt idx="191">
                  <c:v>3.8935007022536717E-24</c:v>
                </c:pt>
                <c:pt idx="192">
                  <c:v>1.3005731296607697E-24</c:v>
                </c:pt>
                <c:pt idx="193">
                  <c:v>4.2958793982006156E-25</c:v>
                </c:pt>
                <c:pt idx="194">
                  <c:v>1.4031114471665935E-25</c:v>
                </c:pt>
                <c:pt idx="195">
                  <c:v>4.5316362146564704E-26</c:v>
                </c:pt>
                <c:pt idx="196">
                  <c:v>1.447240453834904E-26</c:v>
                </c:pt>
                <c:pt idx="197">
                  <c:v>4.5703465511876951E-27</c:v>
                </c:pt>
                <c:pt idx="198">
                  <c:v>1.4271852692151667E-27</c:v>
                </c:pt>
                <c:pt idx="199">
                  <c:v>4.4069118194842132E-28</c:v>
                </c:pt>
                <c:pt idx="200">
                  <c:v>1.3455850410177128E-28</c:v>
                </c:pt>
                <c:pt idx="201">
                  <c:v>4.062662299744616E-29</c:v>
                </c:pt>
                <c:pt idx="202">
                  <c:v>1.2129225810069302E-29</c:v>
                </c:pt>
                <c:pt idx="203">
                  <c:v>3.5807848101333995E-30</c:v>
                </c:pt>
                <c:pt idx="204">
                  <c:v>1.0453125088861929E-30</c:v>
                </c:pt>
                <c:pt idx="205">
                  <c:v>3.017427584093858E-31</c:v>
                </c:pt>
                <c:pt idx="206">
                  <c:v>8.6129187164209465E-32</c:v>
                </c:pt>
                <c:pt idx="207">
                  <c:v>2.4310093256264191E-32</c:v>
                </c:pt>
                <c:pt idx="208">
                  <c:v>6.7849348967092024E-33</c:v>
                </c:pt>
                <c:pt idx="209">
                  <c:v>1.8725245858500483E-33</c:v>
                </c:pt>
                <c:pt idx="210">
                  <c:v>5.110132442139359E-34</c:v>
                </c:pt>
                <c:pt idx="211">
                  <c:v>1.378985080311767E-34</c:v>
                </c:pt>
                <c:pt idx="212">
                  <c:v>3.6796775445729001E-35</c:v>
                </c:pt>
                <c:pt idx="213">
                  <c:v>9.709184218802946E-36</c:v>
                </c:pt>
                <c:pt idx="214">
                  <c:v>2.5332526400236497E-36</c:v>
                </c:pt>
                <c:pt idx="215">
                  <c:v>6.5357743602686373E-37</c:v>
                </c:pt>
                <c:pt idx="216">
                  <c:v>1.6673945606886941E-37</c:v>
                </c:pt>
                <c:pt idx="217">
                  <c:v>4.2063217950223469E-38</c:v>
                </c:pt>
                <c:pt idx="218">
                  <c:v>1.049275160667933E-38</c:v>
                </c:pt>
                <c:pt idx="219">
                  <c:v>2.5882073932166449E-39</c:v>
                </c:pt>
                <c:pt idx="220">
                  <c:v>6.3129382113739306E-40</c:v>
                </c:pt>
                <c:pt idx="221">
                  <c:v>1.5226033732403444E-40</c:v>
                </c:pt>
                <c:pt idx="222">
                  <c:v>3.6313224980436037E-41</c:v>
                </c:pt>
                <c:pt idx="223">
                  <c:v>8.5637826609321032E-42</c:v>
                </c:pt>
                <c:pt idx="224">
                  <c:v>1.9970513736786206E-42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E4-4CD8-840B-E5B16495B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396624"/>
        <c:axId val="681401104"/>
      </c:scatterChart>
      <c:valAx>
        <c:axId val="681396624"/>
        <c:scaling>
          <c:orientation val="minMax"/>
          <c:max val="4"/>
          <c:min val="-4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1401104"/>
        <c:crosses val="autoZero"/>
        <c:crossBetween val="midCat"/>
      </c:valAx>
      <c:valAx>
        <c:axId val="681401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139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622963796192152"/>
          <c:y val="0.2274300087489064"/>
          <c:w val="0.16869099695871351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257629</xdr:colOff>
      <xdr:row>12</xdr:row>
      <xdr:rowOff>76199</xdr:rowOff>
    </xdr:from>
    <xdr:to>
      <xdr:col>18</xdr:col>
      <xdr:colOff>30843</xdr:colOff>
      <xdr:row>26</xdr:row>
      <xdr:rowOff>139699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F4010E-8C2C-4E82-B46C-D475DB7864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2853"/>
  <sheetViews>
    <sheetView tabSelected="1" zoomScaleNormal="100" workbookViewId="0">
      <selection activeCell="J8" sqref="J8"/>
    </sheetView>
  </sheetViews>
  <sheetFormatPr defaultRowHeight="14" x14ac:dyDescent="0.3"/>
  <cols>
    <col min="1" max="1" width="11.1640625" bestFit="1" customWidth="1"/>
    <col min="9" max="9" width="11.58203125" bestFit="1" customWidth="1"/>
    <col min="10" max="11" width="12.582031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5</v>
      </c>
      <c r="G1" t="s">
        <v>3</v>
      </c>
      <c r="H1">
        <f>AVERAGE(C:C)</f>
        <v>4.6474828708039756E-4</v>
      </c>
      <c r="K1" t="s">
        <v>13</v>
      </c>
      <c r="L1">
        <f>COUNT(D:D)</f>
        <v>12851</v>
      </c>
    </row>
    <row r="2" spans="1:12" x14ac:dyDescent="0.3">
      <c r="A2" s="1">
        <v>25969</v>
      </c>
      <c r="B2">
        <v>100</v>
      </c>
      <c r="G2" t="s">
        <v>4</v>
      </c>
      <c r="H2">
        <f>STDEV(C:C)</f>
        <v>1.2500642536865704E-2</v>
      </c>
    </row>
    <row r="3" spans="1:12" x14ac:dyDescent="0.3">
      <c r="A3" s="1">
        <v>25972</v>
      </c>
      <c r="B3">
        <v>100.839996</v>
      </c>
      <c r="C3">
        <f>(B3-B2)/B2</f>
        <v>8.3999599999999928E-3</v>
      </c>
      <c r="D3">
        <f t="shared" ref="D3:D66" si="0">(C3-avrtn)/sdrtn</f>
        <v>0.63478430724803347</v>
      </c>
      <c r="G3" t="s">
        <v>6</v>
      </c>
      <c r="H3">
        <f>MIN(D:D)</f>
        <v>-9.8937363269883569</v>
      </c>
    </row>
    <row r="4" spans="1:12" x14ac:dyDescent="0.3">
      <c r="A4" s="1">
        <v>25973</v>
      </c>
      <c r="B4">
        <v>100.760002</v>
      </c>
      <c r="C4">
        <f t="shared" ref="C4:C67" si="1">(B4-B3)/B3</f>
        <v>-7.9327650905499075E-4</v>
      </c>
      <c r="D4">
        <f t="shared" si="0"/>
        <v>-0.10063681066195929</v>
      </c>
      <c r="G4" t="s">
        <v>7</v>
      </c>
      <c r="H4">
        <f>MAX(D:D)</f>
        <v>11.300796356546035</v>
      </c>
    </row>
    <row r="5" spans="1:12" x14ac:dyDescent="0.3">
      <c r="A5" s="1">
        <v>25974</v>
      </c>
      <c r="B5">
        <v>100.69000200000001</v>
      </c>
      <c r="C5">
        <f t="shared" si="1"/>
        <v>-6.9472011324486847E-4</v>
      </c>
      <c r="D5">
        <f t="shared" si="0"/>
        <v>-9.2752704263470639E-2</v>
      </c>
      <c r="G5" s="2" t="s">
        <v>8</v>
      </c>
      <c r="H5">
        <f>(H4-H3)/200</f>
        <v>0.10597266341767195</v>
      </c>
    </row>
    <row r="6" spans="1:12" x14ac:dyDescent="0.3">
      <c r="A6" s="1">
        <v>25975</v>
      </c>
      <c r="B6">
        <v>101.449997</v>
      </c>
      <c r="C6">
        <f t="shared" si="1"/>
        <v>7.5478695491533439E-3</v>
      </c>
      <c r="D6">
        <f t="shared" si="0"/>
        <v>0.56662057499717156</v>
      </c>
    </row>
    <row r="7" spans="1:12" x14ac:dyDescent="0.3">
      <c r="A7" s="1">
        <v>25976</v>
      </c>
      <c r="B7">
        <v>102.050003</v>
      </c>
      <c r="C7">
        <f t="shared" si="1"/>
        <v>5.9143027870174076E-3</v>
      </c>
      <c r="D7">
        <f t="shared" si="0"/>
        <v>0.43594195129295976</v>
      </c>
      <c r="F7" t="s">
        <v>9</v>
      </c>
      <c r="G7" t="s">
        <v>10</v>
      </c>
      <c r="H7" t="s">
        <v>11</v>
      </c>
      <c r="I7" t="s">
        <v>12</v>
      </c>
      <c r="J7" t="s">
        <v>14</v>
      </c>
    </row>
    <row r="8" spans="1:12" x14ac:dyDescent="0.3">
      <c r="A8" s="1">
        <v>25980</v>
      </c>
      <c r="B8">
        <v>102.19000200000001</v>
      </c>
      <c r="C8">
        <f t="shared" si="1"/>
        <v>1.3718666916648996E-3</v>
      </c>
      <c r="D8">
        <f t="shared" si="0"/>
        <v>7.2565742273592332E-2</v>
      </c>
      <c r="F8">
        <f>H3</f>
        <v>-9.8937363269883569</v>
      </c>
      <c r="G8">
        <f t="shared" ref="G8:G71" si="2">F8-0.5*bucketwidth</f>
        <v>-9.9467226586971922</v>
      </c>
      <c r="H8">
        <f t="array" ref="H8:H232">FREQUENCY(D3:D12853,F8:F232)</f>
        <v>1</v>
      </c>
      <c r="I8">
        <f t="shared" ref="I8:I71" si="3">H8/datacount/bucketwidth</f>
        <v>7.3429272724661416E-4</v>
      </c>
      <c r="J8">
        <f>1/SQRT(2*PI())*EXP(-0.5*G8*G8)</f>
        <v>1.309031679775745E-22</v>
      </c>
    </row>
    <row r="9" spans="1:12" x14ac:dyDescent="0.3">
      <c r="A9" s="1">
        <v>25981</v>
      </c>
      <c r="B9">
        <v>101.739998</v>
      </c>
      <c r="C9">
        <f t="shared" si="1"/>
        <v>-4.403601048955914E-3</v>
      </c>
      <c r="D9">
        <f t="shared" si="0"/>
        <v>-0.3894479281108183</v>
      </c>
      <c r="F9">
        <f t="shared" ref="F9:F72" si="4">F8+bucketwidth</f>
        <v>-9.7877636635706846</v>
      </c>
      <c r="G9">
        <f t="shared" si="2"/>
        <v>-9.8407499952795199</v>
      </c>
      <c r="H9">
        <v>0</v>
      </c>
      <c r="I9">
        <f t="shared" si="3"/>
        <v>0</v>
      </c>
      <c r="J9">
        <f t="shared" ref="J9:J72" si="5">1/SQRT(2*PI())*EXP(-0.5*G9*G9)</f>
        <v>3.735020390476222E-22</v>
      </c>
    </row>
    <row r="10" spans="1:12" x14ac:dyDescent="0.3">
      <c r="A10" s="1">
        <v>25982</v>
      </c>
      <c r="B10">
        <v>101.41999800000001</v>
      </c>
      <c r="C10">
        <f t="shared" si="1"/>
        <v>-3.1452723244597782E-3</v>
      </c>
      <c r="D10">
        <f t="shared" si="0"/>
        <v>-0.28878680442976007</v>
      </c>
      <c r="F10">
        <f t="shared" si="4"/>
        <v>-9.6817910001530123</v>
      </c>
      <c r="G10">
        <f t="shared" si="2"/>
        <v>-9.7347773318618476</v>
      </c>
      <c r="H10">
        <v>0</v>
      </c>
      <c r="I10">
        <f t="shared" si="3"/>
        <v>0</v>
      </c>
      <c r="J10">
        <f t="shared" si="5"/>
        <v>1.0538009383161663E-21</v>
      </c>
    </row>
    <row r="11" spans="1:12" x14ac:dyDescent="0.3">
      <c r="A11" s="1">
        <v>25983</v>
      </c>
      <c r="B11">
        <v>100.699997</v>
      </c>
      <c r="C11">
        <f t="shared" si="1"/>
        <v>-7.0992014809545794E-3</v>
      </c>
      <c r="D11">
        <f t="shared" si="0"/>
        <v>-0.60508487829550339</v>
      </c>
      <c r="F11">
        <f t="shared" si="4"/>
        <v>-9.57581833673534</v>
      </c>
      <c r="G11">
        <f t="shared" si="2"/>
        <v>-9.6288046684441753</v>
      </c>
      <c r="H11">
        <v>0</v>
      </c>
      <c r="I11">
        <f t="shared" si="3"/>
        <v>0</v>
      </c>
      <c r="J11">
        <f t="shared" si="5"/>
        <v>2.9399975503739874E-21</v>
      </c>
    </row>
    <row r="12" spans="1:12" x14ac:dyDescent="0.3">
      <c r="A12" s="1">
        <v>25986</v>
      </c>
      <c r="B12">
        <v>99.68</v>
      </c>
      <c r="C12">
        <f t="shared" si="1"/>
        <v>-1.0129066836019761E-2</v>
      </c>
      <c r="D12">
        <f t="shared" si="0"/>
        <v>-0.84746164781993305</v>
      </c>
      <c r="F12">
        <f t="shared" si="4"/>
        <v>-9.4698456733176677</v>
      </c>
      <c r="G12">
        <f t="shared" si="2"/>
        <v>-9.522832005026503</v>
      </c>
      <c r="H12">
        <v>0</v>
      </c>
      <c r="I12">
        <f t="shared" si="3"/>
        <v>0</v>
      </c>
      <c r="J12">
        <f t="shared" si="5"/>
        <v>8.1106963022970245E-21</v>
      </c>
    </row>
    <row r="13" spans="1:12" x14ac:dyDescent="0.3">
      <c r="A13" s="1">
        <v>25987</v>
      </c>
      <c r="B13">
        <v>99.720000999999996</v>
      </c>
      <c r="C13">
        <f t="shared" si="1"/>
        <v>4.0129414125190125E-4</v>
      </c>
      <c r="D13">
        <f t="shared" si="0"/>
        <v>-5.0760707412729695E-3</v>
      </c>
      <c r="F13">
        <f t="shared" si="4"/>
        <v>-9.3638730098999954</v>
      </c>
      <c r="G13">
        <f t="shared" si="2"/>
        <v>-9.4168593416088306</v>
      </c>
      <c r="H13">
        <v>0</v>
      </c>
      <c r="I13">
        <f t="shared" si="3"/>
        <v>0</v>
      </c>
      <c r="J13">
        <f t="shared" si="5"/>
        <v>2.2125449118905498E-20</v>
      </c>
    </row>
    <row r="14" spans="1:12" x14ac:dyDescent="0.3">
      <c r="A14" s="1">
        <v>25988</v>
      </c>
      <c r="B14">
        <v>100.639999</v>
      </c>
      <c r="C14">
        <f t="shared" si="1"/>
        <v>9.2258121818511295E-3</v>
      </c>
      <c r="D14">
        <f t="shared" si="0"/>
        <v>0.70084908587166117</v>
      </c>
      <c r="F14">
        <f t="shared" si="4"/>
        <v>-9.2579003464823231</v>
      </c>
      <c r="G14">
        <f t="shared" si="2"/>
        <v>-9.3108866781911583</v>
      </c>
      <c r="H14">
        <v>0</v>
      </c>
      <c r="I14">
        <f t="shared" si="3"/>
        <v>0</v>
      </c>
      <c r="J14">
        <f t="shared" si="5"/>
        <v>5.968275111541858E-20</v>
      </c>
    </row>
    <row r="15" spans="1:12" x14ac:dyDescent="0.3">
      <c r="A15" s="1">
        <v>25989</v>
      </c>
      <c r="B15">
        <v>101.230003</v>
      </c>
      <c r="C15">
        <f t="shared" si="1"/>
        <v>5.8625199310663074E-3</v>
      </c>
      <c r="D15">
        <f t="shared" si="0"/>
        <v>0.43179953574924773</v>
      </c>
      <c r="F15">
        <f t="shared" si="4"/>
        <v>-9.1519276830646508</v>
      </c>
      <c r="G15">
        <f t="shared" si="2"/>
        <v>-9.204914014773486</v>
      </c>
      <c r="H15">
        <v>0</v>
      </c>
      <c r="I15">
        <f t="shared" si="3"/>
        <v>0</v>
      </c>
      <c r="J15">
        <f t="shared" si="5"/>
        <v>1.5919460903375343E-19</v>
      </c>
    </row>
    <row r="16" spans="1:12" x14ac:dyDescent="0.3">
      <c r="A16" s="1">
        <v>25990</v>
      </c>
      <c r="B16">
        <v>101.339996</v>
      </c>
      <c r="C16">
        <f t="shared" si="1"/>
        <v>1.0865652152554307E-3</v>
      </c>
      <c r="D16">
        <f t="shared" si="0"/>
        <v>4.9742797327515763E-2</v>
      </c>
      <c r="F16">
        <f t="shared" si="4"/>
        <v>-9.0459550196469785</v>
      </c>
      <c r="G16">
        <f t="shared" si="2"/>
        <v>-9.0989413513558137</v>
      </c>
      <c r="H16">
        <v>1</v>
      </c>
      <c r="I16">
        <f t="shared" si="3"/>
        <v>7.3429272724661416E-4</v>
      </c>
      <c r="J16">
        <f t="shared" si="5"/>
        <v>4.1988529295511622E-19</v>
      </c>
    </row>
    <row r="17" spans="1:10" x14ac:dyDescent="0.3">
      <c r="A17" s="1">
        <v>25993</v>
      </c>
      <c r="B17">
        <v>101.779999</v>
      </c>
      <c r="C17">
        <f t="shared" si="1"/>
        <v>4.3418493918235832E-3</v>
      </c>
      <c r="D17">
        <f t="shared" si="0"/>
        <v>0.31015214564445054</v>
      </c>
      <c r="F17">
        <f t="shared" si="4"/>
        <v>-8.9399823562293061</v>
      </c>
      <c r="G17">
        <f t="shared" si="2"/>
        <v>-8.9929686879381414</v>
      </c>
      <c r="H17">
        <v>0</v>
      </c>
      <c r="I17">
        <f t="shared" si="3"/>
        <v>0</v>
      </c>
      <c r="J17">
        <f t="shared" si="5"/>
        <v>1.0951049786323041E-18</v>
      </c>
    </row>
    <row r="18" spans="1:10" x14ac:dyDescent="0.3">
      <c r="A18" s="1">
        <v>25994</v>
      </c>
      <c r="B18">
        <v>101.839996</v>
      </c>
      <c r="C18">
        <f t="shared" si="1"/>
        <v>5.8947730978063412E-4</v>
      </c>
      <c r="D18">
        <f t="shared" si="0"/>
        <v>9.97780892721295E-3</v>
      </c>
      <c r="F18">
        <f t="shared" si="4"/>
        <v>-8.8340096928116338</v>
      </c>
      <c r="G18">
        <f t="shared" si="2"/>
        <v>-8.8869960245204691</v>
      </c>
      <c r="H18">
        <v>0</v>
      </c>
      <c r="I18">
        <f t="shared" si="3"/>
        <v>0</v>
      </c>
      <c r="J18">
        <f t="shared" si="5"/>
        <v>2.8242531861566632E-18</v>
      </c>
    </row>
    <row r="19" spans="1:10" x14ac:dyDescent="0.3">
      <c r="A19" s="1">
        <v>25995</v>
      </c>
      <c r="B19">
        <v>102.07</v>
      </c>
      <c r="C19">
        <f t="shared" si="1"/>
        <v>2.2584839850150217E-3</v>
      </c>
      <c r="D19">
        <f t="shared" si="0"/>
        <v>0.14349147994950737</v>
      </c>
      <c r="F19">
        <f t="shared" si="4"/>
        <v>-8.7280370293939615</v>
      </c>
      <c r="G19">
        <f t="shared" si="2"/>
        <v>-8.7810233611027968</v>
      </c>
      <c r="H19">
        <v>0</v>
      </c>
      <c r="I19">
        <f t="shared" si="3"/>
        <v>0</v>
      </c>
      <c r="J19">
        <f t="shared" si="5"/>
        <v>7.2023510437213264E-18</v>
      </c>
    </row>
    <row r="20" spans="1:10" x14ac:dyDescent="0.3">
      <c r="A20" s="1">
        <v>25996</v>
      </c>
      <c r="B20">
        <v>102.779999</v>
      </c>
      <c r="C20">
        <f t="shared" si="1"/>
        <v>6.956000783775943E-3</v>
      </c>
      <c r="D20">
        <f t="shared" si="0"/>
        <v>0.51927350754588508</v>
      </c>
      <c r="F20">
        <f t="shared" si="4"/>
        <v>-8.6220643659762892</v>
      </c>
      <c r="G20">
        <f t="shared" si="2"/>
        <v>-8.6750506976851245</v>
      </c>
      <c r="H20">
        <v>0</v>
      </c>
      <c r="I20">
        <f t="shared" si="3"/>
        <v>0</v>
      </c>
      <c r="J20">
        <f t="shared" si="5"/>
        <v>1.8162169592406685E-17</v>
      </c>
    </row>
    <row r="21" spans="1:10" x14ac:dyDescent="0.3">
      <c r="A21" s="1">
        <v>25997</v>
      </c>
      <c r="B21">
        <v>103</v>
      </c>
      <c r="C21">
        <f t="shared" si="1"/>
        <v>2.1405040099289779E-3</v>
      </c>
      <c r="D21">
        <f t="shared" si="0"/>
        <v>0.13405356707918023</v>
      </c>
      <c r="F21">
        <f t="shared" si="4"/>
        <v>-8.5160917025586169</v>
      </c>
      <c r="G21">
        <f t="shared" si="2"/>
        <v>-8.5690780342674522</v>
      </c>
      <c r="H21">
        <v>0</v>
      </c>
      <c r="I21">
        <f t="shared" si="3"/>
        <v>0</v>
      </c>
      <c r="J21">
        <f t="shared" si="5"/>
        <v>4.5288084474486464E-17</v>
      </c>
    </row>
    <row r="22" spans="1:10" x14ac:dyDescent="0.3">
      <c r="A22" s="1">
        <v>26000</v>
      </c>
      <c r="B22">
        <v>104.230003</v>
      </c>
      <c r="C22">
        <f t="shared" si="1"/>
        <v>1.1941776699029091E-2</v>
      </c>
      <c r="D22">
        <f t="shared" si="0"/>
        <v>0.91811507913307144</v>
      </c>
      <c r="F22">
        <f t="shared" si="4"/>
        <v>-8.4101190391409446</v>
      </c>
      <c r="G22">
        <f t="shared" si="2"/>
        <v>-8.4631053708497799</v>
      </c>
      <c r="H22">
        <v>0</v>
      </c>
      <c r="I22">
        <f t="shared" si="3"/>
        <v>0</v>
      </c>
      <c r="J22">
        <f t="shared" si="5"/>
        <v>1.1166651463014686E-16</v>
      </c>
    </row>
    <row r="23" spans="1:10" x14ac:dyDescent="0.3">
      <c r="A23" s="1">
        <v>26001</v>
      </c>
      <c r="B23">
        <v>104.410004</v>
      </c>
      <c r="C23">
        <f t="shared" si="1"/>
        <v>1.7269595588518241E-3</v>
      </c>
      <c r="D23">
        <f t="shared" si="0"/>
        <v>0.10097171149795167</v>
      </c>
      <c r="F23">
        <f t="shared" si="4"/>
        <v>-8.3041463757232723</v>
      </c>
      <c r="G23">
        <f t="shared" si="2"/>
        <v>-8.3571327074321076</v>
      </c>
      <c r="H23">
        <v>0</v>
      </c>
      <c r="I23">
        <f t="shared" si="3"/>
        <v>0</v>
      </c>
      <c r="J23">
        <f t="shared" si="5"/>
        <v>2.7226057277794124E-16</v>
      </c>
    </row>
    <row r="24" spans="1:10" x14ac:dyDescent="0.3">
      <c r="A24" s="1">
        <v>26002</v>
      </c>
      <c r="B24">
        <v>104.139999</v>
      </c>
      <c r="C24">
        <f t="shared" si="1"/>
        <v>-2.5860069883724707E-3</v>
      </c>
      <c r="D24">
        <f t="shared" si="0"/>
        <v>-0.2440478772555788</v>
      </c>
      <c r="F24">
        <f t="shared" si="4"/>
        <v>-8.1981737123056</v>
      </c>
      <c r="G24">
        <f t="shared" si="2"/>
        <v>-8.2511600440144353</v>
      </c>
      <c r="H24">
        <v>0</v>
      </c>
      <c r="I24">
        <f t="shared" si="3"/>
        <v>0</v>
      </c>
      <c r="J24">
        <f t="shared" si="5"/>
        <v>6.5640114574855649E-16</v>
      </c>
    </row>
    <row r="25" spans="1:10" x14ac:dyDescent="0.3">
      <c r="A25" s="1">
        <v>26003</v>
      </c>
      <c r="B25">
        <v>104.260002</v>
      </c>
      <c r="C25">
        <f t="shared" si="1"/>
        <v>1.1523238059566044E-3</v>
      </c>
      <c r="D25">
        <f t="shared" si="0"/>
        <v>5.5003214182668986E-2</v>
      </c>
      <c r="F25">
        <f t="shared" si="4"/>
        <v>-8.0922010488879277</v>
      </c>
      <c r="G25">
        <f t="shared" si="2"/>
        <v>-8.1451873805967629</v>
      </c>
      <c r="H25">
        <v>0</v>
      </c>
      <c r="I25">
        <f t="shared" si="3"/>
        <v>0</v>
      </c>
      <c r="J25">
        <f t="shared" si="5"/>
        <v>1.5648643285152087E-15</v>
      </c>
    </row>
    <row r="26" spans="1:10" x14ac:dyDescent="0.3">
      <c r="A26" s="1">
        <v>26004</v>
      </c>
      <c r="B26">
        <v>104.5</v>
      </c>
      <c r="C26">
        <f t="shared" si="1"/>
        <v>2.3019182370627609E-3</v>
      </c>
      <c r="D26">
        <f t="shared" si="0"/>
        <v>0.1469660415106149</v>
      </c>
      <c r="F26">
        <f t="shared" si="4"/>
        <v>-7.9862283854702554</v>
      </c>
      <c r="G26">
        <f t="shared" si="2"/>
        <v>-8.0392147171790906</v>
      </c>
      <c r="H26">
        <v>0</v>
      </c>
      <c r="I26">
        <f t="shared" si="3"/>
        <v>0</v>
      </c>
      <c r="J26">
        <f t="shared" si="5"/>
        <v>3.6889845380944223E-15</v>
      </c>
    </row>
    <row r="27" spans="1:10" x14ac:dyDescent="0.3">
      <c r="A27" s="1">
        <v>26007</v>
      </c>
      <c r="B27">
        <v>105.129997</v>
      </c>
      <c r="C27">
        <f t="shared" si="1"/>
        <v>6.0286794258373492E-3</v>
      </c>
      <c r="D27">
        <f t="shared" si="0"/>
        <v>0.44509161207900599</v>
      </c>
      <c r="F27">
        <f t="shared" si="4"/>
        <v>-7.8802557220525831</v>
      </c>
      <c r="G27">
        <f t="shared" si="2"/>
        <v>-7.9332420537614192</v>
      </c>
      <c r="H27">
        <v>0</v>
      </c>
      <c r="I27">
        <f t="shared" si="3"/>
        <v>0</v>
      </c>
      <c r="J27">
        <f t="shared" si="5"/>
        <v>8.5992339174180346E-15</v>
      </c>
    </row>
    <row r="28" spans="1:10" x14ac:dyDescent="0.3">
      <c r="A28" s="1">
        <v>26008</v>
      </c>
      <c r="B28">
        <v>105.55999799999999</v>
      </c>
      <c r="C28">
        <f t="shared" si="1"/>
        <v>4.0901836989493123E-3</v>
      </c>
      <c r="D28">
        <f t="shared" si="0"/>
        <v>0.2900199250700215</v>
      </c>
      <c r="F28">
        <f t="shared" si="4"/>
        <v>-7.7742830586349108</v>
      </c>
      <c r="G28">
        <f t="shared" si="2"/>
        <v>-7.8272693903437469</v>
      </c>
      <c r="H28">
        <v>0</v>
      </c>
      <c r="I28">
        <f t="shared" si="3"/>
        <v>0</v>
      </c>
      <c r="J28">
        <f t="shared" si="5"/>
        <v>1.9821452429083183E-14</v>
      </c>
    </row>
    <row r="29" spans="1:10" x14ac:dyDescent="0.3">
      <c r="A29" s="1">
        <v>26009</v>
      </c>
      <c r="B29">
        <v>105.5</v>
      </c>
      <c r="C29">
        <f t="shared" si="1"/>
        <v>-5.6837818431933955E-4</v>
      </c>
      <c r="D29">
        <f t="shared" si="0"/>
        <v>-8.2645869470544323E-2</v>
      </c>
      <c r="F29">
        <f t="shared" si="4"/>
        <v>-7.6683103952172385</v>
      </c>
      <c r="G29">
        <f t="shared" si="2"/>
        <v>-7.7212967269260746</v>
      </c>
      <c r="H29">
        <v>1</v>
      </c>
      <c r="I29">
        <f t="shared" si="3"/>
        <v>7.3429272724661416E-4</v>
      </c>
      <c r="J29">
        <f t="shared" si="5"/>
        <v>4.5178724950133122E-14</v>
      </c>
    </row>
    <row r="30" spans="1:10" x14ac:dyDescent="0.3">
      <c r="A30" s="1">
        <v>26010</v>
      </c>
      <c r="B30">
        <v>105.879997</v>
      </c>
      <c r="C30">
        <f t="shared" si="1"/>
        <v>3.6018672985782276E-3</v>
      </c>
      <c r="D30">
        <f t="shared" si="0"/>
        <v>0.25095662100937111</v>
      </c>
      <c r="F30">
        <f t="shared" si="4"/>
        <v>-7.5623377317995661</v>
      </c>
      <c r="G30">
        <f t="shared" si="2"/>
        <v>-7.6153240635084023</v>
      </c>
      <c r="H30">
        <v>1</v>
      </c>
      <c r="I30">
        <f t="shared" si="3"/>
        <v>7.3429272724661416E-4</v>
      </c>
      <c r="J30">
        <f t="shared" si="5"/>
        <v>1.018251946943182E-13</v>
      </c>
    </row>
    <row r="31" spans="1:10" x14ac:dyDescent="0.3">
      <c r="A31" s="1">
        <v>26011</v>
      </c>
      <c r="B31">
        <v>105.769997</v>
      </c>
      <c r="C31">
        <f t="shared" si="1"/>
        <v>-1.0389120052581738E-3</v>
      </c>
      <c r="D31">
        <f t="shared" si="0"/>
        <v>-0.1202866402990182</v>
      </c>
      <c r="F31">
        <f t="shared" si="4"/>
        <v>-7.4563650683818938</v>
      </c>
      <c r="G31">
        <f t="shared" si="2"/>
        <v>-7.50935140009073</v>
      </c>
      <c r="H31">
        <v>0</v>
      </c>
      <c r="I31">
        <f t="shared" si="3"/>
        <v>0</v>
      </c>
      <c r="J31">
        <f t="shared" si="5"/>
        <v>2.2693386619445179E-13</v>
      </c>
    </row>
    <row r="32" spans="1:10" x14ac:dyDescent="0.3">
      <c r="A32" s="1">
        <v>26014</v>
      </c>
      <c r="B32">
        <v>105.370003</v>
      </c>
      <c r="C32">
        <f t="shared" si="1"/>
        <v>-3.7817340582888227E-3</v>
      </c>
      <c r="D32">
        <f t="shared" si="0"/>
        <v>-0.33970112598979607</v>
      </c>
      <c r="F32">
        <f t="shared" si="4"/>
        <v>-7.3503924049642215</v>
      </c>
      <c r="G32">
        <f t="shared" si="2"/>
        <v>-7.4033787366730577</v>
      </c>
      <c r="H32">
        <v>1</v>
      </c>
      <c r="I32">
        <f t="shared" si="3"/>
        <v>7.3429272724661416E-4</v>
      </c>
      <c r="J32">
        <f t="shared" si="5"/>
        <v>5.0011071424205407E-13</v>
      </c>
    </row>
    <row r="33" spans="1:10" x14ac:dyDescent="0.3">
      <c r="A33" s="1">
        <v>26015</v>
      </c>
      <c r="B33">
        <v>105.110001</v>
      </c>
      <c r="C33">
        <f t="shared" si="1"/>
        <v>-2.4675144025572446E-3</v>
      </c>
      <c r="D33">
        <f t="shared" si="0"/>
        <v>-0.23456895763478497</v>
      </c>
      <c r="F33">
        <f t="shared" si="4"/>
        <v>-7.2444197415465492</v>
      </c>
      <c r="G33">
        <f t="shared" si="2"/>
        <v>-7.2974060732553854</v>
      </c>
      <c r="H33">
        <v>1</v>
      </c>
      <c r="I33">
        <f t="shared" si="3"/>
        <v>7.3429272724661416E-4</v>
      </c>
      <c r="J33">
        <f t="shared" si="5"/>
        <v>1.0898225488107091E-12</v>
      </c>
    </row>
    <row r="34" spans="1:10" x14ac:dyDescent="0.3">
      <c r="A34" s="1">
        <v>26016</v>
      </c>
      <c r="B34">
        <v>104.699997</v>
      </c>
      <c r="C34">
        <f t="shared" si="1"/>
        <v>-3.9007135010873106E-3</v>
      </c>
      <c r="D34">
        <f t="shared" si="0"/>
        <v>-0.34921899216728297</v>
      </c>
      <c r="F34">
        <f t="shared" si="4"/>
        <v>-7.1384470781288769</v>
      </c>
      <c r="G34">
        <f t="shared" si="2"/>
        <v>-7.1914334098377131</v>
      </c>
      <c r="H34">
        <v>2</v>
      </c>
      <c r="I34">
        <f t="shared" si="3"/>
        <v>1.4685854544932283E-3</v>
      </c>
      <c r="J34">
        <f t="shared" si="5"/>
        <v>2.3483790839533367E-12</v>
      </c>
    </row>
    <row r="35" spans="1:10" x14ac:dyDescent="0.3">
      <c r="A35" s="1">
        <v>26017</v>
      </c>
      <c r="B35">
        <v>104.599998</v>
      </c>
      <c r="C35">
        <f t="shared" si="1"/>
        <v>-9.5510031389969233E-4</v>
      </c>
      <c r="D35">
        <f t="shared" si="0"/>
        <v>-0.11358204962607384</v>
      </c>
      <c r="F35">
        <f t="shared" si="4"/>
        <v>-7.0324744147112046</v>
      </c>
      <c r="G35">
        <f t="shared" si="2"/>
        <v>-7.0854607464200408</v>
      </c>
      <c r="H35">
        <v>0</v>
      </c>
      <c r="I35">
        <f t="shared" si="3"/>
        <v>0</v>
      </c>
      <c r="J35">
        <f t="shared" si="5"/>
        <v>5.0038398524930292E-12</v>
      </c>
    </row>
    <row r="36" spans="1:10" x14ac:dyDescent="0.3">
      <c r="A36" s="1">
        <v>26018</v>
      </c>
      <c r="B36">
        <v>105.07</v>
      </c>
      <c r="C36">
        <f t="shared" si="1"/>
        <v>4.493327045761452E-3</v>
      </c>
      <c r="D36">
        <f t="shared" si="0"/>
        <v>0.32226973507964518</v>
      </c>
      <c r="F36">
        <f t="shared" si="4"/>
        <v>-6.9265017512935323</v>
      </c>
      <c r="G36">
        <f t="shared" si="2"/>
        <v>-6.9794880830023684</v>
      </c>
      <c r="H36">
        <v>0</v>
      </c>
      <c r="I36">
        <f t="shared" si="3"/>
        <v>0</v>
      </c>
      <c r="J36">
        <f t="shared" si="5"/>
        <v>1.0542931468013461E-11</v>
      </c>
    </row>
    <row r="37" spans="1:10" x14ac:dyDescent="0.3">
      <c r="A37" s="1">
        <v>26021</v>
      </c>
      <c r="B37">
        <v>105.199997</v>
      </c>
      <c r="C37">
        <f t="shared" si="1"/>
        <v>1.2372418387741795E-3</v>
      </c>
      <c r="D37">
        <f t="shared" si="0"/>
        <v>6.1796307623037582E-2</v>
      </c>
      <c r="F37">
        <f t="shared" si="4"/>
        <v>-6.82052908787586</v>
      </c>
      <c r="G37">
        <f t="shared" si="2"/>
        <v>-6.8735154195846961</v>
      </c>
      <c r="H37">
        <v>1</v>
      </c>
      <c r="I37">
        <f t="shared" si="3"/>
        <v>7.3429272724661416E-4</v>
      </c>
      <c r="J37">
        <f t="shared" si="5"/>
        <v>2.1965553385753218E-11</v>
      </c>
    </row>
    <row r="38" spans="1:10" x14ac:dyDescent="0.3">
      <c r="A38" s="1">
        <v>26022</v>
      </c>
      <c r="B38">
        <v>105.44000200000001</v>
      </c>
      <c r="C38">
        <f t="shared" si="1"/>
        <v>2.2814164148693911E-3</v>
      </c>
      <c r="D38">
        <f t="shared" si="0"/>
        <v>0.14532598003914191</v>
      </c>
      <c r="F38">
        <f t="shared" si="4"/>
        <v>-6.7145564244581877</v>
      </c>
      <c r="G38">
        <f t="shared" si="2"/>
        <v>-6.7675427561670238</v>
      </c>
      <c r="H38">
        <v>1</v>
      </c>
      <c r="I38">
        <f t="shared" si="3"/>
        <v>7.3429272724661416E-4</v>
      </c>
      <c r="J38">
        <f t="shared" si="5"/>
        <v>4.52528252404312E-11</v>
      </c>
    </row>
    <row r="39" spans="1:10" x14ac:dyDescent="0.3">
      <c r="A39" s="1">
        <v>26023</v>
      </c>
      <c r="B39">
        <v>105.970001</v>
      </c>
      <c r="C39">
        <f t="shared" si="1"/>
        <v>5.0265458075388642E-3</v>
      </c>
      <c r="D39">
        <f t="shared" si="0"/>
        <v>0.36492504341318838</v>
      </c>
      <c r="F39">
        <f t="shared" si="4"/>
        <v>-6.6085837610405154</v>
      </c>
      <c r="G39">
        <f t="shared" si="2"/>
        <v>-6.6615700927493515</v>
      </c>
      <c r="H39">
        <v>0</v>
      </c>
      <c r="I39">
        <f t="shared" si="3"/>
        <v>0</v>
      </c>
      <c r="J39">
        <f t="shared" si="5"/>
        <v>9.2187498698629078E-11</v>
      </c>
    </row>
    <row r="40" spans="1:10" x14ac:dyDescent="0.3">
      <c r="A40" s="1">
        <v>26024</v>
      </c>
      <c r="B40">
        <v>106.339996</v>
      </c>
      <c r="C40">
        <f t="shared" si="1"/>
        <v>3.4915069973435499E-3</v>
      </c>
      <c r="D40">
        <f t="shared" si="0"/>
        <v>0.24212825071486715</v>
      </c>
      <c r="F40">
        <f t="shared" si="4"/>
        <v>-6.5026110976228431</v>
      </c>
      <c r="G40">
        <f t="shared" si="2"/>
        <v>-6.5555974293316792</v>
      </c>
      <c r="H40">
        <v>0</v>
      </c>
      <c r="I40">
        <f t="shared" si="3"/>
        <v>0</v>
      </c>
      <c r="J40">
        <f t="shared" si="5"/>
        <v>1.8570395297022115E-10</v>
      </c>
    </row>
    <row r="41" spans="1:10" x14ac:dyDescent="0.3">
      <c r="A41" s="1">
        <v>26025</v>
      </c>
      <c r="B41">
        <v>106.860001</v>
      </c>
      <c r="C41">
        <f t="shared" si="1"/>
        <v>4.890022753057068E-3</v>
      </c>
      <c r="D41">
        <f t="shared" si="0"/>
        <v>0.35400376044079912</v>
      </c>
      <c r="F41">
        <f t="shared" si="4"/>
        <v>-6.3966384342051708</v>
      </c>
      <c r="G41">
        <f t="shared" si="2"/>
        <v>-6.4496247659140069</v>
      </c>
      <c r="H41">
        <v>0</v>
      </c>
      <c r="I41">
        <f t="shared" si="3"/>
        <v>0</v>
      </c>
      <c r="J41">
        <f t="shared" si="5"/>
        <v>3.6990742520292061E-10</v>
      </c>
    </row>
    <row r="42" spans="1:10" x14ac:dyDescent="0.3">
      <c r="A42" s="1">
        <v>26028</v>
      </c>
      <c r="B42">
        <v>107.16999800000001</v>
      </c>
      <c r="C42">
        <f t="shared" si="1"/>
        <v>2.9009638508239381E-3</v>
      </c>
      <c r="D42">
        <f t="shared" si="0"/>
        <v>0.19488722732122654</v>
      </c>
      <c r="F42">
        <f t="shared" si="4"/>
        <v>-6.2906657707874984</v>
      </c>
      <c r="G42">
        <f t="shared" si="2"/>
        <v>-6.3436521024963346</v>
      </c>
      <c r="H42">
        <v>0</v>
      </c>
      <c r="I42">
        <f t="shared" si="3"/>
        <v>0</v>
      </c>
      <c r="J42">
        <f t="shared" si="5"/>
        <v>7.2859759518413328E-10</v>
      </c>
    </row>
    <row r="43" spans="1:10" x14ac:dyDescent="0.3">
      <c r="A43" s="1">
        <v>26029</v>
      </c>
      <c r="B43">
        <v>107.55999799999999</v>
      </c>
      <c r="C43">
        <f t="shared" si="1"/>
        <v>3.6390781681267395E-3</v>
      </c>
      <c r="D43">
        <f t="shared" si="0"/>
        <v>0.2539333375612422</v>
      </c>
      <c r="F43">
        <f t="shared" si="4"/>
        <v>-6.1846931073698261</v>
      </c>
      <c r="G43">
        <f t="shared" si="2"/>
        <v>-6.2376794390786623</v>
      </c>
      <c r="H43">
        <v>0</v>
      </c>
      <c r="I43">
        <f t="shared" si="3"/>
        <v>0</v>
      </c>
      <c r="J43">
        <f t="shared" si="5"/>
        <v>1.4190745182036733E-9</v>
      </c>
    </row>
    <row r="44" spans="1:10" x14ac:dyDescent="0.3">
      <c r="A44" s="1">
        <v>26030</v>
      </c>
      <c r="B44">
        <v>108.05999799999999</v>
      </c>
      <c r="C44">
        <f t="shared" si="1"/>
        <v>4.6485683274185259E-3</v>
      </c>
      <c r="D44">
        <f t="shared" si="0"/>
        <v>0.3346883992562466</v>
      </c>
      <c r="F44">
        <f t="shared" si="4"/>
        <v>-6.0787204439521538</v>
      </c>
      <c r="G44">
        <f t="shared" si="2"/>
        <v>-6.13170677566099</v>
      </c>
      <c r="H44">
        <v>1</v>
      </c>
      <c r="I44">
        <f t="shared" si="3"/>
        <v>7.3429272724661416E-4</v>
      </c>
      <c r="J44">
        <f t="shared" si="5"/>
        <v>2.7330366373468705E-9</v>
      </c>
    </row>
    <row r="45" spans="1:10" x14ac:dyDescent="0.3">
      <c r="A45" s="1">
        <v>26031</v>
      </c>
      <c r="B45">
        <v>108.379997</v>
      </c>
      <c r="C45">
        <f t="shared" si="1"/>
        <v>2.9613085871055627E-3</v>
      </c>
      <c r="D45">
        <f t="shared" si="0"/>
        <v>0.19971455808471822</v>
      </c>
      <c r="F45">
        <f t="shared" si="4"/>
        <v>-5.9727477805344815</v>
      </c>
      <c r="G45">
        <f t="shared" si="2"/>
        <v>-6.0257341122433177</v>
      </c>
      <c r="H45">
        <v>0</v>
      </c>
      <c r="I45">
        <f t="shared" si="3"/>
        <v>0</v>
      </c>
      <c r="J45">
        <f t="shared" si="5"/>
        <v>5.2048532520302715E-9</v>
      </c>
    </row>
    <row r="46" spans="1:10" x14ac:dyDescent="0.3">
      <c r="A46" s="1">
        <v>26035</v>
      </c>
      <c r="B46">
        <v>108.870003</v>
      </c>
      <c r="C46">
        <f t="shared" si="1"/>
        <v>4.5211848455761995E-3</v>
      </c>
      <c r="D46">
        <f t="shared" si="0"/>
        <v>0.32449824451286768</v>
      </c>
      <c r="F46">
        <f t="shared" si="4"/>
        <v>-5.8667751171168092</v>
      </c>
      <c r="G46">
        <f t="shared" si="2"/>
        <v>-5.9197614488256454</v>
      </c>
      <c r="H46">
        <v>1</v>
      </c>
      <c r="I46">
        <f t="shared" si="3"/>
        <v>7.3429272724661416E-4</v>
      </c>
      <c r="J46">
        <f t="shared" si="5"/>
        <v>9.8015398240874808E-9</v>
      </c>
    </row>
    <row r="47" spans="1:10" x14ac:dyDescent="0.3">
      <c r="A47" s="1">
        <v>26036</v>
      </c>
      <c r="B47">
        <v>108.849998</v>
      </c>
      <c r="C47">
        <f t="shared" si="1"/>
        <v>-1.8375125791075442E-4</v>
      </c>
      <c r="D47">
        <f t="shared" si="0"/>
        <v>-5.1877296953229318E-2</v>
      </c>
      <c r="F47">
        <f t="shared" si="4"/>
        <v>-5.7608024536991369</v>
      </c>
      <c r="G47">
        <f t="shared" si="2"/>
        <v>-5.8137887854079731</v>
      </c>
      <c r="H47">
        <v>2</v>
      </c>
      <c r="I47">
        <f t="shared" si="3"/>
        <v>1.4685854544932283E-3</v>
      </c>
      <c r="J47">
        <f t="shared" si="5"/>
        <v>1.8251682783157671E-8</v>
      </c>
    </row>
    <row r="48" spans="1:10" x14ac:dyDescent="0.3">
      <c r="A48" s="1">
        <v>26037</v>
      </c>
      <c r="B48">
        <v>109.08000199999999</v>
      </c>
      <c r="C48">
        <f t="shared" si="1"/>
        <v>2.113036327295053E-3</v>
      </c>
      <c r="D48">
        <f t="shared" si="0"/>
        <v>0.13185626541625212</v>
      </c>
      <c r="F48">
        <f t="shared" si="4"/>
        <v>-5.6548297902814646</v>
      </c>
      <c r="G48">
        <f t="shared" si="2"/>
        <v>-5.7078161219903008</v>
      </c>
      <c r="H48">
        <v>2</v>
      </c>
      <c r="I48">
        <f t="shared" si="3"/>
        <v>1.4685854544932283E-3</v>
      </c>
      <c r="J48">
        <f t="shared" si="5"/>
        <v>3.3607352334658142E-8</v>
      </c>
    </row>
    <row r="49" spans="1:10" x14ac:dyDescent="0.3">
      <c r="A49" s="1">
        <v>26038</v>
      </c>
      <c r="B49">
        <v>109.69000200000001</v>
      </c>
      <c r="C49">
        <f t="shared" si="1"/>
        <v>5.5922257867213245E-3</v>
      </c>
      <c r="D49">
        <f t="shared" si="0"/>
        <v>0.4101771156578119</v>
      </c>
      <c r="F49">
        <f t="shared" si="4"/>
        <v>-5.5488571268637923</v>
      </c>
      <c r="G49">
        <f t="shared" si="2"/>
        <v>-5.6018434585726284</v>
      </c>
      <c r="H49">
        <v>1</v>
      </c>
      <c r="I49">
        <f t="shared" si="3"/>
        <v>7.3429272724661416E-4</v>
      </c>
      <c r="J49">
        <f t="shared" si="5"/>
        <v>6.1191129522191947E-8</v>
      </c>
    </row>
    <row r="50" spans="1:10" x14ac:dyDescent="0.3">
      <c r="A50" s="1">
        <v>26039</v>
      </c>
      <c r="B50">
        <v>109.959999</v>
      </c>
      <c r="C50">
        <f t="shared" si="1"/>
        <v>2.461454964692127E-3</v>
      </c>
      <c r="D50">
        <f t="shared" si="0"/>
        <v>0.15972832370202028</v>
      </c>
      <c r="F50">
        <f t="shared" si="4"/>
        <v>-5.44288446344612</v>
      </c>
      <c r="G50">
        <f t="shared" si="2"/>
        <v>-5.4958707951549561</v>
      </c>
      <c r="H50">
        <v>1</v>
      </c>
      <c r="I50">
        <f t="shared" si="3"/>
        <v>7.3429272724661416E-4</v>
      </c>
      <c r="J50">
        <f t="shared" si="5"/>
        <v>1.1017052637932548E-7</v>
      </c>
    </row>
    <row r="51" spans="1:10" x14ac:dyDescent="0.3">
      <c r="A51" s="1">
        <v>26042</v>
      </c>
      <c r="B51">
        <v>110.160004</v>
      </c>
      <c r="C51">
        <f t="shared" si="1"/>
        <v>1.8188887033366056E-3</v>
      </c>
      <c r="D51">
        <f t="shared" si="0"/>
        <v>0.10832566504183334</v>
      </c>
      <c r="F51">
        <f t="shared" si="4"/>
        <v>-5.3369118000284477</v>
      </c>
      <c r="G51">
        <f t="shared" si="2"/>
        <v>-5.3898981317372838</v>
      </c>
      <c r="H51">
        <v>0</v>
      </c>
      <c r="I51">
        <f t="shared" si="3"/>
        <v>0</v>
      </c>
      <c r="J51">
        <f t="shared" si="5"/>
        <v>1.961395446664286E-7</v>
      </c>
    </row>
    <row r="52" spans="1:10" x14ac:dyDescent="0.3">
      <c r="A52" s="1">
        <v>26043</v>
      </c>
      <c r="B52">
        <v>109.529999</v>
      </c>
      <c r="C52">
        <f t="shared" si="1"/>
        <v>-5.7189994292302041E-3</v>
      </c>
      <c r="D52">
        <f t="shared" si="0"/>
        <v>-0.49467438958230203</v>
      </c>
      <c r="F52">
        <f t="shared" si="4"/>
        <v>-5.2309391366107754</v>
      </c>
      <c r="G52">
        <f t="shared" si="2"/>
        <v>-5.2839254683196115</v>
      </c>
      <c r="H52">
        <v>1</v>
      </c>
      <c r="I52">
        <f t="shared" si="3"/>
        <v>7.3429272724661416E-4</v>
      </c>
      <c r="J52">
        <f t="shared" si="5"/>
        <v>3.4529292900777055E-7</v>
      </c>
    </row>
    <row r="53" spans="1:10" x14ac:dyDescent="0.3">
      <c r="A53" s="1">
        <v>26044</v>
      </c>
      <c r="B53">
        <v>109.519997</v>
      </c>
      <c r="C53">
        <f t="shared" si="1"/>
        <v>-9.1317448108440741E-5</v>
      </c>
      <c r="D53">
        <f t="shared" si="0"/>
        <v>-4.448297225914126E-2</v>
      </c>
      <c r="F53">
        <f t="shared" si="4"/>
        <v>-5.1249664731931031</v>
      </c>
      <c r="G53">
        <f t="shared" si="2"/>
        <v>-5.1779528049019392</v>
      </c>
      <c r="H53">
        <v>0</v>
      </c>
      <c r="I53">
        <f t="shared" si="3"/>
        <v>0</v>
      </c>
      <c r="J53">
        <f t="shared" si="5"/>
        <v>6.0108098678680362E-7</v>
      </c>
    </row>
    <row r="54" spans="1:10" x14ac:dyDescent="0.3">
      <c r="A54" s="1">
        <v>26045</v>
      </c>
      <c r="B54">
        <v>109.989998</v>
      </c>
      <c r="C54">
        <f t="shared" si="1"/>
        <v>4.2914628640831351E-3</v>
      </c>
      <c r="D54">
        <f t="shared" si="0"/>
        <v>0.30612143061585478</v>
      </c>
      <c r="F54">
        <f t="shared" si="4"/>
        <v>-5.0189938097754307</v>
      </c>
      <c r="G54">
        <f t="shared" si="2"/>
        <v>-5.0719801414842669</v>
      </c>
      <c r="H54">
        <v>1</v>
      </c>
      <c r="I54">
        <f t="shared" si="3"/>
        <v>7.3429272724661416E-4</v>
      </c>
      <c r="J54">
        <f t="shared" si="5"/>
        <v>1.034668149656866E-6</v>
      </c>
    </row>
    <row r="55" spans="1:10" x14ac:dyDescent="0.3">
      <c r="A55" s="1">
        <v>26046</v>
      </c>
      <c r="B55">
        <v>110.69000200000001</v>
      </c>
      <c r="C55">
        <f t="shared" si="1"/>
        <v>6.3642514112965702E-3</v>
      </c>
      <c r="D55">
        <f t="shared" si="0"/>
        <v>0.47193599103549438</v>
      </c>
      <c r="F55">
        <f t="shared" si="4"/>
        <v>-4.9130211463577584</v>
      </c>
      <c r="G55">
        <f t="shared" si="2"/>
        <v>-4.9660074780665946</v>
      </c>
      <c r="H55">
        <v>3</v>
      </c>
      <c r="I55">
        <f t="shared" si="3"/>
        <v>2.2028781817398425E-3</v>
      </c>
      <c r="J55">
        <f t="shared" si="5"/>
        <v>1.7611321841042891E-6</v>
      </c>
    </row>
    <row r="56" spans="1:10" x14ac:dyDescent="0.3">
      <c r="A56" s="1">
        <v>26049</v>
      </c>
      <c r="B56">
        <v>111.129997</v>
      </c>
      <c r="C56">
        <f t="shared" si="1"/>
        <v>3.9750202552168721E-3</v>
      </c>
      <c r="D56">
        <f t="shared" si="0"/>
        <v>0.28080732312633649</v>
      </c>
      <c r="F56">
        <f t="shared" si="4"/>
        <v>-4.8070484829400861</v>
      </c>
      <c r="G56">
        <f t="shared" si="2"/>
        <v>-4.8600348146489223</v>
      </c>
      <c r="H56">
        <v>1</v>
      </c>
      <c r="I56">
        <f t="shared" si="3"/>
        <v>7.3429272724661416E-4</v>
      </c>
      <c r="J56">
        <f t="shared" si="5"/>
        <v>2.9641870862511219E-6</v>
      </c>
    </row>
    <row r="57" spans="1:10" x14ac:dyDescent="0.3">
      <c r="A57" s="1">
        <v>26050</v>
      </c>
      <c r="B57">
        <v>111.69000200000001</v>
      </c>
      <c r="C57">
        <f t="shared" si="1"/>
        <v>5.0391884740175405E-3</v>
      </c>
      <c r="D57">
        <f t="shared" si="0"/>
        <v>0.36593640474452732</v>
      </c>
      <c r="F57">
        <f t="shared" si="4"/>
        <v>-4.7010758195224138</v>
      </c>
      <c r="G57">
        <f t="shared" si="2"/>
        <v>-4.75406215123125</v>
      </c>
      <c r="H57">
        <v>1</v>
      </c>
      <c r="I57">
        <f t="shared" si="3"/>
        <v>7.3429272724661416E-4</v>
      </c>
      <c r="J57">
        <f t="shared" si="5"/>
        <v>4.9333514079793739E-6</v>
      </c>
    </row>
    <row r="58" spans="1:10" x14ac:dyDescent="0.3">
      <c r="A58" s="1">
        <v>26051</v>
      </c>
      <c r="B58">
        <v>112.370003</v>
      </c>
      <c r="C58">
        <f t="shared" si="1"/>
        <v>6.0882889052145421E-3</v>
      </c>
      <c r="D58">
        <f t="shared" si="0"/>
        <v>0.44986012531353764</v>
      </c>
      <c r="F58">
        <f t="shared" si="4"/>
        <v>-4.5951031561047415</v>
      </c>
      <c r="G58">
        <f t="shared" si="2"/>
        <v>-4.6480894878135777</v>
      </c>
      <c r="H58">
        <v>3</v>
      </c>
      <c r="I58">
        <f t="shared" si="3"/>
        <v>2.2028781817398425E-3</v>
      </c>
      <c r="J58">
        <f t="shared" si="5"/>
        <v>8.1189763535910331E-6</v>
      </c>
    </row>
    <row r="59" spans="1:10" x14ac:dyDescent="0.3">
      <c r="A59" s="1">
        <v>26052</v>
      </c>
      <c r="B59">
        <v>112.459999</v>
      </c>
      <c r="C59">
        <f t="shared" si="1"/>
        <v>8.0088989585591901E-4</v>
      </c>
      <c r="D59">
        <f t="shared" si="0"/>
        <v>2.6889946479487326E-2</v>
      </c>
      <c r="F59">
        <f t="shared" si="4"/>
        <v>-4.4891304926870692</v>
      </c>
      <c r="G59">
        <f t="shared" si="2"/>
        <v>-4.5421168243959054</v>
      </c>
      <c r="H59">
        <v>2</v>
      </c>
      <c r="I59">
        <f t="shared" si="3"/>
        <v>1.4685854544932283E-3</v>
      </c>
      <c r="J59">
        <f t="shared" si="5"/>
        <v>1.3212447815128793E-5</v>
      </c>
    </row>
    <row r="60" spans="1:10" x14ac:dyDescent="0.3">
      <c r="A60" s="1">
        <v>26053</v>
      </c>
      <c r="B60">
        <v>112.300003</v>
      </c>
      <c r="C60">
        <f t="shared" si="1"/>
        <v>-1.4226925255440602E-3</v>
      </c>
      <c r="D60">
        <f t="shared" si="0"/>
        <v>-0.1509875038069601</v>
      </c>
      <c r="F60">
        <f t="shared" si="4"/>
        <v>-4.3831578292693969</v>
      </c>
      <c r="G60">
        <f t="shared" si="2"/>
        <v>-4.4361441609782331</v>
      </c>
      <c r="H60">
        <v>4</v>
      </c>
      <c r="I60">
        <f t="shared" si="3"/>
        <v>2.9371709089864566E-3</v>
      </c>
      <c r="J60">
        <f t="shared" si="5"/>
        <v>2.1261214902442252E-5</v>
      </c>
    </row>
    <row r="61" spans="1:10" x14ac:dyDescent="0.3">
      <c r="A61" s="1">
        <v>26056</v>
      </c>
      <c r="B61">
        <v>111.349998</v>
      </c>
      <c r="C61">
        <f t="shared" si="1"/>
        <v>-8.4595278238773011E-3</v>
      </c>
      <c r="D61">
        <f t="shared" si="0"/>
        <v>-0.71390539203397529</v>
      </c>
      <c r="F61">
        <f t="shared" si="4"/>
        <v>-4.2771851658517246</v>
      </c>
      <c r="G61">
        <f t="shared" si="2"/>
        <v>-4.3301714975605607</v>
      </c>
      <c r="H61">
        <v>3</v>
      </c>
      <c r="I61">
        <f t="shared" si="3"/>
        <v>2.2028781817398425E-3</v>
      </c>
      <c r="J61">
        <f t="shared" si="5"/>
        <v>3.383106372746081E-5</v>
      </c>
    </row>
    <row r="62" spans="1:10" x14ac:dyDescent="0.3">
      <c r="A62" s="1">
        <v>26057</v>
      </c>
      <c r="B62">
        <v>111.769997</v>
      </c>
      <c r="C62">
        <f t="shared" si="1"/>
        <v>3.7718815226202721E-3</v>
      </c>
      <c r="D62">
        <f t="shared" si="0"/>
        <v>0.26455705983006811</v>
      </c>
      <c r="F62">
        <f t="shared" si="4"/>
        <v>-4.1712125024340523</v>
      </c>
      <c r="G62">
        <f t="shared" si="2"/>
        <v>-4.2241988341428884</v>
      </c>
      <c r="H62">
        <v>2</v>
      </c>
      <c r="I62">
        <f t="shared" si="3"/>
        <v>1.4685854544932283E-3</v>
      </c>
      <c r="J62">
        <f t="shared" si="5"/>
        <v>5.323117013536724E-5</v>
      </c>
    </row>
    <row r="63" spans="1:10" x14ac:dyDescent="0.3">
      <c r="A63" s="1">
        <v>26058</v>
      </c>
      <c r="B63">
        <v>111.68</v>
      </c>
      <c r="C63">
        <f t="shared" si="1"/>
        <v>-8.0519819643545994E-4</v>
      </c>
      <c r="D63">
        <f t="shared" si="0"/>
        <v>-0.1015904966301254</v>
      </c>
      <c r="F63">
        <f t="shared" si="4"/>
        <v>-4.06523983901638</v>
      </c>
      <c r="G63">
        <f t="shared" si="2"/>
        <v>-4.1182261707252161</v>
      </c>
      <c r="H63">
        <v>4</v>
      </c>
      <c r="I63">
        <f t="shared" si="3"/>
        <v>2.9371709089864566E-3</v>
      </c>
      <c r="J63">
        <f t="shared" si="5"/>
        <v>8.2820749525976884E-5</v>
      </c>
    </row>
    <row r="64" spans="1:10" x14ac:dyDescent="0.3">
      <c r="A64" s="1">
        <v>26059</v>
      </c>
      <c r="B64">
        <v>111.05999799999999</v>
      </c>
      <c r="C64">
        <f t="shared" si="1"/>
        <v>-5.5515938395416693E-3</v>
      </c>
      <c r="D64">
        <f t="shared" si="0"/>
        <v>-0.48128263078311728</v>
      </c>
      <c r="F64">
        <f t="shared" si="4"/>
        <v>-3.9592671755987081</v>
      </c>
      <c r="G64">
        <f t="shared" si="2"/>
        <v>-4.0122535073075438</v>
      </c>
      <c r="H64">
        <v>5</v>
      </c>
      <c r="I64">
        <f t="shared" si="3"/>
        <v>3.6714636362330712E-3</v>
      </c>
      <c r="J64">
        <f t="shared" si="5"/>
        <v>1.2741926155487323E-4</v>
      </c>
    </row>
    <row r="65" spans="1:10" x14ac:dyDescent="0.3">
      <c r="A65" s="1">
        <v>26060</v>
      </c>
      <c r="B65">
        <v>110.660004</v>
      </c>
      <c r="C65">
        <f t="shared" si="1"/>
        <v>-3.6016028021177565E-3</v>
      </c>
      <c r="D65">
        <f t="shared" si="0"/>
        <v>-0.32529136620026206</v>
      </c>
      <c r="F65">
        <f t="shared" si="4"/>
        <v>-3.8532945121810362</v>
      </c>
      <c r="G65">
        <f t="shared" si="2"/>
        <v>-3.9062808438898724</v>
      </c>
      <c r="H65">
        <v>4</v>
      </c>
      <c r="I65">
        <f t="shared" si="3"/>
        <v>2.9371709089864566E-3</v>
      </c>
      <c r="J65">
        <f t="shared" si="5"/>
        <v>1.9384463914698405E-4</v>
      </c>
    </row>
    <row r="66" spans="1:10" x14ac:dyDescent="0.3">
      <c r="A66" s="1">
        <v>26063</v>
      </c>
      <c r="B66">
        <v>110.150002</v>
      </c>
      <c r="C66">
        <f t="shared" si="1"/>
        <v>-4.6087292749420116E-3</v>
      </c>
      <c r="D66">
        <f t="shared" si="0"/>
        <v>-0.40585734269740076</v>
      </c>
      <c r="F66">
        <f t="shared" si="4"/>
        <v>-3.7473218487633644</v>
      </c>
      <c r="G66">
        <f t="shared" si="2"/>
        <v>-3.8003081804722005</v>
      </c>
      <c r="H66">
        <v>4</v>
      </c>
      <c r="I66">
        <f t="shared" si="3"/>
        <v>2.9371709089864566E-3</v>
      </c>
      <c r="J66">
        <f t="shared" si="5"/>
        <v>2.9160521716232882E-4</v>
      </c>
    </row>
    <row r="67" spans="1:10" x14ac:dyDescent="0.3">
      <c r="A67" s="1">
        <v>26064</v>
      </c>
      <c r="B67">
        <v>110.33000199999999</v>
      </c>
      <c r="C67">
        <f t="shared" si="1"/>
        <v>1.6341352404150896E-3</v>
      </c>
      <c r="D67">
        <f t="shared" ref="D67:D130" si="6">(C67-avrtn)/sdrtn</f>
        <v>9.3546147718891054E-2</v>
      </c>
      <c r="F67">
        <f t="shared" si="4"/>
        <v>-3.6413491853456925</v>
      </c>
      <c r="G67">
        <f t="shared" si="2"/>
        <v>-3.6943355170545287</v>
      </c>
      <c r="H67">
        <v>3</v>
      </c>
      <c r="I67">
        <f t="shared" si="3"/>
        <v>2.2028781817398425E-3</v>
      </c>
      <c r="J67">
        <f t="shared" si="5"/>
        <v>4.3377005585490988E-4</v>
      </c>
    </row>
    <row r="68" spans="1:10" x14ac:dyDescent="0.3">
      <c r="A68" s="1">
        <v>26065</v>
      </c>
      <c r="B68">
        <v>110.370003</v>
      </c>
      <c r="C68">
        <f t="shared" ref="C68:C131" si="7">(B68-B67)/B67</f>
        <v>3.6255777462964001E-4</v>
      </c>
      <c r="D68">
        <f t="shared" si="6"/>
        <v>-8.1748207861625528E-3</v>
      </c>
      <c r="F68">
        <f t="shared" si="4"/>
        <v>-3.5353765219280207</v>
      </c>
      <c r="G68">
        <f t="shared" si="2"/>
        <v>-3.5883628536368568</v>
      </c>
      <c r="H68">
        <v>8</v>
      </c>
      <c r="I68">
        <f t="shared" si="3"/>
        <v>5.8743418179729133E-3</v>
      </c>
      <c r="J68">
        <f t="shared" si="5"/>
        <v>6.3803812593566896E-4</v>
      </c>
    </row>
    <row r="69" spans="1:10" x14ac:dyDescent="0.3">
      <c r="A69" s="1">
        <v>26066</v>
      </c>
      <c r="B69">
        <v>110.550003</v>
      </c>
      <c r="C69">
        <f t="shared" si="7"/>
        <v>1.6308779116369764E-3</v>
      </c>
      <c r="D69">
        <f t="shared" si="6"/>
        <v>9.328557481085796E-2</v>
      </c>
      <c r="F69">
        <f t="shared" si="4"/>
        <v>-3.4294038585103488</v>
      </c>
      <c r="G69">
        <f t="shared" si="2"/>
        <v>-3.4823901902191849</v>
      </c>
      <c r="H69">
        <v>6</v>
      </c>
      <c r="I69">
        <f t="shared" si="3"/>
        <v>4.405756363479685E-3</v>
      </c>
      <c r="J69">
        <f t="shared" si="5"/>
        <v>9.2801816439133384E-4</v>
      </c>
    </row>
    <row r="70" spans="1:10" x14ac:dyDescent="0.3">
      <c r="A70" s="1">
        <v>26067</v>
      </c>
      <c r="B70">
        <v>110.739998</v>
      </c>
      <c r="C70">
        <f t="shared" si="7"/>
        <v>1.7186340555775121E-3</v>
      </c>
      <c r="D70">
        <f t="shared" si="6"/>
        <v>0.10030570547068074</v>
      </c>
      <c r="F70">
        <f t="shared" si="4"/>
        <v>-3.3234311950926769</v>
      </c>
      <c r="G70">
        <f t="shared" si="2"/>
        <v>-3.3764175268015131</v>
      </c>
      <c r="H70">
        <v>11</v>
      </c>
      <c r="I70">
        <f t="shared" si="3"/>
        <v>8.0772199997127571E-3</v>
      </c>
      <c r="J70">
        <f t="shared" si="5"/>
        <v>1.3347167380881816E-3</v>
      </c>
    </row>
    <row r="71" spans="1:10" x14ac:dyDescent="0.3">
      <c r="A71" s="1">
        <v>26070</v>
      </c>
      <c r="B71">
        <v>109.150002</v>
      </c>
      <c r="C71">
        <f t="shared" si="7"/>
        <v>-1.4357919710274867E-2</v>
      </c>
      <c r="D71">
        <f t="shared" si="6"/>
        <v>-1.1857524886134183</v>
      </c>
      <c r="F71">
        <f t="shared" si="4"/>
        <v>-3.2174585316750051</v>
      </c>
      <c r="G71">
        <f t="shared" si="2"/>
        <v>-3.2704448633838412</v>
      </c>
      <c r="H71">
        <v>11</v>
      </c>
      <c r="I71">
        <f t="shared" si="3"/>
        <v>8.0772199997127571E-3</v>
      </c>
      <c r="J71">
        <f t="shared" si="5"/>
        <v>1.8982111516660681E-3</v>
      </c>
    </row>
    <row r="72" spans="1:10" x14ac:dyDescent="0.3">
      <c r="A72" s="1">
        <v>26071</v>
      </c>
      <c r="B72">
        <v>108.400002</v>
      </c>
      <c r="C72">
        <f t="shared" si="7"/>
        <v>-6.871277931813506E-3</v>
      </c>
      <c r="D72">
        <f t="shared" si="6"/>
        <v>-0.58685193159145177</v>
      </c>
      <c r="F72">
        <f t="shared" si="4"/>
        <v>-3.1114858682573332</v>
      </c>
      <c r="G72">
        <f t="shared" ref="G72:G135" si="8">F72-0.5*bucketwidth</f>
        <v>-3.1644721999661694</v>
      </c>
      <c r="H72">
        <v>17</v>
      </c>
      <c r="I72">
        <f t="shared" ref="I72:I135" si="9">H72/datacount/bucketwidth</f>
        <v>1.2482976363192443E-2</v>
      </c>
      <c r="J72">
        <f t="shared" si="5"/>
        <v>2.6694556990540675E-3</v>
      </c>
    </row>
    <row r="73" spans="1:10" x14ac:dyDescent="0.3">
      <c r="A73" s="1">
        <v>26072</v>
      </c>
      <c r="B73">
        <v>108.33000199999999</v>
      </c>
      <c r="C73">
        <f t="shared" si="7"/>
        <v>-6.4575644565031823E-4</v>
      </c>
      <c r="D73">
        <f t="shared" si="6"/>
        <v>-8.8835812195710823E-2</v>
      </c>
      <c r="F73">
        <f t="shared" ref="F73:F136" si="10">F72+bucketwidth</f>
        <v>-3.0055132048396613</v>
      </c>
      <c r="G73">
        <f t="shared" si="8"/>
        <v>-3.0584995365484975</v>
      </c>
      <c r="H73">
        <v>14</v>
      </c>
      <c r="I73">
        <f t="shared" si="9"/>
        <v>1.0280098181452601E-2</v>
      </c>
      <c r="J73">
        <f t="shared" ref="J73:J136" si="11">1/SQRT(2*PI())*EXP(-0.5*G73*G73)</f>
        <v>3.7121344633985242E-3</v>
      </c>
    </row>
    <row r="74" spans="1:10" x14ac:dyDescent="0.3">
      <c r="A74" s="1">
        <v>26073</v>
      </c>
      <c r="B74">
        <v>108.720001</v>
      </c>
      <c r="C74">
        <f t="shared" si="7"/>
        <v>3.6001014751204669E-3</v>
      </c>
      <c r="D74">
        <f t="shared" si="6"/>
        <v>0.25081536239385971</v>
      </c>
      <c r="F74">
        <f t="shared" si="10"/>
        <v>-2.8995405414219895</v>
      </c>
      <c r="G74">
        <f t="shared" si="8"/>
        <v>-2.9525268731308256</v>
      </c>
      <c r="H74">
        <v>16</v>
      </c>
      <c r="I74">
        <f t="shared" si="9"/>
        <v>1.1748683635945827E-2</v>
      </c>
      <c r="J74">
        <f t="shared" si="11"/>
        <v>5.1044324876693831E-3</v>
      </c>
    </row>
    <row r="75" spans="1:10" x14ac:dyDescent="0.3">
      <c r="A75" s="1">
        <v>26074</v>
      </c>
      <c r="B75">
        <v>108.849998</v>
      </c>
      <c r="C75">
        <f t="shared" si="7"/>
        <v>1.1957045511800817E-3</v>
      </c>
      <c r="D75">
        <f t="shared" si="6"/>
        <v>5.8473495417856937E-2</v>
      </c>
      <c r="F75">
        <f t="shared" si="10"/>
        <v>-2.7935678780043176</v>
      </c>
      <c r="G75">
        <f t="shared" si="8"/>
        <v>-2.8465542097131538</v>
      </c>
      <c r="H75">
        <v>12</v>
      </c>
      <c r="I75">
        <f t="shared" si="9"/>
        <v>8.8115127269593699E-3</v>
      </c>
      <c r="J75">
        <f t="shared" si="11"/>
        <v>6.940552007628116E-3</v>
      </c>
    </row>
    <row r="76" spans="1:10" x14ac:dyDescent="0.3">
      <c r="A76" s="1">
        <v>26077</v>
      </c>
      <c r="B76">
        <v>108.41999800000001</v>
      </c>
      <c r="C76">
        <f t="shared" si="7"/>
        <v>-3.9503905181513428E-3</v>
      </c>
      <c r="D76">
        <f t="shared" si="6"/>
        <v>-0.35319294925929079</v>
      </c>
      <c r="F76">
        <f t="shared" si="10"/>
        <v>-2.6875952145866457</v>
      </c>
      <c r="G76">
        <f t="shared" si="8"/>
        <v>-2.7405815462954819</v>
      </c>
      <c r="H76">
        <v>18</v>
      </c>
      <c r="I76">
        <f t="shared" si="9"/>
        <v>1.3217269090439056E-2</v>
      </c>
      <c r="J76">
        <f t="shared" si="11"/>
        <v>9.3317553710845699E-3</v>
      </c>
    </row>
    <row r="77" spans="1:10" x14ac:dyDescent="0.3">
      <c r="A77" s="1">
        <v>26078</v>
      </c>
      <c r="B77">
        <v>107.5</v>
      </c>
      <c r="C77">
        <f t="shared" si="7"/>
        <v>-8.485500986635388E-3</v>
      </c>
      <c r="D77">
        <f t="shared" si="6"/>
        <v>-0.71598313825233884</v>
      </c>
      <c r="F77">
        <f t="shared" si="10"/>
        <v>-2.5816225511689739</v>
      </c>
      <c r="G77">
        <f t="shared" si="8"/>
        <v>-2.63460888287781</v>
      </c>
      <c r="H77">
        <v>25</v>
      </c>
      <c r="I77">
        <f t="shared" si="9"/>
        <v>1.8357318181165354E-2</v>
      </c>
      <c r="J77">
        <f t="shared" si="11"/>
        <v>1.2406676596496904E-2</v>
      </c>
    </row>
    <row r="78" spans="1:10" x14ac:dyDescent="0.3">
      <c r="A78" s="1">
        <v>26079</v>
      </c>
      <c r="B78">
        <v>107.529999</v>
      </c>
      <c r="C78">
        <f t="shared" si="7"/>
        <v>2.7906046511631311E-4</v>
      </c>
      <c r="D78">
        <f t="shared" si="6"/>
        <v>-1.485426220424043E-2</v>
      </c>
      <c r="F78">
        <f t="shared" si="10"/>
        <v>-2.475649887751302</v>
      </c>
      <c r="G78">
        <f t="shared" si="8"/>
        <v>-2.5286362194601382</v>
      </c>
      <c r="H78">
        <v>21</v>
      </c>
      <c r="I78">
        <f t="shared" si="9"/>
        <v>1.5420147272178898E-2</v>
      </c>
      <c r="J78">
        <f t="shared" si="11"/>
        <v>1.6310615941845651E-2</v>
      </c>
    </row>
    <row r="79" spans="1:10" x14ac:dyDescent="0.3">
      <c r="A79" s="1">
        <v>26080</v>
      </c>
      <c r="B79">
        <v>107.599998</v>
      </c>
      <c r="C79">
        <f t="shared" si="7"/>
        <v>6.5097182787098972E-4</v>
      </c>
      <c r="D79">
        <f t="shared" si="6"/>
        <v>1.4897117507472071E-2</v>
      </c>
      <c r="F79">
        <f t="shared" si="10"/>
        <v>-2.3696772243336301</v>
      </c>
      <c r="G79">
        <f t="shared" si="8"/>
        <v>-2.4226635560424663</v>
      </c>
      <c r="H79">
        <v>43</v>
      </c>
      <c r="I79">
        <f t="shared" si="9"/>
        <v>3.1574587271604414E-2</v>
      </c>
      <c r="J79">
        <f t="shared" si="11"/>
        <v>2.120352397053386E-2</v>
      </c>
    </row>
    <row r="80" spans="1:10" x14ac:dyDescent="0.3">
      <c r="A80" s="1">
        <v>26081</v>
      </c>
      <c r="B80">
        <v>108.25</v>
      </c>
      <c r="C80">
        <f t="shared" si="7"/>
        <v>6.0409108929537396E-3</v>
      </c>
      <c r="D80">
        <f t="shared" si="6"/>
        <v>0.44607007915222391</v>
      </c>
      <c r="F80">
        <f t="shared" si="10"/>
        <v>-2.2637045609159583</v>
      </c>
      <c r="G80">
        <f t="shared" si="8"/>
        <v>-2.3166908926247944</v>
      </c>
      <c r="H80">
        <v>32</v>
      </c>
      <c r="I80">
        <f t="shared" si="9"/>
        <v>2.3497367271891653E-2</v>
      </c>
      <c r="J80">
        <f t="shared" si="11"/>
        <v>2.7256401195831212E-2</v>
      </c>
    </row>
    <row r="81" spans="1:10" x14ac:dyDescent="0.3">
      <c r="A81" s="1">
        <v>26085</v>
      </c>
      <c r="B81">
        <v>108.870003</v>
      </c>
      <c r="C81">
        <f t="shared" si="7"/>
        <v>5.7275103926096721E-3</v>
      </c>
      <c r="D81">
        <f t="shared" si="6"/>
        <v>0.42099932783525629</v>
      </c>
      <c r="F81">
        <f t="shared" si="10"/>
        <v>-2.1577318974982864</v>
      </c>
      <c r="G81">
        <f t="shared" si="8"/>
        <v>-2.2107182292071226</v>
      </c>
      <c r="H81">
        <v>36</v>
      </c>
      <c r="I81">
        <f t="shared" si="9"/>
        <v>2.6434538180878112E-2</v>
      </c>
      <c r="J81">
        <f t="shared" si="11"/>
        <v>3.4645893375241266E-2</v>
      </c>
    </row>
    <row r="82" spans="1:10" x14ac:dyDescent="0.3">
      <c r="A82" s="1">
        <v>26086</v>
      </c>
      <c r="B82">
        <v>109.55999799999999</v>
      </c>
      <c r="C82">
        <f t="shared" si="7"/>
        <v>6.3377880131039966E-3</v>
      </c>
      <c r="D82">
        <f t="shared" si="6"/>
        <v>0.46981902799823205</v>
      </c>
      <c r="F82">
        <f t="shared" si="10"/>
        <v>-2.0517592340806146</v>
      </c>
      <c r="G82">
        <f t="shared" si="8"/>
        <v>-2.1047455657894507</v>
      </c>
      <c r="H82">
        <v>46</v>
      </c>
      <c r="I82">
        <f t="shared" si="9"/>
        <v>3.3777465453344251E-2</v>
      </c>
      <c r="J82">
        <f t="shared" si="11"/>
        <v>4.3546955705498679E-2</v>
      </c>
    </row>
    <row r="83" spans="1:10" x14ac:dyDescent="0.3">
      <c r="A83" s="1">
        <v>26087</v>
      </c>
      <c r="B83">
        <v>110.220001</v>
      </c>
      <c r="C83">
        <f t="shared" si="7"/>
        <v>6.0241238777678993E-3</v>
      </c>
      <c r="D83">
        <f t="shared" si="6"/>
        <v>0.44472718696597563</v>
      </c>
      <c r="F83">
        <f t="shared" si="10"/>
        <v>-1.9457865706629427</v>
      </c>
      <c r="G83">
        <f t="shared" si="8"/>
        <v>-1.9987729023717786</v>
      </c>
      <c r="H83">
        <v>57</v>
      </c>
      <c r="I83">
        <f t="shared" si="9"/>
        <v>4.1854685453057011E-2</v>
      </c>
      <c r="J83">
        <f t="shared" si="11"/>
        <v>5.4123592867175642E-2</v>
      </c>
    </row>
    <row r="84" spans="1:10" x14ac:dyDescent="0.3">
      <c r="A84" s="1">
        <v>26088</v>
      </c>
      <c r="B84">
        <v>110.660004</v>
      </c>
      <c r="C84">
        <f t="shared" si="7"/>
        <v>3.9920431501357396E-3</v>
      </c>
      <c r="D84">
        <f t="shared" si="6"/>
        <v>0.28216908472128371</v>
      </c>
      <c r="F84">
        <f t="shared" si="10"/>
        <v>-1.8398139072452708</v>
      </c>
      <c r="G84">
        <f t="shared" si="8"/>
        <v>-1.8928002389541068</v>
      </c>
      <c r="H84">
        <v>56</v>
      </c>
      <c r="I84">
        <f t="shared" si="9"/>
        <v>4.1120392725810404E-2</v>
      </c>
      <c r="J84">
        <f t="shared" si="11"/>
        <v>6.6517852713206482E-2</v>
      </c>
    </row>
    <row r="85" spans="1:10" x14ac:dyDescent="0.3">
      <c r="A85" s="1">
        <v>26091</v>
      </c>
      <c r="B85">
        <v>110.760002</v>
      </c>
      <c r="C85">
        <f t="shared" si="7"/>
        <v>9.0365078967464488E-4</v>
      </c>
      <c r="D85">
        <f t="shared" si="6"/>
        <v>3.5110395429665146E-2</v>
      </c>
      <c r="F85">
        <f t="shared" si="10"/>
        <v>-1.733841243827599</v>
      </c>
      <c r="G85">
        <f t="shared" si="8"/>
        <v>-1.7868275755364349</v>
      </c>
      <c r="H85">
        <v>65</v>
      </c>
      <c r="I85">
        <f t="shared" si="9"/>
        <v>4.7729027271029921E-2</v>
      </c>
      <c r="J85">
        <f t="shared" si="11"/>
        <v>8.0837450418823356E-2</v>
      </c>
    </row>
    <row r="86" spans="1:10" x14ac:dyDescent="0.3">
      <c r="A86" s="1">
        <v>26092</v>
      </c>
      <c r="B86">
        <v>110.019997</v>
      </c>
      <c r="C86">
        <f t="shared" si="7"/>
        <v>-6.6811573369238153E-3</v>
      </c>
      <c r="D86">
        <f t="shared" si="6"/>
        <v>-0.57164306578083401</v>
      </c>
      <c r="F86">
        <f t="shared" si="10"/>
        <v>-1.6278685804099271</v>
      </c>
      <c r="G86">
        <f t="shared" si="8"/>
        <v>-1.680854912118763</v>
      </c>
      <c r="H86">
        <v>83</v>
      </c>
      <c r="I86">
        <f t="shared" si="9"/>
        <v>6.0946296361468977E-2</v>
      </c>
      <c r="J86">
        <f t="shared" si="11"/>
        <v>9.7142612232980416E-2</v>
      </c>
    </row>
    <row r="87" spans="1:10" x14ac:dyDescent="0.3">
      <c r="A87" s="1">
        <v>26093</v>
      </c>
      <c r="B87">
        <v>109.790001</v>
      </c>
      <c r="C87">
        <f t="shared" si="7"/>
        <v>-2.0904926947053078E-3</v>
      </c>
      <c r="D87">
        <f t="shared" si="6"/>
        <v>-0.20440877132915627</v>
      </c>
      <c r="F87">
        <f t="shared" si="10"/>
        <v>-1.5218959169922552</v>
      </c>
      <c r="G87">
        <f t="shared" si="8"/>
        <v>-1.5748822487010912</v>
      </c>
      <c r="H87">
        <v>83</v>
      </c>
      <c r="I87">
        <f t="shared" si="9"/>
        <v>6.0946296361468977E-2</v>
      </c>
      <c r="J87">
        <f t="shared" si="11"/>
        <v>0.11543293328830061</v>
      </c>
    </row>
    <row r="88" spans="1:10" x14ac:dyDescent="0.3">
      <c r="A88" s="1">
        <v>26094</v>
      </c>
      <c r="B88">
        <v>110.05999799999999</v>
      </c>
      <c r="C88">
        <f t="shared" si="7"/>
        <v>2.4592130206829068E-3</v>
      </c>
      <c r="D88">
        <f t="shared" si="6"/>
        <v>0.15954897740021154</v>
      </c>
      <c r="F88">
        <f t="shared" si="10"/>
        <v>-1.4159232535745834</v>
      </c>
      <c r="G88">
        <f t="shared" si="8"/>
        <v>-1.4689095852834193</v>
      </c>
      <c r="H88">
        <v>81</v>
      </c>
      <c r="I88">
        <f t="shared" si="9"/>
        <v>5.9477710906975755E-2</v>
      </c>
      <c r="J88">
        <f t="shared" si="11"/>
        <v>0.13563521791315863</v>
      </c>
    </row>
    <row r="89" spans="1:10" x14ac:dyDescent="0.3">
      <c r="A89" s="1">
        <v>26095</v>
      </c>
      <c r="B89">
        <v>110.199997</v>
      </c>
      <c r="C89">
        <f t="shared" si="7"/>
        <v>1.272024373469488E-3</v>
      </c>
      <c r="D89">
        <f t="shared" si="6"/>
        <v>6.4578767372024989E-2</v>
      </c>
      <c r="F89">
        <f t="shared" si="10"/>
        <v>-1.3099505901569115</v>
      </c>
      <c r="G89">
        <f t="shared" si="8"/>
        <v>-1.3629369218657474</v>
      </c>
      <c r="H89">
        <v>107</v>
      </c>
      <c r="I89">
        <f t="shared" si="9"/>
        <v>7.8569321815387713E-2</v>
      </c>
      <c r="J89">
        <f t="shared" si="11"/>
        <v>0.15759338753605673</v>
      </c>
    </row>
    <row r="90" spans="1:10" x14ac:dyDescent="0.3">
      <c r="A90" s="1">
        <v>26098</v>
      </c>
      <c r="B90">
        <v>109.57</v>
      </c>
      <c r="C90">
        <f t="shared" si="7"/>
        <v>-5.7168513353045101E-3</v>
      </c>
      <c r="D90">
        <f t="shared" si="6"/>
        <v>-0.49450255090126155</v>
      </c>
      <c r="F90">
        <f t="shared" si="10"/>
        <v>-1.2039779267392396</v>
      </c>
      <c r="G90">
        <f t="shared" si="8"/>
        <v>-1.2569642584480756</v>
      </c>
      <c r="H90">
        <v>156</v>
      </c>
      <c r="I90">
        <f t="shared" si="9"/>
        <v>0.11454966545047182</v>
      </c>
      <c r="J90">
        <f t="shared" si="11"/>
        <v>0.1810615759933322</v>
      </c>
    </row>
    <row r="91" spans="1:10" x14ac:dyDescent="0.3">
      <c r="A91" s="1">
        <v>26099</v>
      </c>
      <c r="B91">
        <v>109.360001</v>
      </c>
      <c r="C91">
        <f t="shared" si="7"/>
        <v>-1.9165738797115659E-3</v>
      </c>
      <c r="D91">
        <f t="shared" si="6"/>
        <v>-0.19049598128809739</v>
      </c>
      <c r="F91">
        <f t="shared" si="10"/>
        <v>-1.0980052633215678</v>
      </c>
      <c r="G91">
        <f t="shared" si="8"/>
        <v>-1.1509915950304037</v>
      </c>
      <c r="H91">
        <v>145</v>
      </c>
      <c r="I91">
        <f t="shared" si="9"/>
        <v>0.10647244545075907</v>
      </c>
      <c r="J91">
        <f t="shared" si="11"/>
        <v>0.20570146524812438</v>
      </c>
    </row>
    <row r="92" spans="1:10" x14ac:dyDescent="0.3">
      <c r="A92" s="1">
        <v>26100</v>
      </c>
      <c r="B92">
        <v>109.44000200000001</v>
      </c>
      <c r="C92">
        <f t="shared" si="7"/>
        <v>7.3153803281338656E-4</v>
      </c>
      <c r="D92">
        <f t="shared" si="6"/>
        <v>2.1342082612649558E-2</v>
      </c>
      <c r="F92">
        <f t="shared" si="10"/>
        <v>-0.99203259990389581</v>
      </c>
      <c r="G92">
        <f t="shared" si="8"/>
        <v>-1.0450189316127318</v>
      </c>
      <c r="H92">
        <v>159</v>
      </c>
      <c r="I92">
        <f t="shared" si="9"/>
        <v>0.11675254363221166</v>
      </c>
      <c r="J92">
        <f t="shared" si="11"/>
        <v>0.23108473514343111</v>
      </c>
    </row>
    <row r="93" spans="1:10" x14ac:dyDescent="0.3">
      <c r="A93" s="1">
        <v>26101</v>
      </c>
      <c r="B93">
        <v>109.44000200000001</v>
      </c>
      <c r="C93">
        <f t="shared" si="7"/>
        <v>0</v>
      </c>
      <c r="D93">
        <f t="shared" si="6"/>
        <v>-3.7177951910056316E-2</v>
      </c>
      <c r="F93">
        <f t="shared" si="10"/>
        <v>-0.88605993648622383</v>
      </c>
      <c r="G93">
        <f t="shared" si="8"/>
        <v>-0.93904626819505976</v>
      </c>
      <c r="H93">
        <v>208</v>
      </c>
      <c r="I93">
        <f t="shared" si="9"/>
        <v>0.15273288726729575</v>
      </c>
      <c r="J93">
        <f t="shared" si="11"/>
        <v>0.25670120931522283</v>
      </c>
    </row>
    <row r="94" spans="1:10" x14ac:dyDescent="0.3">
      <c r="A94" s="1">
        <v>26102</v>
      </c>
      <c r="B94">
        <v>108.160004</v>
      </c>
      <c r="C94">
        <f t="shared" si="7"/>
        <v>-1.1695887944154151E-2</v>
      </c>
      <c r="D94">
        <f t="shared" si="6"/>
        <v>-0.9728008936637903</v>
      </c>
      <c r="F94">
        <f t="shared" si="10"/>
        <v>-0.78008727306855186</v>
      </c>
      <c r="G94">
        <f t="shared" si="8"/>
        <v>-0.83307360477738779</v>
      </c>
      <c r="H94">
        <v>217</v>
      </c>
      <c r="I94">
        <f t="shared" si="9"/>
        <v>0.15934152181251529</v>
      </c>
      <c r="J94">
        <f t="shared" si="11"/>
        <v>0.28197288964019401</v>
      </c>
    </row>
    <row r="95" spans="1:10" x14ac:dyDescent="0.3">
      <c r="A95" s="1">
        <v>26105</v>
      </c>
      <c r="B95">
        <v>106.5</v>
      </c>
      <c r="C95">
        <f t="shared" si="7"/>
        <v>-1.5347669550751872E-2</v>
      </c>
      <c r="D95">
        <f t="shared" si="6"/>
        <v>-1.2649284059759165</v>
      </c>
      <c r="F95">
        <f t="shared" si="10"/>
        <v>-0.67411460965087988</v>
      </c>
      <c r="G95">
        <f t="shared" si="8"/>
        <v>-0.72710094135971581</v>
      </c>
      <c r="H95">
        <v>325</v>
      </c>
      <c r="I95">
        <f t="shared" si="9"/>
        <v>0.23864513635514961</v>
      </c>
      <c r="J95">
        <f t="shared" si="11"/>
        <v>0.30627361108710727</v>
      </c>
    </row>
    <row r="96" spans="1:10" x14ac:dyDescent="0.3">
      <c r="A96" s="1">
        <v>26106</v>
      </c>
      <c r="B96">
        <v>105.489998</v>
      </c>
      <c r="C96">
        <f t="shared" si="7"/>
        <v>-9.4835868544600951E-3</v>
      </c>
      <c r="D96">
        <f t="shared" si="6"/>
        <v>-0.79582590352470362</v>
      </c>
      <c r="F96">
        <f t="shared" si="10"/>
        <v>-0.56814194623320791</v>
      </c>
      <c r="G96">
        <f t="shared" si="8"/>
        <v>-0.62112827794204384</v>
      </c>
      <c r="H96">
        <v>351</v>
      </c>
      <c r="I96">
        <f t="shared" si="9"/>
        <v>0.25773674726356155</v>
      </c>
      <c r="J96">
        <f t="shared" si="11"/>
        <v>0.3289535570923704</v>
      </c>
    </row>
    <row r="97" spans="1:10" x14ac:dyDescent="0.3">
      <c r="A97" s="1">
        <v>26107</v>
      </c>
      <c r="B97">
        <v>105.989998</v>
      </c>
      <c r="C97">
        <f t="shared" si="7"/>
        <v>4.7397858515458502E-3</v>
      </c>
      <c r="D97">
        <f t="shared" si="6"/>
        <v>0.34198542609773208</v>
      </c>
      <c r="F97">
        <f t="shared" si="10"/>
        <v>-0.46216928281553593</v>
      </c>
      <c r="G97">
        <f t="shared" si="8"/>
        <v>-0.51515561452437186</v>
      </c>
      <c r="H97">
        <v>441</v>
      </c>
      <c r="I97">
        <f t="shared" si="9"/>
        <v>0.32382309271575688</v>
      </c>
      <c r="J97">
        <f t="shared" si="11"/>
        <v>0.34936740057551374</v>
      </c>
    </row>
    <row r="98" spans="1:10" x14ac:dyDescent="0.3">
      <c r="A98" s="1">
        <v>26108</v>
      </c>
      <c r="B98">
        <v>106.370003</v>
      </c>
      <c r="C98">
        <f t="shared" si="7"/>
        <v>3.5852911328481869E-3</v>
      </c>
      <c r="D98">
        <f t="shared" si="6"/>
        <v>0.24963059591256861</v>
      </c>
      <c r="F98">
        <f t="shared" si="10"/>
        <v>-0.35619661939786396</v>
      </c>
      <c r="G98">
        <f t="shared" si="8"/>
        <v>-0.40918295110669994</v>
      </c>
      <c r="H98">
        <v>487</v>
      </c>
      <c r="I98">
        <f t="shared" si="9"/>
        <v>0.35760055816910113</v>
      </c>
      <c r="J98">
        <f t="shared" si="11"/>
        <v>0.36690442875849971</v>
      </c>
    </row>
    <row r="99" spans="1:10" x14ac:dyDescent="0.3">
      <c r="A99" s="1">
        <v>26109</v>
      </c>
      <c r="B99">
        <v>106.55999799999999</v>
      </c>
      <c r="C99">
        <f t="shared" si="7"/>
        <v>1.7861708624751674E-3</v>
      </c>
      <c r="D99">
        <f t="shared" si="6"/>
        <v>0.10570837230948379</v>
      </c>
      <c r="F99">
        <f t="shared" si="10"/>
        <v>-0.25022395598019198</v>
      </c>
      <c r="G99">
        <f t="shared" si="8"/>
        <v>-0.30321028768902797</v>
      </c>
      <c r="H99">
        <v>684</v>
      </c>
      <c r="I99">
        <f t="shared" si="9"/>
        <v>0.50225622543668413</v>
      </c>
      <c r="J99">
        <f t="shared" si="11"/>
        <v>0.38101871951202654</v>
      </c>
    </row>
    <row r="100" spans="1:10" x14ac:dyDescent="0.3">
      <c r="A100" s="1">
        <v>26112</v>
      </c>
      <c r="B100">
        <v>106.449997</v>
      </c>
      <c r="C100">
        <f t="shared" si="7"/>
        <v>-1.0322916860414817E-3</v>
      </c>
      <c r="D100">
        <f t="shared" si="6"/>
        <v>-0.11975704198459812</v>
      </c>
      <c r="F100">
        <f t="shared" si="10"/>
        <v>-0.14425129256252003</v>
      </c>
      <c r="G100">
        <f t="shared" si="8"/>
        <v>-0.19723762427135599</v>
      </c>
      <c r="H100">
        <v>724</v>
      </c>
      <c r="I100">
        <f t="shared" si="9"/>
        <v>0.53162793452654866</v>
      </c>
      <c r="J100">
        <f t="shared" si="11"/>
        <v>0.3912573022442884</v>
      </c>
    </row>
    <row r="101" spans="1:10" x14ac:dyDescent="0.3">
      <c r="A101" s="1">
        <v>26113</v>
      </c>
      <c r="B101">
        <v>107.220001</v>
      </c>
      <c r="C101">
        <f t="shared" si="7"/>
        <v>7.2334807111361418E-3</v>
      </c>
      <c r="D101">
        <f t="shared" si="6"/>
        <v>0.54147076073042189</v>
      </c>
      <c r="F101">
        <f t="shared" si="10"/>
        <v>-3.8278629144848086E-2</v>
      </c>
      <c r="G101">
        <f t="shared" si="8"/>
        <v>-9.126496085368406E-2</v>
      </c>
      <c r="H101">
        <v>828</v>
      </c>
      <c r="I101">
        <f t="shared" si="9"/>
        <v>0.60799437816019664</v>
      </c>
      <c r="J101">
        <f t="shared" si="11"/>
        <v>0.39728428169945157</v>
      </c>
    </row>
    <row r="102" spans="1:10" x14ac:dyDescent="0.3">
      <c r="A102" s="1">
        <v>26114</v>
      </c>
      <c r="B102">
        <v>107.800003</v>
      </c>
      <c r="C102">
        <f t="shared" si="7"/>
        <v>5.4094571403707362E-3</v>
      </c>
      <c r="D102">
        <f t="shared" si="6"/>
        <v>0.3955563754989293</v>
      </c>
      <c r="F102">
        <f t="shared" si="10"/>
        <v>6.7694034272823861E-2</v>
      </c>
      <c r="G102">
        <f t="shared" si="8"/>
        <v>1.4707702563987887E-2</v>
      </c>
      <c r="H102">
        <v>966</v>
      </c>
      <c r="I102">
        <f t="shared" si="9"/>
        <v>0.70932677452022941</v>
      </c>
      <c r="J102">
        <f t="shared" si="11"/>
        <v>0.39889913383296999</v>
      </c>
    </row>
    <row r="103" spans="1:10" x14ac:dyDescent="0.3">
      <c r="A103" s="1">
        <v>26115</v>
      </c>
      <c r="B103">
        <v>108.470001</v>
      </c>
      <c r="C103">
        <f t="shared" si="7"/>
        <v>6.2151946322301357E-3</v>
      </c>
      <c r="D103">
        <f t="shared" si="6"/>
        <v>0.46001206163531749</v>
      </c>
      <c r="F103">
        <f t="shared" si="10"/>
        <v>0.17366669769049581</v>
      </c>
      <c r="G103">
        <f t="shared" si="8"/>
        <v>0.12068036598165983</v>
      </c>
      <c r="H103">
        <v>934</v>
      </c>
      <c r="I103">
        <f t="shared" si="9"/>
        <v>0.68582940724833763</v>
      </c>
      <c r="J103">
        <f t="shared" si="11"/>
        <v>0.39604778390860013</v>
      </c>
    </row>
    <row r="104" spans="1:10" x14ac:dyDescent="0.3">
      <c r="A104" s="1">
        <v>26116</v>
      </c>
      <c r="B104">
        <v>108.769997</v>
      </c>
      <c r="C104">
        <f t="shared" si="7"/>
        <v>2.765704777674034E-3</v>
      </c>
      <c r="D104">
        <f t="shared" si="6"/>
        <v>0.18406705765786635</v>
      </c>
      <c r="F104">
        <f t="shared" si="10"/>
        <v>0.27963936110816778</v>
      </c>
      <c r="G104">
        <f t="shared" si="8"/>
        <v>0.2266530293993318</v>
      </c>
      <c r="H104">
        <v>872</v>
      </c>
      <c r="I104">
        <f t="shared" si="9"/>
        <v>0.64030325815904754</v>
      </c>
      <c r="J104">
        <f t="shared" si="11"/>
        <v>0.3888256131693017</v>
      </c>
    </row>
    <row r="105" spans="1:10" x14ac:dyDescent="0.3">
      <c r="A105" s="1">
        <v>26120</v>
      </c>
      <c r="B105">
        <v>109.230003</v>
      </c>
      <c r="C105">
        <f t="shared" si="7"/>
        <v>4.2291625695272637E-3</v>
      </c>
      <c r="D105">
        <f t="shared" si="6"/>
        <v>0.30113766323172703</v>
      </c>
      <c r="F105">
        <f t="shared" si="10"/>
        <v>0.38561202452583976</v>
      </c>
      <c r="G105">
        <f t="shared" si="8"/>
        <v>0.33262569281700377</v>
      </c>
      <c r="H105">
        <v>804</v>
      </c>
      <c r="I105">
        <f t="shared" si="9"/>
        <v>0.59037135270627783</v>
      </c>
      <c r="J105">
        <f t="shared" si="11"/>
        <v>0.37747216090265023</v>
      </c>
    </row>
    <row r="106" spans="1:10" x14ac:dyDescent="0.3">
      <c r="A106" s="1">
        <v>26121</v>
      </c>
      <c r="B106">
        <v>110.010002</v>
      </c>
      <c r="C106">
        <f t="shared" si="7"/>
        <v>7.1408860072996946E-3</v>
      </c>
      <c r="D106">
        <f t="shared" si="6"/>
        <v>0.53406356517520337</v>
      </c>
      <c r="F106">
        <f t="shared" si="10"/>
        <v>0.49158468794351173</v>
      </c>
      <c r="G106">
        <f t="shared" si="8"/>
        <v>0.43859835623467575</v>
      </c>
      <c r="H106">
        <v>676</v>
      </c>
      <c r="I106">
        <f t="shared" si="9"/>
        <v>0.49638188361871122</v>
      </c>
      <c r="J106">
        <f t="shared" si="11"/>
        <v>0.36235793235455416</v>
      </c>
    </row>
    <row r="107" spans="1:10" x14ac:dyDescent="0.3">
      <c r="A107" s="1">
        <v>26122</v>
      </c>
      <c r="B107">
        <v>110.41999800000001</v>
      </c>
      <c r="C107">
        <f t="shared" si="7"/>
        <v>3.7268974870121965E-3</v>
      </c>
      <c r="D107">
        <f t="shared" si="6"/>
        <v>0.26095852195688174</v>
      </c>
      <c r="F107">
        <f t="shared" si="10"/>
        <v>0.59755735136118371</v>
      </c>
      <c r="G107">
        <f t="shared" si="8"/>
        <v>0.54457101965234778</v>
      </c>
      <c r="H107">
        <v>590</v>
      </c>
      <c r="I107">
        <f t="shared" si="9"/>
        <v>0.43323270907550243</v>
      </c>
      <c r="J107">
        <f t="shared" si="11"/>
        <v>0.34396432584432785</v>
      </c>
    </row>
    <row r="108" spans="1:10" x14ac:dyDescent="0.3">
      <c r="A108" s="1">
        <v>26123</v>
      </c>
      <c r="B108">
        <v>110.910004</v>
      </c>
      <c r="C108">
        <f t="shared" si="7"/>
        <v>4.4376563020766752E-3</v>
      </c>
      <c r="D108">
        <f t="shared" si="6"/>
        <v>0.31781630450432891</v>
      </c>
      <c r="F108">
        <f t="shared" si="10"/>
        <v>0.70353001477885568</v>
      </c>
      <c r="G108">
        <f t="shared" si="8"/>
        <v>0.65054368307001975</v>
      </c>
      <c r="H108">
        <v>462</v>
      </c>
      <c r="I108">
        <f t="shared" si="9"/>
        <v>0.33924323998793576</v>
      </c>
      <c r="J108">
        <f t="shared" si="11"/>
        <v>0.32285819562345386</v>
      </c>
    </row>
    <row r="109" spans="1:10" x14ac:dyDescent="0.3">
      <c r="A109" s="1">
        <v>26126</v>
      </c>
      <c r="B109">
        <v>111.239998</v>
      </c>
      <c r="C109">
        <f t="shared" si="7"/>
        <v>2.9753312424368791E-3</v>
      </c>
      <c r="D109">
        <f t="shared" si="6"/>
        <v>0.20083631284972026</v>
      </c>
      <c r="F109">
        <f t="shared" si="10"/>
        <v>0.80950267819652766</v>
      </c>
      <c r="G109">
        <f t="shared" si="8"/>
        <v>0.75651634648769173</v>
      </c>
      <c r="H109">
        <v>331</v>
      </c>
      <c r="I109">
        <f t="shared" si="9"/>
        <v>0.24305089271862931</v>
      </c>
      <c r="J109">
        <f t="shared" si="11"/>
        <v>0.29966292347052786</v>
      </c>
    </row>
    <row r="110" spans="1:10" x14ac:dyDescent="0.3">
      <c r="A110" s="1">
        <v>26127</v>
      </c>
      <c r="B110">
        <v>110.760002</v>
      </c>
      <c r="C110">
        <f t="shared" si="7"/>
        <v>-4.3149587255476209E-3</v>
      </c>
      <c r="D110">
        <f t="shared" si="6"/>
        <v>-0.38235690673756667</v>
      </c>
      <c r="F110">
        <f t="shared" si="10"/>
        <v>0.91547534161419963</v>
      </c>
      <c r="G110">
        <f t="shared" si="8"/>
        <v>0.8624890099053637</v>
      </c>
      <c r="H110">
        <v>259</v>
      </c>
      <c r="I110">
        <f t="shared" si="9"/>
        <v>0.19018181635687309</v>
      </c>
      <c r="J110">
        <f t="shared" si="11"/>
        <v>0.27502805198261454</v>
      </c>
    </row>
    <row r="111" spans="1:10" x14ac:dyDescent="0.3">
      <c r="A111" s="1">
        <v>26128</v>
      </c>
      <c r="B111">
        <v>110.339996</v>
      </c>
      <c r="C111">
        <f t="shared" si="7"/>
        <v>-3.7920367679300038E-3</v>
      </c>
      <c r="D111">
        <f t="shared" si="6"/>
        <v>-0.34052530039609535</v>
      </c>
      <c r="F111">
        <f t="shared" si="10"/>
        <v>1.0214480050318715</v>
      </c>
      <c r="G111">
        <f t="shared" si="8"/>
        <v>0.96846167332303557</v>
      </c>
      <c r="H111">
        <v>221</v>
      </c>
      <c r="I111">
        <f t="shared" si="9"/>
        <v>0.16227869272150175</v>
      </c>
      <c r="J111">
        <f t="shared" si="11"/>
        <v>0.24959952649286657</v>
      </c>
    </row>
    <row r="112" spans="1:10" x14ac:dyDescent="0.3">
      <c r="A112" s="1">
        <v>26129</v>
      </c>
      <c r="B112">
        <v>110.720001</v>
      </c>
      <c r="C112">
        <f t="shared" si="7"/>
        <v>3.4439461099853314E-3</v>
      </c>
      <c r="D112">
        <f t="shared" si="6"/>
        <v>0.23832357529774709</v>
      </c>
      <c r="F112">
        <f t="shared" si="10"/>
        <v>1.1274206684495434</v>
      </c>
      <c r="G112">
        <f t="shared" si="8"/>
        <v>1.0744343367407074</v>
      </c>
      <c r="H112">
        <v>164</v>
      </c>
      <c r="I112">
        <f t="shared" si="9"/>
        <v>0.12042400726844474</v>
      </c>
      <c r="J112">
        <f t="shared" si="11"/>
        <v>0.2239924114428129</v>
      </c>
    </row>
    <row r="113" spans="1:10" x14ac:dyDescent="0.3">
      <c r="A113" s="1">
        <v>26130</v>
      </c>
      <c r="B113">
        <v>109.980003</v>
      </c>
      <c r="C113">
        <f t="shared" si="7"/>
        <v>-6.6835078876128261E-3</v>
      </c>
      <c r="D113">
        <f t="shared" si="6"/>
        <v>-0.5718311001704327</v>
      </c>
      <c r="F113">
        <f t="shared" si="10"/>
        <v>1.2333933318672152</v>
      </c>
      <c r="G113">
        <f t="shared" si="8"/>
        <v>1.1804070001583793</v>
      </c>
      <c r="H113">
        <v>148</v>
      </c>
      <c r="I113">
        <f t="shared" si="9"/>
        <v>0.1086753236324989</v>
      </c>
      <c r="J113">
        <f t="shared" si="11"/>
        <v>0.19876761981575478</v>
      </c>
    </row>
    <row r="114" spans="1:10" x14ac:dyDescent="0.3">
      <c r="A114" s="1">
        <v>26133</v>
      </c>
      <c r="B114">
        <v>109.370003</v>
      </c>
      <c r="C114">
        <f t="shared" si="7"/>
        <v>-5.5464628419768227E-3</v>
      </c>
      <c r="D114">
        <f t="shared" si="6"/>
        <v>-0.48087217207671762</v>
      </c>
      <c r="F114">
        <f t="shared" si="10"/>
        <v>1.3393659952848871</v>
      </c>
      <c r="G114">
        <f t="shared" si="8"/>
        <v>1.2863796635760512</v>
      </c>
      <c r="H114">
        <v>113</v>
      </c>
      <c r="I114">
        <f t="shared" si="9"/>
        <v>8.2975078178867415E-2</v>
      </c>
      <c r="J114">
        <f t="shared" si="11"/>
        <v>0.17441376329665867</v>
      </c>
    </row>
    <row r="115" spans="1:10" x14ac:dyDescent="0.3">
      <c r="A115" s="1">
        <v>26134</v>
      </c>
      <c r="B115">
        <v>109.790001</v>
      </c>
      <c r="C115">
        <f t="shared" si="7"/>
        <v>3.8401571589973052E-3</v>
      </c>
      <c r="D115">
        <f t="shared" si="6"/>
        <v>0.2700188299891364</v>
      </c>
      <c r="F115">
        <f t="shared" si="10"/>
        <v>1.445338658702559</v>
      </c>
      <c r="G115">
        <f t="shared" si="8"/>
        <v>1.392352326993723</v>
      </c>
      <c r="H115">
        <v>92</v>
      </c>
      <c r="I115">
        <f t="shared" si="9"/>
        <v>6.7554930906688501E-2</v>
      </c>
      <c r="J115">
        <f t="shared" si="11"/>
        <v>0.15133474606108102</v>
      </c>
    </row>
    <row r="116" spans="1:10" x14ac:dyDescent="0.3">
      <c r="A116" s="1">
        <v>26135</v>
      </c>
      <c r="B116">
        <v>109.739998</v>
      </c>
      <c r="C116">
        <f t="shared" si="7"/>
        <v>-4.5544220370308399E-4</v>
      </c>
      <c r="D116">
        <f t="shared" si="6"/>
        <v>-7.3611455416771054E-2</v>
      </c>
      <c r="F116">
        <f t="shared" si="10"/>
        <v>1.5513113221202308</v>
      </c>
      <c r="G116">
        <f t="shared" si="8"/>
        <v>1.4983249904113949</v>
      </c>
      <c r="H116">
        <v>85</v>
      </c>
      <c r="I116">
        <f t="shared" si="9"/>
        <v>6.2414881815962206E-2</v>
      </c>
      <c r="J116">
        <f t="shared" si="11"/>
        <v>0.12984323748721352</v>
      </c>
    </row>
    <row r="117" spans="1:10" x14ac:dyDescent="0.3">
      <c r="A117" s="1">
        <v>26136</v>
      </c>
      <c r="B117">
        <v>109.540001</v>
      </c>
      <c r="C117">
        <f t="shared" si="7"/>
        <v>-1.8224622165565942E-3</v>
      </c>
      <c r="D117">
        <f t="shared" si="6"/>
        <v>-0.18296743522517092</v>
      </c>
      <c r="F117">
        <f t="shared" si="10"/>
        <v>1.6572839855379027</v>
      </c>
      <c r="G117">
        <f t="shared" si="8"/>
        <v>1.6042976538290667</v>
      </c>
      <c r="H117">
        <v>70</v>
      </c>
      <c r="I117">
        <f t="shared" si="9"/>
        <v>5.1400490907262994E-2</v>
      </c>
      <c r="J117">
        <f t="shared" si="11"/>
        <v>0.11015971472081752</v>
      </c>
    </row>
    <row r="118" spans="1:10" x14ac:dyDescent="0.3">
      <c r="A118" s="1">
        <v>26137</v>
      </c>
      <c r="B118">
        <v>109.629997</v>
      </c>
      <c r="C118">
        <f t="shared" si="7"/>
        <v>8.2158115006772088E-4</v>
      </c>
      <c r="D118">
        <f t="shared" si="6"/>
        <v>2.8545161733485768E-2</v>
      </c>
      <c r="F118">
        <f t="shared" si="10"/>
        <v>1.7632566489555745</v>
      </c>
      <c r="G118">
        <f t="shared" si="8"/>
        <v>1.7102703172467386</v>
      </c>
      <c r="H118">
        <v>56</v>
      </c>
      <c r="I118">
        <f t="shared" si="9"/>
        <v>4.1120392725810404E-2</v>
      </c>
      <c r="J118">
        <f t="shared" si="11"/>
        <v>9.2416401356122627E-2</v>
      </c>
    </row>
    <row r="119" spans="1:10" x14ac:dyDescent="0.3">
      <c r="A119" s="1">
        <v>26140</v>
      </c>
      <c r="B119">
        <v>109.349998</v>
      </c>
      <c r="C119">
        <f t="shared" si="7"/>
        <v>-2.5540363738220631E-3</v>
      </c>
      <c r="D119">
        <f t="shared" si="6"/>
        <v>-0.24149035955549875</v>
      </c>
      <c r="F119">
        <f t="shared" si="10"/>
        <v>1.8692293123732464</v>
      </c>
      <c r="G119">
        <f t="shared" si="8"/>
        <v>1.8162429806644105</v>
      </c>
      <c r="H119">
        <v>47</v>
      </c>
      <c r="I119">
        <f t="shared" si="9"/>
        <v>3.4511758180590872E-2</v>
      </c>
      <c r="J119">
        <f t="shared" si="11"/>
        <v>7.6665167320221911E-2</v>
      </c>
    </row>
    <row r="120" spans="1:10" x14ac:dyDescent="0.3">
      <c r="A120" s="1">
        <v>26141</v>
      </c>
      <c r="B120">
        <v>108.57</v>
      </c>
      <c r="C120">
        <f t="shared" si="7"/>
        <v>-7.1330408254786266E-3</v>
      </c>
      <c r="D120">
        <f t="shared" si="6"/>
        <v>-0.60779188670921103</v>
      </c>
      <c r="F120">
        <f t="shared" si="10"/>
        <v>1.9752019757909183</v>
      </c>
      <c r="G120">
        <f t="shared" si="8"/>
        <v>1.9222156440820823</v>
      </c>
      <c r="H120">
        <v>40</v>
      </c>
      <c r="I120">
        <f t="shared" si="9"/>
        <v>2.937170908986457E-2</v>
      </c>
      <c r="J120">
        <f t="shared" si="11"/>
        <v>6.2888307404153979E-2</v>
      </c>
    </row>
    <row r="121" spans="1:10" x14ac:dyDescent="0.3">
      <c r="A121" s="1">
        <v>26142</v>
      </c>
      <c r="B121">
        <v>107.449997</v>
      </c>
      <c r="C121">
        <f t="shared" si="7"/>
        <v>-1.0315952841484729E-2</v>
      </c>
      <c r="D121">
        <f t="shared" si="6"/>
        <v>-0.86241175977728413</v>
      </c>
      <c r="F121">
        <f t="shared" si="10"/>
        <v>2.0811746392085904</v>
      </c>
      <c r="G121">
        <f t="shared" si="8"/>
        <v>2.0281883074997542</v>
      </c>
      <c r="H121">
        <v>41</v>
      </c>
      <c r="I121">
        <f t="shared" si="9"/>
        <v>3.0106001817111185E-2</v>
      </c>
      <c r="J121">
        <f t="shared" si="11"/>
        <v>5.101107879655925E-2</v>
      </c>
    </row>
    <row r="122" spans="1:10" x14ac:dyDescent="0.3">
      <c r="A122" s="1">
        <v>26143</v>
      </c>
      <c r="B122">
        <v>105.80999799999999</v>
      </c>
      <c r="C122">
        <f t="shared" si="7"/>
        <v>-1.5262904102268176E-2</v>
      </c>
      <c r="D122">
        <f t="shared" si="6"/>
        <v>-1.2581475186548274</v>
      </c>
      <c r="F122">
        <f t="shared" si="10"/>
        <v>2.1871473026262622</v>
      </c>
      <c r="G122">
        <f t="shared" si="8"/>
        <v>2.1341609709174261</v>
      </c>
      <c r="H122">
        <v>22</v>
      </c>
      <c r="I122">
        <f t="shared" si="9"/>
        <v>1.6154439999425514E-2</v>
      </c>
      <c r="J122">
        <f t="shared" si="11"/>
        <v>4.0914937682595652E-2</v>
      </c>
    </row>
    <row r="123" spans="1:10" x14ac:dyDescent="0.3">
      <c r="A123" s="1">
        <v>26144</v>
      </c>
      <c r="B123">
        <v>105.269997</v>
      </c>
      <c r="C123">
        <f t="shared" si="7"/>
        <v>-5.1034969304128474E-3</v>
      </c>
      <c r="D123">
        <f t="shared" si="6"/>
        <v>-0.44543672063831175</v>
      </c>
      <c r="F123">
        <f t="shared" si="10"/>
        <v>2.2931199660439341</v>
      </c>
      <c r="G123">
        <f t="shared" si="8"/>
        <v>2.2401336343350979</v>
      </c>
      <c r="H123">
        <v>20</v>
      </c>
      <c r="I123">
        <f t="shared" si="9"/>
        <v>1.4685854544932285E-2</v>
      </c>
      <c r="J123">
        <f t="shared" si="11"/>
        <v>3.2450550122623205E-2</v>
      </c>
    </row>
    <row r="124" spans="1:10" x14ac:dyDescent="0.3">
      <c r="A124" s="1">
        <v>26147</v>
      </c>
      <c r="B124">
        <v>105.589996</v>
      </c>
      <c r="C124">
        <f t="shared" si="7"/>
        <v>3.0397930000890536E-3</v>
      </c>
      <c r="D124">
        <f t="shared" si="6"/>
        <v>0.20599298839356292</v>
      </c>
      <c r="F124">
        <f t="shared" si="10"/>
        <v>2.399092629461606</v>
      </c>
      <c r="G124">
        <f t="shared" si="8"/>
        <v>2.3461062977527698</v>
      </c>
      <c r="H124">
        <v>24</v>
      </c>
      <c r="I124">
        <f t="shared" si="9"/>
        <v>1.762302545391874E-2</v>
      </c>
      <c r="J124">
        <f t="shared" si="11"/>
        <v>2.5449837695772252E-2</v>
      </c>
    </row>
    <row r="125" spans="1:10" x14ac:dyDescent="0.3">
      <c r="A125" s="1">
        <v>26148</v>
      </c>
      <c r="B125">
        <v>104.410004</v>
      </c>
      <c r="C125">
        <f t="shared" si="7"/>
        <v>-1.1175225349946964E-2</v>
      </c>
      <c r="D125">
        <f t="shared" si="6"/>
        <v>-0.9311500271045956</v>
      </c>
      <c r="F125">
        <f t="shared" si="10"/>
        <v>2.5050652928792778</v>
      </c>
      <c r="G125">
        <f t="shared" si="8"/>
        <v>2.4520789611704417</v>
      </c>
      <c r="H125">
        <v>19</v>
      </c>
      <c r="I125">
        <f t="shared" si="9"/>
        <v>1.3951561817685672E-2</v>
      </c>
      <c r="J125">
        <f t="shared" si="11"/>
        <v>1.9736527957752856E-2</v>
      </c>
    </row>
    <row r="126" spans="1:10" x14ac:dyDescent="0.3">
      <c r="A126" s="1">
        <v>26149</v>
      </c>
      <c r="B126">
        <v>103.260002</v>
      </c>
      <c r="C126">
        <f t="shared" si="7"/>
        <v>-1.1014289397019855E-2</v>
      </c>
      <c r="D126">
        <f t="shared" si="6"/>
        <v>-0.9182758126430195</v>
      </c>
      <c r="F126">
        <f t="shared" si="10"/>
        <v>2.6110379562969497</v>
      </c>
      <c r="G126">
        <f t="shared" si="8"/>
        <v>2.5580516245881135</v>
      </c>
      <c r="H126">
        <v>16</v>
      </c>
      <c r="I126">
        <f t="shared" si="9"/>
        <v>1.1748683635945827E-2</v>
      </c>
      <c r="J126">
        <f t="shared" si="11"/>
        <v>1.5134890215267862E-2</v>
      </c>
    </row>
    <row r="127" spans="1:10" x14ac:dyDescent="0.3">
      <c r="A127" s="1">
        <v>26150</v>
      </c>
      <c r="B127">
        <v>103.110001</v>
      </c>
      <c r="C127">
        <f t="shared" si="7"/>
        <v>-1.4526534678936298E-3</v>
      </c>
      <c r="D127">
        <f t="shared" si="6"/>
        <v>-0.15338425599479458</v>
      </c>
      <c r="F127">
        <f t="shared" si="10"/>
        <v>2.7170106197146215</v>
      </c>
      <c r="G127">
        <f t="shared" si="8"/>
        <v>2.6640242880057854</v>
      </c>
      <c r="H127">
        <v>17</v>
      </c>
      <c r="I127">
        <f t="shared" si="9"/>
        <v>1.2482976363192443E-2</v>
      </c>
      <c r="J127">
        <f t="shared" si="11"/>
        <v>1.1476529562092982E-2</v>
      </c>
    </row>
    <row r="128" spans="1:10" x14ac:dyDescent="0.3">
      <c r="A128" s="1">
        <v>26151</v>
      </c>
      <c r="B128">
        <v>103.779999</v>
      </c>
      <c r="C128">
        <f t="shared" si="7"/>
        <v>6.4978953884406105E-3</v>
      </c>
      <c r="D128">
        <f t="shared" si="6"/>
        <v>0.48262695965969993</v>
      </c>
      <c r="F128">
        <f t="shared" si="10"/>
        <v>2.8229832831322934</v>
      </c>
      <c r="G128">
        <f t="shared" si="8"/>
        <v>2.7699969514234573</v>
      </c>
      <c r="H128">
        <v>13</v>
      </c>
      <c r="I128">
        <f t="shared" si="9"/>
        <v>9.5458054542059845E-3</v>
      </c>
      <c r="J128">
        <f t="shared" si="11"/>
        <v>8.6052733048739873E-3</v>
      </c>
    </row>
    <row r="129" spans="1:10" x14ac:dyDescent="0.3">
      <c r="A129" s="1">
        <v>26154</v>
      </c>
      <c r="B129">
        <v>103.18</v>
      </c>
      <c r="C129">
        <f t="shared" si="7"/>
        <v>-5.7814512023650804E-3</v>
      </c>
      <c r="D129">
        <f t="shared" si="6"/>
        <v>-0.49967027462986657</v>
      </c>
      <c r="F129">
        <f t="shared" si="10"/>
        <v>2.9289559465499653</v>
      </c>
      <c r="G129">
        <f t="shared" si="8"/>
        <v>2.8759696148411291</v>
      </c>
      <c r="H129">
        <v>13</v>
      </c>
      <c r="I129">
        <f t="shared" si="9"/>
        <v>9.5458054542059845E-3</v>
      </c>
      <c r="J129">
        <f t="shared" si="11"/>
        <v>6.3803064749740025E-3</v>
      </c>
    </row>
    <row r="130" spans="1:10" x14ac:dyDescent="0.3">
      <c r="A130" s="1">
        <v>26155</v>
      </c>
      <c r="B130">
        <v>103.040001</v>
      </c>
      <c r="C130">
        <f t="shared" si="7"/>
        <v>-1.3568424113200531E-3</v>
      </c>
      <c r="D130">
        <f t="shared" si="6"/>
        <v>-0.14571976544632717</v>
      </c>
      <c r="F130">
        <f t="shared" si="10"/>
        <v>3.0349286099676371</v>
      </c>
      <c r="G130">
        <f t="shared" si="8"/>
        <v>2.981942278258801</v>
      </c>
      <c r="H130">
        <v>6</v>
      </c>
      <c r="I130">
        <f t="shared" si="9"/>
        <v>4.405756363479685E-3</v>
      </c>
      <c r="J130">
        <f t="shared" si="11"/>
        <v>4.6777951182933311E-3</v>
      </c>
    </row>
    <row r="131" spans="1:10" x14ac:dyDescent="0.3">
      <c r="A131" s="1">
        <v>26156</v>
      </c>
      <c r="B131">
        <v>104.08000199999999</v>
      </c>
      <c r="C131">
        <f t="shared" si="7"/>
        <v>1.0093177308878223E-2</v>
      </c>
      <c r="D131">
        <f t="shared" ref="D131:D194" si="12">(C131-avrtn)/sdrtn</f>
        <v>0.7702347294071149</v>
      </c>
      <c r="F131">
        <f t="shared" si="10"/>
        <v>3.140901273385309</v>
      </c>
      <c r="G131">
        <f t="shared" si="8"/>
        <v>3.0879149416764728</v>
      </c>
      <c r="H131">
        <v>9</v>
      </c>
      <c r="I131">
        <f t="shared" si="9"/>
        <v>6.6086345452195279E-3</v>
      </c>
      <c r="J131">
        <f t="shared" si="11"/>
        <v>3.3912799017056738E-3</v>
      </c>
    </row>
    <row r="132" spans="1:10" x14ac:dyDescent="0.3">
      <c r="A132" s="1">
        <v>26157</v>
      </c>
      <c r="B132">
        <v>105.209999</v>
      </c>
      <c r="C132">
        <f t="shared" ref="C132:C195" si="13">(B132-B131)/B131</f>
        <v>1.0857004018889269E-2</v>
      </c>
      <c r="D132">
        <f t="shared" si="12"/>
        <v>0.83133772533379957</v>
      </c>
      <c r="F132">
        <f t="shared" si="10"/>
        <v>3.2468739368029809</v>
      </c>
      <c r="G132">
        <f t="shared" si="8"/>
        <v>3.1938876050941447</v>
      </c>
      <c r="H132">
        <v>5</v>
      </c>
      <c r="I132">
        <f t="shared" si="9"/>
        <v>3.6714636362330712E-3</v>
      </c>
      <c r="J132">
        <f t="shared" si="11"/>
        <v>2.4311337900141147E-3</v>
      </c>
    </row>
    <row r="133" spans="1:10" x14ac:dyDescent="0.3">
      <c r="A133" s="1">
        <v>26158</v>
      </c>
      <c r="B133">
        <v>105.44000200000001</v>
      </c>
      <c r="C133">
        <f t="shared" si="13"/>
        <v>2.1861325176897933E-3</v>
      </c>
      <c r="D133">
        <f t="shared" si="12"/>
        <v>0.13770366007450044</v>
      </c>
      <c r="F133">
        <f t="shared" si="10"/>
        <v>3.3528466002206527</v>
      </c>
      <c r="G133">
        <f t="shared" si="8"/>
        <v>3.2998602685118166</v>
      </c>
      <c r="H133">
        <v>9</v>
      </c>
      <c r="I133">
        <f t="shared" si="9"/>
        <v>6.6086345452195279E-3</v>
      </c>
      <c r="J133">
        <f t="shared" si="11"/>
        <v>1.7233634058895608E-3</v>
      </c>
    </row>
    <row r="134" spans="1:10" x14ac:dyDescent="0.3">
      <c r="A134" s="1">
        <v>26161</v>
      </c>
      <c r="B134">
        <v>107.860001</v>
      </c>
      <c r="C134">
        <f t="shared" si="13"/>
        <v>2.2951431658736025E-2</v>
      </c>
      <c r="D134">
        <f t="shared" si="12"/>
        <v>1.798842203937921</v>
      </c>
      <c r="F134">
        <f t="shared" si="10"/>
        <v>3.4588192636383246</v>
      </c>
      <c r="G134">
        <f t="shared" si="8"/>
        <v>3.4058329319294884</v>
      </c>
      <c r="H134">
        <v>6</v>
      </c>
      <c r="I134">
        <f t="shared" si="9"/>
        <v>4.405756363479685E-3</v>
      </c>
      <c r="J134">
        <f t="shared" si="11"/>
        <v>1.2080020127194938E-3</v>
      </c>
    </row>
    <row r="135" spans="1:10" x14ac:dyDescent="0.3">
      <c r="A135" s="1">
        <v>26162</v>
      </c>
      <c r="B135">
        <v>108.93</v>
      </c>
      <c r="C135">
        <f t="shared" si="13"/>
        <v>9.9202576495434104E-3</v>
      </c>
      <c r="D135">
        <f t="shared" si="12"/>
        <v>0.75640186771021778</v>
      </c>
      <c r="F135">
        <f t="shared" si="10"/>
        <v>3.5647919270559965</v>
      </c>
      <c r="G135">
        <f t="shared" si="8"/>
        <v>3.5118055953471603</v>
      </c>
      <c r="H135">
        <v>4</v>
      </c>
      <c r="I135">
        <f t="shared" si="9"/>
        <v>2.9371709089864566E-3</v>
      </c>
      <c r="J135">
        <f t="shared" si="11"/>
        <v>8.3730027278686159E-4</v>
      </c>
    </row>
    <row r="136" spans="1:10" x14ac:dyDescent="0.3">
      <c r="A136" s="1">
        <v>26163</v>
      </c>
      <c r="B136">
        <v>108.389999</v>
      </c>
      <c r="C136">
        <f t="shared" si="13"/>
        <v>-4.9573212154595033E-3</v>
      </c>
      <c r="D136">
        <f t="shared" si="12"/>
        <v>-0.4337432645201757</v>
      </c>
      <c r="F136">
        <f t="shared" si="10"/>
        <v>3.6707645904736683</v>
      </c>
      <c r="G136">
        <f t="shared" ref="G136:G199" si="14">F136-0.5*bucketwidth</f>
        <v>3.6177782587648322</v>
      </c>
      <c r="H136">
        <v>7</v>
      </c>
      <c r="I136">
        <f t="shared" ref="I136:I199" si="15">H136/datacount/bucketwidth</f>
        <v>5.1400490907263004E-3</v>
      </c>
      <c r="J136">
        <f t="shared" si="11"/>
        <v>5.7387537726237233E-4</v>
      </c>
    </row>
    <row r="137" spans="1:10" x14ac:dyDescent="0.3">
      <c r="A137" s="1">
        <v>26164</v>
      </c>
      <c r="B137">
        <v>108.010002</v>
      </c>
      <c r="C137">
        <f t="shared" si="13"/>
        <v>-3.505830828543536E-3</v>
      </c>
      <c r="D137">
        <f t="shared" si="12"/>
        <v>-0.31763000213103282</v>
      </c>
      <c r="F137">
        <f t="shared" ref="F137:F200" si="16">F136+bucketwidth</f>
        <v>3.7767372538913402</v>
      </c>
      <c r="G137">
        <f t="shared" si="14"/>
        <v>3.723750922182504</v>
      </c>
      <c r="H137">
        <v>2</v>
      </c>
      <c r="I137">
        <f t="shared" si="15"/>
        <v>1.4685854544932283E-3</v>
      </c>
      <c r="J137">
        <f t="shared" ref="J137:J200" si="17">1/SQRT(2*PI())*EXP(-0.5*G137*G137)</f>
        <v>3.8893473746556259E-4</v>
      </c>
    </row>
    <row r="138" spans="1:10" x14ac:dyDescent="0.3">
      <c r="A138" s="1">
        <v>26165</v>
      </c>
      <c r="B138">
        <v>107.889999</v>
      </c>
      <c r="C138">
        <f t="shared" si="13"/>
        <v>-1.1110359946109156E-3</v>
      </c>
      <c r="D138">
        <f t="shared" si="12"/>
        <v>-0.12605626287162122</v>
      </c>
      <c r="F138">
        <f t="shared" si="16"/>
        <v>3.882709917309012</v>
      </c>
      <c r="G138">
        <f t="shared" si="14"/>
        <v>3.8297235856001759</v>
      </c>
      <c r="H138">
        <v>4</v>
      </c>
      <c r="I138">
        <f t="shared" si="15"/>
        <v>2.9371709089864566E-3</v>
      </c>
      <c r="J138">
        <f t="shared" si="17"/>
        <v>2.606505584417513E-4</v>
      </c>
    </row>
    <row r="139" spans="1:10" x14ac:dyDescent="0.3">
      <c r="A139" s="1">
        <v>26168</v>
      </c>
      <c r="B139">
        <v>108.260002</v>
      </c>
      <c r="C139">
        <f t="shared" si="13"/>
        <v>3.4294466904202766E-3</v>
      </c>
      <c r="D139">
        <f t="shared" si="12"/>
        <v>0.23716368135451221</v>
      </c>
      <c r="F139">
        <f t="shared" si="16"/>
        <v>3.9886825807266839</v>
      </c>
      <c r="G139">
        <f t="shared" si="14"/>
        <v>3.9356962490178478</v>
      </c>
      <c r="H139">
        <v>4</v>
      </c>
      <c r="I139">
        <f t="shared" si="15"/>
        <v>2.9371709089864566E-3</v>
      </c>
      <c r="J139">
        <f t="shared" si="17"/>
        <v>1.7272824866276047E-4</v>
      </c>
    </row>
    <row r="140" spans="1:10" x14ac:dyDescent="0.3">
      <c r="A140" s="1">
        <v>26169</v>
      </c>
      <c r="B140">
        <v>108.599998</v>
      </c>
      <c r="C140">
        <f t="shared" si="13"/>
        <v>3.1405504684915791E-3</v>
      </c>
      <c r="D140">
        <f t="shared" si="12"/>
        <v>0.21405317154857925</v>
      </c>
      <c r="F140">
        <f t="shared" si="16"/>
        <v>4.0946552441443558</v>
      </c>
      <c r="G140">
        <f t="shared" si="14"/>
        <v>4.0416689124355196</v>
      </c>
      <c r="H140">
        <v>3</v>
      </c>
      <c r="I140">
        <f t="shared" si="15"/>
        <v>2.2028781817398425E-3</v>
      </c>
      <c r="J140">
        <f t="shared" si="17"/>
        <v>1.1318551813163006E-4</v>
      </c>
    </row>
    <row r="141" spans="1:10" x14ac:dyDescent="0.3">
      <c r="A141" s="1">
        <v>26170</v>
      </c>
      <c r="B141">
        <v>108.849998</v>
      </c>
      <c r="C141">
        <f t="shared" si="13"/>
        <v>2.3020258250833485E-3</v>
      </c>
      <c r="D141">
        <f t="shared" si="12"/>
        <v>0.14697464810985733</v>
      </c>
      <c r="F141">
        <f t="shared" si="16"/>
        <v>4.2006279075620281</v>
      </c>
      <c r="G141">
        <f t="shared" si="14"/>
        <v>4.1476415758531919</v>
      </c>
      <c r="H141">
        <v>6</v>
      </c>
      <c r="I141">
        <f t="shared" si="15"/>
        <v>4.405756363479685E-3</v>
      </c>
      <c r="J141">
        <f t="shared" si="17"/>
        <v>7.3340039694805073E-5</v>
      </c>
    </row>
    <row r="142" spans="1:10" x14ac:dyDescent="0.3">
      <c r="A142" s="1">
        <v>26171</v>
      </c>
      <c r="B142">
        <v>108.970001</v>
      </c>
      <c r="C142">
        <f t="shared" si="13"/>
        <v>1.102462124069097E-3</v>
      </c>
      <c r="D142">
        <f t="shared" si="12"/>
        <v>5.1014484664129438E-2</v>
      </c>
      <c r="F142">
        <f t="shared" si="16"/>
        <v>4.3066005709797004</v>
      </c>
      <c r="G142">
        <f t="shared" si="14"/>
        <v>4.2536142392708642</v>
      </c>
      <c r="H142">
        <v>4</v>
      </c>
      <c r="I142">
        <f t="shared" si="15"/>
        <v>2.9371709089864566E-3</v>
      </c>
      <c r="J142">
        <f t="shared" si="17"/>
        <v>4.6990947486823058E-5</v>
      </c>
    </row>
    <row r="143" spans="1:10" x14ac:dyDescent="0.3">
      <c r="A143" s="1">
        <v>26172</v>
      </c>
      <c r="B143">
        <v>109.300003</v>
      </c>
      <c r="C143">
        <f t="shared" si="13"/>
        <v>3.0283747542592704E-3</v>
      </c>
      <c r="D143">
        <f t="shared" si="12"/>
        <v>0.20507957567928767</v>
      </c>
      <c r="F143">
        <f t="shared" si="16"/>
        <v>4.4125732343973727</v>
      </c>
      <c r="G143">
        <f t="shared" si="14"/>
        <v>4.3595869026885365</v>
      </c>
      <c r="H143">
        <v>2</v>
      </c>
      <c r="I143">
        <f t="shared" si="15"/>
        <v>1.4685854544932283E-3</v>
      </c>
      <c r="J143">
        <f t="shared" si="17"/>
        <v>2.977213960764295E-5</v>
      </c>
    </row>
    <row r="144" spans="1:10" x14ac:dyDescent="0.3">
      <c r="A144" s="1">
        <v>26175</v>
      </c>
      <c r="B144">
        <v>108.709999</v>
      </c>
      <c r="C144">
        <f t="shared" si="13"/>
        <v>-5.3980236395785594E-3</v>
      </c>
      <c r="D144">
        <f t="shared" si="12"/>
        <v>-0.468997646270504</v>
      </c>
      <c r="F144">
        <f t="shared" si="16"/>
        <v>4.518545897815045</v>
      </c>
      <c r="G144">
        <f t="shared" si="14"/>
        <v>4.4655595661062089</v>
      </c>
      <c r="H144">
        <v>2</v>
      </c>
      <c r="I144">
        <f t="shared" si="15"/>
        <v>1.4685854544932283E-3</v>
      </c>
      <c r="J144">
        <f t="shared" si="17"/>
        <v>1.865214038652585E-5</v>
      </c>
    </row>
    <row r="145" spans="1:10" x14ac:dyDescent="0.3">
      <c r="A145" s="1">
        <v>26176</v>
      </c>
      <c r="B145">
        <v>108.41999800000001</v>
      </c>
      <c r="C145">
        <f t="shared" si="13"/>
        <v>-2.6676570938059664E-3</v>
      </c>
      <c r="D145">
        <f t="shared" si="12"/>
        <v>-0.25057954994301873</v>
      </c>
      <c r="F145">
        <f t="shared" si="16"/>
        <v>4.6245185612327173</v>
      </c>
      <c r="G145">
        <f t="shared" si="14"/>
        <v>4.5715322295238812</v>
      </c>
      <c r="H145">
        <v>2</v>
      </c>
      <c r="I145">
        <f t="shared" si="15"/>
        <v>1.4685854544932283E-3</v>
      </c>
      <c r="J145">
        <f t="shared" si="17"/>
        <v>1.1555003677326915E-5</v>
      </c>
    </row>
    <row r="146" spans="1:10" x14ac:dyDescent="0.3">
      <c r="A146" s="1">
        <v>26177</v>
      </c>
      <c r="B146">
        <v>108.650002</v>
      </c>
      <c r="C146">
        <f t="shared" si="13"/>
        <v>2.121416751916873E-3</v>
      </c>
      <c r="D146">
        <f t="shared" si="12"/>
        <v>0.13252666492548576</v>
      </c>
      <c r="F146">
        <f t="shared" si="16"/>
        <v>4.7304912246503896</v>
      </c>
      <c r="G146">
        <f t="shared" si="14"/>
        <v>4.6775048929415535</v>
      </c>
      <c r="H146">
        <v>2</v>
      </c>
      <c r="I146">
        <f t="shared" si="15"/>
        <v>1.4685854544932283E-3</v>
      </c>
      <c r="J146">
        <f t="shared" si="17"/>
        <v>7.0783866894192713E-6</v>
      </c>
    </row>
    <row r="147" spans="1:10" x14ac:dyDescent="0.3">
      <c r="A147" s="1">
        <v>26178</v>
      </c>
      <c r="B147">
        <v>108.959999</v>
      </c>
      <c r="C147">
        <f t="shared" si="13"/>
        <v>2.8531706791868777E-3</v>
      </c>
      <c r="D147">
        <f t="shared" si="12"/>
        <v>0.19106397011695778</v>
      </c>
      <c r="F147">
        <f t="shared" si="16"/>
        <v>4.8364638880680619</v>
      </c>
      <c r="G147">
        <f t="shared" si="14"/>
        <v>4.7834775563592258</v>
      </c>
      <c r="H147">
        <v>3</v>
      </c>
      <c r="I147">
        <f t="shared" si="15"/>
        <v>2.2028781817398425E-3</v>
      </c>
      <c r="J147">
        <f t="shared" si="17"/>
        <v>4.2876691287952863E-6</v>
      </c>
    </row>
    <row r="148" spans="1:10" x14ac:dyDescent="0.3">
      <c r="A148" s="1">
        <v>26179</v>
      </c>
      <c r="B148">
        <v>109.980003</v>
      </c>
      <c r="C148">
        <f t="shared" si="13"/>
        <v>9.3612702768104857E-3</v>
      </c>
      <c r="D148">
        <f t="shared" si="12"/>
        <v>0.71168517646139495</v>
      </c>
      <c r="F148">
        <f t="shared" si="16"/>
        <v>4.9424365514857342</v>
      </c>
      <c r="G148">
        <f t="shared" si="14"/>
        <v>4.8894502197768981</v>
      </c>
      <c r="H148">
        <v>0</v>
      </c>
      <c r="I148">
        <f t="shared" si="15"/>
        <v>0</v>
      </c>
      <c r="J148">
        <f t="shared" si="17"/>
        <v>2.5682129296518495E-6</v>
      </c>
    </row>
    <row r="149" spans="1:10" x14ac:dyDescent="0.3">
      <c r="A149" s="1">
        <v>26183</v>
      </c>
      <c r="B149">
        <v>110.529999</v>
      </c>
      <c r="C149">
        <f t="shared" si="13"/>
        <v>5.0008727495670941E-3</v>
      </c>
      <c r="D149">
        <f t="shared" si="12"/>
        <v>0.36287130434369197</v>
      </c>
      <c r="F149">
        <f t="shared" si="16"/>
        <v>5.0484092149034065</v>
      </c>
      <c r="G149">
        <f t="shared" si="14"/>
        <v>4.9954228831945704</v>
      </c>
      <c r="H149">
        <v>2</v>
      </c>
      <c r="I149">
        <f t="shared" si="15"/>
        <v>1.4685854544932283E-3</v>
      </c>
      <c r="J149">
        <f t="shared" si="17"/>
        <v>1.5211203470573204E-6</v>
      </c>
    </row>
    <row r="150" spans="1:10" x14ac:dyDescent="0.3">
      <c r="A150" s="1">
        <v>26184</v>
      </c>
      <c r="B150">
        <v>110.58000199999999</v>
      </c>
      <c r="C150">
        <f t="shared" si="13"/>
        <v>4.523930195637619E-4</v>
      </c>
      <c r="D150">
        <f t="shared" si="12"/>
        <v>-9.8837059616725155E-4</v>
      </c>
      <c r="F150">
        <f t="shared" si="16"/>
        <v>5.1543818783210789</v>
      </c>
      <c r="G150">
        <f t="shared" si="14"/>
        <v>5.1013955466122427</v>
      </c>
      <c r="H150">
        <v>1</v>
      </c>
      <c r="I150">
        <f t="shared" si="15"/>
        <v>7.3429272724661416E-4</v>
      </c>
      <c r="J150">
        <f t="shared" si="17"/>
        <v>8.9087937992829768E-7</v>
      </c>
    </row>
    <row r="151" spans="1:10" x14ac:dyDescent="0.3">
      <c r="A151" s="1">
        <v>26185</v>
      </c>
      <c r="B151">
        <v>110.550003</v>
      </c>
      <c r="C151">
        <f t="shared" si="13"/>
        <v>-2.7128775056442349E-4</v>
      </c>
      <c r="D151">
        <f t="shared" si="12"/>
        <v>-5.8879856413314252E-2</v>
      </c>
      <c r="F151">
        <f t="shared" si="16"/>
        <v>5.2603545417387512</v>
      </c>
      <c r="G151">
        <f t="shared" si="14"/>
        <v>5.207368210029915</v>
      </c>
      <c r="H151">
        <v>3</v>
      </c>
      <c r="I151">
        <f t="shared" si="15"/>
        <v>2.2028781817398425E-3</v>
      </c>
      <c r="J151">
        <f t="shared" si="17"/>
        <v>5.1593741343199515E-7</v>
      </c>
    </row>
    <row r="152" spans="1:10" x14ac:dyDescent="0.3">
      <c r="A152" s="1">
        <v>26186</v>
      </c>
      <c r="B152">
        <v>110.41999800000001</v>
      </c>
      <c r="C152">
        <f t="shared" si="13"/>
        <v>-1.1759836858620169E-3</v>
      </c>
      <c r="D152">
        <f t="shared" si="12"/>
        <v>-0.13125181110520712</v>
      </c>
      <c r="F152">
        <f t="shared" si="16"/>
        <v>5.3663272051564235</v>
      </c>
      <c r="G152">
        <f t="shared" si="14"/>
        <v>5.3133408734475873</v>
      </c>
      <c r="H152">
        <v>0</v>
      </c>
      <c r="I152">
        <f t="shared" si="15"/>
        <v>0</v>
      </c>
      <c r="J152">
        <f t="shared" si="17"/>
        <v>2.9545947441373216E-7</v>
      </c>
    </row>
    <row r="153" spans="1:10" x14ac:dyDescent="0.3">
      <c r="A153" s="1">
        <v>26189</v>
      </c>
      <c r="B153">
        <v>110.220001</v>
      </c>
      <c r="C153">
        <f t="shared" si="13"/>
        <v>-1.8112389388017414E-3</v>
      </c>
      <c r="D153">
        <f t="shared" si="12"/>
        <v>-0.18206961915517658</v>
      </c>
      <c r="F153">
        <f t="shared" si="16"/>
        <v>5.4722998685740958</v>
      </c>
      <c r="G153">
        <f t="shared" si="14"/>
        <v>5.4193135368652596</v>
      </c>
      <c r="H153">
        <v>1</v>
      </c>
      <c r="I153">
        <f t="shared" si="15"/>
        <v>7.3429272724661416E-4</v>
      </c>
      <c r="J153">
        <f t="shared" si="17"/>
        <v>1.6730988610319444E-7</v>
      </c>
    </row>
    <row r="154" spans="1:10" x14ac:dyDescent="0.3">
      <c r="A154" s="1">
        <v>26190</v>
      </c>
      <c r="B154">
        <v>109.769997</v>
      </c>
      <c r="C154">
        <f t="shared" si="13"/>
        <v>-4.082779857713781E-3</v>
      </c>
      <c r="D154">
        <f t="shared" si="12"/>
        <v>-0.36378355203606871</v>
      </c>
      <c r="F154">
        <f t="shared" si="16"/>
        <v>5.5782725319917681</v>
      </c>
      <c r="G154">
        <f t="shared" si="14"/>
        <v>5.5252862002829319</v>
      </c>
      <c r="H154">
        <v>0</v>
      </c>
      <c r="I154">
        <f t="shared" si="15"/>
        <v>0</v>
      </c>
      <c r="J154">
        <f t="shared" si="17"/>
        <v>9.3684570471444996E-8</v>
      </c>
    </row>
    <row r="155" spans="1:10" x14ac:dyDescent="0.3">
      <c r="A155" s="1">
        <v>26191</v>
      </c>
      <c r="B155">
        <v>109.790001</v>
      </c>
      <c r="C155">
        <f t="shared" si="13"/>
        <v>1.82235588473234E-4</v>
      </c>
      <c r="D155">
        <f t="shared" si="12"/>
        <v>-2.2599854189414986E-2</v>
      </c>
      <c r="F155">
        <f t="shared" si="16"/>
        <v>5.6842451954094404</v>
      </c>
      <c r="G155">
        <f t="shared" si="14"/>
        <v>5.6312588637006042</v>
      </c>
      <c r="H155">
        <v>1</v>
      </c>
      <c r="I155">
        <f t="shared" si="15"/>
        <v>7.3429272724661416E-4</v>
      </c>
      <c r="J155">
        <f t="shared" si="17"/>
        <v>5.1872516812915296E-8</v>
      </c>
    </row>
    <row r="156" spans="1:10" x14ac:dyDescent="0.3">
      <c r="A156" s="1">
        <v>26192</v>
      </c>
      <c r="B156">
        <v>109.779999</v>
      </c>
      <c r="C156">
        <f t="shared" si="13"/>
        <v>-9.1101192357217171E-5</v>
      </c>
      <c r="D156">
        <f t="shared" si="12"/>
        <v>-4.4465672688292331E-2</v>
      </c>
      <c r="F156">
        <f t="shared" si="16"/>
        <v>5.7902178588271127</v>
      </c>
      <c r="G156">
        <f t="shared" si="14"/>
        <v>5.7372315271182766</v>
      </c>
      <c r="H156">
        <v>1</v>
      </c>
      <c r="I156">
        <f t="shared" si="15"/>
        <v>7.3429272724661416E-4</v>
      </c>
      <c r="J156">
        <f t="shared" si="17"/>
        <v>2.840072025286028E-8</v>
      </c>
    </row>
    <row r="157" spans="1:10" x14ac:dyDescent="0.3">
      <c r="A157" s="1">
        <v>26193</v>
      </c>
      <c r="B157">
        <v>110.099998</v>
      </c>
      <c r="C157">
        <f t="shared" si="13"/>
        <v>2.9149116680170098E-3</v>
      </c>
      <c r="D157">
        <f t="shared" si="12"/>
        <v>0.19600299534290527</v>
      </c>
      <c r="F157">
        <f t="shared" si="16"/>
        <v>5.896190522244785</v>
      </c>
      <c r="G157">
        <f t="shared" si="14"/>
        <v>5.8432041905359489</v>
      </c>
      <c r="H157">
        <v>2</v>
      </c>
      <c r="I157">
        <f t="shared" si="15"/>
        <v>1.4685854544932283E-3</v>
      </c>
      <c r="J157">
        <f t="shared" si="17"/>
        <v>1.5376028374364039E-8</v>
      </c>
    </row>
    <row r="158" spans="1:10" x14ac:dyDescent="0.3">
      <c r="A158" s="1">
        <v>26196</v>
      </c>
      <c r="B158">
        <v>109.989998</v>
      </c>
      <c r="C158">
        <f t="shared" si="13"/>
        <v>-9.9909175293535829E-4</v>
      </c>
      <c r="D158">
        <f t="shared" si="12"/>
        <v>-0.1171011838550489</v>
      </c>
      <c r="F158">
        <f t="shared" si="16"/>
        <v>6.0021631856624573</v>
      </c>
      <c r="G158">
        <f t="shared" si="14"/>
        <v>5.9491768539536212</v>
      </c>
      <c r="H158">
        <v>0</v>
      </c>
      <c r="I158">
        <f t="shared" si="15"/>
        <v>0</v>
      </c>
      <c r="J158">
        <f t="shared" si="17"/>
        <v>8.2315528943652757E-9</v>
      </c>
    </row>
    <row r="159" spans="1:10" x14ac:dyDescent="0.3">
      <c r="A159" s="1">
        <v>26197</v>
      </c>
      <c r="B159">
        <v>109.82</v>
      </c>
      <c r="C159">
        <f t="shared" si="13"/>
        <v>-1.5455768987286168E-3</v>
      </c>
      <c r="D159">
        <f t="shared" si="12"/>
        <v>-0.16081774835816279</v>
      </c>
      <c r="F159">
        <f t="shared" si="16"/>
        <v>6.1081358490801296</v>
      </c>
      <c r="G159">
        <f t="shared" si="14"/>
        <v>6.0551495173712935</v>
      </c>
      <c r="H159">
        <v>1</v>
      </c>
      <c r="I159">
        <f t="shared" si="15"/>
        <v>7.3429272724661416E-4</v>
      </c>
      <c r="J159">
        <f t="shared" si="17"/>
        <v>4.3575477866497944E-9</v>
      </c>
    </row>
    <row r="160" spans="1:10" x14ac:dyDescent="0.3">
      <c r="A160" s="1">
        <v>26198</v>
      </c>
      <c r="B160">
        <v>108.989998</v>
      </c>
      <c r="C160">
        <f t="shared" si="13"/>
        <v>-7.5578401019850052E-3</v>
      </c>
      <c r="D160">
        <f t="shared" si="12"/>
        <v>-0.6417740820446588</v>
      </c>
      <c r="F160">
        <f t="shared" si="16"/>
        <v>6.2141085124978019</v>
      </c>
      <c r="G160">
        <f t="shared" si="14"/>
        <v>6.1611221807889658</v>
      </c>
      <c r="H160">
        <v>2</v>
      </c>
      <c r="I160">
        <f t="shared" si="15"/>
        <v>1.4685854544932283E-3</v>
      </c>
      <c r="J160">
        <f t="shared" si="17"/>
        <v>2.2810002215640253E-9</v>
      </c>
    </row>
    <row r="161" spans="1:10" x14ac:dyDescent="0.3">
      <c r="A161" s="1">
        <v>26199</v>
      </c>
      <c r="B161">
        <v>108.800003</v>
      </c>
      <c r="C161">
        <f t="shared" si="13"/>
        <v>-1.7432333561470121E-3</v>
      </c>
      <c r="D161">
        <f t="shared" si="12"/>
        <v>-0.17662945218342502</v>
      </c>
      <c r="F161">
        <f t="shared" si="16"/>
        <v>6.3200811759154742</v>
      </c>
      <c r="G161">
        <f t="shared" si="14"/>
        <v>6.2670948442066381</v>
      </c>
      <c r="H161">
        <v>2</v>
      </c>
      <c r="I161">
        <f t="shared" si="15"/>
        <v>1.4685854544932283E-3</v>
      </c>
      <c r="J161">
        <f t="shared" si="17"/>
        <v>1.1806774815148262E-9</v>
      </c>
    </row>
    <row r="162" spans="1:10" x14ac:dyDescent="0.3">
      <c r="A162" s="1">
        <v>26200</v>
      </c>
      <c r="B162">
        <v>108.879997</v>
      </c>
      <c r="C162">
        <f t="shared" si="13"/>
        <v>7.3523895031509543E-4</v>
      </c>
      <c r="D162">
        <f t="shared" si="12"/>
        <v>2.1638140794522566E-2</v>
      </c>
      <c r="F162">
        <f t="shared" si="16"/>
        <v>6.4260538393331466</v>
      </c>
      <c r="G162">
        <f t="shared" si="14"/>
        <v>6.3730675076243104</v>
      </c>
      <c r="H162">
        <v>0</v>
      </c>
      <c r="I162">
        <f t="shared" si="15"/>
        <v>0</v>
      </c>
      <c r="J162">
        <f t="shared" si="17"/>
        <v>6.0431032817230254E-10</v>
      </c>
    </row>
    <row r="163" spans="1:10" x14ac:dyDescent="0.3">
      <c r="A163" s="1">
        <v>26203</v>
      </c>
      <c r="B163">
        <v>108.18</v>
      </c>
      <c r="C163">
        <f t="shared" si="13"/>
        <v>-6.4290688766275054E-3</v>
      </c>
      <c r="D163">
        <f t="shared" si="12"/>
        <v>-0.55147702555107181</v>
      </c>
      <c r="F163">
        <f t="shared" si="16"/>
        <v>6.5320265027508189</v>
      </c>
      <c r="G163">
        <f t="shared" si="14"/>
        <v>6.4790401710419827</v>
      </c>
      <c r="H163">
        <v>2</v>
      </c>
      <c r="I163">
        <f t="shared" si="15"/>
        <v>1.4685854544932283E-3</v>
      </c>
      <c r="J163">
        <f t="shared" si="17"/>
        <v>3.0585214953586306E-10</v>
      </c>
    </row>
    <row r="164" spans="1:10" x14ac:dyDescent="0.3">
      <c r="A164" s="1">
        <v>26204</v>
      </c>
      <c r="B164">
        <v>108.379997</v>
      </c>
      <c r="C164">
        <f t="shared" si="13"/>
        <v>1.8487428360140154E-3</v>
      </c>
      <c r="D164">
        <f t="shared" si="12"/>
        <v>0.11071387289509904</v>
      </c>
      <c r="F164">
        <f t="shared" si="16"/>
        <v>6.6379991661684912</v>
      </c>
      <c r="G164">
        <f t="shared" si="14"/>
        <v>6.585012834459655</v>
      </c>
      <c r="H164">
        <v>0</v>
      </c>
      <c r="I164">
        <f t="shared" si="15"/>
        <v>0</v>
      </c>
      <c r="J164">
        <f t="shared" si="17"/>
        <v>1.5306850522074589E-10</v>
      </c>
    </row>
    <row r="165" spans="1:10" x14ac:dyDescent="0.3">
      <c r="A165" s="1">
        <v>26205</v>
      </c>
      <c r="B165">
        <v>108.599998</v>
      </c>
      <c r="C165">
        <f t="shared" si="13"/>
        <v>2.0299040975245305E-3</v>
      </c>
      <c r="D165">
        <f t="shared" si="12"/>
        <v>0.12520602887638171</v>
      </c>
      <c r="F165">
        <f t="shared" si="16"/>
        <v>6.7439718295861635</v>
      </c>
      <c r="G165">
        <f t="shared" si="14"/>
        <v>6.6909854978773273</v>
      </c>
      <c r="H165">
        <v>0</v>
      </c>
      <c r="I165">
        <f t="shared" si="15"/>
        <v>0</v>
      </c>
      <c r="J165">
        <f t="shared" si="17"/>
        <v>7.5750050898869513E-11</v>
      </c>
    </row>
    <row r="166" spans="1:10" x14ac:dyDescent="0.3">
      <c r="A166" s="1">
        <v>26206</v>
      </c>
      <c r="B166">
        <v>109.029999</v>
      </c>
      <c r="C166">
        <f t="shared" si="13"/>
        <v>3.9594936272466996E-3</v>
      </c>
      <c r="D166">
        <f t="shared" si="12"/>
        <v>0.27956525673459837</v>
      </c>
      <c r="F166">
        <f t="shared" si="16"/>
        <v>6.8499444930038358</v>
      </c>
      <c r="G166">
        <f t="shared" si="14"/>
        <v>6.7969581612949996</v>
      </c>
      <c r="H166">
        <v>0</v>
      </c>
      <c r="I166">
        <f t="shared" si="15"/>
        <v>0</v>
      </c>
      <c r="J166">
        <f t="shared" si="17"/>
        <v>3.7068311216897925E-11</v>
      </c>
    </row>
    <row r="167" spans="1:10" x14ac:dyDescent="0.3">
      <c r="A167" s="1">
        <v>26207</v>
      </c>
      <c r="B167">
        <v>109.58000199999999</v>
      </c>
      <c r="C167">
        <f t="shared" si="13"/>
        <v>5.0445107313996174E-3</v>
      </c>
      <c r="D167">
        <f t="shared" si="12"/>
        <v>0.36636216344984035</v>
      </c>
      <c r="F167">
        <f t="shared" si="16"/>
        <v>6.9559171564215081</v>
      </c>
      <c r="G167">
        <f t="shared" si="14"/>
        <v>6.9029308247126719</v>
      </c>
      <c r="H167">
        <v>0</v>
      </c>
      <c r="I167">
        <f t="shared" si="15"/>
        <v>0</v>
      </c>
      <c r="J167">
        <f t="shared" si="17"/>
        <v>1.7936820250148634E-11</v>
      </c>
    </row>
    <row r="168" spans="1:10" x14ac:dyDescent="0.3">
      <c r="A168" s="1">
        <v>26210</v>
      </c>
      <c r="B168">
        <v>109.959999</v>
      </c>
      <c r="C168">
        <f t="shared" si="13"/>
        <v>3.467758651802206E-3</v>
      </c>
      <c r="D168">
        <f t="shared" si="12"/>
        <v>0.24022848072534</v>
      </c>
      <c r="F168">
        <f t="shared" si="16"/>
        <v>7.0618898198391804</v>
      </c>
      <c r="G168">
        <f t="shared" si="14"/>
        <v>7.0089034881303443</v>
      </c>
      <c r="H168">
        <v>0</v>
      </c>
      <c r="I168">
        <f t="shared" si="15"/>
        <v>0</v>
      </c>
      <c r="J168">
        <f t="shared" si="17"/>
        <v>8.5824423550711831E-12</v>
      </c>
    </row>
    <row r="169" spans="1:10" x14ac:dyDescent="0.3">
      <c r="A169" s="1">
        <v>26211</v>
      </c>
      <c r="B169">
        <v>109.989998</v>
      </c>
      <c r="C169">
        <f t="shared" si="13"/>
        <v>2.7281739062223585E-4</v>
      </c>
      <c r="D169">
        <f t="shared" si="12"/>
        <v>-1.5353682492090898E-2</v>
      </c>
      <c r="F169">
        <f t="shared" si="16"/>
        <v>7.1678624832568527</v>
      </c>
      <c r="G169">
        <f t="shared" si="14"/>
        <v>7.1148761515480166</v>
      </c>
      <c r="H169">
        <v>1</v>
      </c>
      <c r="I169">
        <f t="shared" si="15"/>
        <v>7.3429272724661416E-4</v>
      </c>
      <c r="J169">
        <f t="shared" si="17"/>
        <v>4.0606832871893774E-12</v>
      </c>
    </row>
    <row r="170" spans="1:10" x14ac:dyDescent="0.3">
      <c r="A170" s="1">
        <v>26212</v>
      </c>
      <c r="B170">
        <v>110.68</v>
      </c>
      <c r="C170">
        <f t="shared" si="13"/>
        <v>6.2733158700485374E-3</v>
      </c>
      <c r="D170">
        <f t="shared" si="12"/>
        <v>0.46466152166483166</v>
      </c>
      <c r="F170">
        <f t="shared" si="16"/>
        <v>7.273835146674525</v>
      </c>
      <c r="G170">
        <f t="shared" si="14"/>
        <v>7.2208488149656889</v>
      </c>
      <c r="H170">
        <v>0</v>
      </c>
      <c r="I170">
        <f t="shared" si="15"/>
        <v>0</v>
      </c>
      <c r="J170">
        <f t="shared" si="17"/>
        <v>1.8998098048061581E-12</v>
      </c>
    </row>
    <row r="171" spans="1:10" x14ac:dyDescent="0.3">
      <c r="A171" s="1">
        <v>26213</v>
      </c>
      <c r="B171">
        <v>110.980003</v>
      </c>
      <c r="C171">
        <f t="shared" si="13"/>
        <v>2.7105439103721502E-3</v>
      </c>
      <c r="D171">
        <f t="shared" si="12"/>
        <v>0.17965441509655733</v>
      </c>
      <c r="F171">
        <f t="shared" si="16"/>
        <v>7.3798078100921973</v>
      </c>
      <c r="G171">
        <f t="shared" si="14"/>
        <v>7.3268214783833612</v>
      </c>
      <c r="H171">
        <v>0</v>
      </c>
      <c r="I171">
        <f t="shared" si="15"/>
        <v>0</v>
      </c>
      <c r="J171">
        <f t="shared" si="17"/>
        <v>8.7890900708853432E-13</v>
      </c>
    </row>
    <row r="172" spans="1:10" x14ac:dyDescent="0.3">
      <c r="A172" s="1">
        <v>26214</v>
      </c>
      <c r="B172">
        <v>110.739998</v>
      </c>
      <c r="C172">
        <f t="shared" si="13"/>
        <v>-2.1625968058407467E-3</v>
      </c>
      <c r="D172">
        <f t="shared" si="12"/>
        <v>-0.21017680372611477</v>
      </c>
      <c r="F172">
        <f t="shared" si="16"/>
        <v>7.4857804735098696</v>
      </c>
      <c r="G172">
        <f t="shared" si="14"/>
        <v>7.4327941418010335</v>
      </c>
      <c r="H172">
        <v>1</v>
      </c>
      <c r="I172">
        <f t="shared" si="15"/>
        <v>7.3429272724661416E-4</v>
      </c>
      <c r="J172">
        <f t="shared" si="17"/>
        <v>4.0206890705325008E-13</v>
      </c>
    </row>
    <row r="173" spans="1:10" x14ac:dyDescent="0.3">
      <c r="A173" s="1">
        <v>26217</v>
      </c>
      <c r="B173">
        <v>110.709999</v>
      </c>
      <c r="C173">
        <f t="shared" si="13"/>
        <v>-2.7089579683759488E-4</v>
      </c>
      <c r="D173">
        <f t="shared" si="12"/>
        <v>-5.8848501726891322E-2</v>
      </c>
      <c r="F173">
        <f t="shared" si="16"/>
        <v>7.5917531369275419</v>
      </c>
      <c r="G173">
        <f t="shared" si="14"/>
        <v>7.5387668052187058</v>
      </c>
      <c r="H173">
        <v>1</v>
      </c>
      <c r="I173">
        <f t="shared" si="15"/>
        <v>7.3429272724661416E-4</v>
      </c>
      <c r="J173">
        <f t="shared" si="17"/>
        <v>1.8187786492602686E-13</v>
      </c>
    </row>
    <row r="174" spans="1:10" x14ac:dyDescent="0.3">
      <c r="A174" s="1">
        <v>26218</v>
      </c>
      <c r="B174">
        <v>110.910004</v>
      </c>
      <c r="C174">
        <f t="shared" si="13"/>
        <v>1.8065667221260154E-3</v>
      </c>
      <c r="D174">
        <f t="shared" si="12"/>
        <v>0.10733995721327562</v>
      </c>
      <c r="F174">
        <f t="shared" si="16"/>
        <v>7.6977258003452143</v>
      </c>
      <c r="G174">
        <f t="shared" si="14"/>
        <v>7.6447394686363781</v>
      </c>
      <c r="H174">
        <v>0</v>
      </c>
      <c r="I174">
        <f t="shared" si="15"/>
        <v>0</v>
      </c>
      <c r="J174">
        <f t="shared" si="17"/>
        <v>8.1354576585044161E-14</v>
      </c>
    </row>
    <row r="175" spans="1:10" x14ac:dyDescent="0.3">
      <c r="A175" s="1">
        <v>26219</v>
      </c>
      <c r="B175">
        <v>110.69000200000001</v>
      </c>
      <c r="C175">
        <f t="shared" si="13"/>
        <v>-1.9836082595398141E-3</v>
      </c>
      <c r="D175">
        <f t="shared" si="12"/>
        <v>-0.19585845602734034</v>
      </c>
      <c r="F175">
        <f t="shared" si="16"/>
        <v>7.8036984637628866</v>
      </c>
      <c r="G175">
        <f t="shared" si="14"/>
        <v>7.7507121320540504</v>
      </c>
      <c r="H175">
        <v>0</v>
      </c>
      <c r="I175">
        <f t="shared" si="15"/>
        <v>0</v>
      </c>
      <c r="J175">
        <f t="shared" si="17"/>
        <v>3.5983790915724028E-14</v>
      </c>
    </row>
    <row r="176" spans="1:10" x14ac:dyDescent="0.3">
      <c r="A176" s="1">
        <v>26220</v>
      </c>
      <c r="B176">
        <v>109.870003</v>
      </c>
      <c r="C176">
        <f t="shared" si="13"/>
        <v>-7.4080674422610446E-3</v>
      </c>
      <c r="D176">
        <f t="shared" si="12"/>
        <v>-0.62979288513559872</v>
      </c>
      <c r="F176">
        <f t="shared" si="16"/>
        <v>7.9096711271805589</v>
      </c>
      <c r="G176">
        <f t="shared" si="14"/>
        <v>7.8566847954717227</v>
      </c>
      <c r="H176">
        <v>0</v>
      </c>
      <c r="I176">
        <f t="shared" si="15"/>
        <v>0</v>
      </c>
      <c r="J176">
        <f t="shared" si="17"/>
        <v>1.5738184196976621E-14</v>
      </c>
    </row>
    <row r="177" spans="1:10" x14ac:dyDescent="0.3">
      <c r="A177" s="1">
        <v>26221</v>
      </c>
      <c r="B177">
        <v>109.599998</v>
      </c>
      <c r="C177">
        <f t="shared" si="13"/>
        <v>-2.4574951545236383E-3</v>
      </c>
      <c r="D177">
        <f t="shared" si="12"/>
        <v>-0.23376745899149057</v>
      </c>
      <c r="F177">
        <f t="shared" si="16"/>
        <v>8.0156437905982312</v>
      </c>
      <c r="G177">
        <f t="shared" si="14"/>
        <v>7.962657458889395</v>
      </c>
      <c r="H177">
        <v>0</v>
      </c>
      <c r="I177">
        <f t="shared" si="15"/>
        <v>0</v>
      </c>
      <c r="J177">
        <f t="shared" si="17"/>
        <v>6.8065198745472783E-15</v>
      </c>
    </row>
    <row r="178" spans="1:10" x14ac:dyDescent="0.3">
      <c r="A178" s="1">
        <v>26224</v>
      </c>
      <c r="B178">
        <v>109.05999799999999</v>
      </c>
      <c r="C178">
        <f t="shared" si="13"/>
        <v>-4.9270073891790238E-3</v>
      </c>
      <c r="D178">
        <f t="shared" si="12"/>
        <v>-0.43131828306893583</v>
      </c>
      <c r="F178">
        <f t="shared" si="16"/>
        <v>8.1216164540159035</v>
      </c>
      <c r="G178">
        <f t="shared" si="14"/>
        <v>8.0686301223070682</v>
      </c>
      <c r="H178">
        <v>0</v>
      </c>
      <c r="I178">
        <f t="shared" si="15"/>
        <v>0</v>
      </c>
      <c r="J178">
        <f t="shared" si="17"/>
        <v>2.9108403990253558E-15</v>
      </c>
    </row>
    <row r="179" spans="1:10" x14ac:dyDescent="0.3">
      <c r="A179" s="1">
        <v>26225</v>
      </c>
      <c r="B179">
        <v>107.989998</v>
      </c>
      <c r="C179">
        <f t="shared" si="13"/>
        <v>-9.8111133286467988E-3</v>
      </c>
      <c r="D179">
        <f t="shared" si="12"/>
        <v>-0.82202667466273061</v>
      </c>
      <c r="F179">
        <f t="shared" si="16"/>
        <v>8.2275891174335758</v>
      </c>
      <c r="G179">
        <f t="shared" si="14"/>
        <v>8.1746027857247405</v>
      </c>
      <c r="H179">
        <v>0</v>
      </c>
      <c r="I179">
        <f t="shared" si="15"/>
        <v>0</v>
      </c>
      <c r="J179">
        <f t="shared" si="17"/>
        <v>1.2309331121262494E-15</v>
      </c>
    </row>
    <row r="180" spans="1:10" x14ac:dyDescent="0.3">
      <c r="A180" s="1">
        <v>26226</v>
      </c>
      <c r="B180">
        <v>106.58000199999999</v>
      </c>
      <c r="C180">
        <f t="shared" si="13"/>
        <v>-1.3056727716579888E-2</v>
      </c>
      <c r="D180">
        <f t="shared" si="12"/>
        <v>-1.0816624796512688</v>
      </c>
      <c r="F180">
        <f t="shared" si="16"/>
        <v>8.3335617808512481</v>
      </c>
      <c r="G180">
        <f t="shared" si="14"/>
        <v>8.2805754491424128</v>
      </c>
      <c r="H180">
        <v>0</v>
      </c>
      <c r="I180">
        <f t="shared" si="15"/>
        <v>0</v>
      </c>
      <c r="J180">
        <f t="shared" si="17"/>
        <v>5.1472267280758468E-16</v>
      </c>
    </row>
    <row r="181" spans="1:10" x14ac:dyDescent="0.3">
      <c r="A181" s="1">
        <v>26227</v>
      </c>
      <c r="B181">
        <v>106.610001</v>
      </c>
      <c r="C181">
        <f t="shared" si="13"/>
        <v>2.8146931353973574E-4</v>
      </c>
      <c r="D181">
        <f t="shared" si="12"/>
        <v>-1.4661564235610524E-2</v>
      </c>
      <c r="F181">
        <f t="shared" si="16"/>
        <v>8.4395344442689204</v>
      </c>
      <c r="G181">
        <f t="shared" si="14"/>
        <v>8.3865481125600851</v>
      </c>
      <c r="H181">
        <v>1</v>
      </c>
      <c r="I181">
        <f t="shared" si="15"/>
        <v>7.3429272724661416E-4</v>
      </c>
      <c r="J181">
        <f t="shared" si="17"/>
        <v>2.1283102021813425E-16</v>
      </c>
    </row>
    <row r="182" spans="1:10" x14ac:dyDescent="0.3">
      <c r="A182" s="1">
        <v>26228</v>
      </c>
      <c r="B182">
        <v>106.800003</v>
      </c>
      <c r="C182">
        <f t="shared" si="13"/>
        <v>1.7822155352949195E-3</v>
      </c>
      <c r="D182">
        <f t="shared" si="12"/>
        <v>0.10539196239946651</v>
      </c>
      <c r="F182">
        <f t="shared" si="16"/>
        <v>8.5455071076865927</v>
      </c>
      <c r="G182">
        <f t="shared" si="14"/>
        <v>8.4925207759777575</v>
      </c>
      <c r="H182">
        <v>0</v>
      </c>
      <c r="I182">
        <f t="shared" si="15"/>
        <v>0</v>
      </c>
      <c r="J182">
        <f t="shared" si="17"/>
        <v>8.7020052054395645E-17</v>
      </c>
    </row>
    <row r="183" spans="1:10" x14ac:dyDescent="0.3">
      <c r="A183" s="1">
        <v>26231</v>
      </c>
      <c r="B183">
        <v>106.290001</v>
      </c>
      <c r="C183">
        <f t="shared" si="13"/>
        <v>-4.775299491330539E-3</v>
      </c>
      <c r="D183">
        <f t="shared" si="12"/>
        <v>-0.41918227506766048</v>
      </c>
      <c r="F183">
        <f t="shared" si="16"/>
        <v>8.651479771104265</v>
      </c>
      <c r="G183">
        <f t="shared" si="14"/>
        <v>8.5984934393954298</v>
      </c>
      <c r="H183">
        <v>0</v>
      </c>
      <c r="I183">
        <f t="shared" si="15"/>
        <v>0</v>
      </c>
      <c r="J183">
        <f t="shared" si="17"/>
        <v>3.5182486881730347E-17</v>
      </c>
    </row>
    <row r="184" spans="1:10" x14ac:dyDescent="0.3">
      <c r="A184" s="1">
        <v>26232</v>
      </c>
      <c r="B184">
        <v>105.69000200000001</v>
      </c>
      <c r="C184">
        <f t="shared" si="13"/>
        <v>-5.6449242106978324E-3</v>
      </c>
      <c r="D184">
        <f t="shared" si="12"/>
        <v>-0.48874867669883099</v>
      </c>
      <c r="F184">
        <f t="shared" si="16"/>
        <v>8.7574524345219373</v>
      </c>
      <c r="G184">
        <f t="shared" si="14"/>
        <v>8.7044661028131021</v>
      </c>
      <c r="H184">
        <v>0</v>
      </c>
      <c r="I184">
        <f t="shared" si="15"/>
        <v>0</v>
      </c>
      <c r="J184">
        <f t="shared" si="17"/>
        <v>1.4065543358817908E-17</v>
      </c>
    </row>
    <row r="185" spans="1:10" x14ac:dyDescent="0.3">
      <c r="A185" s="1">
        <v>26233</v>
      </c>
      <c r="B185">
        <v>104.279999</v>
      </c>
      <c r="C185">
        <f t="shared" si="13"/>
        <v>-1.3340930772240907E-2</v>
      </c>
      <c r="D185">
        <f t="shared" si="12"/>
        <v>-1.1043975554542025</v>
      </c>
      <c r="F185">
        <f t="shared" si="16"/>
        <v>8.8634250979396096</v>
      </c>
      <c r="G185">
        <f t="shared" si="14"/>
        <v>8.8104387662307744</v>
      </c>
      <c r="H185">
        <v>0</v>
      </c>
      <c r="I185">
        <f t="shared" si="15"/>
        <v>0</v>
      </c>
      <c r="J185">
        <f t="shared" si="17"/>
        <v>5.5604415130800609E-18</v>
      </c>
    </row>
    <row r="186" spans="1:10" x14ac:dyDescent="0.3">
      <c r="A186" s="1">
        <v>26234</v>
      </c>
      <c r="B186">
        <v>104.5</v>
      </c>
      <c r="C186">
        <f t="shared" si="13"/>
        <v>2.1097142511479726E-3</v>
      </c>
      <c r="D186">
        <f t="shared" si="12"/>
        <v>0.13159051298494442</v>
      </c>
      <c r="F186">
        <f t="shared" si="16"/>
        <v>8.969397761357282</v>
      </c>
      <c r="G186">
        <f t="shared" si="14"/>
        <v>8.9164114296484467</v>
      </c>
      <c r="H186">
        <v>0</v>
      </c>
      <c r="I186">
        <f t="shared" si="15"/>
        <v>0</v>
      </c>
      <c r="J186">
        <f t="shared" si="17"/>
        <v>2.1736260185290185E-18</v>
      </c>
    </row>
    <row r="187" spans="1:10" x14ac:dyDescent="0.3">
      <c r="A187" s="1">
        <v>26235</v>
      </c>
      <c r="B187">
        <v>105.099998</v>
      </c>
      <c r="C187">
        <f t="shared" si="13"/>
        <v>5.741607655502386E-3</v>
      </c>
      <c r="D187">
        <f t="shared" si="12"/>
        <v>0.42212705089838204</v>
      </c>
      <c r="F187">
        <f t="shared" si="16"/>
        <v>9.0753704247749543</v>
      </c>
      <c r="G187">
        <f t="shared" si="14"/>
        <v>9.022384093066119</v>
      </c>
      <c r="H187">
        <v>0</v>
      </c>
      <c r="I187">
        <f t="shared" si="15"/>
        <v>0</v>
      </c>
      <c r="J187">
        <f t="shared" si="17"/>
        <v>8.4020092382455617E-19</v>
      </c>
    </row>
    <row r="188" spans="1:10" x14ac:dyDescent="0.3">
      <c r="A188" s="1">
        <v>26238</v>
      </c>
      <c r="B188">
        <v>103.69000200000001</v>
      </c>
      <c r="C188">
        <f t="shared" si="13"/>
        <v>-1.3415756677749817E-2</v>
      </c>
      <c r="D188">
        <f t="shared" si="12"/>
        <v>-1.1103833202089535</v>
      </c>
      <c r="F188">
        <f t="shared" si="16"/>
        <v>9.1813430881926266</v>
      </c>
      <c r="G188">
        <f t="shared" si="14"/>
        <v>9.1283567564837913</v>
      </c>
      <c r="H188">
        <v>0</v>
      </c>
      <c r="I188">
        <f t="shared" si="15"/>
        <v>0</v>
      </c>
      <c r="J188">
        <f t="shared" si="17"/>
        <v>3.2114729565375339E-19</v>
      </c>
    </row>
    <row r="189" spans="1:10" x14ac:dyDescent="0.3">
      <c r="A189" s="1">
        <v>26239</v>
      </c>
      <c r="B189">
        <v>103.540001</v>
      </c>
      <c r="C189">
        <f t="shared" si="13"/>
        <v>-1.446629348121752E-3</v>
      </c>
      <c r="D189">
        <f t="shared" si="12"/>
        <v>-0.15290235118437284</v>
      </c>
      <c r="F189">
        <f t="shared" si="16"/>
        <v>9.2873157516102989</v>
      </c>
      <c r="G189">
        <f t="shared" si="14"/>
        <v>9.2343294199014636</v>
      </c>
      <c r="H189">
        <v>0</v>
      </c>
      <c r="I189">
        <f t="shared" si="15"/>
        <v>0</v>
      </c>
      <c r="J189">
        <f t="shared" si="17"/>
        <v>1.2138028908304617E-19</v>
      </c>
    </row>
    <row r="190" spans="1:10" x14ac:dyDescent="0.3">
      <c r="A190" s="1">
        <v>26240</v>
      </c>
      <c r="B190">
        <v>105.010002</v>
      </c>
      <c r="C190">
        <f t="shared" si="13"/>
        <v>1.4197421149339145E-2</v>
      </c>
      <c r="D190">
        <f t="shared" si="12"/>
        <v>1.0985573598924743</v>
      </c>
      <c r="F190">
        <f t="shared" si="16"/>
        <v>9.3932884150279712</v>
      </c>
      <c r="G190">
        <f t="shared" si="14"/>
        <v>9.3403020833191359</v>
      </c>
      <c r="H190">
        <v>0</v>
      </c>
      <c r="I190">
        <f t="shared" si="15"/>
        <v>0</v>
      </c>
      <c r="J190">
        <f t="shared" si="17"/>
        <v>4.5364366401486087E-20</v>
      </c>
    </row>
    <row r="191" spans="1:10" x14ac:dyDescent="0.3">
      <c r="A191" s="1">
        <v>26241</v>
      </c>
      <c r="B191">
        <v>105.55999799999999</v>
      </c>
      <c r="C191">
        <f t="shared" si="13"/>
        <v>5.2375582280247274E-3</v>
      </c>
      <c r="D191">
        <f t="shared" si="12"/>
        <v>0.38180516936379977</v>
      </c>
      <c r="F191">
        <f t="shared" si="16"/>
        <v>9.4992610784456435</v>
      </c>
      <c r="G191">
        <f t="shared" si="14"/>
        <v>9.4462747467368082</v>
      </c>
      <c r="H191">
        <v>1</v>
      </c>
      <c r="I191">
        <f t="shared" si="15"/>
        <v>7.3429272724661416E-4</v>
      </c>
      <c r="J191">
        <f t="shared" si="17"/>
        <v>1.6765029243773647E-20</v>
      </c>
    </row>
    <row r="192" spans="1:10" x14ac:dyDescent="0.3">
      <c r="A192" s="1">
        <v>26242</v>
      </c>
      <c r="B192">
        <v>105.459999</v>
      </c>
      <c r="C192">
        <f t="shared" si="13"/>
        <v>-9.4731907819851273E-4</v>
      </c>
      <c r="D192">
        <f t="shared" si="12"/>
        <v>-0.11295958276661186</v>
      </c>
      <c r="F192">
        <f t="shared" si="16"/>
        <v>9.6052337418633158</v>
      </c>
      <c r="G192">
        <f t="shared" si="14"/>
        <v>9.5522474101544805</v>
      </c>
      <c r="H192">
        <v>0</v>
      </c>
      <c r="I192">
        <f t="shared" si="15"/>
        <v>0</v>
      </c>
      <c r="J192">
        <f t="shared" si="17"/>
        <v>6.1265582195572079E-21</v>
      </c>
    </row>
    <row r="193" spans="1:10" x14ac:dyDescent="0.3">
      <c r="A193" s="1">
        <v>26245</v>
      </c>
      <c r="B193">
        <v>105.43</v>
      </c>
      <c r="C193">
        <f t="shared" si="13"/>
        <v>-2.8445856518535953E-4</v>
      </c>
      <c r="D193">
        <f t="shared" si="12"/>
        <v>-5.9933467424275799E-2</v>
      </c>
      <c r="F193">
        <f t="shared" si="16"/>
        <v>9.7112064052809881</v>
      </c>
      <c r="G193">
        <f t="shared" si="14"/>
        <v>9.6582200735721528</v>
      </c>
      <c r="H193">
        <v>0</v>
      </c>
      <c r="I193">
        <f t="shared" si="15"/>
        <v>0</v>
      </c>
      <c r="J193">
        <f t="shared" si="17"/>
        <v>2.2138673645787624E-21</v>
      </c>
    </row>
    <row r="194" spans="1:10" x14ac:dyDescent="0.3">
      <c r="A194" s="1">
        <v>26246</v>
      </c>
      <c r="B194">
        <v>105.720001</v>
      </c>
      <c r="C194">
        <f t="shared" si="13"/>
        <v>2.7506497201933936E-3</v>
      </c>
      <c r="D194">
        <f t="shared" si="12"/>
        <v>0.18286271496618139</v>
      </c>
      <c r="F194">
        <f t="shared" si="16"/>
        <v>9.8171790686986604</v>
      </c>
      <c r="G194">
        <f t="shared" si="14"/>
        <v>9.7641927369898251</v>
      </c>
      <c r="H194">
        <v>0</v>
      </c>
      <c r="I194">
        <f t="shared" si="15"/>
        <v>0</v>
      </c>
      <c r="J194">
        <f t="shared" si="17"/>
        <v>7.9105998249294976E-22</v>
      </c>
    </row>
    <row r="195" spans="1:10" x14ac:dyDescent="0.3">
      <c r="A195" s="1">
        <v>26247</v>
      </c>
      <c r="B195">
        <v>104.860001</v>
      </c>
      <c r="C195">
        <f t="shared" si="13"/>
        <v>-8.1346953449234222E-3</v>
      </c>
      <c r="D195">
        <f t="shared" ref="D195:D258" si="18">(C195-avrtn)/sdrtn</f>
        <v>-0.6879201294367997</v>
      </c>
      <c r="F195">
        <f t="shared" si="16"/>
        <v>9.9231517321163327</v>
      </c>
      <c r="G195">
        <f t="shared" si="14"/>
        <v>9.8701654004074975</v>
      </c>
      <c r="H195">
        <v>0</v>
      </c>
      <c r="I195">
        <f t="shared" si="15"/>
        <v>0</v>
      </c>
      <c r="J195">
        <f t="shared" si="17"/>
        <v>2.7950527990454522E-22</v>
      </c>
    </row>
    <row r="196" spans="1:10" x14ac:dyDescent="0.3">
      <c r="A196" s="1">
        <v>26248</v>
      </c>
      <c r="B196">
        <v>103.739998</v>
      </c>
      <c r="C196">
        <f t="shared" ref="C196:C259" si="19">(B196-B195)/B195</f>
        <v>-1.0680936384885186E-2</v>
      </c>
      <c r="D196">
        <f t="shared" si="18"/>
        <v>-0.89160894242802258</v>
      </c>
      <c r="F196">
        <f t="shared" si="16"/>
        <v>10.029124395534005</v>
      </c>
      <c r="G196">
        <f t="shared" si="14"/>
        <v>9.9761380638251698</v>
      </c>
      <c r="H196">
        <v>0</v>
      </c>
      <c r="I196">
        <f t="shared" si="15"/>
        <v>0</v>
      </c>
      <c r="J196">
        <f t="shared" si="17"/>
        <v>9.7654756362101087E-23</v>
      </c>
    </row>
    <row r="197" spans="1:10" x14ac:dyDescent="0.3">
      <c r="A197" s="1">
        <v>26249</v>
      </c>
      <c r="B197">
        <v>103.910004</v>
      </c>
      <c r="C197">
        <f t="shared" si="19"/>
        <v>1.6387700335216968E-3</v>
      </c>
      <c r="D197">
        <f t="shared" si="18"/>
        <v>9.3916912109036493E-2</v>
      </c>
      <c r="F197">
        <f t="shared" si="16"/>
        <v>10.135097058951677</v>
      </c>
      <c r="G197">
        <f t="shared" si="14"/>
        <v>10.082110727242842</v>
      </c>
      <c r="H197">
        <v>0</v>
      </c>
      <c r="I197">
        <f t="shared" si="15"/>
        <v>0</v>
      </c>
      <c r="J197">
        <f t="shared" si="17"/>
        <v>3.3738018283359642E-23</v>
      </c>
    </row>
    <row r="198" spans="1:10" x14ac:dyDescent="0.3">
      <c r="A198" s="1">
        <v>26252</v>
      </c>
      <c r="B198">
        <v>103.44000200000001</v>
      </c>
      <c r="C198">
        <f t="shared" si="19"/>
        <v>-4.5231641026593919E-3</v>
      </c>
      <c r="D198">
        <f t="shared" si="18"/>
        <v>-0.39901248076088197</v>
      </c>
      <c r="F198">
        <f t="shared" si="16"/>
        <v>10.24106972236935</v>
      </c>
      <c r="G198">
        <f t="shared" si="14"/>
        <v>10.188083390660514</v>
      </c>
      <c r="H198">
        <v>0</v>
      </c>
      <c r="I198">
        <f t="shared" si="15"/>
        <v>0</v>
      </c>
      <c r="J198">
        <f t="shared" si="17"/>
        <v>1.1525732117107645E-23</v>
      </c>
    </row>
    <row r="199" spans="1:10" x14ac:dyDescent="0.3">
      <c r="A199" s="1">
        <v>26253</v>
      </c>
      <c r="B199">
        <v>103.709999</v>
      </c>
      <c r="C199">
        <f t="shared" si="19"/>
        <v>2.6101797639175354E-3</v>
      </c>
      <c r="D199">
        <f t="shared" si="18"/>
        <v>0.17162569608002434</v>
      </c>
      <c r="F199">
        <f t="shared" si="16"/>
        <v>10.347042385787022</v>
      </c>
      <c r="G199">
        <f t="shared" si="14"/>
        <v>10.294056054078187</v>
      </c>
      <c r="H199">
        <v>0</v>
      </c>
      <c r="I199">
        <f t="shared" si="15"/>
        <v>0</v>
      </c>
      <c r="J199">
        <f t="shared" si="17"/>
        <v>3.8935007022536717E-24</v>
      </c>
    </row>
    <row r="200" spans="1:10" x14ac:dyDescent="0.3">
      <c r="A200" s="1">
        <v>26254</v>
      </c>
      <c r="B200">
        <v>103.639999</v>
      </c>
      <c r="C200">
        <f t="shared" si="19"/>
        <v>-6.7495902685326596E-4</v>
      </c>
      <c r="D200">
        <f t="shared" si="18"/>
        <v>-9.1171898610215227E-2</v>
      </c>
      <c r="F200">
        <f t="shared" si="16"/>
        <v>10.453015049204694</v>
      </c>
      <c r="G200">
        <f t="shared" ref="G200:G263" si="20">F200-0.5*bucketwidth</f>
        <v>10.400028717495859</v>
      </c>
      <c r="H200">
        <v>0</v>
      </c>
      <c r="I200">
        <f t="shared" ref="I200:I263" si="21">H200/datacount/bucketwidth</f>
        <v>0</v>
      </c>
      <c r="J200">
        <f t="shared" si="17"/>
        <v>1.3005731296607697E-24</v>
      </c>
    </row>
    <row r="201" spans="1:10" x14ac:dyDescent="0.3">
      <c r="A201" s="1">
        <v>26255</v>
      </c>
      <c r="B201">
        <v>103.44000200000001</v>
      </c>
      <c r="C201">
        <f t="shared" si="19"/>
        <v>-1.929727922903552E-3</v>
      </c>
      <c r="D201">
        <f t="shared" si="18"/>
        <v>-0.19154825065370748</v>
      </c>
      <c r="F201">
        <f t="shared" ref="F201:F232" si="22">F200+bucketwidth</f>
        <v>10.558987712622367</v>
      </c>
      <c r="G201">
        <f t="shared" si="20"/>
        <v>10.506001380913531</v>
      </c>
      <c r="H201">
        <v>0</v>
      </c>
      <c r="I201">
        <f t="shared" si="21"/>
        <v>0</v>
      </c>
      <c r="J201">
        <f t="shared" ref="J201:J232" si="23">1/SQRT(2*PI())*EXP(-0.5*G201*G201)</f>
        <v>4.2958793982006156E-25</v>
      </c>
    </row>
    <row r="202" spans="1:10" x14ac:dyDescent="0.3">
      <c r="A202" s="1">
        <v>26256</v>
      </c>
      <c r="B202">
        <v>102.949997</v>
      </c>
      <c r="C202">
        <f t="shared" si="19"/>
        <v>-4.7370938759263622E-3</v>
      </c>
      <c r="D202">
        <f t="shared" si="18"/>
        <v>-0.4161259829377556</v>
      </c>
      <c r="F202">
        <f t="shared" si="22"/>
        <v>10.664960376040039</v>
      </c>
      <c r="G202">
        <f t="shared" si="20"/>
        <v>10.611974044331204</v>
      </c>
      <c r="H202">
        <v>0</v>
      </c>
      <c r="I202">
        <f t="shared" si="21"/>
        <v>0</v>
      </c>
      <c r="J202">
        <f t="shared" si="23"/>
        <v>1.4031114471665935E-25</v>
      </c>
    </row>
    <row r="203" spans="1:10" x14ac:dyDescent="0.3">
      <c r="A203" s="1">
        <v>26259</v>
      </c>
      <c r="B203">
        <v>101.790001</v>
      </c>
      <c r="C203">
        <f t="shared" si="19"/>
        <v>-1.126756710833117E-2</v>
      </c>
      <c r="D203">
        <f t="shared" si="18"/>
        <v>-0.93853698806375274</v>
      </c>
      <c r="F203">
        <f t="shared" si="22"/>
        <v>10.770933039457711</v>
      </c>
      <c r="G203">
        <f t="shared" si="20"/>
        <v>10.717946707748876</v>
      </c>
      <c r="H203">
        <v>0</v>
      </c>
      <c r="I203">
        <f t="shared" si="21"/>
        <v>0</v>
      </c>
      <c r="J203">
        <f t="shared" si="23"/>
        <v>4.5316362146564704E-26</v>
      </c>
    </row>
    <row r="204" spans="1:10" x14ac:dyDescent="0.3">
      <c r="A204" s="1">
        <v>26260</v>
      </c>
      <c r="B204">
        <v>100.30999799999999</v>
      </c>
      <c r="C204">
        <f t="shared" si="19"/>
        <v>-1.4539768007272252E-2</v>
      </c>
      <c r="D204">
        <f t="shared" si="18"/>
        <v>-1.2002996046085439</v>
      </c>
      <c r="F204">
        <f t="shared" si="22"/>
        <v>10.876905702875383</v>
      </c>
      <c r="G204">
        <f t="shared" si="20"/>
        <v>10.823919371166548</v>
      </c>
      <c r="H204">
        <v>0</v>
      </c>
      <c r="I204">
        <f t="shared" si="21"/>
        <v>0</v>
      </c>
      <c r="J204">
        <f t="shared" si="23"/>
        <v>1.447240453834904E-26</v>
      </c>
    </row>
    <row r="205" spans="1:10" x14ac:dyDescent="0.3">
      <c r="A205" s="1">
        <v>26261</v>
      </c>
      <c r="B205">
        <v>100.400002</v>
      </c>
      <c r="C205">
        <f t="shared" si="19"/>
        <v>8.9725851654395936E-4</v>
      </c>
      <c r="D205">
        <f t="shared" si="18"/>
        <v>3.4599039864394478E-2</v>
      </c>
      <c r="F205">
        <f t="shared" si="22"/>
        <v>10.982878366293056</v>
      </c>
      <c r="G205">
        <f t="shared" si="20"/>
        <v>10.929892034584221</v>
      </c>
      <c r="H205">
        <v>0</v>
      </c>
      <c r="I205">
        <f t="shared" si="21"/>
        <v>0</v>
      </c>
      <c r="J205">
        <f t="shared" si="23"/>
        <v>4.5703465511876951E-27</v>
      </c>
    </row>
    <row r="206" spans="1:10" x14ac:dyDescent="0.3">
      <c r="A206" s="1">
        <v>26263</v>
      </c>
      <c r="B206">
        <v>101.639999</v>
      </c>
      <c r="C206">
        <f t="shared" si="19"/>
        <v>1.2350567483056449E-2</v>
      </c>
      <c r="D206">
        <f t="shared" si="18"/>
        <v>0.95081666089751193</v>
      </c>
      <c r="F206">
        <f t="shared" si="22"/>
        <v>11.088851029710728</v>
      </c>
      <c r="G206">
        <f t="shared" si="20"/>
        <v>11.035864698001893</v>
      </c>
      <c r="H206">
        <v>0</v>
      </c>
      <c r="I206">
        <f t="shared" si="21"/>
        <v>0</v>
      </c>
      <c r="J206">
        <f t="shared" si="23"/>
        <v>1.4271852692151667E-27</v>
      </c>
    </row>
    <row r="207" spans="1:10" x14ac:dyDescent="0.3">
      <c r="A207" s="1">
        <v>26266</v>
      </c>
      <c r="B207">
        <v>103.08000199999999</v>
      </c>
      <c r="C207">
        <f t="shared" si="19"/>
        <v>1.4167680186616197E-2</v>
      </c>
      <c r="D207">
        <f t="shared" si="18"/>
        <v>1.0961782051702078</v>
      </c>
      <c r="F207">
        <f t="shared" si="22"/>
        <v>11.1948236931284</v>
      </c>
      <c r="G207">
        <f t="shared" si="20"/>
        <v>11.141837361419565</v>
      </c>
      <c r="H207">
        <v>0</v>
      </c>
      <c r="I207">
        <f t="shared" si="21"/>
        <v>0</v>
      </c>
      <c r="J207">
        <f t="shared" si="23"/>
        <v>4.4069118194842132E-28</v>
      </c>
    </row>
    <row r="208" spans="1:10" x14ac:dyDescent="0.3">
      <c r="A208" s="1">
        <v>26267</v>
      </c>
      <c r="B208">
        <v>103.970001</v>
      </c>
      <c r="C208">
        <f t="shared" si="19"/>
        <v>8.6340607560330008E-3</v>
      </c>
      <c r="D208">
        <f t="shared" si="18"/>
        <v>0.65351140510261341</v>
      </c>
      <c r="F208">
        <f t="shared" si="22"/>
        <v>11.300796356546073</v>
      </c>
      <c r="G208">
        <f t="shared" si="20"/>
        <v>11.247810024837237</v>
      </c>
      <c r="H208">
        <v>1</v>
      </c>
      <c r="I208">
        <f t="shared" si="21"/>
        <v>7.3429272724661416E-4</v>
      </c>
      <c r="J208">
        <f t="shared" si="23"/>
        <v>1.3455850410177128E-28</v>
      </c>
    </row>
    <row r="209" spans="1:10" x14ac:dyDescent="0.3">
      <c r="A209" s="1">
        <v>26268</v>
      </c>
      <c r="B209">
        <v>105</v>
      </c>
      <c r="C209">
        <f t="shared" si="19"/>
        <v>9.9066941434385845E-3</v>
      </c>
      <c r="D209">
        <f t="shared" si="18"/>
        <v>0.75531684299530211</v>
      </c>
      <c r="F209">
        <f t="shared" si="22"/>
        <v>11.406769019963745</v>
      </c>
      <c r="G209">
        <f t="shared" si="20"/>
        <v>11.35378268825491</v>
      </c>
      <c r="H209">
        <v>0</v>
      </c>
      <c r="I209">
        <f t="shared" si="21"/>
        <v>0</v>
      </c>
      <c r="J209">
        <f t="shared" si="23"/>
        <v>4.062662299744616E-29</v>
      </c>
    </row>
    <row r="210" spans="1:10" x14ac:dyDescent="0.3">
      <c r="A210" s="1">
        <v>26269</v>
      </c>
      <c r="B210">
        <v>106.150002</v>
      </c>
      <c r="C210">
        <f t="shared" si="19"/>
        <v>1.0952400000000006E-2</v>
      </c>
      <c r="D210">
        <f t="shared" si="18"/>
        <v>0.83896901155204029</v>
      </c>
      <c r="F210">
        <f t="shared" si="22"/>
        <v>11.512741683381417</v>
      </c>
      <c r="G210">
        <f t="shared" si="20"/>
        <v>11.459755351672582</v>
      </c>
      <c r="H210">
        <v>0</v>
      </c>
      <c r="I210">
        <f t="shared" si="21"/>
        <v>0</v>
      </c>
      <c r="J210">
        <f t="shared" si="23"/>
        <v>1.2129225810069302E-29</v>
      </c>
    </row>
    <row r="211" spans="1:10" x14ac:dyDescent="0.3">
      <c r="A211" s="1">
        <v>26270</v>
      </c>
      <c r="B211">
        <v>107.260002</v>
      </c>
      <c r="C211">
        <f t="shared" si="19"/>
        <v>1.0456900415319817E-2</v>
      </c>
      <c r="D211">
        <f t="shared" si="18"/>
        <v>0.79933108228409189</v>
      </c>
      <c r="F211">
        <f t="shared" si="22"/>
        <v>11.61871434679909</v>
      </c>
      <c r="G211">
        <f t="shared" si="20"/>
        <v>11.565728015090254</v>
      </c>
      <c r="H211">
        <v>0</v>
      </c>
      <c r="I211">
        <f t="shared" si="21"/>
        <v>0</v>
      </c>
      <c r="J211">
        <f t="shared" si="23"/>
        <v>3.5807848101333995E-30</v>
      </c>
    </row>
    <row r="212" spans="1:10" x14ac:dyDescent="0.3">
      <c r="A212" s="1">
        <v>26273</v>
      </c>
      <c r="B212">
        <v>106.91999800000001</v>
      </c>
      <c r="C212">
        <f t="shared" si="19"/>
        <v>-3.1699048448646616E-3</v>
      </c>
      <c r="D212">
        <f t="shared" si="18"/>
        <v>-0.29075730477262163</v>
      </c>
      <c r="F212">
        <f t="shared" si="22"/>
        <v>11.724687010216762</v>
      </c>
      <c r="G212">
        <f t="shared" si="20"/>
        <v>11.671700678507927</v>
      </c>
      <c r="H212">
        <v>0</v>
      </c>
      <c r="I212">
        <f t="shared" si="21"/>
        <v>0</v>
      </c>
      <c r="J212">
        <f t="shared" si="23"/>
        <v>1.0453125088861929E-30</v>
      </c>
    </row>
    <row r="213" spans="1:10" x14ac:dyDescent="0.3">
      <c r="A213" s="1">
        <v>26274</v>
      </c>
      <c r="B213">
        <v>107.260002</v>
      </c>
      <c r="C213">
        <f t="shared" si="19"/>
        <v>3.1799850950239759E-3</v>
      </c>
      <c r="D213">
        <f t="shared" si="18"/>
        <v>0.21720777951501777</v>
      </c>
      <c r="F213">
        <f t="shared" si="22"/>
        <v>11.830659673634434</v>
      </c>
      <c r="G213">
        <f t="shared" si="20"/>
        <v>11.777673341925599</v>
      </c>
      <c r="H213">
        <v>0</v>
      </c>
      <c r="I213">
        <f t="shared" si="21"/>
        <v>0</v>
      </c>
      <c r="J213">
        <f t="shared" si="23"/>
        <v>3.017427584093858E-31</v>
      </c>
    </row>
    <row r="214" spans="1:10" x14ac:dyDescent="0.3">
      <c r="A214" s="1">
        <v>26275</v>
      </c>
      <c r="B214">
        <v>107.709999</v>
      </c>
      <c r="C214">
        <f t="shared" si="19"/>
        <v>4.1953849674550275E-3</v>
      </c>
      <c r="D214">
        <f t="shared" si="18"/>
        <v>0.29843559396027775</v>
      </c>
      <c r="F214">
        <f t="shared" si="22"/>
        <v>11.936632337052107</v>
      </c>
      <c r="G214">
        <f t="shared" si="20"/>
        <v>11.883646005343271</v>
      </c>
      <c r="H214">
        <v>0</v>
      </c>
      <c r="I214">
        <f t="shared" si="21"/>
        <v>0</v>
      </c>
      <c r="J214">
        <f t="shared" si="23"/>
        <v>8.6129187164209465E-32</v>
      </c>
    </row>
    <row r="215" spans="1:10" x14ac:dyDescent="0.3">
      <c r="A215" s="1">
        <v>26276</v>
      </c>
      <c r="B215">
        <v>107.970001</v>
      </c>
      <c r="C215">
        <f t="shared" si="19"/>
        <v>2.413907737572257E-3</v>
      </c>
      <c r="D215">
        <f t="shared" si="18"/>
        <v>0.15592474104779688</v>
      </c>
      <c r="F215">
        <f t="shared" si="22"/>
        <v>12.042605000469779</v>
      </c>
      <c r="G215">
        <f t="shared" si="20"/>
        <v>11.989618668760944</v>
      </c>
      <c r="H215">
        <v>0</v>
      </c>
      <c r="I215">
        <f t="shared" si="21"/>
        <v>0</v>
      </c>
      <c r="J215">
        <f t="shared" si="23"/>
        <v>2.4310093256264191E-32</v>
      </c>
    </row>
    <row r="216" spans="1:10" x14ac:dyDescent="0.3">
      <c r="A216" s="1">
        <v>26277</v>
      </c>
      <c r="B216">
        <v>108.80999799999999</v>
      </c>
      <c r="C216">
        <f t="shared" si="19"/>
        <v>7.7799110143566344E-3</v>
      </c>
      <c r="D216">
        <f t="shared" si="18"/>
        <v>0.58518293805322852</v>
      </c>
      <c r="F216">
        <f t="shared" si="22"/>
        <v>12.148577663887451</v>
      </c>
      <c r="G216">
        <f t="shared" si="20"/>
        <v>12.095591332178616</v>
      </c>
      <c r="H216">
        <v>0</v>
      </c>
      <c r="I216">
        <f t="shared" si="21"/>
        <v>0</v>
      </c>
      <c r="J216">
        <f t="shared" si="23"/>
        <v>6.7849348967092024E-33</v>
      </c>
    </row>
    <row r="217" spans="1:10" x14ac:dyDescent="0.3">
      <c r="A217" s="1">
        <v>26280</v>
      </c>
      <c r="B217">
        <v>109.160004</v>
      </c>
      <c r="C217">
        <f t="shared" si="19"/>
        <v>3.2166713209571753E-3</v>
      </c>
      <c r="D217">
        <f t="shared" si="18"/>
        <v>0.22014252673501128</v>
      </c>
      <c r="F217">
        <f t="shared" si="22"/>
        <v>12.254550327305124</v>
      </c>
      <c r="G217">
        <f t="shared" si="20"/>
        <v>12.201563995596288</v>
      </c>
      <c r="H217">
        <v>0</v>
      </c>
      <c r="I217">
        <f t="shared" si="21"/>
        <v>0</v>
      </c>
      <c r="J217">
        <f t="shared" si="23"/>
        <v>1.8725245858500483E-33</v>
      </c>
    </row>
    <row r="218" spans="1:10" x14ac:dyDescent="0.3">
      <c r="A218" s="1">
        <v>26281</v>
      </c>
      <c r="B218">
        <v>109.07</v>
      </c>
      <c r="C218">
        <f t="shared" si="19"/>
        <v>-8.245144439533689E-4</v>
      </c>
      <c r="D218">
        <f t="shared" si="18"/>
        <v>-0.10313571700267372</v>
      </c>
      <c r="F218">
        <f t="shared" si="22"/>
        <v>12.360522990722796</v>
      </c>
      <c r="G218">
        <f t="shared" si="20"/>
        <v>12.307536659013961</v>
      </c>
      <c r="H218">
        <v>0</v>
      </c>
      <c r="I218">
        <f t="shared" si="21"/>
        <v>0</v>
      </c>
      <c r="J218">
        <f t="shared" si="23"/>
        <v>5.110132442139359E-34</v>
      </c>
    </row>
    <row r="219" spans="1:10" x14ac:dyDescent="0.3">
      <c r="A219" s="1">
        <v>26282</v>
      </c>
      <c r="B219">
        <v>109.449997</v>
      </c>
      <c r="C219">
        <f t="shared" si="19"/>
        <v>3.4839735949390581E-3</v>
      </c>
      <c r="D219">
        <f t="shared" si="18"/>
        <v>0.24152560950004359</v>
      </c>
      <c r="F219">
        <f t="shared" si="22"/>
        <v>12.466495654140468</v>
      </c>
      <c r="G219">
        <f t="shared" si="20"/>
        <v>12.413509322431633</v>
      </c>
      <c r="H219">
        <v>0</v>
      </c>
      <c r="I219">
        <f t="shared" si="21"/>
        <v>0</v>
      </c>
      <c r="J219">
        <f t="shared" si="23"/>
        <v>1.378985080311767E-34</v>
      </c>
    </row>
    <row r="220" spans="1:10" x14ac:dyDescent="0.3">
      <c r="A220" s="1">
        <v>26283</v>
      </c>
      <c r="B220">
        <v>110.010002</v>
      </c>
      <c r="C220">
        <f t="shared" si="19"/>
        <v>5.1165373718557883E-3</v>
      </c>
      <c r="D220">
        <f t="shared" si="18"/>
        <v>0.37212399851101874</v>
      </c>
      <c r="F220">
        <f t="shared" si="22"/>
        <v>12.57246831755814</v>
      </c>
      <c r="G220">
        <f t="shared" si="20"/>
        <v>12.519481985849305</v>
      </c>
      <c r="H220">
        <v>0</v>
      </c>
      <c r="I220">
        <f t="shared" si="21"/>
        <v>0</v>
      </c>
      <c r="J220">
        <f t="shared" si="23"/>
        <v>3.6796775445729001E-35</v>
      </c>
    </row>
    <row r="221" spans="1:10" x14ac:dyDescent="0.3">
      <c r="A221" s="1">
        <v>26284</v>
      </c>
      <c r="B221">
        <v>110.519997</v>
      </c>
      <c r="C221">
        <f t="shared" si="19"/>
        <v>4.6358966523789673E-3</v>
      </c>
      <c r="D221">
        <f t="shared" si="18"/>
        <v>0.33367471735932103</v>
      </c>
      <c r="F221">
        <f t="shared" si="22"/>
        <v>12.678440980975813</v>
      </c>
      <c r="G221">
        <f t="shared" si="20"/>
        <v>12.625454649266977</v>
      </c>
      <c r="H221">
        <v>0</v>
      </c>
      <c r="I221">
        <f t="shared" si="21"/>
        <v>0</v>
      </c>
      <c r="J221">
        <f t="shared" si="23"/>
        <v>9.709184218802946E-36</v>
      </c>
    </row>
    <row r="222" spans="1:10" x14ac:dyDescent="0.3">
      <c r="A222" s="1">
        <v>26287</v>
      </c>
      <c r="B222">
        <v>111.5</v>
      </c>
      <c r="C222">
        <f t="shared" si="19"/>
        <v>8.8672007473905058E-3</v>
      </c>
      <c r="D222">
        <f t="shared" si="18"/>
        <v>0.67216164573384096</v>
      </c>
      <c r="F222">
        <f t="shared" si="22"/>
        <v>12.784413644393485</v>
      </c>
      <c r="G222">
        <f t="shared" si="20"/>
        <v>12.73142731268465</v>
      </c>
      <c r="H222">
        <v>0</v>
      </c>
      <c r="I222">
        <f t="shared" si="21"/>
        <v>0</v>
      </c>
      <c r="J222">
        <f t="shared" si="23"/>
        <v>2.5332526400236497E-36</v>
      </c>
    </row>
    <row r="223" spans="1:10" x14ac:dyDescent="0.3">
      <c r="A223" s="1">
        <v>26288</v>
      </c>
      <c r="B223">
        <v>111.730003</v>
      </c>
      <c r="C223">
        <f t="shared" si="19"/>
        <v>2.0628071748878601E-3</v>
      </c>
      <c r="D223">
        <f t="shared" si="18"/>
        <v>0.12783813976718553</v>
      </c>
      <c r="F223">
        <f t="shared" si="22"/>
        <v>12.890386307811157</v>
      </c>
      <c r="G223">
        <f t="shared" si="20"/>
        <v>12.837399976102322</v>
      </c>
      <c r="H223">
        <v>0</v>
      </c>
      <c r="I223">
        <f t="shared" si="21"/>
        <v>0</v>
      </c>
      <c r="J223">
        <f t="shared" si="23"/>
        <v>6.5357743602686373E-37</v>
      </c>
    </row>
    <row r="224" spans="1:10" x14ac:dyDescent="0.3">
      <c r="A224" s="1">
        <v>26289</v>
      </c>
      <c r="B224">
        <v>111.970001</v>
      </c>
      <c r="C224">
        <f t="shared" si="19"/>
        <v>2.1480174846142262E-3</v>
      </c>
      <c r="D224">
        <f t="shared" si="18"/>
        <v>0.1346546141584076</v>
      </c>
      <c r="F224">
        <f t="shared" si="22"/>
        <v>12.99635897122883</v>
      </c>
      <c r="G224">
        <f t="shared" si="20"/>
        <v>12.943372639519994</v>
      </c>
      <c r="H224">
        <v>0</v>
      </c>
      <c r="I224">
        <f t="shared" si="21"/>
        <v>0</v>
      </c>
      <c r="J224">
        <f t="shared" si="23"/>
        <v>1.6673945606886941E-37</v>
      </c>
    </row>
    <row r="225" spans="1:10" x14ac:dyDescent="0.3">
      <c r="A225" s="1">
        <v>26290</v>
      </c>
      <c r="B225">
        <v>111.94000200000001</v>
      </c>
      <c r="C225">
        <f t="shared" si="19"/>
        <v>-2.6791997617280945E-4</v>
      </c>
      <c r="D225">
        <f t="shared" si="18"/>
        <v>-5.8610448310356174E-2</v>
      </c>
      <c r="F225">
        <f t="shared" si="22"/>
        <v>13.102331634646502</v>
      </c>
      <c r="G225">
        <f t="shared" si="20"/>
        <v>13.049345302937667</v>
      </c>
      <c r="H225">
        <v>0</v>
      </c>
      <c r="I225">
        <f t="shared" si="21"/>
        <v>0</v>
      </c>
      <c r="J225">
        <f t="shared" si="23"/>
        <v>4.2063217950223469E-38</v>
      </c>
    </row>
    <row r="226" spans="1:10" x14ac:dyDescent="0.3">
      <c r="A226" s="1">
        <v>26294</v>
      </c>
      <c r="B226">
        <v>111.699997</v>
      </c>
      <c r="C226">
        <f t="shared" si="19"/>
        <v>-2.1440503458273179E-3</v>
      </c>
      <c r="D226">
        <f t="shared" si="18"/>
        <v>-0.20869316318853973</v>
      </c>
      <c r="F226">
        <f t="shared" si="22"/>
        <v>13.208304298064174</v>
      </c>
      <c r="G226">
        <f t="shared" si="20"/>
        <v>13.155317966355339</v>
      </c>
      <c r="H226">
        <v>0</v>
      </c>
      <c r="I226">
        <f t="shared" si="21"/>
        <v>0</v>
      </c>
      <c r="J226">
        <f t="shared" si="23"/>
        <v>1.049275160667933E-38</v>
      </c>
    </row>
    <row r="227" spans="1:10" x14ac:dyDescent="0.3">
      <c r="A227" s="1">
        <v>26295</v>
      </c>
      <c r="B227">
        <v>111.93</v>
      </c>
      <c r="C227">
        <f t="shared" si="19"/>
        <v>2.0591137527068209E-3</v>
      </c>
      <c r="D227">
        <f t="shared" si="18"/>
        <v>0.12754268118014517</v>
      </c>
      <c r="F227">
        <f t="shared" si="22"/>
        <v>13.314276961481847</v>
      </c>
      <c r="G227">
        <f t="shared" si="20"/>
        <v>13.261290629773011</v>
      </c>
      <c r="H227">
        <v>0</v>
      </c>
      <c r="I227">
        <f t="shared" si="21"/>
        <v>0</v>
      </c>
      <c r="J227">
        <f t="shared" si="23"/>
        <v>2.5882073932166449E-39</v>
      </c>
    </row>
    <row r="228" spans="1:10" x14ac:dyDescent="0.3">
      <c r="A228" s="1">
        <v>26296</v>
      </c>
      <c r="B228">
        <v>112.57</v>
      </c>
      <c r="C228">
        <f t="shared" si="19"/>
        <v>5.7178593763958395E-3</v>
      </c>
      <c r="D228">
        <f t="shared" si="18"/>
        <v>0.42022728622336547</v>
      </c>
      <c r="F228">
        <f t="shared" si="22"/>
        <v>13.420249624899519</v>
      </c>
      <c r="G228">
        <f t="shared" si="20"/>
        <v>13.367263293190684</v>
      </c>
      <c r="H228">
        <v>0</v>
      </c>
      <c r="I228">
        <f t="shared" si="21"/>
        <v>0</v>
      </c>
      <c r="J228">
        <f t="shared" si="23"/>
        <v>6.3129382113739306E-40</v>
      </c>
    </row>
    <row r="229" spans="1:10" x14ac:dyDescent="0.3">
      <c r="A229" s="1">
        <v>26297</v>
      </c>
      <c r="B229">
        <v>112.970001</v>
      </c>
      <c r="C229">
        <f t="shared" si="19"/>
        <v>3.5533534689526801E-3</v>
      </c>
      <c r="D229">
        <f t="shared" si="18"/>
        <v>0.24707571412938673</v>
      </c>
      <c r="F229">
        <f t="shared" si="22"/>
        <v>13.526222288317191</v>
      </c>
      <c r="G229">
        <f t="shared" si="20"/>
        <v>13.473235956608356</v>
      </c>
      <c r="H229">
        <v>0</v>
      </c>
      <c r="I229">
        <f t="shared" si="21"/>
        <v>0</v>
      </c>
      <c r="J229">
        <f t="shared" si="23"/>
        <v>1.5226033732403444E-40</v>
      </c>
    </row>
    <row r="230" spans="1:10" x14ac:dyDescent="0.3">
      <c r="A230" s="1">
        <v>26298</v>
      </c>
      <c r="B230">
        <v>114.120003</v>
      </c>
      <c r="C230">
        <f t="shared" si="19"/>
        <v>1.0179711337702835E-2</v>
      </c>
      <c r="D230">
        <f t="shared" si="18"/>
        <v>0.77715709588303128</v>
      </c>
      <c r="F230">
        <f t="shared" si="22"/>
        <v>13.632194951734864</v>
      </c>
      <c r="G230">
        <f t="shared" si="20"/>
        <v>13.579208620026028</v>
      </c>
      <c r="H230">
        <v>0</v>
      </c>
      <c r="I230">
        <f t="shared" si="21"/>
        <v>0</v>
      </c>
      <c r="J230">
        <f t="shared" si="23"/>
        <v>3.6313224980436037E-41</v>
      </c>
    </row>
    <row r="231" spans="1:10" x14ac:dyDescent="0.3">
      <c r="A231" s="1">
        <v>26301</v>
      </c>
      <c r="B231">
        <v>113.650002</v>
      </c>
      <c r="C231">
        <f t="shared" si="19"/>
        <v>-4.1184804385257191E-3</v>
      </c>
      <c r="D231">
        <f t="shared" si="18"/>
        <v>-0.3666394516993583</v>
      </c>
      <c r="F231">
        <f t="shared" si="22"/>
        <v>13.738167615152536</v>
      </c>
      <c r="G231">
        <f t="shared" si="20"/>
        <v>13.685181283443701</v>
      </c>
      <c r="H231">
        <v>0</v>
      </c>
      <c r="I231">
        <f t="shared" si="21"/>
        <v>0</v>
      </c>
      <c r="J231">
        <f t="shared" si="23"/>
        <v>8.5637826609321032E-42</v>
      </c>
    </row>
    <row r="232" spans="1:10" x14ac:dyDescent="0.3">
      <c r="A232" s="1">
        <v>26302</v>
      </c>
      <c r="B232">
        <v>113.93</v>
      </c>
      <c r="C232">
        <f t="shared" si="19"/>
        <v>2.4636867142334602E-3</v>
      </c>
      <c r="D232">
        <f t="shared" si="18"/>
        <v>0.15990685448831801</v>
      </c>
      <c r="F232">
        <f t="shared" si="22"/>
        <v>13.844140278570208</v>
      </c>
      <c r="G232">
        <f t="shared" si="20"/>
        <v>13.791153946861373</v>
      </c>
      <c r="H232">
        <v>0</v>
      </c>
      <c r="I232">
        <f t="shared" si="21"/>
        <v>0</v>
      </c>
      <c r="J232">
        <f t="shared" si="23"/>
        <v>1.9970513736786206E-42</v>
      </c>
    </row>
    <row r="233" spans="1:10" x14ac:dyDescent="0.3">
      <c r="A233" s="1">
        <v>26303</v>
      </c>
      <c r="B233">
        <v>114.83000199999999</v>
      </c>
      <c r="C233">
        <f t="shared" si="19"/>
        <v>7.8996050206265808E-3</v>
      </c>
      <c r="D233">
        <f t="shared" si="18"/>
        <v>0.59475796637012956</v>
      </c>
    </row>
    <row r="234" spans="1:10" x14ac:dyDescent="0.3">
      <c r="A234" s="1">
        <v>26304</v>
      </c>
      <c r="B234">
        <v>115.720001</v>
      </c>
      <c r="C234">
        <f t="shared" si="19"/>
        <v>7.7505789819632956E-3</v>
      </c>
      <c r="D234">
        <f t="shared" si="18"/>
        <v>0.58283649607579935</v>
      </c>
    </row>
    <row r="235" spans="1:10" x14ac:dyDescent="0.3">
      <c r="A235" s="1">
        <v>26305</v>
      </c>
      <c r="B235">
        <v>116.050003</v>
      </c>
      <c r="C235">
        <f t="shared" si="19"/>
        <v>2.8517282850698167E-3</v>
      </c>
      <c r="D235">
        <f t="shared" si="18"/>
        <v>0.19094858451875293</v>
      </c>
    </row>
    <row r="236" spans="1:10" x14ac:dyDescent="0.3">
      <c r="A236" s="1">
        <v>26308</v>
      </c>
      <c r="B236">
        <v>116.099998</v>
      </c>
      <c r="C236">
        <f t="shared" si="19"/>
        <v>4.3080567606702748E-4</v>
      </c>
      <c r="D236">
        <f t="shared" si="18"/>
        <v>-2.7152693082191383E-3</v>
      </c>
    </row>
    <row r="237" spans="1:10" x14ac:dyDescent="0.3">
      <c r="A237" s="1">
        <v>26309</v>
      </c>
      <c r="B237">
        <v>116.639999</v>
      </c>
      <c r="C237">
        <f t="shared" si="19"/>
        <v>4.6511714840856734E-3</v>
      </c>
      <c r="D237">
        <f t="shared" si="18"/>
        <v>0.33489664108537426</v>
      </c>
    </row>
    <row r="238" spans="1:10" x14ac:dyDescent="0.3">
      <c r="A238" s="1">
        <v>26310</v>
      </c>
      <c r="B238">
        <v>116.900002</v>
      </c>
      <c r="C238">
        <f t="shared" si="19"/>
        <v>2.2291066720602211E-3</v>
      </c>
      <c r="D238">
        <f t="shared" si="18"/>
        <v>0.14114141571335601</v>
      </c>
    </row>
    <row r="239" spans="1:10" x14ac:dyDescent="0.3">
      <c r="A239" s="1">
        <v>26311</v>
      </c>
      <c r="B239">
        <v>116.41999800000001</v>
      </c>
      <c r="C239">
        <f t="shared" si="19"/>
        <v>-4.1061077141811668E-3</v>
      </c>
      <c r="D239">
        <f t="shared" si="18"/>
        <v>-0.36564968462874059</v>
      </c>
    </row>
    <row r="240" spans="1:10" x14ac:dyDescent="0.3">
      <c r="A240" s="1">
        <v>26312</v>
      </c>
      <c r="B240">
        <v>116.739998</v>
      </c>
      <c r="C240">
        <f t="shared" si="19"/>
        <v>2.7486686608600799E-3</v>
      </c>
      <c r="D240">
        <f t="shared" si="18"/>
        <v>0.18270423836568095</v>
      </c>
    </row>
    <row r="241" spans="1:4" x14ac:dyDescent="0.3">
      <c r="A241" s="1">
        <v>26315</v>
      </c>
      <c r="B241">
        <v>116.93</v>
      </c>
      <c r="C241">
        <f t="shared" si="19"/>
        <v>1.6275655581217921E-3</v>
      </c>
      <c r="D241">
        <f t="shared" si="18"/>
        <v>9.3020600150122257E-2</v>
      </c>
    </row>
    <row r="242" spans="1:4" x14ac:dyDescent="0.3">
      <c r="A242" s="1">
        <v>26316</v>
      </c>
      <c r="B242">
        <v>117.660004</v>
      </c>
      <c r="C242">
        <f t="shared" si="19"/>
        <v>6.2430856067732304E-3</v>
      </c>
      <c r="D242">
        <f t="shared" si="18"/>
        <v>0.46224322491039249</v>
      </c>
    </row>
    <row r="243" spans="1:4" x14ac:dyDescent="0.3">
      <c r="A243" s="1">
        <v>26317</v>
      </c>
      <c r="B243">
        <v>117.449997</v>
      </c>
      <c r="C243">
        <f t="shared" si="19"/>
        <v>-1.7848631043732115E-3</v>
      </c>
      <c r="D243">
        <f t="shared" si="18"/>
        <v>-0.17995966085897341</v>
      </c>
    </row>
    <row r="244" spans="1:4" x14ac:dyDescent="0.3">
      <c r="A244" s="1">
        <v>26318</v>
      </c>
      <c r="B244">
        <v>117.32</v>
      </c>
      <c r="C244">
        <f t="shared" si="19"/>
        <v>-1.1068284659045417E-3</v>
      </c>
      <c r="D244">
        <f t="shared" si="18"/>
        <v>-0.12571967787657273</v>
      </c>
    </row>
    <row r="245" spans="1:4" x14ac:dyDescent="0.3">
      <c r="A245" s="1">
        <v>26319</v>
      </c>
      <c r="B245">
        <v>117.209999</v>
      </c>
      <c r="C245">
        <f t="shared" si="19"/>
        <v>-9.3761506989427986E-4</v>
      </c>
      <c r="D245">
        <f t="shared" si="18"/>
        <v>-0.11218330200539381</v>
      </c>
    </row>
    <row r="246" spans="1:4" x14ac:dyDescent="0.3">
      <c r="A246" s="1">
        <v>26322</v>
      </c>
      <c r="B246">
        <v>116.489998</v>
      </c>
      <c r="C246">
        <f t="shared" si="19"/>
        <v>-6.1428291625529007E-3</v>
      </c>
      <c r="D246">
        <f t="shared" si="18"/>
        <v>-0.5285790254498407</v>
      </c>
    </row>
    <row r="247" spans="1:4" x14ac:dyDescent="0.3">
      <c r="A247" s="1">
        <v>26323</v>
      </c>
      <c r="B247">
        <v>116.300003</v>
      </c>
      <c r="C247">
        <f t="shared" si="19"/>
        <v>-1.630998396961052E-3</v>
      </c>
      <c r="D247">
        <f t="shared" si="18"/>
        <v>-0.16765111696145804</v>
      </c>
    </row>
    <row r="248" spans="1:4" x14ac:dyDescent="0.3">
      <c r="A248" s="1">
        <v>26324</v>
      </c>
      <c r="B248">
        <v>116.389999</v>
      </c>
      <c r="C248">
        <f t="shared" si="19"/>
        <v>7.7382629130284114E-4</v>
      </c>
      <c r="D248">
        <f t="shared" si="18"/>
        <v>2.4724969401447982E-2</v>
      </c>
    </row>
    <row r="249" spans="1:4" x14ac:dyDescent="0.3">
      <c r="A249" s="1">
        <v>26325</v>
      </c>
      <c r="B249">
        <v>117.370003</v>
      </c>
      <c r="C249">
        <f t="shared" si="19"/>
        <v>8.4200017907036309E-3</v>
      </c>
      <c r="D249">
        <f t="shared" si="18"/>
        <v>0.63638756809198871</v>
      </c>
    </row>
    <row r="250" spans="1:4" x14ac:dyDescent="0.3">
      <c r="A250" s="1">
        <v>26326</v>
      </c>
      <c r="B250">
        <v>118.44000200000001</v>
      </c>
      <c r="C250">
        <f t="shared" si="19"/>
        <v>9.116460532083398E-3</v>
      </c>
      <c r="D250">
        <f t="shared" si="18"/>
        <v>0.6921014035469133</v>
      </c>
    </row>
    <row r="251" spans="1:4" x14ac:dyDescent="0.3">
      <c r="A251" s="1">
        <v>26329</v>
      </c>
      <c r="B251">
        <v>118.870003</v>
      </c>
      <c r="C251">
        <f t="shared" si="19"/>
        <v>3.6305386080624186E-3</v>
      </c>
      <c r="D251">
        <f t="shared" si="18"/>
        <v>0.2532502078709773</v>
      </c>
    </row>
    <row r="252" spans="1:4" x14ac:dyDescent="0.3">
      <c r="A252" s="1">
        <v>26330</v>
      </c>
      <c r="B252">
        <v>119.58000199999999</v>
      </c>
      <c r="C252">
        <f t="shared" si="19"/>
        <v>5.9729030207898316E-3</v>
      </c>
      <c r="D252">
        <f t="shared" si="18"/>
        <v>0.44062972902915259</v>
      </c>
    </row>
    <row r="253" spans="1:4" x14ac:dyDescent="0.3">
      <c r="A253" s="1">
        <v>26331</v>
      </c>
      <c r="B253">
        <v>120.470001</v>
      </c>
      <c r="C253">
        <f t="shared" si="19"/>
        <v>7.4427076861898964E-3</v>
      </c>
      <c r="D253">
        <f t="shared" si="18"/>
        <v>0.55820805838826004</v>
      </c>
    </row>
    <row r="254" spans="1:4" x14ac:dyDescent="0.3">
      <c r="A254" s="1">
        <v>26332</v>
      </c>
      <c r="B254">
        <v>120.660004</v>
      </c>
      <c r="C254">
        <f t="shared" si="19"/>
        <v>1.5771810278311889E-3</v>
      </c>
      <c r="D254">
        <f t="shared" si="18"/>
        <v>8.8990044909300528E-2</v>
      </c>
    </row>
    <row r="255" spans="1:4" x14ac:dyDescent="0.3">
      <c r="A255" s="1">
        <v>26333</v>
      </c>
      <c r="B255">
        <v>121.239998</v>
      </c>
      <c r="C255">
        <f t="shared" si="19"/>
        <v>4.8068455227301271E-3</v>
      </c>
      <c r="D255">
        <f t="shared" si="18"/>
        <v>0.34734992404145865</v>
      </c>
    </row>
    <row r="256" spans="1:4" x14ac:dyDescent="0.3">
      <c r="A256" s="1">
        <v>26336</v>
      </c>
      <c r="B256">
        <v>121.139999</v>
      </c>
      <c r="C256">
        <f t="shared" si="19"/>
        <v>-8.248020591356067E-4</v>
      </c>
      <c r="D256">
        <f t="shared" si="18"/>
        <v>-0.10315872503457203</v>
      </c>
    </row>
    <row r="257" spans="1:4" x14ac:dyDescent="0.3">
      <c r="A257" s="1">
        <v>26337</v>
      </c>
      <c r="B257">
        <v>121.349998</v>
      </c>
      <c r="C257">
        <f t="shared" si="19"/>
        <v>1.7335232106118498E-3</v>
      </c>
      <c r="D257">
        <f t="shared" si="18"/>
        <v>0.10149677664885642</v>
      </c>
    </row>
    <row r="258" spans="1:4" x14ac:dyDescent="0.3">
      <c r="A258" s="1">
        <v>26338</v>
      </c>
      <c r="B258">
        <v>122.160004</v>
      </c>
      <c r="C258">
        <f t="shared" si="19"/>
        <v>6.6749568467236505E-3</v>
      </c>
      <c r="D258">
        <f t="shared" si="18"/>
        <v>0.49679114824127618</v>
      </c>
    </row>
    <row r="259" spans="1:4" x14ac:dyDescent="0.3">
      <c r="A259" s="1">
        <v>26339</v>
      </c>
      <c r="B259">
        <v>122.709999</v>
      </c>
      <c r="C259">
        <f t="shared" si="19"/>
        <v>4.5022509986164996E-3</v>
      </c>
      <c r="D259">
        <f t="shared" ref="D259:D322" si="24">(C259-avrtn)/sdrtn</f>
        <v>0.32298361461253561</v>
      </c>
    </row>
    <row r="260" spans="1:4" x14ac:dyDescent="0.3">
      <c r="A260" s="1">
        <v>26340</v>
      </c>
      <c r="B260">
        <v>122.860001</v>
      </c>
      <c r="C260">
        <f t="shared" ref="C260:C323" si="25">(B260-B259)/B259</f>
        <v>1.2224105714482212E-3</v>
      </c>
      <c r="D260">
        <f t="shared" si="24"/>
        <v>6.0609867223496573E-2</v>
      </c>
    </row>
    <row r="261" spans="1:4" x14ac:dyDescent="0.3">
      <c r="A261" s="1">
        <v>26343</v>
      </c>
      <c r="B261">
        <v>122.260002</v>
      </c>
      <c r="C261">
        <f t="shared" si="25"/>
        <v>-4.8835991788734956E-3</v>
      </c>
      <c r="D261">
        <f t="shared" si="24"/>
        <v>-0.42784580474012091</v>
      </c>
    </row>
    <row r="262" spans="1:4" x14ac:dyDescent="0.3">
      <c r="A262" s="1">
        <v>26344</v>
      </c>
      <c r="B262">
        <v>122.610001</v>
      </c>
      <c r="C262">
        <f t="shared" si="25"/>
        <v>2.8627432870481783E-3</v>
      </c>
      <c r="D262">
        <f t="shared" si="24"/>
        <v>0.19182973938306308</v>
      </c>
    </row>
    <row r="263" spans="1:4" x14ac:dyDescent="0.3">
      <c r="A263" s="1">
        <v>26345</v>
      </c>
      <c r="B263">
        <v>123.349998</v>
      </c>
      <c r="C263">
        <f t="shared" si="25"/>
        <v>6.0353722695100746E-3</v>
      </c>
      <c r="D263">
        <f t="shared" si="24"/>
        <v>0.44562701205168642</v>
      </c>
    </row>
    <row r="264" spans="1:4" x14ac:dyDescent="0.3">
      <c r="A264" s="1">
        <v>26346</v>
      </c>
      <c r="B264">
        <v>123.44000200000001</v>
      </c>
      <c r="C264">
        <f t="shared" si="25"/>
        <v>7.296635708093609E-4</v>
      </c>
      <c r="D264">
        <f t="shared" si="24"/>
        <v>2.1192133360161323E-2</v>
      </c>
    </row>
    <row r="265" spans="1:4" x14ac:dyDescent="0.3">
      <c r="A265" s="1">
        <v>26347</v>
      </c>
      <c r="B265">
        <v>123.400002</v>
      </c>
      <c r="C265">
        <f t="shared" si="25"/>
        <v>-3.2404406474334188E-4</v>
      </c>
      <c r="D265">
        <f t="shared" si="24"/>
        <v>-6.310014461236757E-2</v>
      </c>
    </row>
    <row r="266" spans="1:4" x14ac:dyDescent="0.3">
      <c r="A266" s="1">
        <v>26351</v>
      </c>
      <c r="B266">
        <v>123.300003</v>
      </c>
      <c r="C266">
        <f t="shared" si="25"/>
        <v>-8.1036465461318912E-4</v>
      </c>
      <c r="D266">
        <f t="shared" si="24"/>
        <v>-0.10200379203974076</v>
      </c>
    </row>
    <row r="267" spans="1:4" x14ac:dyDescent="0.3">
      <c r="A267" s="1">
        <v>26352</v>
      </c>
      <c r="B267">
        <v>123.610001</v>
      </c>
      <c r="C267">
        <f t="shared" si="25"/>
        <v>2.5141767433695286E-3</v>
      </c>
      <c r="D267">
        <f t="shared" si="24"/>
        <v>0.1639458492029631</v>
      </c>
    </row>
    <row r="268" spans="1:4" x14ac:dyDescent="0.3">
      <c r="A268" s="1">
        <v>26353</v>
      </c>
      <c r="B268">
        <v>124</v>
      </c>
      <c r="C268">
        <f t="shared" si="25"/>
        <v>3.1550764246009765E-3</v>
      </c>
      <c r="D268">
        <f t="shared" si="24"/>
        <v>0.21521518830624262</v>
      </c>
    </row>
    <row r="269" spans="1:4" x14ac:dyDescent="0.3">
      <c r="A269" s="1">
        <v>26354</v>
      </c>
      <c r="B269">
        <v>124.83000199999999</v>
      </c>
      <c r="C269">
        <f t="shared" si="25"/>
        <v>6.693564516128978E-3</v>
      </c>
      <c r="D269">
        <f t="shared" si="24"/>
        <v>0.49827968527850858</v>
      </c>
    </row>
    <row r="270" spans="1:4" x14ac:dyDescent="0.3">
      <c r="A270" s="1">
        <v>26357</v>
      </c>
      <c r="B270">
        <v>124.94000200000001</v>
      </c>
      <c r="C270">
        <f t="shared" si="25"/>
        <v>8.8119841574634959E-4</v>
      </c>
      <c r="D270">
        <f t="shared" si="24"/>
        <v>3.3314297840114776E-2</v>
      </c>
    </row>
    <row r="271" spans="1:4" x14ac:dyDescent="0.3">
      <c r="A271" s="1">
        <v>26358</v>
      </c>
      <c r="B271">
        <v>125.379997</v>
      </c>
      <c r="C271">
        <f t="shared" si="25"/>
        <v>3.5216503358147548E-3</v>
      </c>
      <c r="D271">
        <f t="shared" si="24"/>
        <v>0.24453959384241511</v>
      </c>
    </row>
    <row r="272" spans="1:4" x14ac:dyDescent="0.3">
      <c r="A272" s="1">
        <v>26359</v>
      </c>
      <c r="B272">
        <v>126.290001</v>
      </c>
      <c r="C272">
        <f t="shared" si="25"/>
        <v>7.2579679516183169E-3</v>
      </c>
      <c r="D272">
        <f t="shared" si="24"/>
        <v>0.54342963927686139</v>
      </c>
    </row>
    <row r="273" spans="1:4" x14ac:dyDescent="0.3">
      <c r="A273" s="1">
        <v>26360</v>
      </c>
      <c r="B273">
        <v>126.58000199999999</v>
      </c>
      <c r="C273">
        <f t="shared" si="25"/>
        <v>2.2963100617917447E-3</v>
      </c>
      <c r="D273">
        <f t="shared" si="24"/>
        <v>0.14651741054988812</v>
      </c>
    </row>
    <row r="274" spans="1:4" x14ac:dyDescent="0.3">
      <c r="A274" s="1">
        <v>26361</v>
      </c>
      <c r="B274">
        <v>127.19000200000001</v>
      </c>
      <c r="C274">
        <f t="shared" si="25"/>
        <v>4.8190866674185521E-3</v>
      </c>
      <c r="D274">
        <f t="shared" si="24"/>
        <v>0.34832916528064495</v>
      </c>
    </row>
    <row r="275" spans="1:4" x14ac:dyDescent="0.3">
      <c r="A275" s="1">
        <v>26364</v>
      </c>
      <c r="B275">
        <v>127.879997</v>
      </c>
      <c r="C275">
        <f t="shared" si="25"/>
        <v>5.4249153954726414E-3</v>
      </c>
      <c r="D275">
        <f t="shared" si="24"/>
        <v>0.39679297234235694</v>
      </c>
    </row>
    <row r="276" spans="1:4" x14ac:dyDescent="0.3">
      <c r="A276" s="1">
        <v>26365</v>
      </c>
      <c r="B276">
        <v>127.83000199999999</v>
      </c>
      <c r="C276">
        <f t="shared" si="25"/>
        <v>-3.9095246459858597E-4</v>
      </c>
      <c r="D276">
        <f t="shared" si="24"/>
        <v>-6.8452541471802936E-2</v>
      </c>
    </row>
    <row r="277" spans="1:4" x14ac:dyDescent="0.3">
      <c r="A277" s="1">
        <v>26366</v>
      </c>
      <c r="B277">
        <v>128.39999399999999</v>
      </c>
      <c r="C277">
        <f t="shared" si="25"/>
        <v>4.4589845191428468E-3</v>
      </c>
      <c r="D277">
        <f t="shared" si="24"/>
        <v>0.31952247416747004</v>
      </c>
    </row>
    <row r="278" spans="1:4" x14ac:dyDescent="0.3">
      <c r="A278" s="1">
        <v>26367</v>
      </c>
      <c r="B278">
        <v>128.85000600000001</v>
      </c>
      <c r="C278">
        <f t="shared" si="25"/>
        <v>3.5047665189144417E-3</v>
      </c>
      <c r="D278">
        <f t="shared" si="24"/>
        <v>0.24318895791705999</v>
      </c>
    </row>
    <row r="279" spans="1:4" x14ac:dyDescent="0.3">
      <c r="A279" s="1">
        <v>26368</v>
      </c>
      <c r="B279">
        <v>128.550003</v>
      </c>
      <c r="C279">
        <f t="shared" si="25"/>
        <v>-2.3283118822672293E-3</v>
      </c>
      <c r="D279">
        <f t="shared" si="24"/>
        <v>-0.22343332841576743</v>
      </c>
    </row>
    <row r="280" spans="1:4" x14ac:dyDescent="0.3">
      <c r="A280" s="1">
        <v>26371</v>
      </c>
      <c r="B280">
        <v>127.339996</v>
      </c>
      <c r="C280">
        <f t="shared" si="25"/>
        <v>-9.4127341249459519E-3</v>
      </c>
      <c r="D280">
        <f t="shared" si="24"/>
        <v>-0.7901579765117368</v>
      </c>
    </row>
    <row r="281" spans="1:4" x14ac:dyDescent="0.3">
      <c r="A281" s="1">
        <v>26372</v>
      </c>
      <c r="B281">
        <v>127.730003</v>
      </c>
      <c r="C281">
        <f t="shared" si="25"/>
        <v>3.0627219432298168E-3</v>
      </c>
      <c r="D281">
        <f t="shared" si="24"/>
        <v>0.2078272095604464</v>
      </c>
    </row>
    <row r="282" spans="1:4" x14ac:dyDescent="0.3">
      <c r="A282" s="1">
        <v>26373</v>
      </c>
      <c r="B282">
        <v>128.13999899999999</v>
      </c>
      <c r="C282">
        <f t="shared" si="25"/>
        <v>3.2098644826618573E-3</v>
      </c>
      <c r="D282">
        <f t="shared" si="24"/>
        <v>0.21959800766127216</v>
      </c>
    </row>
    <row r="283" spans="1:4" x14ac:dyDescent="0.3">
      <c r="A283" s="1">
        <v>26374</v>
      </c>
      <c r="B283">
        <v>127.769997</v>
      </c>
      <c r="C283">
        <f t="shared" si="25"/>
        <v>-2.8874824636137644E-3</v>
      </c>
      <c r="D283">
        <f t="shared" si="24"/>
        <v>-0.26816467560032076</v>
      </c>
    </row>
    <row r="284" spans="1:4" x14ac:dyDescent="0.3">
      <c r="A284" s="1">
        <v>26375</v>
      </c>
      <c r="B284">
        <v>128.009995</v>
      </c>
      <c r="C284">
        <f t="shared" si="25"/>
        <v>1.8783595964238767E-3</v>
      </c>
      <c r="D284">
        <f t="shared" si="24"/>
        <v>0.11308309194304143</v>
      </c>
    </row>
    <row r="285" spans="1:4" x14ac:dyDescent="0.3">
      <c r="A285" s="1">
        <v>26378</v>
      </c>
      <c r="B285">
        <v>127.529999</v>
      </c>
      <c r="C285">
        <f t="shared" si="25"/>
        <v>-3.7496759530378848E-3</v>
      </c>
      <c r="D285">
        <f t="shared" si="24"/>
        <v>-0.33713660939343748</v>
      </c>
    </row>
    <row r="286" spans="1:4" x14ac:dyDescent="0.3">
      <c r="A286" s="1">
        <v>26379</v>
      </c>
      <c r="B286">
        <v>125.730003</v>
      </c>
      <c r="C286">
        <f t="shared" si="25"/>
        <v>-1.4114294786436932E-2</v>
      </c>
      <c r="D286">
        <f t="shared" si="24"/>
        <v>-1.1662634964980563</v>
      </c>
    </row>
    <row r="287" spans="1:4" x14ac:dyDescent="0.3">
      <c r="A287" s="1">
        <v>26380</v>
      </c>
      <c r="B287">
        <v>126.360001</v>
      </c>
      <c r="C287">
        <f t="shared" si="25"/>
        <v>5.0107212675402583E-3</v>
      </c>
      <c r="D287">
        <f t="shared" si="24"/>
        <v>0.36365914528419718</v>
      </c>
    </row>
    <row r="288" spans="1:4" x14ac:dyDescent="0.3">
      <c r="A288" s="1">
        <v>26381</v>
      </c>
      <c r="B288">
        <v>127.379997</v>
      </c>
      <c r="C288">
        <f t="shared" si="25"/>
        <v>8.0721430193721362E-3</v>
      </c>
      <c r="D288">
        <f t="shared" si="24"/>
        <v>0.60856029678928381</v>
      </c>
    </row>
    <row r="289" spans="1:4" x14ac:dyDescent="0.3">
      <c r="A289" s="1">
        <v>26382</v>
      </c>
      <c r="B289">
        <v>127.550003</v>
      </c>
      <c r="C289">
        <f t="shared" si="25"/>
        <v>1.3346365520796862E-3</v>
      </c>
      <c r="D289">
        <f t="shared" si="24"/>
        <v>6.9587484198023991E-2</v>
      </c>
    </row>
    <row r="290" spans="1:4" x14ac:dyDescent="0.3">
      <c r="A290" s="1">
        <v>26385</v>
      </c>
      <c r="B290">
        <v>127.55999799999999</v>
      </c>
      <c r="C290">
        <f t="shared" si="25"/>
        <v>7.8361425048255914E-5</v>
      </c>
      <c r="D290">
        <f t="shared" si="24"/>
        <v>-3.090936013030101E-2</v>
      </c>
    </row>
    <row r="291" spans="1:4" x14ac:dyDescent="0.3">
      <c r="A291" s="1">
        <v>26386</v>
      </c>
      <c r="B291">
        <v>127.720001</v>
      </c>
      <c r="C291">
        <f t="shared" si="25"/>
        <v>1.2543352344674954E-3</v>
      </c>
      <c r="D291">
        <f t="shared" si="24"/>
        <v>6.3163708990039771E-2</v>
      </c>
    </row>
    <row r="292" spans="1:4" x14ac:dyDescent="0.3">
      <c r="A292" s="1">
        <v>26387</v>
      </c>
      <c r="B292">
        <v>127.529999</v>
      </c>
      <c r="C292">
        <f t="shared" si="25"/>
        <v>-1.4876448364574682E-3</v>
      </c>
      <c r="D292">
        <f t="shared" si="24"/>
        <v>-0.15618342159453436</v>
      </c>
    </row>
    <row r="293" spans="1:4" x14ac:dyDescent="0.3">
      <c r="A293" s="1">
        <v>26388</v>
      </c>
      <c r="B293">
        <v>128.13999899999999</v>
      </c>
      <c r="C293">
        <f t="shared" si="25"/>
        <v>4.783188306933063E-3</v>
      </c>
      <c r="D293">
        <f t="shared" si="24"/>
        <v>0.34545744405674617</v>
      </c>
    </row>
    <row r="294" spans="1:4" x14ac:dyDescent="0.3">
      <c r="A294" s="1">
        <v>26392</v>
      </c>
      <c r="B294">
        <v>128.05999800000001</v>
      </c>
      <c r="C294">
        <f t="shared" si="25"/>
        <v>-6.2432496195026163E-4</v>
      </c>
      <c r="D294">
        <f t="shared" si="24"/>
        <v>-8.7121381626493855E-2</v>
      </c>
    </row>
    <row r="295" spans="1:4" x14ac:dyDescent="0.3">
      <c r="A295" s="1">
        <v>26393</v>
      </c>
      <c r="B295">
        <v>128.779999</v>
      </c>
      <c r="C295">
        <f t="shared" si="25"/>
        <v>5.6223724132808146E-3</v>
      </c>
      <c r="D295">
        <f t="shared" si="24"/>
        <v>0.41258872181890194</v>
      </c>
    </row>
    <row r="296" spans="1:4" x14ac:dyDescent="0.3">
      <c r="A296" s="1">
        <v>26394</v>
      </c>
      <c r="B296">
        <v>130</v>
      </c>
      <c r="C296">
        <f t="shared" si="25"/>
        <v>9.4735285717776428E-3</v>
      </c>
      <c r="D296">
        <f t="shared" si="24"/>
        <v>0.72066537844990042</v>
      </c>
    </row>
    <row r="297" spans="1:4" x14ac:dyDescent="0.3">
      <c r="A297" s="1">
        <v>26395</v>
      </c>
      <c r="B297">
        <v>130.91999799999999</v>
      </c>
      <c r="C297">
        <f t="shared" si="25"/>
        <v>7.0769076923076352E-3</v>
      </c>
      <c r="D297">
        <f t="shared" si="24"/>
        <v>0.52894556305624185</v>
      </c>
    </row>
    <row r="298" spans="1:4" x14ac:dyDescent="0.3">
      <c r="A298" s="1">
        <v>26396</v>
      </c>
      <c r="B298">
        <v>131.800003</v>
      </c>
      <c r="C298">
        <f t="shared" si="25"/>
        <v>6.7217003776612596E-3</v>
      </c>
      <c r="D298">
        <f t="shared" si="24"/>
        <v>0.5005304385057372</v>
      </c>
    </row>
    <row r="299" spans="1:4" x14ac:dyDescent="0.3">
      <c r="A299" s="1">
        <v>26399</v>
      </c>
      <c r="B299">
        <v>131.759995</v>
      </c>
      <c r="C299">
        <f t="shared" si="25"/>
        <v>-3.0355082768852642E-4</v>
      </c>
      <c r="D299">
        <f t="shared" si="24"/>
        <v>-6.1460769916676643E-2</v>
      </c>
    </row>
    <row r="300" spans="1:4" x14ac:dyDescent="0.3">
      <c r="A300" s="1">
        <v>26400</v>
      </c>
      <c r="B300">
        <v>132.470001</v>
      </c>
      <c r="C300">
        <f t="shared" si="25"/>
        <v>5.3886310484452648E-3</v>
      </c>
      <c r="D300">
        <f t="shared" si="24"/>
        <v>0.3938903737822933</v>
      </c>
    </row>
    <row r="301" spans="1:4" x14ac:dyDescent="0.3">
      <c r="A301" s="1">
        <v>26401</v>
      </c>
      <c r="B301">
        <v>133.16999799999999</v>
      </c>
      <c r="C301">
        <f t="shared" si="25"/>
        <v>5.2841926075021034E-3</v>
      </c>
      <c r="D301">
        <f t="shared" si="24"/>
        <v>0.38553572796027563</v>
      </c>
    </row>
    <row r="302" spans="1:4" x14ac:dyDescent="0.3">
      <c r="A302" s="1">
        <v>26402</v>
      </c>
      <c r="B302">
        <v>133.05999800000001</v>
      </c>
      <c r="C302">
        <f t="shared" si="25"/>
        <v>-8.2601187693931801E-4</v>
      </c>
      <c r="D302">
        <f t="shared" si="24"/>
        <v>-0.10325550548406841</v>
      </c>
    </row>
    <row r="303" spans="1:4" x14ac:dyDescent="0.3">
      <c r="A303" s="1">
        <v>26403</v>
      </c>
      <c r="B303">
        <v>133.88000500000001</v>
      </c>
      <c r="C303">
        <f t="shared" si="25"/>
        <v>6.1626860989431537E-3</v>
      </c>
      <c r="D303">
        <f t="shared" si="24"/>
        <v>0.45581159488873796</v>
      </c>
    </row>
    <row r="304" spans="1:4" x14ac:dyDescent="0.3">
      <c r="A304" s="1">
        <v>26406</v>
      </c>
      <c r="B304">
        <v>133.740005</v>
      </c>
      <c r="C304">
        <f t="shared" si="25"/>
        <v>-1.0457125393744553E-3</v>
      </c>
      <c r="D304">
        <f t="shared" si="24"/>
        <v>-0.12083065506435735</v>
      </c>
    </row>
    <row r="305" spans="1:4" x14ac:dyDescent="0.3">
      <c r="A305" s="1">
        <v>26407</v>
      </c>
      <c r="B305">
        <v>134.10000600000001</v>
      </c>
      <c r="C305">
        <f t="shared" si="25"/>
        <v>2.6917974169360253E-3</v>
      </c>
      <c r="D305">
        <f t="shared" si="24"/>
        <v>0.17815477270770894</v>
      </c>
    </row>
    <row r="306" spans="1:4" x14ac:dyDescent="0.3">
      <c r="A306" s="1">
        <v>26408</v>
      </c>
      <c r="B306">
        <v>132.679993</v>
      </c>
      <c r="C306">
        <f t="shared" si="25"/>
        <v>-1.0589209071325555E-2</v>
      </c>
      <c r="D306">
        <f t="shared" si="24"/>
        <v>-0.88427113452821915</v>
      </c>
    </row>
    <row r="307" spans="1:4" x14ac:dyDescent="0.3">
      <c r="A307" s="1">
        <v>26409</v>
      </c>
      <c r="B307">
        <v>132.86000100000001</v>
      </c>
      <c r="C307">
        <f t="shared" si="25"/>
        <v>1.3567079401339359E-3</v>
      </c>
      <c r="D307">
        <f t="shared" si="24"/>
        <v>7.1353104484273983E-2</v>
      </c>
    </row>
    <row r="308" spans="1:4" x14ac:dyDescent="0.3">
      <c r="A308" s="1">
        <v>26410</v>
      </c>
      <c r="B308">
        <v>133.009995</v>
      </c>
      <c r="C308">
        <f t="shared" si="25"/>
        <v>1.12896280950647E-3</v>
      </c>
      <c r="D308">
        <f t="shared" si="24"/>
        <v>5.3134430527649622E-2</v>
      </c>
    </row>
    <row r="309" spans="1:4" x14ac:dyDescent="0.3">
      <c r="A309" s="1">
        <v>26413</v>
      </c>
      <c r="B309">
        <v>131.89999399999999</v>
      </c>
      <c r="C309">
        <f t="shared" si="25"/>
        <v>-8.3452450321497354E-3</v>
      </c>
      <c r="D309">
        <f t="shared" si="24"/>
        <v>-0.70476323862941759</v>
      </c>
    </row>
    <row r="310" spans="1:4" x14ac:dyDescent="0.3">
      <c r="A310" s="1">
        <v>26414</v>
      </c>
      <c r="B310">
        <v>130.83999600000001</v>
      </c>
      <c r="C310">
        <f t="shared" si="25"/>
        <v>-8.0363764080230281E-3</v>
      </c>
      <c r="D310">
        <f t="shared" si="24"/>
        <v>-0.68005501877465246</v>
      </c>
    </row>
    <row r="311" spans="1:4" x14ac:dyDescent="0.3">
      <c r="A311" s="1">
        <v>26415</v>
      </c>
      <c r="B311">
        <v>130.91999799999999</v>
      </c>
      <c r="C311">
        <f t="shared" si="25"/>
        <v>6.1144911682799977E-4</v>
      </c>
      <c r="D311">
        <f t="shared" si="24"/>
        <v>1.173546314239177E-2</v>
      </c>
    </row>
    <row r="312" spans="1:4" x14ac:dyDescent="0.3">
      <c r="A312" s="1">
        <v>26416</v>
      </c>
      <c r="B312">
        <v>131.009995</v>
      </c>
      <c r="C312">
        <f t="shared" si="25"/>
        <v>6.8741980885159344E-4</v>
      </c>
      <c r="D312">
        <f t="shared" si="24"/>
        <v>1.7812806110927039E-2</v>
      </c>
    </row>
    <row r="313" spans="1:4" x14ac:dyDescent="0.3">
      <c r="A313" s="1">
        <v>26417</v>
      </c>
      <c r="B313">
        <v>131.33000200000001</v>
      </c>
      <c r="C313">
        <f t="shared" si="25"/>
        <v>2.4426151607745954E-3</v>
      </c>
      <c r="D313">
        <f t="shared" si="24"/>
        <v>0.15822121685835439</v>
      </c>
    </row>
    <row r="314" spans="1:4" x14ac:dyDescent="0.3">
      <c r="A314" s="1">
        <v>26420</v>
      </c>
      <c r="B314">
        <v>130.16000399999999</v>
      </c>
      <c r="C314">
        <f t="shared" si="25"/>
        <v>-8.9088401902256958E-3</v>
      </c>
      <c r="D314">
        <f t="shared" si="24"/>
        <v>-0.74984853375835669</v>
      </c>
    </row>
    <row r="315" spans="1:4" x14ac:dyDescent="0.3">
      <c r="A315" s="1">
        <v>26421</v>
      </c>
      <c r="B315">
        <v>129.33999600000001</v>
      </c>
      <c r="C315">
        <f t="shared" si="25"/>
        <v>-6.2999998063919321E-3</v>
      </c>
      <c r="D315">
        <f t="shared" si="24"/>
        <v>-0.54115203066741402</v>
      </c>
    </row>
    <row r="316" spans="1:4" x14ac:dyDescent="0.3">
      <c r="A316" s="1">
        <v>26422</v>
      </c>
      <c r="B316">
        <v>128.770004</v>
      </c>
      <c r="C316">
        <f t="shared" si="25"/>
        <v>-4.4069276142548611E-3</v>
      </c>
      <c r="D316">
        <f t="shared" si="24"/>
        <v>-0.3897140396558158</v>
      </c>
    </row>
    <row r="317" spans="1:4" x14ac:dyDescent="0.3">
      <c r="A317" s="1">
        <v>26423</v>
      </c>
      <c r="B317">
        <v>128.91999799999999</v>
      </c>
      <c r="C317">
        <f t="shared" si="25"/>
        <v>1.1648209624967661E-3</v>
      </c>
      <c r="D317">
        <f t="shared" si="24"/>
        <v>5.6002935317267168E-2</v>
      </c>
    </row>
    <row r="318" spans="1:4" x14ac:dyDescent="0.3">
      <c r="A318" s="1">
        <v>26424</v>
      </c>
      <c r="B318">
        <v>129.429993</v>
      </c>
      <c r="C318">
        <f t="shared" si="25"/>
        <v>3.9559029468803093E-3</v>
      </c>
      <c r="D318">
        <f t="shared" si="24"/>
        <v>0.27927801707025307</v>
      </c>
    </row>
    <row r="319" spans="1:4" x14ac:dyDescent="0.3">
      <c r="A319" s="1">
        <v>26427</v>
      </c>
      <c r="B319">
        <v>128.61999499999999</v>
      </c>
      <c r="C319">
        <f t="shared" si="25"/>
        <v>-6.2581939566357494E-3</v>
      </c>
      <c r="D319">
        <f t="shared" si="24"/>
        <v>-0.53780773459360076</v>
      </c>
    </row>
    <row r="320" spans="1:4" x14ac:dyDescent="0.3">
      <c r="A320" s="1">
        <v>26428</v>
      </c>
      <c r="B320">
        <v>125.779999</v>
      </c>
      <c r="C320">
        <f t="shared" si="25"/>
        <v>-2.2080517107779279E-2</v>
      </c>
      <c r="D320">
        <f t="shared" si="24"/>
        <v>-1.8035285249035262</v>
      </c>
    </row>
    <row r="321" spans="1:4" x14ac:dyDescent="0.3">
      <c r="A321" s="1">
        <v>26429</v>
      </c>
      <c r="B321">
        <v>126.769997</v>
      </c>
      <c r="C321">
        <f t="shared" si="25"/>
        <v>7.8708698351953391E-3</v>
      </c>
      <c r="D321">
        <f t="shared" si="24"/>
        <v>0.59245926969541873</v>
      </c>
    </row>
    <row r="322" spans="1:4" x14ac:dyDescent="0.3">
      <c r="A322" s="1">
        <v>26430</v>
      </c>
      <c r="B322">
        <v>127.949997</v>
      </c>
      <c r="C322">
        <f t="shared" si="25"/>
        <v>9.3081961656904712E-3</v>
      </c>
      <c r="D322">
        <f t="shared" si="24"/>
        <v>0.70743946581384276</v>
      </c>
    </row>
    <row r="323" spans="1:4" x14ac:dyDescent="0.3">
      <c r="A323" s="1">
        <v>26431</v>
      </c>
      <c r="B323">
        <v>129.44000199999999</v>
      </c>
      <c r="C323">
        <f t="shared" si="25"/>
        <v>1.1645213246859213E-2</v>
      </c>
      <c r="D323">
        <f t="shared" ref="D323:D386" si="26">(C323-avrtn)/sdrtn</f>
        <v>0.89439122243568314</v>
      </c>
    </row>
    <row r="324" spans="1:4" x14ac:dyDescent="0.3">
      <c r="A324" s="1">
        <v>26434</v>
      </c>
      <c r="B324">
        <v>130.33999600000001</v>
      </c>
      <c r="C324">
        <f t="shared" ref="C324:C387" si="27">(B324-B323)/B323</f>
        <v>6.9529819692062496E-3</v>
      </c>
      <c r="D324">
        <f t="shared" si="26"/>
        <v>0.51903201479374927</v>
      </c>
    </row>
    <row r="325" spans="1:4" x14ac:dyDescent="0.3">
      <c r="A325" s="1">
        <v>26435</v>
      </c>
      <c r="B325">
        <v>130.36000100000001</v>
      </c>
      <c r="C325">
        <f t="shared" si="27"/>
        <v>1.5348320250061696E-4</v>
      </c>
      <c r="D325">
        <f t="shared" si="26"/>
        <v>-2.4899926836706773E-2</v>
      </c>
    </row>
    <row r="326" spans="1:4" x14ac:dyDescent="0.3">
      <c r="A326" s="1">
        <v>26436</v>
      </c>
      <c r="B326">
        <v>129.759995</v>
      </c>
      <c r="C326">
        <f t="shared" si="27"/>
        <v>-4.6026848373528894E-3</v>
      </c>
      <c r="D326">
        <f t="shared" si="26"/>
        <v>-0.40537381254514687</v>
      </c>
    </row>
    <row r="327" spans="1:4" x14ac:dyDescent="0.3">
      <c r="A327" s="1">
        <v>26437</v>
      </c>
      <c r="B327">
        <v>130.820007</v>
      </c>
      <c r="C327">
        <f t="shared" si="27"/>
        <v>8.1690200435041663E-3</v>
      </c>
      <c r="D327">
        <f t="shared" si="26"/>
        <v>0.61631006035914271</v>
      </c>
    </row>
    <row r="328" spans="1:4" x14ac:dyDescent="0.3">
      <c r="A328" s="1">
        <v>26438</v>
      </c>
      <c r="B328">
        <v>132.16000399999999</v>
      </c>
      <c r="C328">
        <f t="shared" si="27"/>
        <v>1.0243058617173003E-2</v>
      </c>
      <c r="D328">
        <f t="shared" si="26"/>
        <v>0.78222461775507501</v>
      </c>
    </row>
    <row r="329" spans="1:4" x14ac:dyDescent="0.3">
      <c r="A329" s="1">
        <v>26441</v>
      </c>
      <c r="B329">
        <v>132.38000500000001</v>
      </c>
      <c r="C329">
        <f t="shared" si="27"/>
        <v>1.6646564266147024E-3</v>
      </c>
      <c r="D329">
        <f t="shared" si="26"/>
        <v>9.5987717110992507E-2</v>
      </c>
    </row>
    <row r="330" spans="1:4" x14ac:dyDescent="0.3">
      <c r="A330" s="1">
        <v>26442</v>
      </c>
      <c r="B330">
        <v>132.720001</v>
      </c>
      <c r="C330">
        <f t="shared" si="27"/>
        <v>2.5683334881274936E-3</v>
      </c>
      <c r="D330">
        <f t="shared" si="26"/>
        <v>0.16827816608973523</v>
      </c>
    </row>
    <row r="331" spans="1:4" x14ac:dyDescent="0.3">
      <c r="A331" s="1">
        <v>26443</v>
      </c>
      <c r="B331">
        <v>133.470001</v>
      </c>
      <c r="C331">
        <f t="shared" si="27"/>
        <v>5.6509945324668886E-3</v>
      </c>
      <c r="D331">
        <f t="shared" si="26"/>
        <v>0.41487837365893054</v>
      </c>
    </row>
    <row r="332" spans="1:4" x14ac:dyDescent="0.3">
      <c r="A332" s="1">
        <v>26444</v>
      </c>
      <c r="B332">
        <v>133.800003</v>
      </c>
      <c r="C332">
        <f t="shared" si="27"/>
        <v>2.4724806887504816E-3</v>
      </c>
      <c r="D332">
        <f t="shared" si="26"/>
        <v>0.16061033628864041</v>
      </c>
    </row>
    <row r="333" spans="1:4" x14ac:dyDescent="0.3">
      <c r="A333" s="1">
        <v>26445</v>
      </c>
      <c r="B333">
        <v>133.949997</v>
      </c>
      <c r="C333">
        <f t="shared" si="27"/>
        <v>1.12103136499924E-3</v>
      </c>
      <c r="D333">
        <f t="shared" si="26"/>
        <v>5.2499947581365919E-2</v>
      </c>
    </row>
    <row r="334" spans="1:4" x14ac:dyDescent="0.3">
      <c r="A334" s="1">
        <v>26449</v>
      </c>
      <c r="B334">
        <v>133.449997</v>
      </c>
      <c r="C334">
        <f t="shared" si="27"/>
        <v>-3.7327361791579584E-3</v>
      </c>
      <c r="D334">
        <f t="shared" si="26"/>
        <v>-0.33578149713980976</v>
      </c>
    </row>
    <row r="335" spans="1:4" x14ac:dyDescent="0.3">
      <c r="A335" s="1">
        <v>26450</v>
      </c>
      <c r="B335">
        <v>132.529999</v>
      </c>
      <c r="C335">
        <f t="shared" si="27"/>
        <v>-6.8939529462858857E-3</v>
      </c>
      <c r="D335">
        <f t="shared" si="26"/>
        <v>-0.58866583950902551</v>
      </c>
    </row>
    <row r="336" spans="1:4" x14ac:dyDescent="0.3">
      <c r="A336" s="1">
        <v>26451</v>
      </c>
      <c r="B336">
        <v>133.13000500000001</v>
      </c>
      <c r="C336">
        <f t="shared" si="27"/>
        <v>4.5273221499081695E-3</v>
      </c>
      <c r="D336">
        <f t="shared" si="26"/>
        <v>0.32498920362267908</v>
      </c>
    </row>
    <row r="337" spans="1:4" x14ac:dyDescent="0.3">
      <c r="A337" s="1">
        <v>26452</v>
      </c>
      <c r="B337">
        <v>133.520004</v>
      </c>
      <c r="C337">
        <f t="shared" si="27"/>
        <v>2.9294598163651302E-3</v>
      </c>
      <c r="D337">
        <f t="shared" si="26"/>
        <v>0.19716678738841142</v>
      </c>
    </row>
    <row r="338" spans="1:4" x14ac:dyDescent="0.3">
      <c r="A338" s="1">
        <v>26455</v>
      </c>
      <c r="B338">
        <v>132.740005</v>
      </c>
      <c r="C338">
        <f t="shared" si="27"/>
        <v>-5.8418137854459899E-3</v>
      </c>
      <c r="D338">
        <f t="shared" si="26"/>
        <v>-0.50449903306391453</v>
      </c>
    </row>
    <row r="339" spans="1:4" x14ac:dyDescent="0.3">
      <c r="A339" s="1">
        <v>26456</v>
      </c>
      <c r="B339">
        <v>132</v>
      </c>
      <c r="C339">
        <f t="shared" si="27"/>
        <v>-5.5748453527630689E-3</v>
      </c>
      <c r="D339">
        <f t="shared" si="26"/>
        <v>-0.48314265623003555</v>
      </c>
    </row>
    <row r="340" spans="1:4" x14ac:dyDescent="0.3">
      <c r="A340" s="1">
        <v>26457</v>
      </c>
      <c r="B340">
        <v>131</v>
      </c>
      <c r="C340">
        <f t="shared" si="27"/>
        <v>-7.575757575757576E-3</v>
      </c>
      <c r="D340">
        <f t="shared" si="26"/>
        <v>-0.64320740626937212</v>
      </c>
    </row>
    <row r="341" spans="1:4" x14ac:dyDescent="0.3">
      <c r="A341" s="1">
        <v>26458</v>
      </c>
      <c r="B341">
        <v>131.070007</v>
      </c>
      <c r="C341">
        <f t="shared" si="27"/>
        <v>5.3440458015270175E-4</v>
      </c>
      <c r="D341">
        <f t="shared" si="26"/>
        <v>5.5722170173957445E-3</v>
      </c>
    </row>
    <row r="342" spans="1:4" x14ac:dyDescent="0.3">
      <c r="A342" s="1">
        <v>26459</v>
      </c>
      <c r="B342">
        <v>130.570007</v>
      </c>
      <c r="C342">
        <f t="shared" si="27"/>
        <v>-3.8147552704410857E-3</v>
      </c>
      <c r="D342">
        <f t="shared" si="26"/>
        <v>-0.34234268717794142</v>
      </c>
    </row>
    <row r="343" spans="1:4" x14ac:dyDescent="0.3">
      <c r="A343" s="1">
        <v>26462</v>
      </c>
      <c r="B343">
        <v>130.38000500000001</v>
      </c>
      <c r="C343">
        <f t="shared" si="27"/>
        <v>-1.4551733921557702E-3</v>
      </c>
      <c r="D343">
        <f t="shared" si="26"/>
        <v>-0.15358583957377531</v>
      </c>
    </row>
    <row r="344" spans="1:4" x14ac:dyDescent="0.3">
      <c r="A344" s="1">
        <v>26463</v>
      </c>
      <c r="B344">
        <v>130.779999</v>
      </c>
      <c r="C344">
        <f t="shared" si="27"/>
        <v>3.0679090708731938E-3</v>
      </c>
      <c r="D344">
        <f t="shared" si="26"/>
        <v>0.20824215844232025</v>
      </c>
    </row>
    <row r="345" spans="1:4" x14ac:dyDescent="0.3">
      <c r="A345" s="1">
        <v>26464</v>
      </c>
      <c r="B345">
        <v>131.449997</v>
      </c>
      <c r="C345">
        <f t="shared" si="27"/>
        <v>5.1230922551084631E-3</v>
      </c>
      <c r="D345">
        <f t="shared" si="26"/>
        <v>0.37264836221739173</v>
      </c>
    </row>
    <row r="346" spans="1:4" x14ac:dyDescent="0.3">
      <c r="A346" s="1">
        <v>26465</v>
      </c>
      <c r="B346">
        <v>131.28999300000001</v>
      </c>
      <c r="C346">
        <f t="shared" si="27"/>
        <v>-1.2172233065930499E-3</v>
      </c>
      <c r="D346">
        <f t="shared" si="26"/>
        <v>-0.13455081118535603</v>
      </c>
    </row>
    <row r="347" spans="1:4" x14ac:dyDescent="0.3">
      <c r="A347" s="1">
        <v>26466</v>
      </c>
      <c r="B347">
        <v>131.279999</v>
      </c>
      <c r="C347">
        <f t="shared" si="27"/>
        <v>-7.6121567010869231E-5</v>
      </c>
      <c r="D347">
        <f t="shared" si="26"/>
        <v>-4.3267364257171981E-2</v>
      </c>
    </row>
    <row r="348" spans="1:4" x14ac:dyDescent="0.3">
      <c r="A348" s="1">
        <v>26469</v>
      </c>
      <c r="B348">
        <v>130.759995</v>
      </c>
      <c r="C348">
        <f t="shared" si="27"/>
        <v>-3.9610298900139397E-3</v>
      </c>
      <c r="D348">
        <f t="shared" si="26"/>
        <v>-0.35404405525894</v>
      </c>
    </row>
    <row r="349" spans="1:4" x14ac:dyDescent="0.3">
      <c r="A349" s="1">
        <v>26470</v>
      </c>
      <c r="B349">
        <v>131.070007</v>
      </c>
      <c r="C349">
        <f t="shared" si="27"/>
        <v>2.3708474445873172E-3</v>
      </c>
      <c r="D349">
        <f t="shared" si="26"/>
        <v>0.15248009467398446</v>
      </c>
    </row>
    <row r="350" spans="1:4" x14ac:dyDescent="0.3">
      <c r="A350" s="1">
        <v>26471</v>
      </c>
      <c r="B350">
        <v>131.38000500000001</v>
      </c>
      <c r="C350">
        <f t="shared" si="27"/>
        <v>2.365133008652447E-3</v>
      </c>
      <c r="D350">
        <f t="shared" si="26"/>
        <v>0.1520229632970958</v>
      </c>
    </row>
    <row r="351" spans="1:4" x14ac:dyDescent="0.3">
      <c r="A351" s="1">
        <v>26472</v>
      </c>
      <c r="B351">
        <v>130.78999300000001</v>
      </c>
      <c r="C351">
        <f t="shared" si="27"/>
        <v>-4.4908812417841018E-3</v>
      </c>
      <c r="D351">
        <f t="shared" si="26"/>
        <v>-0.39642998463877588</v>
      </c>
    </row>
    <row r="352" spans="1:4" x14ac:dyDescent="0.3">
      <c r="A352" s="1">
        <v>26473</v>
      </c>
      <c r="B352">
        <v>130.220001</v>
      </c>
      <c r="C352">
        <f t="shared" si="27"/>
        <v>-4.358070422100362E-3</v>
      </c>
      <c r="D352">
        <f t="shared" si="26"/>
        <v>-0.38580566518543047</v>
      </c>
    </row>
    <row r="353" spans="1:4" x14ac:dyDescent="0.3">
      <c r="A353" s="1">
        <v>26476</v>
      </c>
      <c r="B353">
        <v>129.30999800000001</v>
      </c>
      <c r="C353">
        <f t="shared" si="27"/>
        <v>-6.9881968438933514E-3</v>
      </c>
      <c r="D353">
        <f t="shared" si="26"/>
        <v>-0.59620496378440013</v>
      </c>
    </row>
    <row r="354" spans="1:4" x14ac:dyDescent="0.3">
      <c r="A354" s="1">
        <v>26477</v>
      </c>
      <c r="B354">
        <v>129.78999300000001</v>
      </c>
      <c r="C354">
        <f t="shared" si="27"/>
        <v>3.7119712893352789E-3</v>
      </c>
      <c r="D354">
        <f t="shared" si="26"/>
        <v>0.25976448751961995</v>
      </c>
    </row>
    <row r="355" spans="1:4" x14ac:dyDescent="0.3">
      <c r="A355" s="1">
        <v>26478</v>
      </c>
      <c r="B355">
        <v>129.58000200000001</v>
      </c>
      <c r="C355">
        <f t="shared" si="27"/>
        <v>-1.6179290494298913E-3</v>
      </c>
      <c r="D355">
        <f t="shared" si="26"/>
        <v>-0.16660562290044337</v>
      </c>
    </row>
    <row r="356" spans="1:4" x14ac:dyDescent="0.3">
      <c r="A356" s="1">
        <v>26479</v>
      </c>
      <c r="B356">
        <v>129.35000600000001</v>
      </c>
      <c r="C356">
        <f t="shared" si="27"/>
        <v>-1.7749343760621323E-3</v>
      </c>
      <c r="D356">
        <f t="shared" si="26"/>
        <v>-0.17916540342126183</v>
      </c>
    </row>
    <row r="357" spans="1:4" x14ac:dyDescent="0.3">
      <c r="A357" s="1">
        <v>26480</v>
      </c>
      <c r="B357">
        <v>130.08000200000001</v>
      </c>
      <c r="C357">
        <f t="shared" si="27"/>
        <v>5.6435714428957956E-3</v>
      </c>
      <c r="D357">
        <f t="shared" si="26"/>
        <v>0.41428455701716982</v>
      </c>
    </row>
    <row r="358" spans="1:4" x14ac:dyDescent="0.3">
      <c r="A358" s="1">
        <v>26483</v>
      </c>
      <c r="B358">
        <v>130.58999600000001</v>
      </c>
      <c r="C358">
        <f t="shared" si="27"/>
        <v>3.9206180209007532E-3</v>
      </c>
      <c r="D358">
        <f t="shared" si="26"/>
        <v>0.27645536808437116</v>
      </c>
    </row>
    <row r="359" spans="1:4" x14ac:dyDescent="0.3">
      <c r="A359" s="1">
        <v>26485</v>
      </c>
      <c r="B359">
        <v>131.279999</v>
      </c>
      <c r="C359">
        <f t="shared" si="27"/>
        <v>5.2837355167695242E-3</v>
      </c>
      <c r="D359">
        <f t="shared" si="26"/>
        <v>0.38549916258123762</v>
      </c>
    </row>
    <row r="360" spans="1:4" x14ac:dyDescent="0.3">
      <c r="A360" s="1">
        <v>26486</v>
      </c>
      <c r="B360">
        <v>131.86000100000001</v>
      </c>
      <c r="C360">
        <f t="shared" si="27"/>
        <v>4.4180530501071033E-3</v>
      </c>
      <c r="D360">
        <f t="shared" si="26"/>
        <v>0.31624812495581694</v>
      </c>
    </row>
    <row r="361" spans="1:4" x14ac:dyDescent="0.3">
      <c r="A361" s="1">
        <v>26487</v>
      </c>
      <c r="B361">
        <v>131.5</v>
      </c>
      <c r="C361">
        <f t="shared" si="27"/>
        <v>-2.7301759234781976E-3</v>
      </c>
      <c r="D361">
        <f t="shared" si="26"/>
        <v>-0.2555807992378335</v>
      </c>
    </row>
    <row r="362" spans="1:4" x14ac:dyDescent="0.3">
      <c r="A362" s="1">
        <v>26490</v>
      </c>
      <c r="B362">
        <v>130.85000600000001</v>
      </c>
      <c r="C362">
        <f t="shared" si="27"/>
        <v>-4.9429201520911972E-3</v>
      </c>
      <c r="D362">
        <f t="shared" si="26"/>
        <v>-0.43259123866823762</v>
      </c>
    </row>
    <row r="363" spans="1:4" x14ac:dyDescent="0.3">
      <c r="A363" s="1">
        <v>26491</v>
      </c>
      <c r="B363">
        <v>130.470001</v>
      </c>
      <c r="C363">
        <f t="shared" si="27"/>
        <v>-2.9041267296541907E-3</v>
      </c>
      <c r="D363">
        <f t="shared" si="26"/>
        <v>-0.26949614844192393</v>
      </c>
    </row>
    <row r="364" spans="1:4" x14ac:dyDescent="0.3">
      <c r="A364" s="1">
        <v>26492</v>
      </c>
      <c r="B364">
        <v>130.11000100000001</v>
      </c>
      <c r="C364">
        <f t="shared" si="27"/>
        <v>-2.7592549800009984E-3</v>
      </c>
      <c r="D364">
        <f t="shared" si="26"/>
        <v>-0.25790700418586265</v>
      </c>
    </row>
    <row r="365" spans="1:4" x14ac:dyDescent="0.3">
      <c r="A365" s="1">
        <v>26493</v>
      </c>
      <c r="B365">
        <v>129.029999</v>
      </c>
      <c r="C365">
        <f t="shared" si="27"/>
        <v>-8.300683972787052E-3</v>
      </c>
      <c r="D365">
        <f t="shared" si="26"/>
        <v>-0.70119853711657387</v>
      </c>
    </row>
    <row r="366" spans="1:4" x14ac:dyDescent="0.3">
      <c r="A366" s="1">
        <v>26494</v>
      </c>
      <c r="B366">
        <v>129.38000500000001</v>
      </c>
      <c r="C366">
        <f t="shared" si="27"/>
        <v>2.712593991417512E-3</v>
      </c>
      <c r="D366">
        <f t="shared" si="26"/>
        <v>0.17981841315020264</v>
      </c>
    </row>
    <row r="367" spans="1:4" x14ac:dyDescent="0.3">
      <c r="A367" s="1">
        <v>26497</v>
      </c>
      <c r="B367">
        <v>128.39999399999999</v>
      </c>
      <c r="C367">
        <f t="shared" si="27"/>
        <v>-7.5746712175503378E-3</v>
      </c>
      <c r="D367">
        <f t="shared" si="26"/>
        <v>-0.64312050207992477</v>
      </c>
    </row>
    <row r="368" spans="1:4" x14ac:dyDescent="0.3">
      <c r="A368" s="1">
        <v>26498</v>
      </c>
      <c r="B368">
        <v>127.540001</v>
      </c>
      <c r="C368">
        <f t="shared" si="27"/>
        <v>-6.6977651104873784E-3</v>
      </c>
      <c r="D368">
        <f t="shared" si="26"/>
        <v>-0.57297161937434604</v>
      </c>
    </row>
    <row r="369" spans="1:4" x14ac:dyDescent="0.3">
      <c r="A369" s="1">
        <v>26499</v>
      </c>
      <c r="B369">
        <v>127.769997</v>
      </c>
      <c r="C369">
        <f t="shared" si="27"/>
        <v>1.8033244330929545E-3</v>
      </c>
      <c r="D369">
        <f t="shared" si="26"/>
        <v>0.10708058742300292</v>
      </c>
    </row>
    <row r="370" spans="1:4" x14ac:dyDescent="0.3">
      <c r="A370" s="1">
        <v>26500</v>
      </c>
      <c r="B370">
        <v>127.089996</v>
      </c>
      <c r="C370">
        <f t="shared" si="27"/>
        <v>-5.3220710336246172E-3</v>
      </c>
      <c r="D370">
        <f t="shared" si="26"/>
        <v>-0.46292175011317049</v>
      </c>
    </row>
    <row r="371" spans="1:4" x14ac:dyDescent="0.3">
      <c r="A371" s="1">
        <v>26501</v>
      </c>
      <c r="B371">
        <v>127.629997</v>
      </c>
      <c r="C371">
        <f t="shared" si="27"/>
        <v>4.2489654339119163E-3</v>
      </c>
      <c r="D371">
        <f t="shared" si="26"/>
        <v>0.30272181095263428</v>
      </c>
    </row>
    <row r="372" spans="1:4" x14ac:dyDescent="0.3">
      <c r="A372" s="1">
        <v>26504</v>
      </c>
      <c r="B372">
        <v>128.770004</v>
      </c>
      <c r="C372">
        <f t="shared" si="27"/>
        <v>8.9321243187053985E-3</v>
      </c>
      <c r="D372">
        <f t="shared" si="26"/>
        <v>0.67735526447171202</v>
      </c>
    </row>
    <row r="373" spans="1:4" x14ac:dyDescent="0.3">
      <c r="A373" s="1">
        <v>26505</v>
      </c>
      <c r="B373">
        <v>128.470001</v>
      </c>
      <c r="C373">
        <f t="shared" si="27"/>
        <v>-2.3297584117493992E-3</v>
      </c>
      <c r="D373">
        <f t="shared" si="26"/>
        <v>-0.22354904482617627</v>
      </c>
    </row>
    <row r="374" spans="1:4" x14ac:dyDescent="0.3">
      <c r="A374" s="1">
        <v>26506</v>
      </c>
      <c r="B374">
        <v>128.64999399999999</v>
      </c>
      <c r="C374">
        <f t="shared" si="27"/>
        <v>1.4010508180816164E-3</v>
      </c>
      <c r="D374">
        <f t="shared" si="26"/>
        <v>7.4900352381084778E-2</v>
      </c>
    </row>
    <row r="375" spans="1:4" x14ac:dyDescent="0.3">
      <c r="A375" s="1">
        <v>26507</v>
      </c>
      <c r="B375">
        <v>128.36000100000001</v>
      </c>
      <c r="C375">
        <f t="shared" si="27"/>
        <v>-2.2541236962667975E-3</v>
      </c>
      <c r="D375">
        <f t="shared" si="26"/>
        <v>-0.21749857859937655</v>
      </c>
    </row>
    <row r="376" spans="1:4" x14ac:dyDescent="0.3">
      <c r="A376" s="1">
        <v>26508</v>
      </c>
      <c r="B376">
        <v>128.14999399999999</v>
      </c>
      <c r="C376">
        <f t="shared" si="27"/>
        <v>-1.6360782047673767E-3</v>
      </c>
      <c r="D376">
        <f t="shared" si="26"/>
        <v>-0.16805748069766951</v>
      </c>
    </row>
    <row r="377" spans="1:4" x14ac:dyDescent="0.3">
      <c r="A377" s="1">
        <v>26511</v>
      </c>
      <c r="B377">
        <v>127.75</v>
      </c>
      <c r="C377">
        <f t="shared" si="27"/>
        <v>-3.1212955031429219E-3</v>
      </c>
      <c r="D377">
        <f t="shared" si="26"/>
        <v>-0.28686875731768996</v>
      </c>
    </row>
    <row r="378" spans="1:4" x14ac:dyDescent="0.3">
      <c r="A378" s="1">
        <v>26512</v>
      </c>
      <c r="B378">
        <v>128.449997</v>
      </c>
      <c r="C378">
        <f t="shared" si="27"/>
        <v>5.4794285714285414E-3</v>
      </c>
      <c r="D378">
        <f t="shared" si="26"/>
        <v>0.40115380225930997</v>
      </c>
    </row>
    <row r="379" spans="1:4" x14ac:dyDescent="0.3">
      <c r="A379" s="1">
        <v>26513</v>
      </c>
      <c r="B379">
        <v>129.38999899999999</v>
      </c>
      <c r="C379">
        <f t="shared" si="27"/>
        <v>7.3180383180545556E-3</v>
      </c>
      <c r="D379">
        <f t="shared" si="26"/>
        <v>0.54823502158093773</v>
      </c>
    </row>
    <row r="380" spans="1:4" x14ac:dyDescent="0.3">
      <c r="A380" s="1">
        <v>26514</v>
      </c>
      <c r="B380">
        <v>130.30999800000001</v>
      </c>
      <c r="C380">
        <f t="shared" si="27"/>
        <v>7.110279056420879E-3</v>
      </c>
      <c r="D380">
        <f t="shared" si="26"/>
        <v>0.5316151349614322</v>
      </c>
    </row>
    <row r="381" spans="1:4" x14ac:dyDescent="0.3">
      <c r="A381" s="1">
        <v>26515</v>
      </c>
      <c r="B381">
        <v>130.94000199999999</v>
      </c>
      <c r="C381">
        <f t="shared" si="27"/>
        <v>4.8346558949374343E-3</v>
      </c>
      <c r="D381">
        <f t="shared" si="26"/>
        <v>0.34957463946110939</v>
      </c>
    </row>
    <row r="382" spans="1:4" x14ac:dyDescent="0.3">
      <c r="A382" s="1">
        <v>26518</v>
      </c>
      <c r="B382">
        <v>130.970001</v>
      </c>
      <c r="C382">
        <f t="shared" si="27"/>
        <v>2.2910493005799453E-4</v>
      </c>
      <c r="D382">
        <f t="shared" si="26"/>
        <v>-1.8850499590518335E-2</v>
      </c>
    </row>
    <row r="383" spans="1:4" x14ac:dyDescent="0.3">
      <c r="A383" s="1">
        <v>26519</v>
      </c>
      <c r="B383">
        <v>130.61000100000001</v>
      </c>
      <c r="C383">
        <f t="shared" si="27"/>
        <v>-2.7487210601761028E-3</v>
      </c>
      <c r="D383">
        <f t="shared" si="26"/>
        <v>-0.25706433391560818</v>
      </c>
    </row>
    <row r="384" spans="1:4" x14ac:dyDescent="0.3">
      <c r="A384" s="1">
        <v>26520</v>
      </c>
      <c r="B384">
        <v>130.75</v>
      </c>
      <c r="C384">
        <f t="shared" si="27"/>
        <v>1.071885758579765E-3</v>
      </c>
      <c r="D384">
        <f t="shared" si="26"/>
        <v>4.8568501155749039E-2</v>
      </c>
    </row>
    <row r="385" spans="1:4" x14ac:dyDescent="0.3">
      <c r="A385" s="1">
        <v>26521</v>
      </c>
      <c r="B385">
        <v>130.83999600000001</v>
      </c>
      <c r="C385">
        <f t="shared" si="27"/>
        <v>6.8830592734235954E-4</v>
      </c>
      <c r="D385">
        <f t="shared" si="26"/>
        <v>1.788369194644732E-2</v>
      </c>
    </row>
    <row r="386" spans="1:4" x14ac:dyDescent="0.3">
      <c r="A386" s="1">
        <v>26522</v>
      </c>
      <c r="B386">
        <v>131.679993</v>
      </c>
      <c r="C386">
        <f t="shared" si="27"/>
        <v>6.420032296546252E-3</v>
      </c>
      <c r="D386">
        <f t="shared" si="26"/>
        <v>0.47639823248309821</v>
      </c>
    </row>
    <row r="387" spans="1:4" x14ac:dyDescent="0.3">
      <c r="A387" s="1">
        <v>26525</v>
      </c>
      <c r="B387">
        <v>131.699997</v>
      </c>
      <c r="C387">
        <f t="shared" si="27"/>
        <v>1.5191373833077385E-4</v>
      </c>
      <c r="D387">
        <f t="shared" ref="D387:D450" si="28">(C387-avrtn)/sdrtn</f>
        <v>-2.5025477516618995E-2</v>
      </c>
    </row>
    <row r="388" spans="1:4" x14ac:dyDescent="0.3">
      <c r="A388" s="1">
        <v>26526</v>
      </c>
      <c r="B388">
        <v>131.479996</v>
      </c>
      <c r="C388">
        <f t="shared" ref="C388:C451" si="29">(B388-B387)/B387</f>
        <v>-1.670470804946156E-3</v>
      </c>
      <c r="D388">
        <f t="shared" si="28"/>
        <v>-0.17080874728875489</v>
      </c>
    </row>
    <row r="389" spans="1:4" x14ac:dyDescent="0.3">
      <c r="A389" s="1">
        <v>26527</v>
      </c>
      <c r="B389">
        <v>131.46000699999999</v>
      </c>
      <c r="C389">
        <f t="shared" si="29"/>
        <v>-1.520307317320696E-4</v>
      </c>
      <c r="D389">
        <f t="shared" si="28"/>
        <v>-4.933978529451756E-2</v>
      </c>
    </row>
    <row r="390" spans="1:4" x14ac:dyDescent="0.3">
      <c r="A390" s="1">
        <v>26528</v>
      </c>
      <c r="B390">
        <v>130.88999899999999</v>
      </c>
      <c r="C390">
        <f t="shared" si="29"/>
        <v>-4.3359802955130027E-3</v>
      </c>
      <c r="D390">
        <f t="shared" si="28"/>
        <v>-0.38403854589358499</v>
      </c>
    </row>
    <row r="391" spans="1:4" x14ac:dyDescent="0.3">
      <c r="A391" s="1">
        <v>26529</v>
      </c>
      <c r="B391">
        <v>131.429993</v>
      </c>
      <c r="C391">
        <f t="shared" si="29"/>
        <v>4.1255558417416386E-3</v>
      </c>
      <c r="D391">
        <f t="shared" si="28"/>
        <v>0.29284955104228733</v>
      </c>
    </row>
    <row r="392" spans="1:4" x14ac:dyDescent="0.3">
      <c r="A392" s="1">
        <v>26532</v>
      </c>
      <c r="B392">
        <v>131.28999300000001</v>
      </c>
      <c r="C392">
        <f t="shared" si="29"/>
        <v>-1.0652058697133641E-3</v>
      </c>
      <c r="D392">
        <f t="shared" si="28"/>
        <v>-0.12239004133441674</v>
      </c>
    </row>
    <row r="393" spans="1:4" x14ac:dyDescent="0.3">
      <c r="A393" s="1">
        <v>26533</v>
      </c>
      <c r="B393">
        <v>131.28999300000001</v>
      </c>
      <c r="C393">
        <f t="shared" si="29"/>
        <v>0</v>
      </c>
      <c r="D393">
        <f t="shared" si="28"/>
        <v>-3.7177951910056316E-2</v>
      </c>
    </row>
    <row r="394" spans="1:4" x14ac:dyDescent="0.3">
      <c r="A394" s="1">
        <v>26534</v>
      </c>
      <c r="B394">
        <v>131.10000600000001</v>
      </c>
      <c r="C394">
        <f t="shared" si="29"/>
        <v>-1.4470790626061052E-3</v>
      </c>
      <c r="D394">
        <f t="shared" si="28"/>
        <v>-0.15293832649388411</v>
      </c>
    </row>
    <row r="395" spans="1:4" x14ac:dyDescent="0.3">
      <c r="A395" s="1">
        <v>26535</v>
      </c>
      <c r="B395">
        <v>130.39999399999999</v>
      </c>
      <c r="C395">
        <f t="shared" si="29"/>
        <v>-5.339526834194158E-3</v>
      </c>
      <c r="D395">
        <f t="shared" si="28"/>
        <v>-0.46431814238005292</v>
      </c>
    </row>
    <row r="396" spans="1:4" x14ac:dyDescent="0.3">
      <c r="A396" s="1">
        <v>26536</v>
      </c>
      <c r="B396">
        <v>130.30999800000001</v>
      </c>
      <c r="C396">
        <f t="shared" si="29"/>
        <v>-6.9015340598853933E-4</v>
      </c>
      <c r="D396">
        <f t="shared" si="28"/>
        <v>-9.2387386461376758E-2</v>
      </c>
    </row>
    <row r="397" spans="1:4" x14ac:dyDescent="0.3">
      <c r="A397" s="1">
        <v>26539</v>
      </c>
      <c r="B397">
        <v>129.770004</v>
      </c>
      <c r="C397">
        <f t="shared" si="29"/>
        <v>-4.143918412154432E-3</v>
      </c>
      <c r="D397">
        <f t="shared" si="28"/>
        <v>-0.36867438498808275</v>
      </c>
    </row>
    <row r="398" spans="1:4" x14ac:dyDescent="0.3">
      <c r="A398" s="1">
        <v>26540</v>
      </c>
      <c r="B398">
        <v>129.44000199999999</v>
      </c>
      <c r="C398">
        <f t="shared" si="29"/>
        <v>-2.5429759561385809E-3</v>
      </c>
      <c r="D398">
        <f t="shared" si="28"/>
        <v>-0.24060557162152943</v>
      </c>
    </row>
    <row r="399" spans="1:4" x14ac:dyDescent="0.3">
      <c r="A399" s="1">
        <v>26541</v>
      </c>
      <c r="B399">
        <v>129.779999</v>
      </c>
      <c r="C399">
        <f t="shared" si="29"/>
        <v>2.6266764118252333E-3</v>
      </c>
      <c r="D399">
        <f t="shared" si="28"/>
        <v>0.17294536007801864</v>
      </c>
    </row>
    <row r="400" spans="1:4" x14ac:dyDescent="0.3">
      <c r="A400" s="1">
        <v>26542</v>
      </c>
      <c r="B400">
        <v>129.949997</v>
      </c>
      <c r="C400">
        <f t="shared" si="29"/>
        <v>1.3098936762974743E-3</v>
      </c>
      <c r="D400">
        <f t="shared" si="28"/>
        <v>6.7608155878760193E-2</v>
      </c>
    </row>
    <row r="401" spans="1:4" x14ac:dyDescent="0.3">
      <c r="A401" s="1">
        <v>26543</v>
      </c>
      <c r="B401">
        <v>130.699997</v>
      </c>
      <c r="C401">
        <f t="shared" si="29"/>
        <v>5.7714506911454569E-3</v>
      </c>
      <c r="D401">
        <f t="shared" si="28"/>
        <v>0.42451437103453188</v>
      </c>
    </row>
    <row r="402" spans="1:4" x14ac:dyDescent="0.3">
      <c r="A402" s="1">
        <v>26547</v>
      </c>
      <c r="B402">
        <v>130.33000200000001</v>
      </c>
      <c r="C402">
        <f t="shared" si="29"/>
        <v>-2.8308722914506933E-3</v>
      </c>
      <c r="D402">
        <f t="shared" si="28"/>
        <v>-0.26363609460969395</v>
      </c>
    </row>
    <row r="403" spans="1:4" x14ac:dyDescent="0.3">
      <c r="A403" s="1">
        <v>26548</v>
      </c>
      <c r="B403">
        <v>129.63000500000001</v>
      </c>
      <c r="C403">
        <f t="shared" si="29"/>
        <v>-5.3709582541094118E-3</v>
      </c>
      <c r="D403">
        <f t="shared" si="28"/>
        <v>-0.46683252672650222</v>
      </c>
    </row>
    <row r="404" spans="1:4" x14ac:dyDescent="0.3">
      <c r="A404" s="1">
        <v>26549</v>
      </c>
      <c r="B404">
        <v>129.21000699999999</v>
      </c>
      <c r="C404">
        <f t="shared" si="29"/>
        <v>-3.2399751893862918E-3</v>
      </c>
      <c r="D404">
        <f t="shared" si="28"/>
        <v>-0.29636264420337372</v>
      </c>
    </row>
    <row r="405" spans="1:4" x14ac:dyDescent="0.3">
      <c r="A405" s="1">
        <v>26550</v>
      </c>
      <c r="B405">
        <v>129.13000500000001</v>
      </c>
      <c r="C405">
        <f t="shared" si="29"/>
        <v>-6.1916256997013427E-4</v>
      </c>
      <c r="D405">
        <f t="shared" si="28"/>
        <v>-8.6708411495966323E-2</v>
      </c>
    </row>
    <row r="406" spans="1:4" x14ac:dyDescent="0.3">
      <c r="A406" s="1">
        <v>26553</v>
      </c>
      <c r="B406">
        <v>128.259995</v>
      </c>
      <c r="C406">
        <f t="shared" si="29"/>
        <v>-6.7374736026689355E-3</v>
      </c>
      <c r="D406">
        <f t="shared" si="28"/>
        <v>-0.57614813546657517</v>
      </c>
    </row>
    <row r="407" spans="1:4" x14ac:dyDescent="0.3">
      <c r="A407" s="1">
        <v>26554</v>
      </c>
      <c r="B407">
        <v>127.18</v>
      </c>
      <c r="C407">
        <f t="shared" si="29"/>
        <v>-8.4203574154201131E-3</v>
      </c>
      <c r="D407">
        <f t="shared" si="28"/>
        <v>-0.71077192042708226</v>
      </c>
    </row>
    <row r="408" spans="1:4" x14ac:dyDescent="0.3">
      <c r="A408" s="1">
        <v>26555</v>
      </c>
      <c r="B408">
        <v>127.510002</v>
      </c>
      <c r="C408">
        <f t="shared" si="29"/>
        <v>2.5947633275671743E-3</v>
      </c>
      <c r="D408">
        <f t="shared" si="28"/>
        <v>0.17039244456476049</v>
      </c>
    </row>
    <row r="409" spans="1:4" x14ac:dyDescent="0.3">
      <c r="A409" s="1">
        <v>26556</v>
      </c>
      <c r="B409">
        <v>127.58000199999999</v>
      </c>
      <c r="C409">
        <f t="shared" si="29"/>
        <v>5.4897654224798128E-4</v>
      </c>
      <c r="D409">
        <f t="shared" si="28"/>
        <v>6.7379140647519341E-3</v>
      </c>
    </row>
    <row r="410" spans="1:4" x14ac:dyDescent="0.3">
      <c r="A410" s="1">
        <v>26557</v>
      </c>
      <c r="B410">
        <v>127.66999800000001</v>
      </c>
      <c r="C410">
        <f t="shared" si="29"/>
        <v>7.0540836015987451E-4</v>
      </c>
      <c r="D410">
        <f t="shared" si="28"/>
        <v>1.925181624622456E-2</v>
      </c>
    </row>
    <row r="411" spans="1:4" x14ac:dyDescent="0.3">
      <c r="A411" s="1">
        <v>26560</v>
      </c>
      <c r="B411">
        <v>127.610001</v>
      </c>
      <c r="C411">
        <f t="shared" si="29"/>
        <v>-4.6993812908189945E-4</v>
      </c>
      <c r="D411">
        <f t="shared" si="28"/>
        <v>-7.4771069839474957E-2</v>
      </c>
    </row>
    <row r="412" spans="1:4" x14ac:dyDescent="0.3">
      <c r="A412" s="1">
        <v>26561</v>
      </c>
      <c r="B412">
        <v>127.41999800000001</v>
      </c>
      <c r="C412">
        <f t="shared" si="29"/>
        <v>-1.4889350247712181E-3</v>
      </c>
      <c r="D412">
        <f t="shared" si="28"/>
        <v>-0.15628663135434831</v>
      </c>
    </row>
    <row r="413" spans="1:4" x14ac:dyDescent="0.3">
      <c r="A413" s="1">
        <v>26562</v>
      </c>
      <c r="B413">
        <v>127.510002</v>
      </c>
      <c r="C413">
        <f t="shared" si="29"/>
        <v>7.0635694092534285E-4</v>
      </c>
      <c r="D413">
        <f t="shared" si="28"/>
        <v>1.9327698806874613E-2</v>
      </c>
    </row>
    <row r="414" spans="1:4" x14ac:dyDescent="0.3">
      <c r="A414" s="1">
        <v>26563</v>
      </c>
      <c r="B414">
        <v>127.300003</v>
      </c>
      <c r="C414">
        <f t="shared" si="29"/>
        <v>-1.646921784222043E-3</v>
      </c>
      <c r="D414">
        <f t="shared" si="28"/>
        <v>-0.16892492246497764</v>
      </c>
    </row>
    <row r="415" spans="1:4" x14ac:dyDescent="0.3">
      <c r="A415" s="1">
        <v>26564</v>
      </c>
      <c r="B415">
        <v>127.459999</v>
      </c>
      <c r="C415">
        <f t="shared" si="29"/>
        <v>1.2568420756438826E-3</v>
      </c>
      <c r="D415">
        <f t="shared" si="28"/>
        <v>6.3364245975958244E-2</v>
      </c>
    </row>
    <row r="416" spans="1:4" x14ac:dyDescent="0.3">
      <c r="A416" s="1">
        <v>26567</v>
      </c>
      <c r="B416">
        <v>126.82</v>
      </c>
      <c r="C416">
        <f t="shared" si="29"/>
        <v>-5.0211753100673027E-3</v>
      </c>
      <c r="D416">
        <f t="shared" si="28"/>
        <v>-0.4388513295191937</v>
      </c>
    </row>
    <row r="417" spans="1:4" x14ac:dyDescent="0.3">
      <c r="A417" s="1">
        <v>26568</v>
      </c>
      <c r="B417">
        <v>127.07</v>
      </c>
      <c r="C417">
        <f t="shared" si="29"/>
        <v>1.9712979025390317E-3</v>
      </c>
      <c r="D417">
        <f t="shared" si="28"/>
        <v>0.12051777426765557</v>
      </c>
    </row>
    <row r="418" spans="1:4" x14ac:dyDescent="0.3">
      <c r="A418" s="1">
        <v>26569</v>
      </c>
      <c r="B418">
        <v>128.550003</v>
      </c>
      <c r="C418">
        <f t="shared" si="29"/>
        <v>1.16471472416779E-2</v>
      </c>
      <c r="D418">
        <f t="shared" si="28"/>
        <v>0.89454593406854388</v>
      </c>
    </row>
    <row r="419" spans="1:4" x14ac:dyDescent="0.3">
      <c r="A419" s="1">
        <v>26570</v>
      </c>
      <c r="B419">
        <v>129.13000500000001</v>
      </c>
      <c r="C419">
        <f t="shared" si="29"/>
        <v>4.5118785411464163E-3</v>
      </c>
      <c r="D419">
        <f t="shared" si="28"/>
        <v>0.32375377842623748</v>
      </c>
    </row>
    <row r="420" spans="1:4" x14ac:dyDescent="0.3">
      <c r="A420" s="1">
        <v>26571</v>
      </c>
      <c r="B420">
        <v>129.61000100000001</v>
      </c>
      <c r="C420">
        <f t="shared" si="29"/>
        <v>3.7171531124776135E-3</v>
      </c>
      <c r="D420">
        <f t="shared" si="28"/>
        <v>0.26017901206322264</v>
      </c>
    </row>
    <row r="421" spans="1:4" x14ac:dyDescent="0.3">
      <c r="A421" s="1">
        <v>26574</v>
      </c>
      <c r="B421">
        <v>129.300003</v>
      </c>
      <c r="C421">
        <f t="shared" si="29"/>
        <v>-2.3917753075243576E-3</v>
      </c>
      <c r="D421">
        <f t="shared" si="28"/>
        <v>-0.22851014147317372</v>
      </c>
    </row>
    <row r="422" spans="1:4" x14ac:dyDescent="0.3">
      <c r="A422" s="1">
        <v>26575</v>
      </c>
      <c r="B422">
        <v>129.479996</v>
      </c>
      <c r="C422">
        <f t="shared" si="29"/>
        <v>1.3920571989468251E-3</v>
      </c>
      <c r="D422">
        <f t="shared" si="28"/>
        <v>7.4180899832284333E-2</v>
      </c>
    </row>
    <row r="423" spans="1:4" x14ac:dyDescent="0.3">
      <c r="A423" s="1">
        <v>26576</v>
      </c>
      <c r="B423">
        <v>129.28999300000001</v>
      </c>
      <c r="C423">
        <f t="shared" si="29"/>
        <v>-1.4674313088485897E-3</v>
      </c>
      <c r="D423">
        <f t="shared" si="28"/>
        <v>-0.15456642250434624</v>
      </c>
    </row>
    <row r="424" spans="1:4" x14ac:dyDescent="0.3">
      <c r="A424" s="1">
        <v>26577</v>
      </c>
      <c r="B424">
        <v>128.009995</v>
      </c>
      <c r="C424">
        <f t="shared" si="29"/>
        <v>-9.900209368872084E-3</v>
      </c>
      <c r="D424">
        <f t="shared" si="28"/>
        <v>-0.82915399151564695</v>
      </c>
    </row>
    <row r="425" spans="1:4" x14ac:dyDescent="0.3">
      <c r="A425" s="1">
        <v>26578</v>
      </c>
      <c r="B425">
        <v>128.13000500000001</v>
      </c>
      <c r="C425">
        <f t="shared" si="29"/>
        <v>9.3750491904954548E-4</v>
      </c>
      <c r="D425">
        <f t="shared" si="28"/>
        <v>3.78185865706454E-2</v>
      </c>
    </row>
    <row r="426" spans="1:4" x14ac:dyDescent="0.3">
      <c r="A426" s="1">
        <v>26581</v>
      </c>
      <c r="B426">
        <v>128.509995</v>
      </c>
      <c r="C426">
        <f t="shared" si="29"/>
        <v>2.965659760959131E-3</v>
      </c>
      <c r="D426">
        <f t="shared" si="28"/>
        <v>0.20006263410086988</v>
      </c>
    </row>
    <row r="427" spans="1:4" x14ac:dyDescent="0.3">
      <c r="A427" s="1">
        <v>26582</v>
      </c>
      <c r="B427">
        <v>129.020004</v>
      </c>
      <c r="C427">
        <f t="shared" si="29"/>
        <v>3.9686329456319457E-3</v>
      </c>
      <c r="D427">
        <f t="shared" si="28"/>
        <v>0.28029636462431634</v>
      </c>
    </row>
    <row r="428" spans="1:4" x14ac:dyDescent="0.3">
      <c r="A428" s="1">
        <v>26583</v>
      </c>
      <c r="B428">
        <v>128.570007</v>
      </c>
      <c r="C428">
        <f t="shared" si="29"/>
        <v>-3.4878079836363684E-3</v>
      </c>
      <c r="D428">
        <f t="shared" si="28"/>
        <v>-0.31618824864884054</v>
      </c>
    </row>
    <row r="429" spans="1:4" x14ac:dyDescent="0.3">
      <c r="A429" s="1">
        <v>26584</v>
      </c>
      <c r="B429">
        <v>127.870003</v>
      </c>
      <c r="C429">
        <f t="shared" si="29"/>
        <v>-5.4445357539725956E-3</v>
      </c>
      <c r="D429">
        <f t="shared" si="28"/>
        <v>-0.47271842416306969</v>
      </c>
    </row>
    <row r="430" spans="1:4" x14ac:dyDescent="0.3">
      <c r="A430" s="1">
        <v>26585</v>
      </c>
      <c r="B430">
        <v>127.19000200000001</v>
      </c>
      <c r="C430">
        <f t="shared" si="29"/>
        <v>-5.317908688873575E-3</v>
      </c>
      <c r="D430">
        <f t="shared" si="28"/>
        <v>-0.462588779648751</v>
      </c>
    </row>
    <row r="431" spans="1:4" x14ac:dyDescent="0.3">
      <c r="A431" s="1">
        <v>26588</v>
      </c>
      <c r="B431">
        <v>125.870003</v>
      </c>
      <c r="C431">
        <f t="shared" si="29"/>
        <v>-1.0378166359333887E-2</v>
      </c>
      <c r="D431">
        <f t="shared" si="28"/>
        <v>-0.86738858538170283</v>
      </c>
    </row>
    <row r="432" spans="1:4" x14ac:dyDescent="0.3">
      <c r="A432" s="1">
        <v>26589</v>
      </c>
      <c r="B432">
        <v>126.43</v>
      </c>
      <c r="C432">
        <f t="shared" si="29"/>
        <v>4.4490107782074956E-3</v>
      </c>
      <c r="D432">
        <f t="shared" si="28"/>
        <v>0.31872461590490975</v>
      </c>
    </row>
    <row r="433" spans="1:4" x14ac:dyDescent="0.3">
      <c r="A433" s="1">
        <v>26590</v>
      </c>
      <c r="B433">
        <v>127.050003</v>
      </c>
      <c r="C433">
        <f t="shared" si="29"/>
        <v>4.9039231195127497E-3</v>
      </c>
      <c r="D433">
        <f t="shared" si="28"/>
        <v>0.35511573259860529</v>
      </c>
    </row>
    <row r="434" spans="1:4" x14ac:dyDescent="0.3">
      <c r="A434" s="1">
        <v>26591</v>
      </c>
      <c r="B434">
        <v>126.910004</v>
      </c>
      <c r="C434">
        <f t="shared" si="29"/>
        <v>-1.101920477719336E-3</v>
      </c>
      <c r="D434">
        <f t="shared" si="28"/>
        <v>-0.12532705900352428</v>
      </c>
    </row>
    <row r="435" spans="1:4" x14ac:dyDescent="0.3">
      <c r="A435" s="1">
        <v>26592</v>
      </c>
      <c r="B435">
        <v>128</v>
      </c>
      <c r="C435">
        <f t="shared" si="29"/>
        <v>8.5887319017025586E-3</v>
      </c>
      <c r="D435">
        <f t="shared" si="28"/>
        <v>0.64988528314954075</v>
      </c>
    </row>
    <row r="436" spans="1:4" x14ac:dyDescent="0.3">
      <c r="A436" s="1">
        <v>26595</v>
      </c>
      <c r="B436">
        <v>128.66000399999999</v>
      </c>
      <c r="C436">
        <f t="shared" si="29"/>
        <v>5.1562812499998945E-3</v>
      </c>
      <c r="D436">
        <f t="shared" si="28"/>
        <v>0.37530334533474374</v>
      </c>
    </row>
    <row r="437" spans="1:4" x14ac:dyDescent="0.3">
      <c r="A437" s="1">
        <v>26596</v>
      </c>
      <c r="B437">
        <v>128.91000399999999</v>
      </c>
      <c r="C437">
        <f t="shared" si="29"/>
        <v>1.9431057999967109E-3</v>
      </c>
      <c r="D437">
        <f t="shared" si="28"/>
        <v>0.11826252199088826</v>
      </c>
    </row>
    <row r="438" spans="1:4" x14ac:dyDescent="0.3">
      <c r="A438" s="1">
        <v>26597</v>
      </c>
      <c r="B438">
        <v>128.88999899999999</v>
      </c>
      <c r="C438">
        <f t="shared" si="29"/>
        <v>-1.5518578371929621E-4</v>
      </c>
      <c r="D438">
        <f t="shared" si="28"/>
        <v>-4.9592176479844395E-2</v>
      </c>
    </row>
    <row r="439" spans="1:4" x14ac:dyDescent="0.3">
      <c r="A439" s="1">
        <v>26598</v>
      </c>
      <c r="B439">
        <v>129.36999499999999</v>
      </c>
      <c r="C439">
        <f t="shared" si="29"/>
        <v>3.72407482135212E-3</v>
      </c>
      <c r="D439">
        <f t="shared" si="28"/>
        <v>0.26073272031094619</v>
      </c>
    </row>
    <row r="440" spans="1:4" x14ac:dyDescent="0.3">
      <c r="A440" s="1">
        <v>26599</v>
      </c>
      <c r="B440">
        <v>129.529999</v>
      </c>
      <c r="C440">
        <f t="shared" si="29"/>
        <v>1.23679374031061E-3</v>
      </c>
      <c r="D440">
        <f t="shared" si="28"/>
        <v>6.1760461588543918E-2</v>
      </c>
    </row>
    <row r="441" spans="1:4" x14ac:dyDescent="0.3">
      <c r="A441" s="1">
        <v>26602</v>
      </c>
      <c r="B441">
        <v>129.46000699999999</v>
      </c>
      <c r="C441">
        <f t="shared" si="29"/>
        <v>-5.4035359021359505E-4</v>
      </c>
      <c r="D441">
        <f t="shared" si="28"/>
        <v>-8.0404017179904308E-2</v>
      </c>
    </row>
    <row r="442" spans="1:4" x14ac:dyDescent="0.3">
      <c r="A442" s="1">
        <v>26603</v>
      </c>
      <c r="B442">
        <v>130.240005</v>
      </c>
      <c r="C442">
        <f t="shared" si="29"/>
        <v>6.0250112608135906E-3</v>
      </c>
      <c r="D442">
        <f t="shared" si="28"/>
        <v>0.44479817396069005</v>
      </c>
    </row>
    <row r="443" spans="1:4" x14ac:dyDescent="0.3">
      <c r="A443" s="1">
        <v>26604</v>
      </c>
      <c r="B443">
        <v>131.58999600000001</v>
      </c>
      <c r="C443">
        <f t="shared" si="29"/>
        <v>1.0365409614350191E-2</v>
      </c>
      <c r="D443">
        <f t="shared" si="28"/>
        <v>0.79201219441894344</v>
      </c>
    </row>
    <row r="444" spans="1:4" x14ac:dyDescent="0.3">
      <c r="A444" s="1">
        <v>26605</v>
      </c>
      <c r="B444">
        <v>132.11999499999999</v>
      </c>
      <c r="C444">
        <f t="shared" si="29"/>
        <v>4.0276541994877417E-3</v>
      </c>
      <c r="D444">
        <f t="shared" si="28"/>
        <v>0.28501782223593397</v>
      </c>
    </row>
    <row r="445" spans="1:4" x14ac:dyDescent="0.3">
      <c r="A445" s="1">
        <v>26606</v>
      </c>
      <c r="B445">
        <v>133.33999600000001</v>
      </c>
      <c r="C445">
        <f t="shared" si="29"/>
        <v>9.2340375883304023E-3</v>
      </c>
      <c r="D445">
        <f t="shared" si="28"/>
        <v>0.70150708456692945</v>
      </c>
    </row>
    <row r="446" spans="1:4" x14ac:dyDescent="0.3">
      <c r="A446" s="1">
        <v>26609</v>
      </c>
      <c r="B446">
        <v>133.58000200000001</v>
      </c>
      <c r="C446">
        <f t="shared" si="29"/>
        <v>1.7999550562457938E-3</v>
      </c>
      <c r="D446">
        <f t="shared" si="28"/>
        <v>0.10681105113019045</v>
      </c>
    </row>
    <row r="447" spans="1:4" x14ac:dyDescent="0.3">
      <c r="A447" s="1">
        <v>26611</v>
      </c>
      <c r="B447">
        <v>133.05999800000001</v>
      </c>
      <c r="C447">
        <f t="shared" si="29"/>
        <v>-3.8928282094201501E-3</v>
      </c>
      <c r="D447">
        <f t="shared" si="28"/>
        <v>-0.34858820125842316</v>
      </c>
    </row>
    <row r="448" spans="1:4" x14ac:dyDescent="0.3">
      <c r="A448" s="1">
        <v>26612</v>
      </c>
      <c r="B448">
        <v>132.820007</v>
      </c>
      <c r="C448">
        <f t="shared" si="29"/>
        <v>-1.8036299684898792E-3</v>
      </c>
      <c r="D448">
        <f t="shared" si="28"/>
        <v>-0.18146093281850048</v>
      </c>
    </row>
    <row r="449" spans="1:4" x14ac:dyDescent="0.3">
      <c r="A449" s="1">
        <v>26613</v>
      </c>
      <c r="B449">
        <v>133.11999499999999</v>
      </c>
      <c r="C449">
        <f t="shared" si="29"/>
        <v>2.2586055126467869E-3</v>
      </c>
      <c r="D449">
        <f t="shared" si="28"/>
        <v>0.14350120166032398</v>
      </c>
    </row>
    <row r="450" spans="1:4" x14ac:dyDescent="0.3">
      <c r="A450" s="1">
        <v>26616</v>
      </c>
      <c r="B450">
        <v>132.770004</v>
      </c>
      <c r="C450">
        <f t="shared" si="29"/>
        <v>-2.6291392213467907E-3</v>
      </c>
      <c r="D450">
        <f t="shared" si="28"/>
        <v>-0.24749827853272263</v>
      </c>
    </row>
    <row r="451" spans="1:4" x14ac:dyDescent="0.3">
      <c r="A451" s="1">
        <v>26617</v>
      </c>
      <c r="B451">
        <v>132.89999399999999</v>
      </c>
      <c r="C451">
        <f t="shared" si="29"/>
        <v>9.7906150548878715E-4</v>
      </c>
      <c r="D451">
        <f t="shared" ref="D451:D514" si="30">(C451-avrtn)/sdrtn</f>
        <v>4.1142942604080239E-2</v>
      </c>
    </row>
    <row r="452" spans="1:4" x14ac:dyDescent="0.3">
      <c r="A452" s="1">
        <v>26618</v>
      </c>
      <c r="B452">
        <v>132.449997</v>
      </c>
      <c r="C452">
        <f t="shared" ref="C452:C515" si="31">(B452-B451)/B451</f>
        <v>-3.3859820941752354E-3</v>
      </c>
      <c r="D452">
        <f t="shared" si="30"/>
        <v>-0.30804259620250929</v>
      </c>
    </row>
    <row r="453" spans="1:4" x14ac:dyDescent="0.3">
      <c r="A453" s="1">
        <v>26619</v>
      </c>
      <c r="B453">
        <v>132.61999499999999</v>
      </c>
      <c r="C453">
        <f t="shared" si="31"/>
        <v>1.2834881377912946E-3</v>
      </c>
      <c r="D453">
        <f t="shared" si="30"/>
        <v>6.5495821378488944E-2</v>
      </c>
    </row>
    <row r="454" spans="1:4" x14ac:dyDescent="0.3">
      <c r="A454" s="1">
        <v>26620</v>
      </c>
      <c r="B454">
        <v>132.33000200000001</v>
      </c>
      <c r="C454">
        <f t="shared" si="31"/>
        <v>-2.1866461388418941E-3</v>
      </c>
      <c r="D454">
        <f t="shared" si="30"/>
        <v>-0.21210065147475837</v>
      </c>
    </row>
    <row r="455" spans="1:4" x14ac:dyDescent="0.3">
      <c r="A455" s="1">
        <v>26623</v>
      </c>
      <c r="B455">
        <v>132.11999499999999</v>
      </c>
      <c r="C455">
        <f t="shared" si="31"/>
        <v>-1.5869946106402892E-3</v>
      </c>
      <c r="D455">
        <f t="shared" si="30"/>
        <v>-0.16413099500044756</v>
      </c>
    </row>
    <row r="456" spans="1:4" x14ac:dyDescent="0.3">
      <c r="A456" s="1">
        <v>26624</v>
      </c>
      <c r="B456">
        <v>132.19000199999999</v>
      </c>
      <c r="C456">
        <f t="shared" si="31"/>
        <v>5.2987437669827289E-4</v>
      </c>
      <c r="D456">
        <f t="shared" si="30"/>
        <v>5.2098193693493498E-3</v>
      </c>
    </row>
    <row r="457" spans="1:4" x14ac:dyDescent="0.3">
      <c r="A457" s="1">
        <v>26625</v>
      </c>
      <c r="B457">
        <v>132.490005</v>
      </c>
      <c r="C457">
        <f t="shared" si="31"/>
        <v>2.2694832851277496E-3</v>
      </c>
      <c r="D457">
        <f t="shared" si="30"/>
        <v>0.1443713787291333</v>
      </c>
    </row>
    <row r="458" spans="1:4" x14ac:dyDescent="0.3">
      <c r="A458" s="1">
        <v>26627</v>
      </c>
      <c r="B458">
        <v>133.020004</v>
      </c>
      <c r="C458">
        <f t="shared" si="31"/>
        <v>4.0002942108727652E-3</v>
      </c>
      <c r="D458">
        <f t="shared" si="30"/>
        <v>0.28282913565168127</v>
      </c>
    </row>
    <row r="459" spans="1:4" x14ac:dyDescent="0.3">
      <c r="A459" s="1">
        <v>26630</v>
      </c>
      <c r="B459">
        <v>132.570007</v>
      </c>
      <c r="C459">
        <f t="shared" si="31"/>
        <v>-3.3829272776145472E-3</v>
      </c>
      <c r="D459">
        <f t="shared" si="30"/>
        <v>-0.30779822343913499</v>
      </c>
    </row>
    <row r="460" spans="1:4" x14ac:dyDescent="0.3">
      <c r="A460" s="1">
        <v>26631</v>
      </c>
      <c r="B460">
        <v>132.71000699999999</v>
      </c>
      <c r="C460">
        <f t="shared" si="31"/>
        <v>1.056045806801431E-3</v>
      </c>
      <c r="D460">
        <f t="shared" si="30"/>
        <v>4.7301370147753222E-2</v>
      </c>
    </row>
    <row r="461" spans="1:4" x14ac:dyDescent="0.3">
      <c r="A461" s="1">
        <v>26632</v>
      </c>
      <c r="B461">
        <v>132.729996</v>
      </c>
      <c r="C461">
        <f t="shared" si="31"/>
        <v>1.5062164829822956E-4</v>
      </c>
      <c r="D461">
        <f t="shared" si="30"/>
        <v>-2.5128839406116574E-2</v>
      </c>
    </row>
    <row r="462" spans="1:4" x14ac:dyDescent="0.3">
      <c r="A462" s="1">
        <v>26633</v>
      </c>
      <c r="B462">
        <v>132.96000699999999</v>
      </c>
      <c r="C462">
        <f t="shared" si="31"/>
        <v>1.7329240332380513E-3</v>
      </c>
      <c r="D462">
        <f t="shared" si="30"/>
        <v>0.10144884492278462</v>
      </c>
    </row>
    <row r="463" spans="1:4" x14ac:dyDescent="0.3">
      <c r="A463" s="1">
        <v>26634</v>
      </c>
      <c r="B463">
        <v>133.94000199999999</v>
      </c>
      <c r="C463">
        <f t="shared" si="31"/>
        <v>7.3705997924624241E-3</v>
      </c>
      <c r="D463">
        <f t="shared" si="30"/>
        <v>0.55243972339949299</v>
      </c>
    </row>
    <row r="464" spans="1:4" x14ac:dyDescent="0.3">
      <c r="A464" s="1">
        <v>26637</v>
      </c>
      <c r="B464">
        <v>134.13999899999999</v>
      </c>
      <c r="C464">
        <f t="shared" si="31"/>
        <v>1.493183492710387E-3</v>
      </c>
      <c r="D464">
        <f t="shared" si="30"/>
        <v>8.2270587499564632E-2</v>
      </c>
    </row>
    <row r="465" spans="1:4" x14ac:dyDescent="0.3">
      <c r="A465" s="1">
        <v>26638</v>
      </c>
      <c r="B465">
        <v>134.279999</v>
      </c>
      <c r="C465">
        <f t="shared" si="31"/>
        <v>1.0436857092865699E-3</v>
      </c>
      <c r="D465">
        <f t="shared" si="30"/>
        <v>4.6312613171589009E-2</v>
      </c>
    </row>
    <row r="466" spans="1:4" x14ac:dyDescent="0.3">
      <c r="A466" s="1">
        <v>26639</v>
      </c>
      <c r="B466">
        <v>134.679993</v>
      </c>
      <c r="C466">
        <f t="shared" si="31"/>
        <v>2.9788055032677831E-3</v>
      </c>
      <c r="D466">
        <f t="shared" si="30"/>
        <v>0.20111423942994669</v>
      </c>
    </row>
    <row r="467" spans="1:4" x14ac:dyDescent="0.3">
      <c r="A467" s="1">
        <v>26640</v>
      </c>
      <c r="B467">
        <v>135.05999800000001</v>
      </c>
      <c r="C467">
        <f t="shared" si="31"/>
        <v>2.8215400931897233E-3</v>
      </c>
      <c r="D467">
        <f t="shared" si="30"/>
        <v>0.1885336533029322</v>
      </c>
    </row>
    <row r="468" spans="1:4" x14ac:dyDescent="0.3">
      <c r="A468" s="1">
        <v>26641</v>
      </c>
      <c r="B468">
        <v>135.14999399999999</v>
      </c>
      <c r="C468">
        <f t="shared" si="31"/>
        <v>6.6634089539957704E-4</v>
      </c>
      <c r="D468">
        <f t="shared" si="30"/>
        <v>1.6126579711775755E-2</v>
      </c>
    </row>
    <row r="469" spans="1:4" x14ac:dyDescent="0.3">
      <c r="A469" s="1">
        <v>26644</v>
      </c>
      <c r="B469">
        <v>134.83000200000001</v>
      </c>
      <c r="C469">
        <f t="shared" si="31"/>
        <v>-2.367680460274271E-3</v>
      </c>
      <c r="D469">
        <f t="shared" si="30"/>
        <v>-0.2265826527717707</v>
      </c>
    </row>
    <row r="470" spans="1:4" x14ac:dyDescent="0.3">
      <c r="A470" s="1">
        <v>26645</v>
      </c>
      <c r="B470">
        <v>134.270004</v>
      </c>
      <c r="C470">
        <f t="shared" si="31"/>
        <v>-4.153363433162356E-3</v>
      </c>
      <c r="D470">
        <f t="shared" si="30"/>
        <v>-0.36942994783055821</v>
      </c>
    </row>
    <row r="471" spans="1:4" x14ac:dyDescent="0.3">
      <c r="A471" s="1">
        <v>26646</v>
      </c>
      <c r="B471">
        <v>133.66000399999999</v>
      </c>
      <c r="C471">
        <f t="shared" si="31"/>
        <v>-4.5430846937340799E-3</v>
      </c>
      <c r="D471">
        <f t="shared" si="30"/>
        <v>-0.40060604613289708</v>
      </c>
    </row>
    <row r="472" spans="1:4" x14ac:dyDescent="0.3">
      <c r="A472" s="1">
        <v>26647</v>
      </c>
      <c r="B472">
        <v>133.33000200000001</v>
      </c>
      <c r="C472">
        <f t="shared" si="31"/>
        <v>-2.4689659593305044E-3</v>
      </c>
      <c r="D472">
        <f t="shared" si="30"/>
        <v>-0.23468507620780865</v>
      </c>
    </row>
    <row r="473" spans="1:4" x14ac:dyDescent="0.3">
      <c r="A473" s="1">
        <v>26648</v>
      </c>
      <c r="B473">
        <v>133.529999</v>
      </c>
      <c r="C473">
        <f t="shared" si="31"/>
        <v>1.5000149778741935E-3</v>
      </c>
      <c r="D473">
        <f t="shared" si="30"/>
        <v>8.2817078221434304E-2</v>
      </c>
    </row>
    <row r="474" spans="1:4" x14ac:dyDescent="0.3">
      <c r="A474" s="1">
        <v>26651</v>
      </c>
      <c r="B474">
        <v>132.53999300000001</v>
      </c>
      <c r="C474">
        <f t="shared" si="31"/>
        <v>-7.4141092444701805E-3</v>
      </c>
      <c r="D474">
        <f t="shared" si="30"/>
        <v>-0.63027620446829047</v>
      </c>
    </row>
    <row r="475" spans="1:4" x14ac:dyDescent="0.3">
      <c r="A475" s="1">
        <v>26652</v>
      </c>
      <c r="B475">
        <v>132.38999899999999</v>
      </c>
      <c r="C475">
        <f t="shared" si="31"/>
        <v>-1.1316886066232161E-3</v>
      </c>
      <c r="D475">
        <f t="shared" si="30"/>
        <v>-0.12770838690855724</v>
      </c>
    </row>
    <row r="476" spans="1:4" x14ac:dyDescent="0.3">
      <c r="A476" s="1">
        <v>26653</v>
      </c>
      <c r="B476">
        <v>131.929993</v>
      </c>
      <c r="C476">
        <f t="shared" si="31"/>
        <v>-3.4746280192961771E-3</v>
      </c>
      <c r="D476">
        <f t="shared" si="30"/>
        <v>-0.31513390569796246</v>
      </c>
    </row>
    <row r="477" spans="1:4" x14ac:dyDescent="0.3">
      <c r="A477" s="1">
        <v>26654</v>
      </c>
      <c r="B477">
        <v>131.08000200000001</v>
      </c>
      <c r="C477">
        <f t="shared" si="31"/>
        <v>-6.4427427052163085E-3</v>
      </c>
      <c r="D477">
        <f t="shared" si="30"/>
        <v>-0.552570875611057</v>
      </c>
    </row>
    <row r="478" spans="1:4" x14ac:dyDescent="0.3">
      <c r="A478" s="1">
        <v>26655</v>
      </c>
      <c r="B478">
        <v>131.279999</v>
      </c>
      <c r="C478">
        <f t="shared" si="31"/>
        <v>1.5257628696099363E-3</v>
      </c>
      <c r="D478">
        <f t="shared" si="30"/>
        <v>8.4876803684330288E-2</v>
      </c>
    </row>
    <row r="479" spans="1:4" x14ac:dyDescent="0.3">
      <c r="A479" s="1">
        <v>26659</v>
      </c>
      <c r="B479">
        <v>131.179993</v>
      </c>
      <c r="C479">
        <f t="shared" si="31"/>
        <v>-7.6177636168330248E-4</v>
      </c>
      <c r="D479">
        <f t="shared" si="30"/>
        <v>-9.8116928401604186E-2</v>
      </c>
    </row>
    <row r="480" spans="1:4" x14ac:dyDescent="0.3">
      <c r="A480" s="1">
        <v>26660</v>
      </c>
      <c r="B480">
        <v>131.929993</v>
      </c>
      <c r="C480">
        <f t="shared" si="31"/>
        <v>5.7173352646847607E-3</v>
      </c>
      <c r="D480">
        <f t="shared" si="30"/>
        <v>0.42018535944163943</v>
      </c>
    </row>
    <row r="481" spans="1:4" x14ac:dyDescent="0.3">
      <c r="A481" s="1">
        <v>26662</v>
      </c>
      <c r="B481">
        <v>133.729996</v>
      </c>
      <c r="C481">
        <f t="shared" si="31"/>
        <v>1.3643622341433792E-2</v>
      </c>
      <c r="D481">
        <f t="shared" si="30"/>
        <v>1.0542557324943511</v>
      </c>
    </row>
    <row r="482" spans="1:4" x14ac:dyDescent="0.3">
      <c r="A482" s="1">
        <v>26666</v>
      </c>
      <c r="B482">
        <v>134.63000500000001</v>
      </c>
      <c r="C482">
        <f t="shared" si="31"/>
        <v>6.7300458156000498E-3</v>
      </c>
      <c r="D482">
        <f t="shared" si="30"/>
        <v>0.50119803922419459</v>
      </c>
    </row>
    <row r="483" spans="1:4" x14ac:dyDescent="0.3">
      <c r="A483" s="1">
        <v>26667</v>
      </c>
      <c r="B483">
        <v>135.38000500000001</v>
      </c>
      <c r="C483">
        <f t="shared" si="31"/>
        <v>5.5708235322430534E-3</v>
      </c>
      <c r="D483">
        <f t="shared" si="30"/>
        <v>0.40846502330614648</v>
      </c>
    </row>
    <row r="484" spans="1:4" x14ac:dyDescent="0.3">
      <c r="A484" s="1">
        <v>26668</v>
      </c>
      <c r="B484">
        <v>135.44000199999999</v>
      </c>
      <c r="C484">
        <f t="shared" si="31"/>
        <v>4.4317475095366867E-4</v>
      </c>
      <c r="D484">
        <f t="shared" si="30"/>
        <v>-1.7257941792276892E-3</v>
      </c>
    </row>
    <row r="485" spans="1:4" x14ac:dyDescent="0.3">
      <c r="A485" s="1">
        <v>26669</v>
      </c>
      <c r="B485">
        <v>135.91000399999999</v>
      </c>
      <c r="C485">
        <f t="shared" si="31"/>
        <v>3.4701860090048864E-3</v>
      </c>
      <c r="D485">
        <f t="shared" si="30"/>
        <v>0.24042265932020199</v>
      </c>
    </row>
    <row r="486" spans="1:4" x14ac:dyDescent="0.3">
      <c r="A486" s="1">
        <v>26672</v>
      </c>
      <c r="B486">
        <v>136.020004</v>
      </c>
      <c r="C486">
        <f t="shared" si="31"/>
        <v>8.0935911090116407E-4</v>
      </c>
      <c r="D486">
        <f t="shared" si="30"/>
        <v>2.7567448857486573E-2</v>
      </c>
    </row>
    <row r="487" spans="1:4" x14ac:dyDescent="0.3">
      <c r="A487" s="1">
        <v>26673</v>
      </c>
      <c r="B487">
        <v>135.990005</v>
      </c>
      <c r="C487">
        <f t="shared" si="31"/>
        <v>-2.2054844227179746E-4</v>
      </c>
      <c r="D487">
        <f t="shared" si="30"/>
        <v>-5.4820920391186551E-2</v>
      </c>
    </row>
    <row r="488" spans="1:4" x14ac:dyDescent="0.3">
      <c r="A488" s="1">
        <v>26674</v>
      </c>
      <c r="B488">
        <v>136.05999800000001</v>
      </c>
      <c r="C488">
        <f t="shared" si="31"/>
        <v>5.1469223785976668E-4</v>
      </c>
      <c r="D488">
        <f t="shared" si="30"/>
        <v>3.995310691596787E-3</v>
      </c>
    </row>
    <row r="489" spans="1:4" x14ac:dyDescent="0.3">
      <c r="A489" s="1">
        <v>26675</v>
      </c>
      <c r="B489">
        <v>136.83999600000001</v>
      </c>
      <c r="C489">
        <f t="shared" si="31"/>
        <v>5.7327503415074733E-3</v>
      </c>
      <c r="D489">
        <f t="shared" si="30"/>
        <v>0.42141850220028176</v>
      </c>
    </row>
    <row r="490" spans="1:4" x14ac:dyDescent="0.3">
      <c r="A490" s="1">
        <v>26676</v>
      </c>
      <c r="B490">
        <v>136.009995</v>
      </c>
      <c r="C490">
        <f t="shared" si="31"/>
        <v>-6.0654854155360385E-3</v>
      </c>
      <c r="D490">
        <f t="shared" si="30"/>
        <v>-0.52239184372787983</v>
      </c>
    </row>
    <row r="491" spans="1:4" x14ac:dyDescent="0.3">
      <c r="A491" s="1">
        <v>26679</v>
      </c>
      <c r="B491">
        <v>134.60000600000001</v>
      </c>
      <c r="C491">
        <f t="shared" si="31"/>
        <v>-1.0366804292581555E-2</v>
      </c>
      <c r="D491">
        <f t="shared" si="30"/>
        <v>-0.8664796667626139</v>
      </c>
    </row>
    <row r="492" spans="1:4" x14ac:dyDescent="0.3">
      <c r="A492" s="1">
        <v>26680</v>
      </c>
      <c r="B492">
        <v>134.029999</v>
      </c>
      <c r="C492">
        <f t="shared" si="31"/>
        <v>-4.2348215051342857E-3</v>
      </c>
      <c r="D492">
        <f t="shared" si="30"/>
        <v>-0.37594625863071918</v>
      </c>
    </row>
    <row r="493" spans="1:4" x14ac:dyDescent="0.3">
      <c r="A493" s="1">
        <v>26681</v>
      </c>
      <c r="B493">
        <v>134.070007</v>
      </c>
      <c r="C493">
        <f t="shared" si="31"/>
        <v>2.9850033797284637E-4</v>
      </c>
      <c r="D493">
        <f t="shared" si="30"/>
        <v>-1.3299152312952599E-2</v>
      </c>
    </row>
    <row r="494" spans="1:4" x14ac:dyDescent="0.3">
      <c r="A494" s="1">
        <v>26682</v>
      </c>
      <c r="B494">
        <v>134.33999600000001</v>
      </c>
      <c r="C494">
        <f t="shared" si="31"/>
        <v>2.0137911979075944E-3</v>
      </c>
      <c r="D494">
        <f t="shared" si="30"/>
        <v>0.12391706316366596</v>
      </c>
    </row>
    <row r="495" spans="1:4" x14ac:dyDescent="0.3">
      <c r="A495" s="1">
        <v>26683</v>
      </c>
      <c r="B495">
        <v>133.86999499999999</v>
      </c>
      <c r="C495">
        <f t="shared" si="31"/>
        <v>-3.49859322610092E-3</v>
      </c>
      <c r="D495">
        <f t="shared" si="30"/>
        <v>-0.31705102369682264</v>
      </c>
    </row>
    <row r="496" spans="1:4" x14ac:dyDescent="0.3">
      <c r="A496" s="1">
        <v>26686</v>
      </c>
      <c r="B496">
        <v>133.14999399999999</v>
      </c>
      <c r="C496">
        <f t="shared" si="31"/>
        <v>-5.378359803479461E-3</v>
      </c>
      <c r="D496">
        <f t="shared" si="30"/>
        <v>-0.46742462024075332</v>
      </c>
    </row>
    <row r="497" spans="1:4" x14ac:dyDescent="0.3">
      <c r="A497" s="1">
        <v>26687</v>
      </c>
      <c r="B497">
        <v>132.44000199999999</v>
      </c>
      <c r="C497">
        <f t="shared" si="31"/>
        <v>-5.3322721141091439E-3</v>
      </c>
      <c r="D497">
        <f t="shared" si="30"/>
        <v>-0.46373779460483899</v>
      </c>
    </row>
    <row r="498" spans="1:4" x14ac:dyDescent="0.3">
      <c r="A498" s="1">
        <v>26688</v>
      </c>
      <c r="B498">
        <v>130.490005</v>
      </c>
      <c r="C498">
        <f t="shared" si="31"/>
        <v>-1.4723625570467722E-2</v>
      </c>
      <c r="D498">
        <f t="shared" si="30"/>
        <v>-1.2150074536373641</v>
      </c>
    </row>
    <row r="499" spans="1:4" x14ac:dyDescent="0.3">
      <c r="A499" s="1">
        <v>26690</v>
      </c>
      <c r="B499">
        <v>129.759995</v>
      </c>
      <c r="C499">
        <f t="shared" si="31"/>
        <v>-5.5943748335360475E-3</v>
      </c>
      <c r="D499">
        <f t="shared" si="30"/>
        <v>-0.48470493438616907</v>
      </c>
    </row>
    <row r="500" spans="1:4" x14ac:dyDescent="0.3">
      <c r="A500" s="1">
        <v>26693</v>
      </c>
      <c r="B500">
        <v>128.46000699999999</v>
      </c>
      <c r="C500">
        <f t="shared" si="31"/>
        <v>-1.0018403591954618E-2</v>
      </c>
      <c r="D500">
        <f t="shared" si="30"/>
        <v>-0.83860904334470021</v>
      </c>
    </row>
    <row r="501" spans="1:4" x14ac:dyDescent="0.3">
      <c r="A501" s="1">
        <v>26694</v>
      </c>
      <c r="B501">
        <v>128.220001</v>
      </c>
      <c r="C501">
        <f t="shared" si="31"/>
        <v>-1.8683324530722933E-3</v>
      </c>
      <c r="D501">
        <f t="shared" si="30"/>
        <v>-0.18663686552688724</v>
      </c>
    </row>
    <row r="502" spans="1:4" x14ac:dyDescent="0.3">
      <c r="A502" s="1">
        <v>26695</v>
      </c>
      <c r="B502">
        <v>128.39999399999999</v>
      </c>
      <c r="C502">
        <f t="shared" si="31"/>
        <v>1.4037825502746337E-3</v>
      </c>
      <c r="D502">
        <f t="shared" si="30"/>
        <v>7.5118879723576268E-2</v>
      </c>
    </row>
    <row r="503" spans="1:4" x14ac:dyDescent="0.3">
      <c r="A503" s="1">
        <v>26696</v>
      </c>
      <c r="B503">
        <v>126.94000200000001</v>
      </c>
      <c r="C503">
        <f t="shared" si="31"/>
        <v>-1.1370654736946371E-2</v>
      </c>
      <c r="D503">
        <f t="shared" si="30"/>
        <v>-0.9467835744541071</v>
      </c>
    </row>
    <row r="504" spans="1:4" x14ac:dyDescent="0.3">
      <c r="A504" s="1">
        <v>26697</v>
      </c>
      <c r="B504">
        <v>126.480003</v>
      </c>
      <c r="C504">
        <f t="shared" si="31"/>
        <v>-3.623751321510224E-3</v>
      </c>
      <c r="D504">
        <f t="shared" si="30"/>
        <v>-0.32706315667640345</v>
      </c>
    </row>
    <row r="505" spans="1:4" x14ac:dyDescent="0.3">
      <c r="A505" s="1">
        <v>26700</v>
      </c>
      <c r="B505">
        <v>126</v>
      </c>
      <c r="C505">
        <f t="shared" si="31"/>
        <v>-3.7950900428109289E-3</v>
      </c>
      <c r="D505">
        <f t="shared" si="30"/>
        <v>-0.34076954983142804</v>
      </c>
    </row>
    <row r="506" spans="1:4" x14ac:dyDescent="0.3">
      <c r="A506" s="1">
        <v>26701</v>
      </c>
      <c r="B506">
        <v>126.269997</v>
      </c>
      <c r="C506">
        <f t="shared" si="31"/>
        <v>2.142833333333362E-3</v>
      </c>
      <c r="D506">
        <f t="shared" si="30"/>
        <v>0.13423990337329589</v>
      </c>
    </row>
    <row r="507" spans="1:4" x14ac:dyDescent="0.3">
      <c r="A507" s="1">
        <v>26702</v>
      </c>
      <c r="B507">
        <v>124.989998</v>
      </c>
      <c r="C507">
        <f t="shared" si="31"/>
        <v>-1.0137000320036466E-2</v>
      </c>
      <c r="D507">
        <f t="shared" si="30"/>
        <v>-0.84809629391858832</v>
      </c>
    </row>
    <row r="508" spans="1:4" x14ac:dyDescent="0.3">
      <c r="A508" s="1">
        <v>26703</v>
      </c>
      <c r="B508">
        <v>123.970001</v>
      </c>
      <c r="C508">
        <f t="shared" si="31"/>
        <v>-8.1606289808885627E-3</v>
      </c>
      <c r="D508">
        <f t="shared" si="30"/>
        <v>-0.68999471367426268</v>
      </c>
    </row>
    <row r="509" spans="1:4" x14ac:dyDescent="0.3">
      <c r="A509" s="1">
        <v>26704</v>
      </c>
      <c r="B509">
        <v>125.860001</v>
      </c>
      <c r="C509">
        <f t="shared" si="31"/>
        <v>1.5245623818297789E-2</v>
      </c>
      <c r="D509">
        <f t="shared" si="30"/>
        <v>1.1824092631740362</v>
      </c>
    </row>
    <row r="510" spans="1:4" x14ac:dyDescent="0.3">
      <c r="A510" s="1">
        <v>26707</v>
      </c>
      <c r="B510">
        <v>126.879997</v>
      </c>
      <c r="C510">
        <f t="shared" si="31"/>
        <v>8.1042109637358591E-3</v>
      </c>
      <c r="D510">
        <f t="shared" si="30"/>
        <v>0.6111256004742065</v>
      </c>
    </row>
    <row r="511" spans="1:4" x14ac:dyDescent="0.3">
      <c r="A511" s="1">
        <v>26708</v>
      </c>
      <c r="B511">
        <v>127.19000200000001</v>
      </c>
      <c r="C511">
        <f t="shared" si="31"/>
        <v>2.4432929329278267E-3</v>
      </c>
      <c r="D511">
        <f t="shared" si="30"/>
        <v>0.15827543584359713</v>
      </c>
    </row>
    <row r="512" spans="1:4" x14ac:dyDescent="0.3">
      <c r="A512" s="1">
        <v>26709</v>
      </c>
      <c r="B512">
        <v>125.41999800000001</v>
      </c>
      <c r="C512">
        <f t="shared" si="31"/>
        <v>-1.3916219609777189E-2</v>
      </c>
      <c r="D512">
        <f t="shared" si="30"/>
        <v>-1.1504182968552701</v>
      </c>
    </row>
    <row r="513" spans="1:4" x14ac:dyDescent="0.3">
      <c r="A513" s="1">
        <v>26710</v>
      </c>
      <c r="B513">
        <v>124.43</v>
      </c>
      <c r="C513">
        <f t="shared" si="31"/>
        <v>-7.8934620936606924E-3</v>
      </c>
      <c r="D513">
        <f t="shared" si="30"/>
        <v>-0.66862246129283764</v>
      </c>
    </row>
    <row r="514" spans="1:4" x14ac:dyDescent="0.3">
      <c r="A514" s="1">
        <v>26711</v>
      </c>
      <c r="B514">
        <v>124.550003</v>
      </c>
      <c r="C514">
        <f t="shared" si="31"/>
        <v>9.644217632403517E-4</v>
      </c>
      <c r="D514">
        <f t="shared" si="30"/>
        <v>3.997182342318522E-2</v>
      </c>
    </row>
    <row r="515" spans="1:4" x14ac:dyDescent="0.3">
      <c r="A515" s="1">
        <v>26715</v>
      </c>
      <c r="B515">
        <v>125.010002</v>
      </c>
      <c r="C515">
        <f t="shared" si="31"/>
        <v>3.6932877472511685E-3</v>
      </c>
      <c r="D515">
        <f t="shared" ref="D515:D578" si="32">(C515-avrtn)/sdrtn</f>
        <v>0.25826988098007519</v>
      </c>
    </row>
    <row r="516" spans="1:4" x14ac:dyDescent="0.3">
      <c r="A516" s="1">
        <v>26716</v>
      </c>
      <c r="B516">
        <v>123.949997</v>
      </c>
      <c r="C516">
        <f t="shared" ref="C516:C579" si="33">(B516-B515)/B515</f>
        <v>-8.4793615154090136E-3</v>
      </c>
      <c r="D516">
        <f t="shared" si="32"/>
        <v>-0.71549200579988537</v>
      </c>
    </row>
    <row r="517" spans="1:4" x14ac:dyDescent="0.3">
      <c r="A517" s="1">
        <v>26717</v>
      </c>
      <c r="B517">
        <v>123.68</v>
      </c>
      <c r="C517">
        <f t="shared" si="33"/>
        <v>-2.1782735500993147E-3</v>
      </c>
      <c r="D517">
        <f t="shared" si="32"/>
        <v>-0.21143087880364264</v>
      </c>
    </row>
    <row r="518" spans="1:4" x14ac:dyDescent="0.3">
      <c r="A518" s="1">
        <v>26718</v>
      </c>
      <c r="B518">
        <v>122.339996</v>
      </c>
      <c r="C518">
        <f t="shared" si="33"/>
        <v>-1.0834443725743916E-2</v>
      </c>
      <c r="D518">
        <f t="shared" si="32"/>
        <v>-0.90388889847076359</v>
      </c>
    </row>
    <row r="519" spans="1:4" x14ac:dyDescent="0.3">
      <c r="A519" s="1">
        <v>26721</v>
      </c>
      <c r="B519">
        <v>121.269997</v>
      </c>
      <c r="C519">
        <f t="shared" si="33"/>
        <v>-8.7461094898188142E-3</v>
      </c>
      <c r="D519">
        <f t="shared" si="32"/>
        <v>-0.73683074687844463</v>
      </c>
    </row>
    <row r="520" spans="1:4" x14ac:dyDescent="0.3">
      <c r="A520" s="1">
        <v>26722</v>
      </c>
      <c r="B520">
        <v>119.800003</v>
      </c>
      <c r="C520">
        <f t="shared" si="33"/>
        <v>-1.2121662706069002E-2</v>
      </c>
      <c r="D520">
        <f t="shared" si="32"/>
        <v>-1.0068611238206959</v>
      </c>
    </row>
    <row r="521" spans="1:4" x14ac:dyDescent="0.3">
      <c r="A521" s="1">
        <v>26723</v>
      </c>
      <c r="B521">
        <v>120.410004</v>
      </c>
      <c r="C521">
        <f t="shared" si="33"/>
        <v>5.0918279192363365E-3</v>
      </c>
      <c r="D521">
        <f t="shared" si="32"/>
        <v>0.37014734390733889</v>
      </c>
    </row>
    <row r="522" spans="1:4" x14ac:dyDescent="0.3">
      <c r="A522" s="1">
        <v>26724</v>
      </c>
      <c r="B522">
        <v>119.529999</v>
      </c>
      <c r="C522">
        <f t="shared" si="33"/>
        <v>-7.3084043747726896E-3</v>
      </c>
      <c r="D522">
        <f t="shared" si="32"/>
        <v>-0.62182024955351267</v>
      </c>
    </row>
    <row r="523" spans="1:4" x14ac:dyDescent="0.3">
      <c r="A523" s="1">
        <v>26725</v>
      </c>
      <c r="B523">
        <v>120.110001</v>
      </c>
      <c r="C523">
        <f t="shared" si="33"/>
        <v>4.8523550979030225E-3</v>
      </c>
      <c r="D523">
        <f t="shared" si="32"/>
        <v>0.35099050291879902</v>
      </c>
    </row>
    <row r="524" spans="1:4" x14ac:dyDescent="0.3">
      <c r="A524" s="1">
        <v>26728</v>
      </c>
      <c r="B524">
        <v>120.550003</v>
      </c>
      <c r="C524">
        <f t="shared" si="33"/>
        <v>3.6633252546555794E-3</v>
      </c>
      <c r="D524">
        <f t="shared" si="32"/>
        <v>0.25587300477893382</v>
      </c>
    </row>
    <row r="525" spans="1:4" x14ac:dyDescent="0.3">
      <c r="A525" s="1">
        <v>26729</v>
      </c>
      <c r="B525">
        <v>121.910004</v>
      </c>
      <c r="C525">
        <f t="shared" si="33"/>
        <v>1.1281633895936087E-2</v>
      </c>
      <c r="D525">
        <f t="shared" si="32"/>
        <v>0.86530636940905725</v>
      </c>
    </row>
    <row r="526" spans="1:4" x14ac:dyDescent="0.3">
      <c r="A526" s="1">
        <v>26730</v>
      </c>
      <c r="B526">
        <v>122.279999</v>
      </c>
      <c r="C526">
        <f t="shared" si="33"/>
        <v>3.0349847252896731E-3</v>
      </c>
      <c r="D526">
        <f t="shared" si="32"/>
        <v>0.20560834618135659</v>
      </c>
    </row>
    <row r="527" spans="1:4" x14ac:dyDescent="0.3">
      <c r="A527" s="1">
        <v>26731</v>
      </c>
      <c r="B527">
        <v>122.110001</v>
      </c>
      <c r="C527">
        <f t="shared" si="33"/>
        <v>-1.3902355363938689E-3</v>
      </c>
      <c r="D527">
        <f t="shared" si="32"/>
        <v>-0.14839107813888164</v>
      </c>
    </row>
    <row r="528" spans="1:4" x14ac:dyDescent="0.3">
      <c r="A528" s="1">
        <v>26732</v>
      </c>
      <c r="B528">
        <v>121.989998</v>
      </c>
      <c r="C528">
        <f t="shared" si="33"/>
        <v>-9.8274505787611095E-4</v>
      </c>
      <c r="D528">
        <f t="shared" si="32"/>
        <v>-0.11579351546832085</v>
      </c>
    </row>
    <row r="529" spans="1:4" x14ac:dyDescent="0.3">
      <c r="A529" s="1">
        <v>26735</v>
      </c>
      <c r="B529">
        <v>121.860001</v>
      </c>
      <c r="C529">
        <f t="shared" si="33"/>
        <v>-1.0656365450551367E-3</v>
      </c>
      <c r="D529">
        <f t="shared" si="32"/>
        <v>-0.12242449359081095</v>
      </c>
    </row>
    <row r="530" spans="1:4" x14ac:dyDescent="0.3">
      <c r="A530" s="1">
        <v>26736</v>
      </c>
      <c r="B530">
        <v>122.089996</v>
      </c>
      <c r="C530">
        <f t="shared" si="33"/>
        <v>1.8873707378354806E-3</v>
      </c>
      <c r="D530">
        <f t="shared" si="32"/>
        <v>0.11380394620193486</v>
      </c>
    </row>
    <row r="531" spans="1:4" x14ac:dyDescent="0.3">
      <c r="A531" s="1">
        <v>26737</v>
      </c>
      <c r="B531">
        <v>122.099998</v>
      </c>
      <c r="C531">
        <f t="shared" si="33"/>
        <v>8.1923174114937862E-5</v>
      </c>
      <c r="D531">
        <f t="shared" si="32"/>
        <v>-3.0624434850966126E-2</v>
      </c>
    </row>
    <row r="532" spans="1:4" x14ac:dyDescent="0.3">
      <c r="A532" s="1">
        <v>26738</v>
      </c>
      <c r="B532">
        <v>121.599998</v>
      </c>
      <c r="C532">
        <f t="shared" si="33"/>
        <v>-4.0950041620803302E-3</v>
      </c>
      <c r="D532">
        <f t="shared" si="32"/>
        <v>-0.36476144611875272</v>
      </c>
    </row>
    <row r="533" spans="1:4" x14ac:dyDescent="0.3">
      <c r="A533" s="1">
        <v>26739</v>
      </c>
      <c r="B533">
        <v>121.220001</v>
      </c>
      <c r="C533">
        <f t="shared" si="33"/>
        <v>-3.1249753803450149E-3</v>
      </c>
      <c r="D533">
        <f t="shared" si="32"/>
        <v>-0.28716313236211194</v>
      </c>
    </row>
    <row r="534" spans="1:4" x14ac:dyDescent="0.3">
      <c r="A534" s="1">
        <v>26742</v>
      </c>
      <c r="B534">
        <v>119.94000200000001</v>
      </c>
      <c r="C534">
        <f t="shared" si="33"/>
        <v>-1.0559305308040622E-2</v>
      </c>
      <c r="D534">
        <f t="shared" si="32"/>
        <v>-0.8818789564304339</v>
      </c>
    </row>
    <row r="535" spans="1:4" x14ac:dyDescent="0.3">
      <c r="A535" s="1">
        <v>26743</v>
      </c>
      <c r="B535">
        <v>119.260002</v>
      </c>
      <c r="C535">
        <f t="shared" si="33"/>
        <v>-5.6695013228364524E-3</v>
      </c>
      <c r="D535">
        <f t="shared" si="32"/>
        <v>-0.49071474460823161</v>
      </c>
    </row>
    <row r="536" spans="1:4" x14ac:dyDescent="0.3">
      <c r="A536" s="1">
        <v>26744</v>
      </c>
      <c r="B536">
        <v>117.889999</v>
      </c>
      <c r="C536">
        <f t="shared" si="33"/>
        <v>-1.1487531251257206E-2</v>
      </c>
      <c r="D536">
        <f t="shared" si="32"/>
        <v>-0.95613321499987536</v>
      </c>
    </row>
    <row r="537" spans="1:4" x14ac:dyDescent="0.3">
      <c r="A537" s="1">
        <v>26745</v>
      </c>
      <c r="B537">
        <v>115.69000200000001</v>
      </c>
      <c r="C537">
        <f t="shared" si="33"/>
        <v>-1.8661438787525957E-2</v>
      </c>
      <c r="D537">
        <f t="shared" si="32"/>
        <v>-1.5300163186173212</v>
      </c>
    </row>
    <row r="538" spans="1:4" x14ac:dyDescent="0.3">
      <c r="A538" s="1">
        <v>26746</v>
      </c>
      <c r="B538">
        <v>115.470001</v>
      </c>
      <c r="C538">
        <f t="shared" si="33"/>
        <v>-1.9016422871183851E-3</v>
      </c>
      <c r="D538">
        <f t="shared" si="32"/>
        <v>-0.18930151527971853</v>
      </c>
    </row>
    <row r="539" spans="1:4" x14ac:dyDescent="0.3">
      <c r="A539" s="1">
        <v>26749</v>
      </c>
      <c r="B539">
        <v>115.540001</v>
      </c>
      <c r="C539">
        <f t="shared" si="33"/>
        <v>6.0621806004840511E-4</v>
      </c>
      <c r="D539">
        <f t="shared" si="32"/>
        <v>1.1317000110258203E-2</v>
      </c>
    </row>
    <row r="540" spans="1:4" x14ac:dyDescent="0.3">
      <c r="A540" s="1">
        <v>26750</v>
      </c>
      <c r="B540">
        <v>116.889999</v>
      </c>
      <c r="C540">
        <f t="shared" si="33"/>
        <v>1.1684247778394942E-2</v>
      </c>
      <c r="D540">
        <f t="shared" si="32"/>
        <v>0.89751382444758876</v>
      </c>
    </row>
    <row r="541" spans="1:4" x14ac:dyDescent="0.3">
      <c r="A541" s="1">
        <v>26751</v>
      </c>
      <c r="B541">
        <v>117.139999</v>
      </c>
      <c r="C541">
        <f t="shared" si="33"/>
        <v>2.1387629578130118E-3</v>
      </c>
      <c r="D541">
        <f t="shared" si="32"/>
        <v>0.13391429006915204</v>
      </c>
    </row>
    <row r="542" spans="1:4" x14ac:dyDescent="0.3">
      <c r="A542" s="1">
        <v>26752</v>
      </c>
      <c r="B542">
        <v>118.19000200000001</v>
      </c>
      <c r="C542">
        <f t="shared" si="33"/>
        <v>8.9636589462494688E-3</v>
      </c>
      <c r="D542">
        <f t="shared" si="32"/>
        <v>0.6798779050040743</v>
      </c>
    </row>
    <row r="543" spans="1:4" x14ac:dyDescent="0.3">
      <c r="A543" s="1">
        <v>26753</v>
      </c>
      <c r="B543">
        <v>117.459999</v>
      </c>
      <c r="C543">
        <f t="shared" si="33"/>
        <v>-6.1765207517300033E-3</v>
      </c>
      <c r="D543">
        <f t="shared" si="32"/>
        <v>-0.53127421404336639</v>
      </c>
    </row>
    <row r="544" spans="1:4" x14ac:dyDescent="0.3">
      <c r="A544" s="1">
        <v>26756</v>
      </c>
      <c r="B544">
        <v>115.790001</v>
      </c>
      <c r="C544">
        <f t="shared" si="33"/>
        <v>-1.4217589087498567E-2</v>
      </c>
      <c r="D544">
        <f t="shared" si="32"/>
        <v>-1.1745266158342831</v>
      </c>
    </row>
    <row r="545" spans="1:4" x14ac:dyDescent="0.3">
      <c r="A545" s="1">
        <v>26757</v>
      </c>
      <c r="B545">
        <v>114.470001</v>
      </c>
      <c r="C545">
        <f t="shared" si="33"/>
        <v>-1.1399948083600132E-2</v>
      </c>
      <c r="D545">
        <f t="shared" si="32"/>
        <v>-0.94912692173144675</v>
      </c>
    </row>
    <row r="546" spans="1:4" x14ac:dyDescent="0.3">
      <c r="A546" s="1">
        <v>26758</v>
      </c>
      <c r="B546">
        <v>112.889999</v>
      </c>
      <c r="C546">
        <f t="shared" si="33"/>
        <v>-1.380276042803558E-2</v>
      </c>
      <c r="D546">
        <f t="shared" si="32"/>
        <v>-1.1413420288628844</v>
      </c>
    </row>
    <row r="547" spans="1:4" x14ac:dyDescent="0.3">
      <c r="A547" s="1">
        <v>26759</v>
      </c>
      <c r="B547">
        <v>112.019997</v>
      </c>
      <c r="C547">
        <f t="shared" si="33"/>
        <v>-7.7066348454835178E-3</v>
      </c>
      <c r="D547">
        <f t="shared" si="32"/>
        <v>-0.65367704967689866</v>
      </c>
    </row>
    <row r="548" spans="1:4" x14ac:dyDescent="0.3">
      <c r="A548" s="1">
        <v>26760</v>
      </c>
      <c r="B548">
        <v>113.269997</v>
      </c>
      <c r="C548">
        <f t="shared" si="33"/>
        <v>1.1158721955687964E-2</v>
      </c>
      <c r="D548">
        <f t="shared" si="32"/>
        <v>0.85547391960612584</v>
      </c>
    </row>
    <row r="549" spans="1:4" x14ac:dyDescent="0.3">
      <c r="A549" s="1">
        <v>26763</v>
      </c>
      <c r="B549">
        <v>114.010002</v>
      </c>
      <c r="C549">
        <f t="shared" si="33"/>
        <v>6.5331069091490879E-3</v>
      </c>
      <c r="D549">
        <f t="shared" si="32"/>
        <v>0.4854437365257398</v>
      </c>
    </row>
    <row r="550" spans="1:4" x14ac:dyDescent="0.3">
      <c r="A550" s="1">
        <v>26764</v>
      </c>
      <c r="B550">
        <v>114.80999799999999</v>
      </c>
      <c r="C550">
        <f t="shared" si="33"/>
        <v>7.0168931318849818E-3</v>
      </c>
      <c r="D550">
        <f t="shared" si="32"/>
        <v>0.52414464500377667</v>
      </c>
    </row>
    <row r="551" spans="1:4" x14ac:dyDescent="0.3">
      <c r="A551" s="1">
        <v>26765</v>
      </c>
      <c r="B551">
        <v>115.290001</v>
      </c>
      <c r="C551">
        <f t="shared" si="33"/>
        <v>4.1808466889792176E-3</v>
      </c>
      <c r="D551">
        <f t="shared" si="32"/>
        <v>0.29727259146397128</v>
      </c>
    </row>
    <row r="552" spans="1:4" x14ac:dyDescent="0.3">
      <c r="A552" s="1">
        <v>26766</v>
      </c>
      <c r="B552">
        <v>115.589996</v>
      </c>
      <c r="C552">
        <f t="shared" si="33"/>
        <v>2.6020903582089096E-3</v>
      </c>
      <c r="D552">
        <f t="shared" si="32"/>
        <v>0.1709785768871693</v>
      </c>
    </row>
    <row r="553" spans="1:4" x14ac:dyDescent="0.3">
      <c r="A553" s="1">
        <v>26767</v>
      </c>
      <c r="B553">
        <v>115.220001</v>
      </c>
      <c r="C553">
        <f t="shared" si="33"/>
        <v>-3.2009257963812282E-3</v>
      </c>
      <c r="D553">
        <f t="shared" si="32"/>
        <v>-0.29323885333503213</v>
      </c>
    </row>
    <row r="554" spans="1:4" x14ac:dyDescent="0.3">
      <c r="A554" s="1">
        <v>26770</v>
      </c>
      <c r="B554">
        <v>114.550003</v>
      </c>
      <c r="C554">
        <f t="shared" si="33"/>
        <v>-5.8149452715244515E-3</v>
      </c>
      <c r="D554">
        <f t="shared" si="32"/>
        <v>-0.50234966243418089</v>
      </c>
    </row>
    <row r="555" spans="1:4" x14ac:dyDescent="0.3">
      <c r="A555" s="1">
        <v>26771</v>
      </c>
      <c r="B555">
        <v>113.639999</v>
      </c>
      <c r="C555">
        <f t="shared" si="33"/>
        <v>-7.9441639124182353E-3</v>
      </c>
      <c r="D555">
        <f t="shared" si="32"/>
        <v>-0.67267839830631659</v>
      </c>
    </row>
    <row r="556" spans="1:4" x14ac:dyDescent="0.3">
      <c r="A556" s="1">
        <v>26772</v>
      </c>
      <c r="B556">
        <v>113.709999</v>
      </c>
      <c r="C556">
        <f t="shared" si="33"/>
        <v>6.1598029405115693E-4</v>
      </c>
      <c r="D556">
        <f t="shared" si="32"/>
        <v>1.2097938687932267E-2</v>
      </c>
    </row>
    <row r="557" spans="1:4" x14ac:dyDescent="0.3">
      <c r="A557" s="1">
        <v>26773</v>
      </c>
      <c r="B557">
        <v>114.150002</v>
      </c>
      <c r="C557">
        <f t="shared" si="33"/>
        <v>3.8695189857490403E-3</v>
      </c>
      <c r="D557">
        <f t="shared" si="32"/>
        <v>0.27236765539272217</v>
      </c>
    </row>
    <row r="558" spans="1:4" x14ac:dyDescent="0.3">
      <c r="A558" s="1">
        <v>26777</v>
      </c>
      <c r="B558">
        <v>113.019997</v>
      </c>
      <c r="C558">
        <f t="shared" si="33"/>
        <v>-9.8992989943179951E-3</v>
      </c>
      <c r="D558">
        <f t="shared" si="32"/>
        <v>-0.82908116529480236</v>
      </c>
    </row>
    <row r="559" spans="1:4" x14ac:dyDescent="0.3">
      <c r="A559" s="1">
        <v>26778</v>
      </c>
      <c r="B559">
        <v>111.230003</v>
      </c>
      <c r="C559">
        <f t="shared" si="33"/>
        <v>-1.5837852128061967E-2</v>
      </c>
      <c r="D559">
        <f t="shared" si="32"/>
        <v>-1.304140996517922</v>
      </c>
    </row>
    <row r="560" spans="1:4" x14ac:dyDescent="0.3">
      <c r="A560" s="1">
        <v>26779</v>
      </c>
      <c r="B560">
        <v>109.370003</v>
      </c>
      <c r="C560">
        <f t="shared" si="33"/>
        <v>-1.6722106894126395E-2</v>
      </c>
      <c r="D560">
        <f t="shared" si="32"/>
        <v>-1.3748777417257518</v>
      </c>
    </row>
    <row r="561" spans="1:4" x14ac:dyDescent="0.3">
      <c r="A561" s="1">
        <v>26780</v>
      </c>
      <c r="B561">
        <v>109.720001</v>
      </c>
      <c r="C561">
        <f t="shared" si="33"/>
        <v>3.2001279180727403E-3</v>
      </c>
      <c r="D561">
        <f t="shared" si="32"/>
        <v>0.21881912253113564</v>
      </c>
    </row>
    <row r="562" spans="1:4" x14ac:dyDescent="0.3">
      <c r="A562" s="1">
        <v>26781</v>
      </c>
      <c r="B562">
        <v>108.400002</v>
      </c>
      <c r="C562">
        <f t="shared" si="33"/>
        <v>-1.2030614181273984E-2</v>
      </c>
      <c r="D562">
        <f t="shared" si="32"/>
        <v>-0.99957761623086561</v>
      </c>
    </row>
    <row r="563" spans="1:4" x14ac:dyDescent="0.3">
      <c r="A563" s="1">
        <v>26784</v>
      </c>
      <c r="B563">
        <v>107.849998</v>
      </c>
      <c r="C563">
        <f t="shared" si="33"/>
        <v>-5.0738375447631568E-3</v>
      </c>
      <c r="D563">
        <f t="shared" si="32"/>
        <v>-0.443064091746459</v>
      </c>
    </row>
    <row r="564" spans="1:4" x14ac:dyDescent="0.3">
      <c r="A564" s="1">
        <v>26785</v>
      </c>
      <c r="B564">
        <v>107.959999</v>
      </c>
      <c r="C564">
        <f t="shared" si="33"/>
        <v>1.0199443860907341E-3</v>
      </c>
      <c r="D564">
        <f t="shared" si="32"/>
        <v>4.4413404940826455E-2</v>
      </c>
    </row>
    <row r="565" spans="1:4" x14ac:dyDescent="0.3">
      <c r="A565" s="1">
        <v>26786</v>
      </c>
      <c r="B565">
        <v>109.050003</v>
      </c>
      <c r="C565">
        <f t="shared" si="33"/>
        <v>1.009636911908463E-2</v>
      </c>
      <c r="D565">
        <f t="shared" si="32"/>
        <v>0.77049006109882545</v>
      </c>
    </row>
    <row r="566" spans="1:4" x14ac:dyDescent="0.3">
      <c r="A566" s="1">
        <v>26787</v>
      </c>
      <c r="B566">
        <v>109.80999799999999</v>
      </c>
      <c r="C566">
        <f t="shared" si="33"/>
        <v>6.9692341044684733E-3</v>
      </c>
      <c r="D566">
        <f t="shared" si="32"/>
        <v>0.52033211878554764</v>
      </c>
    </row>
    <row r="567" spans="1:4" x14ac:dyDescent="0.3">
      <c r="A567" s="1">
        <v>26788</v>
      </c>
      <c r="B567">
        <v>110.889999</v>
      </c>
      <c r="C567">
        <f t="shared" si="33"/>
        <v>9.8351791245821722E-3</v>
      </c>
      <c r="D567">
        <f t="shared" si="32"/>
        <v>0.74959593555830373</v>
      </c>
    </row>
    <row r="568" spans="1:4" x14ac:dyDescent="0.3">
      <c r="A568" s="1">
        <v>26791</v>
      </c>
      <c r="B568">
        <v>110.480003</v>
      </c>
      <c r="C568">
        <f t="shared" si="33"/>
        <v>-3.6973217034658524E-3</v>
      </c>
      <c r="D568">
        <f t="shared" si="32"/>
        <v>-0.33294848470963551</v>
      </c>
    </row>
    <row r="569" spans="1:4" x14ac:dyDescent="0.3">
      <c r="A569" s="1">
        <v>26792</v>
      </c>
      <c r="B569">
        <v>110.66999800000001</v>
      </c>
      <c r="C569">
        <f t="shared" si="33"/>
        <v>1.7197229800945096E-3</v>
      </c>
      <c r="D569">
        <f t="shared" si="32"/>
        <v>0.10039281495435617</v>
      </c>
    </row>
    <row r="570" spans="1:4" x14ac:dyDescent="0.3">
      <c r="A570" s="1">
        <v>26793</v>
      </c>
      <c r="B570">
        <v>110.540001</v>
      </c>
      <c r="C570">
        <f t="shared" si="33"/>
        <v>-1.1746363273631127E-3</v>
      </c>
      <c r="D570">
        <f t="shared" si="32"/>
        <v>-0.13114402796566602</v>
      </c>
    </row>
    <row r="571" spans="1:4" x14ac:dyDescent="0.3">
      <c r="A571" s="1">
        <v>26794</v>
      </c>
      <c r="B571">
        <v>110.32</v>
      </c>
      <c r="C571">
        <f t="shared" si="33"/>
        <v>-1.990238809569131E-3</v>
      </c>
      <c r="D571">
        <f t="shared" si="32"/>
        <v>-0.19638887276470107</v>
      </c>
    </row>
    <row r="572" spans="1:4" x14ac:dyDescent="0.3">
      <c r="A572" s="1">
        <v>26795</v>
      </c>
      <c r="B572">
        <v>109.099998</v>
      </c>
      <c r="C572">
        <f t="shared" si="33"/>
        <v>-1.105875634517761E-2</v>
      </c>
      <c r="D572">
        <f t="shared" si="32"/>
        <v>-0.92183298564645655</v>
      </c>
    </row>
    <row r="573" spans="1:4" x14ac:dyDescent="0.3">
      <c r="A573" s="1">
        <v>26798</v>
      </c>
      <c r="B573">
        <v>106.459999</v>
      </c>
      <c r="C573">
        <f t="shared" si="33"/>
        <v>-2.4197974779064643E-2</v>
      </c>
      <c r="D573">
        <f t="shared" si="32"/>
        <v>-1.9729164315683845</v>
      </c>
    </row>
    <row r="574" spans="1:4" x14ac:dyDescent="0.3">
      <c r="A574" s="1">
        <v>26799</v>
      </c>
      <c r="B574">
        <v>106.139999</v>
      </c>
      <c r="C574">
        <f t="shared" si="33"/>
        <v>-3.005823811814926E-3</v>
      </c>
      <c r="D574">
        <f t="shared" si="32"/>
        <v>-0.27763149683388216</v>
      </c>
    </row>
    <row r="575" spans="1:4" x14ac:dyDescent="0.3">
      <c r="A575" s="1">
        <v>26800</v>
      </c>
      <c r="B575">
        <v>106.099998</v>
      </c>
      <c r="C575">
        <f t="shared" si="33"/>
        <v>-3.7687017502236576E-4</v>
      </c>
      <c r="D575">
        <f t="shared" si="32"/>
        <v>-6.7326016212426065E-2</v>
      </c>
    </row>
    <row r="576" spans="1:4" x14ac:dyDescent="0.3">
      <c r="A576" s="1">
        <v>26801</v>
      </c>
      <c r="B576">
        <v>105.19000200000001</v>
      </c>
      <c r="C576">
        <f t="shared" si="33"/>
        <v>-8.5767767874980784E-3</v>
      </c>
      <c r="D576">
        <f t="shared" si="32"/>
        <v>-0.72328482699301822</v>
      </c>
    </row>
    <row r="577" spans="1:4" x14ac:dyDescent="0.3">
      <c r="A577" s="1">
        <v>26802</v>
      </c>
      <c r="B577">
        <v>102.889999</v>
      </c>
      <c r="C577">
        <f t="shared" si="33"/>
        <v>-2.1865224415529565E-2</v>
      </c>
      <c r="D577">
        <f t="shared" si="32"/>
        <v>-1.7863059948123894</v>
      </c>
    </row>
    <row r="578" spans="1:4" x14ac:dyDescent="0.3">
      <c r="A578" s="1">
        <v>26805</v>
      </c>
      <c r="B578">
        <v>100.760002</v>
      </c>
      <c r="C578">
        <f t="shared" si="33"/>
        <v>-2.0701691327647917E-2</v>
      </c>
      <c r="D578">
        <f t="shared" si="32"/>
        <v>-1.6932281322585034</v>
      </c>
    </row>
    <row r="579" spans="1:4" x14ac:dyDescent="0.3">
      <c r="A579" s="1">
        <v>26806</v>
      </c>
      <c r="B579">
        <v>101.589996</v>
      </c>
      <c r="C579">
        <f t="shared" si="33"/>
        <v>8.2373360810373865E-3</v>
      </c>
      <c r="D579">
        <f t="shared" ref="D579:D642" si="34">(C579-avrtn)/sdrtn</f>
        <v>0.62177506244457537</v>
      </c>
    </row>
    <row r="580" spans="1:4" x14ac:dyDescent="0.3">
      <c r="A580" s="1">
        <v>26807</v>
      </c>
      <c r="B580">
        <v>102.089996</v>
      </c>
      <c r="C580">
        <f t="shared" ref="C580:C643" si="35">(B580-B579)/B579</f>
        <v>4.9217444599564709E-3</v>
      </c>
      <c r="D580">
        <f t="shared" si="34"/>
        <v>0.35654136655231317</v>
      </c>
    </row>
    <row r="581" spans="1:4" x14ac:dyDescent="0.3">
      <c r="A581" s="1">
        <v>26808</v>
      </c>
      <c r="B581">
        <v>104.269997</v>
      </c>
      <c r="C581">
        <f t="shared" si="35"/>
        <v>2.1353718144919941E-2</v>
      </c>
      <c r="D581">
        <f t="shared" si="34"/>
        <v>1.6710316926698594</v>
      </c>
    </row>
    <row r="582" spans="1:4" x14ac:dyDescent="0.3">
      <c r="A582" s="1">
        <v>26809</v>
      </c>
      <c r="B582">
        <v>105.16999800000001</v>
      </c>
      <c r="C582">
        <f t="shared" si="35"/>
        <v>8.6314474527126265E-3</v>
      </c>
      <c r="D582">
        <f t="shared" si="34"/>
        <v>0.65330235158295091</v>
      </c>
    </row>
    <row r="583" spans="1:4" x14ac:dyDescent="0.3">
      <c r="A583" s="1">
        <v>26813</v>
      </c>
      <c r="B583">
        <v>104.849998</v>
      </c>
      <c r="C583">
        <f t="shared" si="35"/>
        <v>-3.0426928409754972E-3</v>
      </c>
      <c r="D583">
        <f t="shared" si="34"/>
        <v>-0.28058086756037409</v>
      </c>
    </row>
    <row r="584" spans="1:4" x14ac:dyDescent="0.3">
      <c r="A584" s="1">
        <v>26814</v>
      </c>
      <c r="B584">
        <v>103.19000200000001</v>
      </c>
      <c r="C584">
        <f t="shared" si="35"/>
        <v>-1.5832103306287069E-2</v>
      </c>
      <c r="D584">
        <f t="shared" si="34"/>
        <v>-1.3036811144152267</v>
      </c>
    </row>
    <row r="585" spans="1:4" x14ac:dyDescent="0.3">
      <c r="A585" s="1">
        <v>26815</v>
      </c>
      <c r="B585">
        <v>102.639999</v>
      </c>
      <c r="C585">
        <f t="shared" si="35"/>
        <v>-5.3300028039538535E-3</v>
      </c>
      <c r="D585">
        <f t="shared" si="34"/>
        <v>-0.46355625912387488</v>
      </c>
    </row>
    <row r="586" spans="1:4" x14ac:dyDescent="0.3">
      <c r="A586" s="1">
        <v>26816</v>
      </c>
      <c r="B586">
        <v>102.300003</v>
      </c>
      <c r="C586">
        <f t="shared" si="35"/>
        <v>-3.3125097750634166E-3</v>
      </c>
      <c r="D586">
        <f t="shared" si="34"/>
        <v>-0.30216511279354519</v>
      </c>
    </row>
    <row r="587" spans="1:4" x14ac:dyDescent="0.3">
      <c r="A587" s="1">
        <v>26819</v>
      </c>
      <c r="B587">
        <v>100.769997</v>
      </c>
      <c r="C587">
        <f t="shared" si="35"/>
        <v>-1.4956069942637247E-2</v>
      </c>
      <c r="D587">
        <f t="shared" si="34"/>
        <v>-1.2336020475939564</v>
      </c>
    </row>
    <row r="588" spans="1:4" x14ac:dyDescent="0.3">
      <c r="A588" s="1">
        <v>26820</v>
      </c>
      <c r="B588">
        <v>101.709999</v>
      </c>
      <c r="C588">
        <f t="shared" si="35"/>
        <v>9.3281931922652803E-3</v>
      </c>
      <c r="D588">
        <f t="shared" si="34"/>
        <v>0.7090391457115629</v>
      </c>
    </row>
    <row r="589" spans="1:4" x14ac:dyDescent="0.3">
      <c r="A589" s="1">
        <v>26821</v>
      </c>
      <c r="B589">
        <v>101.699997</v>
      </c>
      <c r="C589">
        <f t="shared" si="35"/>
        <v>-9.8338414102236557E-5</v>
      </c>
      <c r="D589">
        <f t="shared" si="34"/>
        <v>-4.5044620668260246E-2</v>
      </c>
    </row>
    <row r="590" spans="1:4" x14ac:dyDescent="0.3">
      <c r="A590" s="1">
        <v>26822</v>
      </c>
      <c r="B590">
        <v>102.57</v>
      </c>
      <c r="C590">
        <f t="shared" si="35"/>
        <v>8.5546020222596175E-3</v>
      </c>
      <c r="D590">
        <f t="shared" si="34"/>
        <v>0.64715503313700828</v>
      </c>
    </row>
    <row r="591" spans="1:4" x14ac:dyDescent="0.3">
      <c r="A591" s="1">
        <v>26823</v>
      </c>
      <c r="B591">
        <v>103.720001</v>
      </c>
      <c r="C591">
        <f t="shared" si="35"/>
        <v>1.1211865067758635E-2</v>
      </c>
      <c r="D591">
        <f t="shared" si="34"/>
        <v>0.85972515004599692</v>
      </c>
    </row>
    <row r="592" spans="1:4" x14ac:dyDescent="0.3">
      <c r="A592" s="1">
        <v>26826</v>
      </c>
      <c r="B592">
        <v>103.040001</v>
      </c>
      <c r="C592">
        <f t="shared" si="35"/>
        <v>-6.5561125476656388E-3</v>
      </c>
      <c r="D592">
        <f t="shared" si="34"/>
        <v>-0.56163999682742571</v>
      </c>
    </row>
    <row r="593" spans="1:4" x14ac:dyDescent="0.3">
      <c r="A593" s="1">
        <v>26827</v>
      </c>
      <c r="B593">
        <v>104.790001</v>
      </c>
      <c r="C593">
        <f t="shared" si="35"/>
        <v>1.6983695487347676E-2</v>
      </c>
      <c r="D593">
        <f t="shared" si="34"/>
        <v>1.3214478497046189</v>
      </c>
    </row>
    <row r="594" spans="1:4" x14ac:dyDescent="0.3">
      <c r="A594" s="1">
        <v>26828</v>
      </c>
      <c r="B594">
        <v>104.33000199999999</v>
      </c>
      <c r="C594">
        <f t="shared" si="35"/>
        <v>-4.3897222598557901E-3</v>
      </c>
      <c r="D594">
        <f t="shared" si="34"/>
        <v>-0.38833768205273017</v>
      </c>
    </row>
    <row r="595" spans="1:4" x14ac:dyDescent="0.3">
      <c r="A595" s="1">
        <v>26829</v>
      </c>
      <c r="B595">
        <v>103.55999799999999</v>
      </c>
      <c r="C595">
        <f t="shared" si="35"/>
        <v>-7.3804656880961262E-3</v>
      </c>
      <c r="D595">
        <f t="shared" si="34"/>
        <v>-0.62758485830149657</v>
      </c>
    </row>
    <row r="596" spans="1:4" x14ac:dyDescent="0.3">
      <c r="A596" s="1">
        <v>26830</v>
      </c>
      <c r="B596">
        <v>102.260002</v>
      </c>
      <c r="C596">
        <f t="shared" si="35"/>
        <v>-1.2553070926092459E-2</v>
      </c>
      <c r="D596">
        <f t="shared" si="34"/>
        <v>-1.0413720074613719</v>
      </c>
    </row>
    <row r="597" spans="1:4" x14ac:dyDescent="0.3">
      <c r="A597" s="1">
        <v>26833</v>
      </c>
      <c r="B597">
        <v>100.769997</v>
      </c>
      <c r="C597">
        <f t="shared" si="35"/>
        <v>-1.4570750741819821E-2</v>
      </c>
      <c r="D597">
        <f t="shared" si="34"/>
        <v>-1.2027780959705836</v>
      </c>
    </row>
    <row r="598" spans="1:4" x14ac:dyDescent="0.3">
      <c r="A598" s="1">
        <v>26834</v>
      </c>
      <c r="B598">
        <v>100.959999</v>
      </c>
      <c r="C598">
        <f t="shared" si="35"/>
        <v>1.8855016935248362E-3</v>
      </c>
      <c r="D598">
        <f t="shared" si="34"/>
        <v>0.11365443034263945</v>
      </c>
    </row>
    <row r="599" spans="1:4" x14ac:dyDescent="0.3">
      <c r="A599" s="1">
        <v>26835</v>
      </c>
      <c r="B599">
        <v>101.19000200000001</v>
      </c>
      <c r="C599">
        <f t="shared" si="35"/>
        <v>2.278159689760007E-3</v>
      </c>
      <c r="D599">
        <f t="shared" si="34"/>
        <v>0.14506545542212484</v>
      </c>
    </row>
    <row r="600" spans="1:4" x14ac:dyDescent="0.3">
      <c r="A600" s="1">
        <v>26836</v>
      </c>
      <c r="B600">
        <v>100.400002</v>
      </c>
      <c r="C600">
        <f t="shared" si="35"/>
        <v>-7.8070954084970392E-3</v>
      </c>
      <c r="D600">
        <f t="shared" si="34"/>
        <v>-0.66171348162167698</v>
      </c>
    </row>
    <row r="601" spans="1:4" x14ac:dyDescent="0.3">
      <c r="A601" s="1">
        <v>26837</v>
      </c>
      <c r="B601">
        <v>100.989998</v>
      </c>
      <c r="C601">
        <f t="shared" si="35"/>
        <v>5.8764540662060872E-3</v>
      </c>
      <c r="D601">
        <f t="shared" si="34"/>
        <v>0.43291420926292407</v>
      </c>
    </row>
    <row r="602" spans="1:4" x14ac:dyDescent="0.3">
      <c r="A602" s="1">
        <v>26840</v>
      </c>
      <c r="B602">
        <v>99.43</v>
      </c>
      <c r="C602">
        <f t="shared" si="35"/>
        <v>-1.5447054469691079E-2</v>
      </c>
      <c r="D602">
        <f t="shared" si="34"/>
        <v>-1.2728787908178243</v>
      </c>
    </row>
    <row r="603" spans="1:4" x14ac:dyDescent="0.3">
      <c r="A603" s="1">
        <v>26841</v>
      </c>
      <c r="B603">
        <v>99.959998999999996</v>
      </c>
      <c r="C603">
        <f t="shared" si="35"/>
        <v>5.3303731268227843E-3</v>
      </c>
      <c r="D603">
        <f t="shared" si="34"/>
        <v>0.38922997961049999</v>
      </c>
    </row>
    <row r="604" spans="1:4" x14ac:dyDescent="0.3">
      <c r="A604" s="1">
        <v>26842</v>
      </c>
      <c r="B604">
        <v>100.220001</v>
      </c>
      <c r="C604">
        <f t="shared" si="35"/>
        <v>2.6010604501906817E-3</v>
      </c>
      <c r="D604">
        <f t="shared" si="34"/>
        <v>0.17089618848071814</v>
      </c>
    </row>
    <row r="605" spans="1:4" x14ac:dyDescent="0.3">
      <c r="A605" s="1">
        <v>26843</v>
      </c>
      <c r="B605">
        <v>101.160004</v>
      </c>
      <c r="C605">
        <f t="shared" si="35"/>
        <v>9.3793952366853835E-3</v>
      </c>
      <c r="D605">
        <f t="shared" si="34"/>
        <v>0.71313509872110648</v>
      </c>
    </row>
    <row r="606" spans="1:4" x14ac:dyDescent="0.3">
      <c r="A606" s="1">
        <v>26844</v>
      </c>
      <c r="B606">
        <v>100.980003</v>
      </c>
      <c r="C606">
        <f t="shared" si="35"/>
        <v>-1.7793692455765847E-3</v>
      </c>
      <c r="D606">
        <f t="shared" si="34"/>
        <v>-0.17952017474612561</v>
      </c>
    </row>
    <row r="607" spans="1:4" x14ac:dyDescent="0.3">
      <c r="A607" s="1">
        <v>26847</v>
      </c>
      <c r="B607">
        <v>100.150002</v>
      </c>
      <c r="C607">
        <f t="shared" si="35"/>
        <v>-8.2194590546803194E-3</v>
      </c>
      <c r="D607">
        <f t="shared" si="34"/>
        <v>-0.69470087766689426</v>
      </c>
    </row>
    <row r="608" spans="1:4" x14ac:dyDescent="0.3">
      <c r="A608" s="1">
        <v>26848</v>
      </c>
      <c r="B608">
        <v>99.449996999999996</v>
      </c>
      <c r="C608">
        <f t="shared" si="35"/>
        <v>-6.9895655119408227E-3</v>
      </c>
      <c r="D608">
        <f t="shared" si="34"/>
        <v>-0.59631445160020125</v>
      </c>
    </row>
    <row r="609" spans="1:4" x14ac:dyDescent="0.3">
      <c r="A609" s="1">
        <v>26850</v>
      </c>
      <c r="B609">
        <v>99.389999000000003</v>
      </c>
      <c r="C609">
        <f t="shared" si="35"/>
        <v>-6.0329815796769822E-4</v>
      </c>
      <c r="D609">
        <f t="shared" si="34"/>
        <v>-8.5439323770623396E-2</v>
      </c>
    </row>
    <row r="610" spans="1:4" x14ac:dyDescent="0.3">
      <c r="A610" s="1">
        <v>26851</v>
      </c>
      <c r="B610">
        <v>99.480002999999996</v>
      </c>
      <c r="C610">
        <f t="shared" si="35"/>
        <v>9.0556394914535928E-4</v>
      </c>
      <c r="D610">
        <f t="shared" si="34"/>
        <v>3.5263440320363548E-2</v>
      </c>
    </row>
    <row r="611" spans="1:4" x14ac:dyDescent="0.3">
      <c r="A611" s="1">
        <v>26854</v>
      </c>
      <c r="B611">
        <v>100.010002</v>
      </c>
      <c r="C611">
        <f t="shared" si="35"/>
        <v>5.3276938481797561E-3</v>
      </c>
      <c r="D611">
        <f t="shared" si="34"/>
        <v>0.38901564833631735</v>
      </c>
    </row>
    <row r="612" spans="1:4" x14ac:dyDescent="0.3">
      <c r="A612" s="1">
        <v>26855</v>
      </c>
      <c r="B612">
        <v>101.18</v>
      </c>
      <c r="C612">
        <f t="shared" si="35"/>
        <v>1.1698809885035367E-2</v>
      </c>
      <c r="D612">
        <f t="shared" si="34"/>
        <v>0.89867873309908242</v>
      </c>
    </row>
    <row r="613" spans="1:4" x14ac:dyDescent="0.3">
      <c r="A613" s="1">
        <v>26856</v>
      </c>
      <c r="B613">
        <v>102.69000200000001</v>
      </c>
      <c r="C613">
        <f t="shared" si="35"/>
        <v>1.4923917770310338E-2</v>
      </c>
      <c r="D613">
        <f t="shared" si="34"/>
        <v>1.1566741021982139</v>
      </c>
    </row>
    <row r="614" spans="1:4" x14ac:dyDescent="0.3">
      <c r="A614" s="1">
        <v>26857</v>
      </c>
      <c r="B614">
        <v>103.16999800000001</v>
      </c>
      <c r="C614">
        <f t="shared" si="35"/>
        <v>4.6742232997521978E-3</v>
      </c>
      <c r="D614">
        <f t="shared" si="34"/>
        <v>0.33674069154906378</v>
      </c>
    </row>
    <row r="615" spans="1:4" x14ac:dyDescent="0.3">
      <c r="A615" s="1">
        <v>26858</v>
      </c>
      <c r="B615">
        <v>103.029999</v>
      </c>
      <c r="C615">
        <f t="shared" si="35"/>
        <v>-1.3569739528346515E-3</v>
      </c>
      <c r="D615">
        <f t="shared" si="34"/>
        <v>-0.14573028822659309</v>
      </c>
    </row>
    <row r="616" spans="1:4" x14ac:dyDescent="0.3">
      <c r="A616" s="1">
        <v>26861</v>
      </c>
      <c r="B616">
        <v>103.970001</v>
      </c>
      <c r="C616">
        <f t="shared" si="35"/>
        <v>9.123575746128005E-3</v>
      </c>
      <c r="D616">
        <f t="shared" si="34"/>
        <v>0.69267059141254694</v>
      </c>
    </row>
    <row r="617" spans="1:4" x14ac:dyDescent="0.3">
      <c r="A617" s="1">
        <v>26862</v>
      </c>
      <c r="B617">
        <v>104.639999</v>
      </c>
      <c r="C617">
        <f t="shared" si="35"/>
        <v>6.4441472882164038E-3</v>
      </c>
      <c r="D617">
        <f t="shared" si="34"/>
        <v>0.47832733265527211</v>
      </c>
    </row>
    <row r="618" spans="1:4" x14ac:dyDescent="0.3">
      <c r="A618" s="1">
        <v>26863</v>
      </c>
      <c r="B618">
        <v>105.769997</v>
      </c>
      <c r="C618">
        <f t="shared" si="35"/>
        <v>1.0798910653659319E-2</v>
      </c>
      <c r="D618">
        <f t="shared" si="34"/>
        <v>0.82669049499674885</v>
      </c>
    </row>
    <row r="619" spans="1:4" x14ac:dyDescent="0.3">
      <c r="A619" s="1">
        <v>26864</v>
      </c>
      <c r="B619">
        <v>106.519997</v>
      </c>
      <c r="C619">
        <f t="shared" si="35"/>
        <v>7.0908577221572575E-3</v>
      </c>
      <c r="D619">
        <f t="shared" si="34"/>
        <v>0.53006150808134611</v>
      </c>
    </row>
    <row r="620" spans="1:4" x14ac:dyDescent="0.3">
      <c r="A620" s="1">
        <v>26865</v>
      </c>
      <c r="B620">
        <v>107.68</v>
      </c>
      <c r="C620">
        <f t="shared" si="35"/>
        <v>1.0890002184284733E-2</v>
      </c>
      <c r="D620">
        <f t="shared" si="34"/>
        <v>0.83397744287616982</v>
      </c>
    </row>
    <row r="621" spans="1:4" x14ac:dyDescent="0.3">
      <c r="A621" s="1">
        <v>26868</v>
      </c>
      <c r="B621">
        <v>107.75</v>
      </c>
      <c r="C621">
        <f t="shared" si="35"/>
        <v>6.5007429420498866E-4</v>
      </c>
      <c r="D621">
        <f t="shared" si="34"/>
        <v>1.4825318504872472E-2</v>
      </c>
    </row>
    <row r="622" spans="1:4" x14ac:dyDescent="0.3">
      <c r="A622" s="1">
        <v>26869</v>
      </c>
      <c r="B622">
        <v>108.290001</v>
      </c>
      <c r="C622">
        <f t="shared" si="35"/>
        <v>5.0116102088167396E-3</v>
      </c>
      <c r="D622">
        <f t="shared" si="34"/>
        <v>0.36373025693096733</v>
      </c>
    </row>
    <row r="623" spans="1:4" x14ac:dyDescent="0.3">
      <c r="A623" s="1">
        <v>26870</v>
      </c>
      <c r="B623">
        <v>109.19000200000001</v>
      </c>
      <c r="C623">
        <f t="shared" si="35"/>
        <v>8.3110258720932428E-3</v>
      </c>
      <c r="D623">
        <f t="shared" si="34"/>
        <v>0.62766994271481258</v>
      </c>
    </row>
    <row r="624" spans="1:4" x14ac:dyDescent="0.3">
      <c r="A624" s="1">
        <v>26871</v>
      </c>
      <c r="B624">
        <v>109.16999800000001</v>
      </c>
      <c r="C624">
        <f t="shared" si="35"/>
        <v>-1.8320358671666782E-4</v>
      </c>
      <c r="D624">
        <f t="shared" si="34"/>
        <v>-5.1833485509739798E-2</v>
      </c>
    </row>
    <row r="625" spans="1:4" x14ac:dyDescent="0.3">
      <c r="A625" s="1">
        <v>26872</v>
      </c>
      <c r="B625">
        <v>109.360001</v>
      </c>
      <c r="C625">
        <f t="shared" si="35"/>
        <v>1.7404323850953092E-3</v>
      </c>
      <c r="D625">
        <f t="shared" si="34"/>
        <v>0.10204948219683795</v>
      </c>
    </row>
    <row r="626" spans="1:4" x14ac:dyDescent="0.3">
      <c r="A626" s="1">
        <v>26875</v>
      </c>
      <c r="B626">
        <v>108.879997</v>
      </c>
      <c r="C626">
        <f t="shared" si="35"/>
        <v>-4.389209908657498E-3</v>
      </c>
      <c r="D626">
        <f t="shared" si="34"/>
        <v>-0.38829669606366751</v>
      </c>
    </row>
    <row r="627" spans="1:4" x14ac:dyDescent="0.3">
      <c r="A627" s="1">
        <v>26876</v>
      </c>
      <c r="B627">
        <v>108.639999</v>
      </c>
      <c r="C627">
        <f t="shared" si="35"/>
        <v>-2.2042432642609268E-3</v>
      </c>
      <c r="D627">
        <f t="shared" si="34"/>
        <v>-0.21350834914846889</v>
      </c>
    </row>
    <row r="628" spans="1:4" x14ac:dyDescent="0.3">
      <c r="A628" s="1">
        <v>26877</v>
      </c>
      <c r="B628">
        <v>107.129997</v>
      </c>
      <c r="C628">
        <f t="shared" si="35"/>
        <v>-1.3899134884933127E-2</v>
      </c>
      <c r="D628">
        <f t="shared" si="34"/>
        <v>-1.1490515891205535</v>
      </c>
    </row>
    <row r="629" spans="1:4" x14ac:dyDescent="0.3">
      <c r="A629" s="1">
        <v>26878</v>
      </c>
      <c r="B629">
        <v>106.980003</v>
      </c>
      <c r="C629">
        <f t="shared" si="35"/>
        <v>-1.4001120526495171E-3</v>
      </c>
      <c r="D629">
        <f t="shared" si="34"/>
        <v>-0.14918115882685601</v>
      </c>
    </row>
    <row r="630" spans="1:4" x14ac:dyDescent="0.3">
      <c r="A630" s="1">
        <v>26879</v>
      </c>
      <c r="B630">
        <v>106.82</v>
      </c>
      <c r="C630">
        <f t="shared" si="35"/>
        <v>-1.4956346561329152E-3</v>
      </c>
      <c r="D630">
        <f t="shared" si="34"/>
        <v>-0.1568225743142353</v>
      </c>
    </row>
    <row r="631" spans="1:4" x14ac:dyDescent="0.3">
      <c r="A631" s="1">
        <v>26882</v>
      </c>
      <c r="B631">
        <v>107.209999</v>
      </c>
      <c r="C631">
        <f t="shared" si="35"/>
        <v>3.6509923235349476E-3</v>
      </c>
      <c r="D631">
        <f t="shared" si="34"/>
        <v>0.25488642100259906</v>
      </c>
    </row>
    <row r="632" spans="1:4" x14ac:dyDescent="0.3">
      <c r="A632" s="1">
        <v>26883</v>
      </c>
      <c r="B632">
        <v>107.300003</v>
      </c>
      <c r="C632">
        <f t="shared" si="35"/>
        <v>8.3951124745377083E-4</v>
      </c>
      <c r="D632">
        <f t="shared" si="34"/>
        <v>2.9979495795368762E-2</v>
      </c>
    </row>
    <row r="633" spans="1:4" x14ac:dyDescent="0.3">
      <c r="A633" s="1">
        <v>26884</v>
      </c>
      <c r="B633">
        <v>106.129997</v>
      </c>
      <c r="C633">
        <f t="shared" si="35"/>
        <v>-1.0904063068851924E-2</v>
      </c>
      <c r="D633">
        <f t="shared" si="34"/>
        <v>-0.90945815964295484</v>
      </c>
    </row>
    <row r="634" spans="1:4" x14ac:dyDescent="0.3">
      <c r="A634" s="1">
        <v>26885</v>
      </c>
      <c r="B634">
        <v>106.150002</v>
      </c>
      <c r="C634">
        <f t="shared" si="35"/>
        <v>1.8849524701294024E-4</v>
      </c>
      <c r="D634">
        <f t="shared" si="34"/>
        <v>-2.2099107246108207E-2</v>
      </c>
    </row>
    <row r="635" spans="1:4" x14ac:dyDescent="0.3">
      <c r="A635" s="1">
        <v>26886</v>
      </c>
      <c r="B635">
        <v>105.32</v>
      </c>
      <c r="C635">
        <f t="shared" si="35"/>
        <v>-7.8191425752399644E-3</v>
      </c>
      <c r="D635">
        <f t="shared" si="34"/>
        <v>-0.66267720542286523</v>
      </c>
    </row>
    <row r="636" spans="1:4" x14ac:dyDescent="0.3">
      <c r="A636" s="1">
        <v>26889</v>
      </c>
      <c r="B636">
        <v>104.349998</v>
      </c>
      <c r="C636">
        <f t="shared" si="35"/>
        <v>-9.2100455753892311E-3</v>
      </c>
      <c r="D636">
        <f t="shared" si="34"/>
        <v>-0.77394372600749506</v>
      </c>
    </row>
    <row r="637" spans="1:4" x14ac:dyDescent="0.3">
      <c r="A637" s="1">
        <v>26890</v>
      </c>
      <c r="B637">
        <v>103.589996</v>
      </c>
      <c r="C637">
        <f t="shared" si="35"/>
        <v>-7.2832009062424709E-3</v>
      </c>
      <c r="D637">
        <f t="shared" si="34"/>
        <v>-0.61980407570837703</v>
      </c>
    </row>
    <row r="638" spans="1:4" x14ac:dyDescent="0.3">
      <c r="A638" s="1">
        <v>26891</v>
      </c>
      <c r="B638">
        <v>103.349998</v>
      </c>
      <c r="C638">
        <f t="shared" si="35"/>
        <v>-2.3168067310283509E-3</v>
      </c>
      <c r="D638">
        <f t="shared" si="34"/>
        <v>-0.22251296362612175</v>
      </c>
    </row>
    <row r="639" spans="1:4" x14ac:dyDescent="0.3">
      <c r="A639" s="1">
        <v>26892</v>
      </c>
      <c r="B639">
        <v>103.30999799999999</v>
      </c>
      <c r="C639">
        <f t="shared" si="35"/>
        <v>-3.8703435678834027E-4</v>
      </c>
      <c r="D639">
        <f t="shared" si="34"/>
        <v>-6.813910895833887E-2</v>
      </c>
    </row>
    <row r="640" spans="1:4" x14ac:dyDescent="0.3">
      <c r="A640" s="1">
        <v>26893</v>
      </c>
      <c r="B640">
        <v>103.709999</v>
      </c>
      <c r="C640">
        <f t="shared" si="35"/>
        <v>3.8718517834063185E-3</v>
      </c>
      <c r="D640">
        <f t="shared" si="34"/>
        <v>0.27255426961278317</v>
      </c>
    </row>
    <row r="641" spans="1:4" x14ac:dyDescent="0.3">
      <c r="A641" s="1">
        <v>26896</v>
      </c>
      <c r="B641">
        <v>102.66999800000001</v>
      </c>
      <c r="C641">
        <f t="shared" si="35"/>
        <v>-1.0027972326949781E-2</v>
      </c>
      <c r="D641">
        <f t="shared" si="34"/>
        <v>-0.83937450279743986</v>
      </c>
    </row>
    <row r="642" spans="1:4" x14ac:dyDescent="0.3">
      <c r="A642" s="1">
        <v>26897</v>
      </c>
      <c r="B642">
        <v>102.120003</v>
      </c>
      <c r="C642">
        <f t="shared" si="35"/>
        <v>-5.356920334214965E-3</v>
      </c>
      <c r="D642">
        <f t="shared" si="34"/>
        <v>-0.465709550859218</v>
      </c>
    </row>
    <row r="643" spans="1:4" x14ac:dyDescent="0.3">
      <c r="A643" s="1">
        <v>26898</v>
      </c>
      <c r="B643">
        <v>101.339996</v>
      </c>
      <c r="C643">
        <f t="shared" si="35"/>
        <v>-7.6381411778845883E-3</v>
      </c>
      <c r="D643">
        <f t="shared" ref="D643:D706" si="36">(C643-avrtn)/sdrtn</f>
        <v>-0.64819783791662833</v>
      </c>
    </row>
    <row r="644" spans="1:4" x14ac:dyDescent="0.3">
      <c r="A644" s="1">
        <v>26899</v>
      </c>
      <c r="B644">
        <v>102.529999</v>
      </c>
      <c r="C644">
        <f t="shared" ref="C644:C707" si="37">(B644-B643)/B643</f>
        <v>1.1742678576778357E-2</v>
      </c>
      <c r="D644">
        <f t="shared" si="36"/>
        <v>0.90218804804938324</v>
      </c>
    </row>
    <row r="645" spans="1:4" x14ac:dyDescent="0.3">
      <c r="A645" s="1">
        <v>26900</v>
      </c>
      <c r="B645">
        <v>102.400002</v>
      </c>
      <c r="C645">
        <f t="shared" si="37"/>
        <v>-1.2678923365638873E-3</v>
      </c>
      <c r="D645">
        <f t="shared" si="36"/>
        <v>-0.13860412523072682</v>
      </c>
    </row>
    <row r="646" spans="1:4" x14ac:dyDescent="0.3">
      <c r="A646" s="1">
        <v>26903</v>
      </c>
      <c r="B646">
        <v>102.910004</v>
      </c>
      <c r="C646">
        <f t="shared" si="37"/>
        <v>4.9804881839748405E-3</v>
      </c>
      <c r="D646">
        <f t="shared" si="36"/>
        <v>0.36124062291814624</v>
      </c>
    </row>
    <row r="647" spans="1:4" x14ac:dyDescent="0.3">
      <c r="A647" s="1">
        <v>26904</v>
      </c>
      <c r="B647">
        <v>102.989998</v>
      </c>
      <c r="C647">
        <f t="shared" si="37"/>
        <v>7.7731995812573506E-4</v>
      </c>
      <c r="D647">
        <f t="shared" si="36"/>
        <v>2.5004448381235677E-2</v>
      </c>
    </row>
    <row r="648" spans="1:4" x14ac:dyDescent="0.3">
      <c r="A648" s="1">
        <v>26905</v>
      </c>
      <c r="B648">
        <v>103.790001</v>
      </c>
      <c r="C648">
        <f t="shared" si="37"/>
        <v>7.7677737210947789E-3</v>
      </c>
      <c r="D648">
        <f t="shared" si="36"/>
        <v>0.5842120045011282</v>
      </c>
    </row>
    <row r="649" spans="1:4" x14ac:dyDescent="0.3">
      <c r="A649" s="1">
        <v>26906</v>
      </c>
      <c r="B649">
        <v>103.989998</v>
      </c>
      <c r="C649">
        <f t="shared" si="37"/>
        <v>1.9269389928996744E-3</v>
      </c>
      <c r="D649">
        <f t="shared" si="36"/>
        <v>0.11696924390143333</v>
      </c>
    </row>
    <row r="650" spans="1:4" x14ac:dyDescent="0.3">
      <c r="A650" s="1">
        <v>26907</v>
      </c>
      <c r="B650">
        <v>104.870003</v>
      </c>
      <c r="C650">
        <f t="shared" si="37"/>
        <v>8.4624003935455123E-3</v>
      </c>
      <c r="D650">
        <f t="shared" si="36"/>
        <v>0.63977928197524259</v>
      </c>
    </row>
    <row r="651" spans="1:4" x14ac:dyDescent="0.3">
      <c r="A651" s="1">
        <v>26911</v>
      </c>
      <c r="B651">
        <v>105.5</v>
      </c>
      <c r="C651">
        <f t="shared" si="37"/>
        <v>6.0074090014091358E-3</v>
      </c>
      <c r="D651">
        <f t="shared" si="36"/>
        <v>0.44339006558925681</v>
      </c>
    </row>
    <row r="652" spans="1:4" x14ac:dyDescent="0.3">
      <c r="A652" s="1">
        <v>26912</v>
      </c>
      <c r="B652">
        <v>106.029999</v>
      </c>
      <c r="C652">
        <f t="shared" si="37"/>
        <v>5.0236872037915043E-3</v>
      </c>
      <c r="D652">
        <f t="shared" si="36"/>
        <v>0.36469636686804846</v>
      </c>
    </row>
    <row r="653" spans="1:4" x14ac:dyDescent="0.3">
      <c r="A653" s="1">
        <v>26913</v>
      </c>
      <c r="B653">
        <v>106.360001</v>
      </c>
      <c r="C653">
        <f t="shared" si="37"/>
        <v>3.1123455919300088E-3</v>
      </c>
      <c r="D653">
        <f t="shared" si="36"/>
        <v>0.21179689740279906</v>
      </c>
    </row>
    <row r="654" spans="1:4" x14ac:dyDescent="0.3">
      <c r="A654" s="1">
        <v>26914</v>
      </c>
      <c r="B654">
        <v>107.019997</v>
      </c>
      <c r="C654">
        <f t="shared" si="37"/>
        <v>6.2053026870506206E-3</v>
      </c>
      <c r="D654">
        <f t="shared" si="36"/>
        <v>0.4592207466968779</v>
      </c>
    </row>
    <row r="655" spans="1:4" x14ac:dyDescent="0.3">
      <c r="A655" s="1">
        <v>26917</v>
      </c>
      <c r="B655">
        <v>106.25</v>
      </c>
      <c r="C655">
        <f t="shared" si="37"/>
        <v>-7.1948890075188808E-3</v>
      </c>
      <c r="D655">
        <f t="shared" si="36"/>
        <v>-0.61273948695118718</v>
      </c>
    </row>
    <row r="656" spans="1:4" x14ac:dyDescent="0.3">
      <c r="A656" s="1">
        <v>26918</v>
      </c>
      <c r="B656">
        <v>105.769997</v>
      </c>
      <c r="C656">
        <f t="shared" si="37"/>
        <v>-4.5176752941176136E-3</v>
      </c>
      <c r="D656">
        <f t="shared" si="36"/>
        <v>-0.39857339864765529</v>
      </c>
    </row>
    <row r="657" spans="1:4" x14ac:dyDescent="0.3">
      <c r="A657" s="1">
        <v>26919</v>
      </c>
      <c r="B657">
        <v>105.33000199999999</v>
      </c>
      <c r="C657">
        <f t="shared" si="37"/>
        <v>-4.1599225912808749E-3</v>
      </c>
      <c r="D657">
        <f t="shared" si="36"/>
        <v>-0.36995465350862039</v>
      </c>
    </row>
    <row r="658" spans="1:4" x14ac:dyDescent="0.3">
      <c r="A658" s="1">
        <v>26920</v>
      </c>
      <c r="B658">
        <v>105.599998</v>
      </c>
      <c r="C658">
        <f t="shared" si="37"/>
        <v>2.5633342340580811E-3</v>
      </c>
      <c r="D658">
        <f t="shared" si="36"/>
        <v>0.16787824632123777</v>
      </c>
    </row>
    <row r="659" spans="1:4" x14ac:dyDescent="0.3">
      <c r="A659" s="1">
        <v>26921</v>
      </c>
      <c r="B659">
        <v>106.07</v>
      </c>
      <c r="C659">
        <f t="shared" si="37"/>
        <v>4.4507765994464682E-3</v>
      </c>
      <c r="D659">
        <f t="shared" si="36"/>
        <v>0.31886587434292724</v>
      </c>
    </row>
    <row r="660" spans="1:4" x14ac:dyDescent="0.3">
      <c r="A660" s="1">
        <v>26924</v>
      </c>
      <c r="B660">
        <v>106.269997</v>
      </c>
      <c r="C660">
        <f t="shared" si="37"/>
        <v>1.8855189968889454E-3</v>
      </c>
      <c r="D660">
        <f t="shared" si="36"/>
        <v>0.11365581454061631</v>
      </c>
    </row>
    <row r="661" spans="1:4" x14ac:dyDescent="0.3">
      <c r="A661" s="1">
        <v>26925</v>
      </c>
      <c r="B661">
        <v>106.300003</v>
      </c>
      <c r="C661">
        <f t="shared" si="37"/>
        <v>2.8235627032153013E-4</v>
      </c>
      <c r="D661">
        <f t="shared" si="36"/>
        <v>-1.4590611340255053E-2</v>
      </c>
    </row>
    <row r="662" spans="1:4" x14ac:dyDescent="0.3">
      <c r="A662" s="1">
        <v>26926</v>
      </c>
      <c r="B662">
        <v>107.910004</v>
      </c>
      <c r="C662">
        <f t="shared" si="37"/>
        <v>1.5145822714605161E-2</v>
      </c>
      <c r="D662">
        <f t="shared" si="36"/>
        <v>1.1744255852632166</v>
      </c>
    </row>
    <row r="663" spans="1:4" x14ac:dyDescent="0.3">
      <c r="A663" s="1">
        <v>26927</v>
      </c>
      <c r="B663">
        <v>108.760002</v>
      </c>
      <c r="C663">
        <f t="shared" si="37"/>
        <v>7.8769156564946416E-3</v>
      </c>
      <c r="D663">
        <f t="shared" si="36"/>
        <v>0.59294291053879722</v>
      </c>
    </row>
    <row r="664" spans="1:4" x14ac:dyDescent="0.3">
      <c r="A664" s="1">
        <v>26928</v>
      </c>
      <c r="B664">
        <v>109.459999</v>
      </c>
      <c r="C664">
        <f t="shared" si="37"/>
        <v>6.4361620736269956E-3</v>
      </c>
      <c r="D664">
        <f t="shared" si="36"/>
        <v>0.47768854832351804</v>
      </c>
    </row>
    <row r="665" spans="1:4" x14ac:dyDescent="0.3">
      <c r="A665" s="1">
        <v>26931</v>
      </c>
      <c r="B665">
        <v>109.69000200000001</v>
      </c>
      <c r="C665">
        <f t="shared" si="37"/>
        <v>2.1012516179541589E-3</v>
      </c>
      <c r="D665">
        <f t="shared" si="36"/>
        <v>0.13091353712799494</v>
      </c>
    </row>
    <row r="666" spans="1:4" x14ac:dyDescent="0.3">
      <c r="A666" s="1">
        <v>26932</v>
      </c>
      <c r="B666">
        <v>109.800003</v>
      </c>
      <c r="C666">
        <f t="shared" si="37"/>
        <v>1.0028352447290219E-3</v>
      </c>
      <c r="D666">
        <f t="shared" si="36"/>
        <v>4.3044743985099131E-2</v>
      </c>
    </row>
    <row r="667" spans="1:4" x14ac:dyDescent="0.3">
      <c r="A667" s="1">
        <v>26933</v>
      </c>
      <c r="B667">
        <v>110.620003</v>
      </c>
      <c r="C667">
        <f t="shared" si="37"/>
        <v>7.4681236575193273E-3</v>
      </c>
      <c r="D667">
        <f t="shared" si="36"/>
        <v>0.56024123158351602</v>
      </c>
    </row>
    <row r="668" spans="1:4" x14ac:dyDescent="0.3">
      <c r="A668" s="1">
        <v>26934</v>
      </c>
      <c r="B668">
        <v>111.269997</v>
      </c>
      <c r="C668">
        <f t="shared" si="37"/>
        <v>5.875917396241678E-3</v>
      </c>
      <c r="D668">
        <f t="shared" si="36"/>
        <v>0.4328712778725714</v>
      </c>
    </row>
    <row r="669" spans="1:4" x14ac:dyDescent="0.3">
      <c r="A669" s="1">
        <v>26935</v>
      </c>
      <c r="B669">
        <v>111.199997</v>
      </c>
      <c r="C669">
        <f t="shared" si="37"/>
        <v>-6.291004034089027E-4</v>
      </c>
      <c r="D669">
        <f t="shared" si="36"/>
        <v>-8.7503397306452513E-2</v>
      </c>
    </row>
    <row r="670" spans="1:4" x14ac:dyDescent="0.3">
      <c r="A670" s="1">
        <v>26938</v>
      </c>
      <c r="B670">
        <v>110.970001</v>
      </c>
      <c r="C670">
        <f t="shared" si="37"/>
        <v>-2.0683094083176986E-3</v>
      </c>
      <c r="D670">
        <f t="shared" si="36"/>
        <v>-0.2026341996363662</v>
      </c>
    </row>
    <row r="671" spans="1:4" x14ac:dyDescent="0.3">
      <c r="A671" s="1">
        <v>26939</v>
      </c>
      <c r="B671">
        <v>111.760002</v>
      </c>
      <c r="C671">
        <f t="shared" si="37"/>
        <v>7.1190501295931661E-3</v>
      </c>
      <c r="D671">
        <f t="shared" si="36"/>
        <v>0.53231678474834676</v>
      </c>
    </row>
    <row r="672" spans="1:4" x14ac:dyDescent="0.3">
      <c r="A672" s="1">
        <v>26940</v>
      </c>
      <c r="B672">
        <v>112.129997</v>
      </c>
      <c r="C672">
        <f t="shared" si="37"/>
        <v>3.3106209142695162E-3</v>
      </c>
      <c r="D672">
        <f t="shared" si="36"/>
        <v>0.2276581078769625</v>
      </c>
    </row>
    <row r="673" spans="1:4" x14ac:dyDescent="0.3">
      <c r="A673" s="1">
        <v>26941</v>
      </c>
      <c r="B673">
        <v>111.510002</v>
      </c>
      <c r="C673">
        <f t="shared" si="37"/>
        <v>-5.5292519092817148E-3</v>
      </c>
      <c r="D673">
        <f t="shared" si="36"/>
        <v>-0.47949536823288708</v>
      </c>
    </row>
    <row r="674" spans="1:4" x14ac:dyDescent="0.3">
      <c r="A674" s="1">
        <v>26942</v>
      </c>
      <c r="B674">
        <v>112.55999799999999</v>
      </c>
      <c r="C674">
        <f t="shared" si="37"/>
        <v>9.416159816766868E-3</v>
      </c>
      <c r="D674">
        <f t="shared" si="36"/>
        <v>0.71607611395076864</v>
      </c>
    </row>
    <row r="675" spans="1:4" x14ac:dyDescent="0.3">
      <c r="A675" s="1">
        <v>26945</v>
      </c>
      <c r="B675">
        <v>113.16999800000001</v>
      </c>
      <c r="C675">
        <f t="shared" si="37"/>
        <v>5.4193320081616708E-3</v>
      </c>
      <c r="D675">
        <f t="shared" si="36"/>
        <v>0.39634632431650507</v>
      </c>
    </row>
    <row r="676" spans="1:4" x14ac:dyDescent="0.3">
      <c r="A676" s="1">
        <v>26946</v>
      </c>
      <c r="B676">
        <v>113.07</v>
      </c>
      <c r="C676">
        <f t="shared" si="37"/>
        <v>-8.8360874584457948E-4</v>
      </c>
      <c r="D676">
        <f t="shared" si="36"/>
        <v>-0.10786301815674923</v>
      </c>
    </row>
    <row r="677" spans="1:4" x14ac:dyDescent="0.3">
      <c r="A677" s="1">
        <v>26947</v>
      </c>
      <c r="B677">
        <v>112.16999800000001</v>
      </c>
      <c r="C677">
        <f t="shared" si="37"/>
        <v>-7.9596886884229813E-3</v>
      </c>
      <c r="D677">
        <f t="shared" si="36"/>
        <v>-0.67392031654843587</v>
      </c>
    </row>
    <row r="678" spans="1:4" x14ac:dyDescent="0.3">
      <c r="A678" s="1">
        <v>26948</v>
      </c>
      <c r="B678">
        <v>113.55999799999999</v>
      </c>
      <c r="C678">
        <f t="shared" si="37"/>
        <v>1.2391905364926424E-2</v>
      </c>
      <c r="D678">
        <f t="shared" si="36"/>
        <v>0.95412352146472412</v>
      </c>
    </row>
    <row r="679" spans="1:4" x14ac:dyDescent="0.3">
      <c r="A679" s="1">
        <v>26949</v>
      </c>
      <c r="B679">
        <v>114.099998</v>
      </c>
      <c r="C679">
        <f t="shared" si="37"/>
        <v>4.7551955751179769E-3</v>
      </c>
      <c r="D679">
        <f t="shared" si="36"/>
        <v>0.34321814061834027</v>
      </c>
    </row>
    <row r="680" spans="1:4" x14ac:dyDescent="0.3">
      <c r="A680" s="1">
        <v>26952</v>
      </c>
      <c r="B680">
        <v>113.129997</v>
      </c>
      <c r="C680">
        <f t="shared" si="37"/>
        <v>-8.5013235495411347E-3</v>
      </c>
      <c r="D680">
        <f t="shared" si="36"/>
        <v>-0.71724887822203109</v>
      </c>
    </row>
    <row r="681" spans="1:4" x14ac:dyDescent="0.3">
      <c r="A681" s="1">
        <v>26953</v>
      </c>
      <c r="B681">
        <v>113.139999</v>
      </c>
      <c r="C681">
        <f t="shared" si="37"/>
        <v>8.8411564264428169E-5</v>
      </c>
      <c r="D681">
        <f t="shared" si="36"/>
        <v>-3.0105390319426623E-2</v>
      </c>
    </row>
    <row r="682" spans="1:4" x14ac:dyDescent="0.3">
      <c r="A682" s="1">
        <v>26954</v>
      </c>
      <c r="B682">
        <v>112.660004</v>
      </c>
      <c r="C682">
        <f t="shared" si="37"/>
        <v>-4.2424872215174967E-3</v>
      </c>
      <c r="D682">
        <f t="shared" si="36"/>
        <v>-0.37655948441976195</v>
      </c>
    </row>
    <row r="683" spans="1:4" x14ac:dyDescent="0.3">
      <c r="A683" s="1">
        <v>26955</v>
      </c>
      <c r="B683">
        <v>112.82</v>
      </c>
      <c r="C683">
        <f t="shared" si="37"/>
        <v>1.4201668233563393E-3</v>
      </c>
      <c r="D683">
        <f t="shared" si="36"/>
        <v>7.6429554197579241E-2</v>
      </c>
    </row>
    <row r="684" spans="1:4" x14ac:dyDescent="0.3">
      <c r="A684" s="1">
        <v>26956</v>
      </c>
      <c r="B684">
        <v>113.25</v>
      </c>
      <c r="C684">
        <f t="shared" si="37"/>
        <v>3.8113809608226099E-3</v>
      </c>
      <c r="D684">
        <f t="shared" si="36"/>
        <v>0.26771685246359472</v>
      </c>
    </row>
    <row r="685" spans="1:4" x14ac:dyDescent="0.3">
      <c r="A685" s="1">
        <v>26959</v>
      </c>
      <c r="B685">
        <v>112.290001</v>
      </c>
      <c r="C685">
        <f t="shared" si="37"/>
        <v>-8.4768123620308725E-3</v>
      </c>
      <c r="D685">
        <f t="shared" si="36"/>
        <v>-0.71528808401181543</v>
      </c>
    </row>
    <row r="686" spans="1:4" x14ac:dyDescent="0.3">
      <c r="A686" s="1">
        <v>26960</v>
      </c>
      <c r="B686">
        <v>111.80999799999999</v>
      </c>
      <c r="C686">
        <f t="shared" si="37"/>
        <v>-4.2746726843471182E-3</v>
      </c>
      <c r="D686">
        <f t="shared" si="36"/>
        <v>-0.37913418909871771</v>
      </c>
    </row>
    <row r="687" spans="1:4" x14ac:dyDescent="0.3">
      <c r="A687" s="1">
        <v>26961</v>
      </c>
      <c r="B687">
        <v>112.129997</v>
      </c>
      <c r="C687">
        <f t="shared" si="37"/>
        <v>2.8619891398263858E-3</v>
      </c>
      <c r="D687">
        <f t="shared" si="36"/>
        <v>0.19176941070639159</v>
      </c>
    </row>
    <row r="688" spans="1:4" x14ac:dyDescent="0.3">
      <c r="A688" s="1">
        <v>26962</v>
      </c>
      <c r="B688">
        <v>112.30999799999999</v>
      </c>
      <c r="C688">
        <f t="shared" si="37"/>
        <v>1.6052885473633793E-3</v>
      </c>
      <c r="D688">
        <f t="shared" si="36"/>
        <v>9.1238530893064829E-2</v>
      </c>
    </row>
    <row r="689" spans="1:4" x14ac:dyDescent="0.3">
      <c r="A689" s="1">
        <v>26963</v>
      </c>
      <c r="B689">
        <v>112.790001</v>
      </c>
      <c r="C689">
        <f t="shared" si="37"/>
        <v>4.2739115710785664E-3</v>
      </c>
      <c r="D689">
        <f t="shared" si="36"/>
        <v>0.30471739934683734</v>
      </c>
    </row>
    <row r="690" spans="1:4" x14ac:dyDescent="0.3">
      <c r="A690" s="1">
        <v>26966</v>
      </c>
      <c r="B690">
        <v>112.089996</v>
      </c>
      <c r="C690">
        <f t="shared" si="37"/>
        <v>-6.2062682311706373E-3</v>
      </c>
      <c r="D690">
        <f t="shared" si="36"/>
        <v>-0.53365389007625075</v>
      </c>
    </row>
    <row r="691" spans="1:4" x14ac:dyDescent="0.3">
      <c r="A691" s="1">
        <v>26967</v>
      </c>
      <c r="B691">
        <v>110.629997</v>
      </c>
      <c r="C691">
        <f t="shared" si="37"/>
        <v>-1.3025239112328956E-2</v>
      </c>
      <c r="D691">
        <f t="shared" si="36"/>
        <v>-1.0791435207931086</v>
      </c>
    </row>
    <row r="692" spans="1:4" x14ac:dyDescent="0.3">
      <c r="A692" s="1">
        <v>26968</v>
      </c>
      <c r="B692">
        <v>110.16999800000001</v>
      </c>
      <c r="C692">
        <f t="shared" si="37"/>
        <v>-4.157995231618747E-3</v>
      </c>
      <c r="D692">
        <f t="shared" si="36"/>
        <v>-0.36980047266100041</v>
      </c>
    </row>
    <row r="693" spans="1:4" x14ac:dyDescent="0.3">
      <c r="A693" s="1">
        <v>26969</v>
      </c>
      <c r="B693">
        <v>109.620003</v>
      </c>
      <c r="C693">
        <f t="shared" si="37"/>
        <v>-4.9922393572160162E-3</v>
      </c>
      <c r="D693">
        <f t="shared" si="36"/>
        <v>-0.43653657227643988</v>
      </c>
    </row>
    <row r="694" spans="1:4" x14ac:dyDescent="0.3">
      <c r="A694" s="1">
        <v>26970</v>
      </c>
      <c r="B694">
        <v>108.93</v>
      </c>
      <c r="C694">
        <f t="shared" si="37"/>
        <v>-6.2944990067186016E-3</v>
      </c>
      <c r="D694">
        <f t="shared" si="36"/>
        <v>-0.54071198931297104</v>
      </c>
    </row>
    <row r="695" spans="1:4" x14ac:dyDescent="0.3">
      <c r="A695" s="1">
        <v>26973</v>
      </c>
      <c r="B695">
        <v>107.209999</v>
      </c>
      <c r="C695">
        <f t="shared" si="37"/>
        <v>-1.5789966033232447E-2</v>
      </c>
      <c r="D695">
        <f t="shared" si="36"/>
        <v>-1.3003103058403591</v>
      </c>
    </row>
    <row r="696" spans="1:4" x14ac:dyDescent="0.3">
      <c r="A696" s="1">
        <v>26974</v>
      </c>
      <c r="B696">
        <v>106.290001</v>
      </c>
      <c r="C696">
        <f t="shared" si="37"/>
        <v>-8.5812704839218646E-3</v>
      </c>
      <c r="D696">
        <f t="shared" si="36"/>
        <v>-0.72364430422873105</v>
      </c>
    </row>
    <row r="697" spans="1:4" x14ac:dyDescent="0.3">
      <c r="A697" s="1">
        <v>26975</v>
      </c>
      <c r="B697">
        <v>106.720001</v>
      </c>
      <c r="C697">
        <f t="shared" si="37"/>
        <v>4.0455357602263318E-3</v>
      </c>
      <c r="D697">
        <f t="shared" si="36"/>
        <v>0.28644827356560409</v>
      </c>
    </row>
    <row r="698" spans="1:4" x14ac:dyDescent="0.3">
      <c r="A698" s="1">
        <v>26976</v>
      </c>
      <c r="B698">
        <v>107.30999799999999</v>
      </c>
      <c r="C698">
        <f t="shared" si="37"/>
        <v>5.5284575943734936E-3</v>
      </c>
      <c r="D698">
        <f t="shared" si="36"/>
        <v>0.40507592248635915</v>
      </c>
    </row>
    <row r="699" spans="1:4" x14ac:dyDescent="0.3">
      <c r="A699" s="1">
        <v>26977</v>
      </c>
      <c r="B699">
        <v>105.769997</v>
      </c>
      <c r="C699">
        <f t="shared" si="37"/>
        <v>-1.4350955444058341E-2</v>
      </c>
      <c r="D699">
        <f t="shared" si="36"/>
        <v>-1.18519537595333</v>
      </c>
    </row>
    <row r="700" spans="1:4" x14ac:dyDescent="0.3">
      <c r="A700" s="1">
        <v>26980</v>
      </c>
      <c r="B700">
        <v>105.08000199999999</v>
      </c>
      <c r="C700">
        <f t="shared" si="37"/>
        <v>-6.5235418319999601E-3</v>
      </c>
      <c r="D700">
        <f t="shared" si="36"/>
        <v>-0.55903447350575453</v>
      </c>
    </row>
    <row r="701" spans="1:4" x14ac:dyDescent="0.3">
      <c r="A701" s="1">
        <v>26981</v>
      </c>
      <c r="B701">
        <v>104.739998</v>
      </c>
      <c r="C701">
        <f t="shared" si="37"/>
        <v>-3.2356680008437128E-3</v>
      </c>
      <c r="D701">
        <f t="shared" si="36"/>
        <v>-0.29601808683123249</v>
      </c>
    </row>
    <row r="702" spans="1:4" x14ac:dyDescent="0.3">
      <c r="A702" s="1">
        <v>26982</v>
      </c>
      <c r="B702">
        <v>101.980003</v>
      </c>
      <c r="C702">
        <f t="shared" si="37"/>
        <v>-2.6350917058447942E-2</v>
      </c>
      <c r="D702">
        <f t="shared" si="36"/>
        <v>-2.145142960967497</v>
      </c>
    </row>
    <row r="703" spans="1:4" x14ac:dyDescent="0.3">
      <c r="A703" s="1">
        <v>26983</v>
      </c>
      <c r="B703">
        <v>101.629997</v>
      </c>
      <c r="C703">
        <f t="shared" si="37"/>
        <v>-3.4321042332190695E-3</v>
      </c>
      <c r="D703">
        <f t="shared" si="36"/>
        <v>-0.31173217767064704</v>
      </c>
    </row>
    <row r="704" spans="1:4" x14ac:dyDescent="0.3">
      <c r="A704" s="1">
        <v>26984</v>
      </c>
      <c r="B704">
        <v>101.379997</v>
      </c>
      <c r="C704">
        <f t="shared" si="37"/>
        <v>-2.4599036443934954E-3</v>
      </c>
      <c r="D704">
        <f t="shared" si="36"/>
        <v>-0.23396012827730961</v>
      </c>
    </row>
    <row r="705" spans="1:4" x14ac:dyDescent="0.3">
      <c r="A705" s="1">
        <v>26987</v>
      </c>
      <c r="B705">
        <v>99</v>
      </c>
      <c r="C705">
        <f t="shared" si="37"/>
        <v>-2.3476001878358736E-2</v>
      </c>
      <c r="D705">
        <f t="shared" si="36"/>
        <v>-1.9151615682822187</v>
      </c>
    </row>
    <row r="706" spans="1:4" x14ac:dyDescent="0.3">
      <c r="A706" s="1">
        <v>26988</v>
      </c>
      <c r="B706">
        <v>96.580001999999993</v>
      </c>
      <c r="C706">
        <f t="shared" si="37"/>
        <v>-2.4444424242424309E-2</v>
      </c>
      <c r="D706">
        <f t="shared" si="36"/>
        <v>-1.9926313752309091</v>
      </c>
    </row>
    <row r="707" spans="1:4" x14ac:dyDescent="0.3">
      <c r="A707" s="1">
        <v>26989</v>
      </c>
      <c r="B707">
        <v>97.32</v>
      </c>
      <c r="C707">
        <f t="shared" si="37"/>
        <v>7.6620209637187622E-3</v>
      </c>
      <c r="D707">
        <f t="shared" ref="D707:D770" si="38">(C707-avrtn)/sdrtn</f>
        <v>0.57575221876898353</v>
      </c>
    </row>
    <row r="708" spans="1:4" x14ac:dyDescent="0.3">
      <c r="A708" s="1">
        <v>26991</v>
      </c>
      <c r="B708">
        <v>97.300003000000004</v>
      </c>
      <c r="C708">
        <f t="shared" ref="C708:C771" si="39">(B708-B707)/B707</f>
        <v>-2.0547677764066365E-4</v>
      </c>
      <c r="D708">
        <f t="shared" si="38"/>
        <v>-5.361524919575112E-2</v>
      </c>
    </row>
    <row r="709" spans="1:4" x14ac:dyDescent="0.3">
      <c r="A709" s="1">
        <v>26994</v>
      </c>
      <c r="B709">
        <v>94.129997000000003</v>
      </c>
      <c r="C709">
        <f t="shared" si="39"/>
        <v>-3.2579711225702641E-2</v>
      </c>
      <c r="D709">
        <f t="shared" si="38"/>
        <v>-2.6434208813932134</v>
      </c>
    </row>
    <row r="710" spans="1:4" x14ac:dyDescent="0.3">
      <c r="A710" s="1">
        <v>26995</v>
      </c>
      <c r="B710">
        <v>93.07</v>
      </c>
      <c r="C710">
        <f t="shared" si="39"/>
        <v>-1.1260990478943814E-2</v>
      </c>
      <c r="D710">
        <f t="shared" si="38"/>
        <v>-0.9380108847560259</v>
      </c>
    </row>
    <row r="711" spans="1:4" x14ac:dyDescent="0.3">
      <c r="A711" s="1">
        <v>26996</v>
      </c>
      <c r="B711">
        <v>94.940002000000007</v>
      </c>
      <c r="C711">
        <f t="shared" si="39"/>
        <v>2.0092425056409305E-2</v>
      </c>
      <c r="D711">
        <f t="shared" si="38"/>
        <v>1.5701334320571789</v>
      </c>
    </row>
    <row r="712" spans="1:4" x14ac:dyDescent="0.3">
      <c r="A712" s="1">
        <v>26997</v>
      </c>
      <c r="B712">
        <v>94.620002999999997</v>
      </c>
      <c r="C712">
        <f t="shared" si="39"/>
        <v>-3.3705392169678899E-3</v>
      </c>
      <c r="D712">
        <f t="shared" si="38"/>
        <v>-0.30680722952741213</v>
      </c>
    </row>
    <row r="713" spans="1:4" x14ac:dyDescent="0.3">
      <c r="A713" s="1">
        <v>26998</v>
      </c>
      <c r="B713">
        <v>93.510002</v>
      </c>
      <c r="C713">
        <f t="shared" si="39"/>
        <v>-1.1731145263227237E-2</v>
      </c>
      <c r="D713">
        <f t="shared" si="38"/>
        <v>-0.97562133421067487</v>
      </c>
    </row>
    <row r="714" spans="1:4" x14ac:dyDescent="0.3">
      <c r="A714" s="1">
        <v>27001</v>
      </c>
      <c r="B714">
        <v>91.970000999999996</v>
      </c>
      <c r="C714">
        <f t="shared" si="39"/>
        <v>-1.6468837205243603E-2</v>
      </c>
      <c r="D714">
        <f t="shared" si="38"/>
        <v>-1.3546172080663121</v>
      </c>
    </row>
    <row r="715" spans="1:4" x14ac:dyDescent="0.3">
      <c r="A715" s="1">
        <v>27002</v>
      </c>
      <c r="B715">
        <v>91.559997999999993</v>
      </c>
      <c r="C715">
        <f t="shared" si="39"/>
        <v>-4.4580079976296099E-3</v>
      </c>
      <c r="D715">
        <f t="shared" si="38"/>
        <v>-0.39380026028200421</v>
      </c>
    </row>
    <row r="716" spans="1:4" x14ac:dyDescent="0.3">
      <c r="A716" s="1">
        <v>27003</v>
      </c>
      <c r="B716">
        <v>89.730002999999996</v>
      </c>
      <c r="C716">
        <f t="shared" si="39"/>
        <v>-1.9986839667689778E-2</v>
      </c>
      <c r="D716">
        <f t="shared" si="38"/>
        <v>-1.6360429389494422</v>
      </c>
    </row>
    <row r="717" spans="1:4" x14ac:dyDescent="0.3">
      <c r="A717" s="1">
        <v>27004</v>
      </c>
      <c r="B717">
        <v>91.269997000000004</v>
      </c>
      <c r="C717">
        <f t="shared" si="39"/>
        <v>1.7162531466760424E-2</v>
      </c>
      <c r="D717">
        <f t="shared" si="38"/>
        <v>1.3357539926796973</v>
      </c>
    </row>
    <row r="718" spans="1:4" x14ac:dyDescent="0.3">
      <c r="A718" s="1">
        <v>27005</v>
      </c>
      <c r="B718">
        <v>92.32</v>
      </c>
      <c r="C718">
        <f t="shared" si="39"/>
        <v>1.1504361066210942E-2</v>
      </c>
      <c r="D718">
        <f t="shared" si="38"/>
        <v>0.8831236271714491</v>
      </c>
    </row>
    <row r="719" spans="1:4" x14ac:dyDescent="0.3">
      <c r="A719" s="1">
        <v>27008</v>
      </c>
      <c r="B719">
        <v>93.540001000000004</v>
      </c>
      <c r="C719">
        <f t="shared" si="39"/>
        <v>1.3214915511265279E-2</v>
      </c>
      <c r="D719">
        <f t="shared" si="38"/>
        <v>1.019960948933889</v>
      </c>
    </row>
    <row r="720" spans="1:4" x14ac:dyDescent="0.3">
      <c r="A720" s="1">
        <v>27009</v>
      </c>
      <c r="B720">
        <v>92.199996999999996</v>
      </c>
      <c r="C720">
        <f t="shared" si="39"/>
        <v>-1.4325464888545462E-2</v>
      </c>
      <c r="D720">
        <f t="shared" si="38"/>
        <v>-1.1831562363300905</v>
      </c>
    </row>
    <row r="721" spans="1:4" x14ac:dyDescent="0.3">
      <c r="A721" s="1">
        <v>27010</v>
      </c>
      <c r="B721">
        <v>90.809997999999993</v>
      </c>
      <c r="C721">
        <f t="shared" si="39"/>
        <v>-1.507591155344618E-2</v>
      </c>
      <c r="D721">
        <f t="shared" si="38"/>
        <v>-1.2431888836670231</v>
      </c>
    </row>
    <row r="722" spans="1:4" x14ac:dyDescent="0.3">
      <c r="A722" s="1">
        <v>27011</v>
      </c>
      <c r="B722">
        <v>89.120002999999997</v>
      </c>
      <c r="C722">
        <f t="shared" si="39"/>
        <v>-1.8610230560736234E-2</v>
      </c>
      <c r="D722">
        <f t="shared" si="38"/>
        <v>-1.5259198710436301</v>
      </c>
    </row>
    <row r="723" spans="1:4" x14ac:dyDescent="0.3">
      <c r="A723" s="1">
        <v>27012</v>
      </c>
      <c r="B723">
        <v>89.629997000000003</v>
      </c>
      <c r="C723">
        <f t="shared" si="39"/>
        <v>5.7225536673288268E-3</v>
      </c>
      <c r="D723">
        <f t="shared" si="38"/>
        <v>0.42060281019496482</v>
      </c>
    </row>
    <row r="724" spans="1:4" x14ac:dyDescent="0.3">
      <c r="A724" s="1">
        <v>27015</v>
      </c>
      <c r="B724">
        <v>89.129997000000003</v>
      </c>
      <c r="C724">
        <f t="shared" si="39"/>
        <v>-5.5784895318026174E-3</v>
      </c>
      <c r="D724">
        <f t="shared" si="38"/>
        <v>-0.48343417556824569</v>
      </c>
    </row>
    <row r="725" spans="1:4" x14ac:dyDescent="0.3">
      <c r="A725" s="1">
        <v>27016</v>
      </c>
      <c r="B725">
        <v>90.559997999999993</v>
      </c>
      <c r="C725">
        <f t="shared" si="39"/>
        <v>1.6043992461931642E-2</v>
      </c>
      <c r="D725">
        <f t="shared" si="38"/>
        <v>1.2462754717532658</v>
      </c>
    </row>
    <row r="726" spans="1:4" x14ac:dyDescent="0.3">
      <c r="A726" s="1">
        <v>27017</v>
      </c>
      <c r="B726">
        <v>90.239998</v>
      </c>
      <c r="C726">
        <f t="shared" si="39"/>
        <v>-3.5335689826317489E-3</v>
      </c>
      <c r="D726">
        <f t="shared" si="38"/>
        <v>-0.31984894039811873</v>
      </c>
    </row>
    <row r="727" spans="1:4" x14ac:dyDescent="0.3">
      <c r="A727" s="1">
        <v>27018</v>
      </c>
      <c r="B727">
        <v>90.269997000000004</v>
      </c>
      <c r="C727">
        <f t="shared" si="39"/>
        <v>3.3243573431820846E-4</v>
      </c>
      <c r="D727">
        <f t="shared" si="38"/>
        <v>-1.0584460148507209E-2</v>
      </c>
    </row>
    <row r="728" spans="1:4" x14ac:dyDescent="0.3">
      <c r="A728" s="1">
        <v>27019</v>
      </c>
      <c r="B728">
        <v>89.519997000000004</v>
      </c>
      <c r="C728">
        <f t="shared" si="39"/>
        <v>-8.308408385124904E-3</v>
      </c>
      <c r="D728">
        <f t="shared" si="38"/>
        <v>-0.70181645834062878</v>
      </c>
    </row>
    <row r="729" spans="1:4" x14ac:dyDescent="0.3">
      <c r="A729" s="1">
        <v>27022</v>
      </c>
      <c r="B729">
        <v>88.669998000000007</v>
      </c>
      <c r="C729">
        <f t="shared" si="39"/>
        <v>-9.4950740447410521E-3</v>
      </c>
      <c r="D729">
        <f t="shared" si="38"/>
        <v>-0.79674483151157149</v>
      </c>
    </row>
    <row r="730" spans="1:4" x14ac:dyDescent="0.3">
      <c r="A730" s="1">
        <v>27024</v>
      </c>
      <c r="B730">
        <v>90.190002000000007</v>
      </c>
      <c r="C730">
        <f t="shared" si="39"/>
        <v>1.7142258196509715E-2</v>
      </c>
      <c r="D730">
        <f t="shared" si="38"/>
        <v>1.3341322144238261</v>
      </c>
    </row>
    <row r="731" spans="1:4" x14ac:dyDescent="0.3">
      <c r="A731" s="1">
        <v>27025</v>
      </c>
      <c r="B731">
        <v>91.25</v>
      </c>
      <c r="C731">
        <f t="shared" si="39"/>
        <v>1.1752943524715667E-2</v>
      </c>
      <c r="D731">
        <f t="shared" si="38"/>
        <v>0.90300920167464993</v>
      </c>
    </row>
    <row r="732" spans="1:4" x14ac:dyDescent="0.3">
      <c r="A732" s="1">
        <v>27026</v>
      </c>
      <c r="B732">
        <v>91.68</v>
      </c>
      <c r="C732">
        <f t="shared" si="39"/>
        <v>4.7123287671233622E-3</v>
      </c>
      <c r="D732">
        <f t="shared" si="38"/>
        <v>0.33978897224813881</v>
      </c>
    </row>
    <row r="733" spans="1:4" x14ac:dyDescent="0.3">
      <c r="A733" s="1">
        <v>27029</v>
      </c>
      <c r="B733">
        <v>92.190002000000007</v>
      </c>
      <c r="C733">
        <f t="shared" si="39"/>
        <v>5.5628490401396164E-3</v>
      </c>
      <c r="D733">
        <f t="shared" si="38"/>
        <v>0.407827096729179</v>
      </c>
    </row>
    <row r="734" spans="1:4" x14ac:dyDescent="0.3">
      <c r="A734" s="1">
        <v>27031</v>
      </c>
      <c r="B734">
        <v>92.529999000000004</v>
      </c>
      <c r="C734">
        <f t="shared" si="39"/>
        <v>3.6880029571969937E-3</v>
      </c>
      <c r="D734">
        <f t="shared" si="38"/>
        <v>0.25784711950692779</v>
      </c>
    </row>
    <row r="735" spans="1:4" x14ac:dyDescent="0.3">
      <c r="A735" s="1">
        <v>27032</v>
      </c>
      <c r="B735">
        <v>94.18</v>
      </c>
      <c r="C735">
        <f t="shared" si="39"/>
        <v>1.7832065468843278E-2</v>
      </c>
      <c r="D735">
        <f t="shared" si="38"/>
        <v>1.3893139597060584</v>
      </c>
    </row>
    <row r="736" spans="1:4" x14ac:dyDescent="0.3">
      <c r="A736" s="1">
        <v>27033</v>
      </c>
      <c r="B736">
        <v>94.099997999999999</v>
      </c>
      <c r="C736">
        <f t="shared" si="39"/>
        <v>-8.4945848375459171E-4</v>
      </c>
      <c r="D736">
        <f t="shared" si="38"/>
        <v>-0.105131137616267</v>
      </c>
    </row>
    <row r="737" spans="1:4" x14ac:dyDescent="0.3">
      <c r="A737" s="1">
        <v>27036</v>
      </c>
      <c r="B737">
        <v>94.470000999999996</v>
      </c>
      <c r="C737">
        <f t="shared" si="39"/>
        <v>3.9320192121576553E-3</v>
      </c>
      <c r="D737">
        <f t="shared" si="38"/>
        <v>0.27736741650294477</v>
      </c>
    </row>
    <row r="738" spans="1:4" x14ac:dyDescent="0.3">
      <c r="A738" s="1">
        <v>27037</v>
      </c>
      <c r="B738">
        <v>94.019997000000004</v>
      </c>
      <c r="C738">
        <f t="shared" si="39"/>
        <v>-4.763459248825379E-3</v>
      </c>
      <c r="D738">
        <f t="shared" si="38"/>
        <v>-0.41823510435461581</v>
      </c>
    </row>
    <row r="739" spans="1:4" x14ac:dyDescent="0.3">
      <c r="A739" s="1">
        <v>27038</v>
      </c>
      <c r="B739">
        <v>92.199996999999996</v>
      </c>
      <c r="C739">
        <f t="shared" si="39"/>
        <v>-1.9357584110537753E-2</v>
      </c>
      <c r="D739">
        <f t="shared" si="38"/>
        <v>-1.5857050818915921</v>
      </c>
    </row>
    <row r="740" spans="1:4" x14ac:dyDescent="0.3">
      <c r="A740" s="1">
        <v>27039</v>
      </c>
      <c r="B740">
        <v>91.419998000000007</v>
      </c>
      <c r="C740">
        <f t="shared" si="39"/>
        <v>-8.4598592774356544E-3</v>
      </c>
      <c r="D740">
        <f t="shared" si="38"/>
        <v>-0.71393190695569841</v>
      </c>
    </row>
    <row r="741" spans="1:4" x14ac:dyDescent="0.3">
      <c r="A741" s="1">
        <v>27040</v>
      </c>
      <c r="B741">
        <v>92.230002999999996</v>
      </c>
      <c r="C741">
        <f t="shared" si="39"/>
        <v>8.860260530742842E-3</v>
      </c>
      <c r="D741">
        <f t="shared" si="38"/>
        <v>0.67160645694036925</v>
      </c>
    </row>
    <row r="742" spans="1:4" x14ac:dyDescent="0.3">
      <c r="A742" s="1">
        <v>27043</v>
      </c>
      <c r="B742">
        <v>92.400002000000001</v>
      </c>
      <c r="C742">
        <f t="shared" si="39"/>
        <v>1.8432071394381742E-3</v>
      </c>
      <c r="D742">
        <f t="shared" si="38"/>
        <v>0.11027103993195207</v>
      </c>
    </row>
    <row r="743" spans="1:4" x14ac:dyDescent="0.3">
      <c r="A743" s="1">
        <v>27044</v>
      </c>
      <c r="B743">
        <v>93.07</v>
      </c>
      <c r="C743">
        <f t="shared" si="39"/>
        <v>7.2510604491111651E-3</v>
      </c>
      <c r="D743">
        <f t="shared" si="38"/>
        <v>0.54287706748010933</v>
      </c>
    </row>
    <row r="744" spans="1:4" x14ac:dyDescent="0.3">
      <c r="A744" s="1">
        <v>27045</v>
      </c>
      <c r="B744">
        <v>94.489998</v>
      </c>
      <c r="C744">
        <f t="shared" si="39"/>
        <v>1.5257311700870387E-2</v>
      </c>
      <c r="D744">
        <f t="shared" si="38"/>
        <v>1.1833442457189838</v>
      </c>
    </row>
    <row r="745" spans="1:4" x14ac:dyDescent="0.3">
      <c r="A745" s="1">
        <v>27046</v>
      </c>
      <c r="B745">
        <v>95.949996999999996</v>
      </c>
      <c r="C745">
        <f t="shared" si="39"/>
        <v>1.5451360259315448E-2</v>
      </c>
      <c r="D745">
        <f t="shared" si="38"/>
        <v>1.1988673324621486</v>
      </c>
    </row>
    <row r="746" spans="1:4" x14ac:dyDescent="0.3">
      <c r="A746" s="1">
        <v>27047</v>
      </c>
      <c r="B746">
        <v>95.32</v>
      </c>
      <c r="C746">
        <f t="shared" si="39"/>
        <v>-6.5658886888761763E-3</v>
      </c>
      <c r="D746">
        <f t="shared" si="38"/>
        <v>-0.56242204792453587</v>
      </c>
    </row>
    <row r="747" spans="1:4" x14ac:dyDescent="0.3">
      <c r="A747" s="1">
        <v>27050</v>
      </c>
      <c r="B747">
        <v>94.480002999999996</v>
      </c>
      <c r="C747">
        <f t="shared" si="39"/>
        <v>-8.8123898447334953E-3</v>
      </c>
      <c r="D747">
        <f t="shared" si="38"/>
        <v>-0.74213290272517118</v>
      </c>
    </row>
    <row r="748" spans="1:4" x14ac:dyDescent="0.3">
      <c r="A748" s="1">
        <v>27051</v>
      </c>
      <c r="B748">
        <v>95.290001000000004</v>
      </c>
      <c r="C748">
        <f t="shared" si="39"/>
        <v>8.5732215736700115E-3</v>
      </c>
      <c r="D748">
        <f t="shared" si="38"/>
        <v>0.64864452068578693</v>
      </c>
    </row>
    <row r="749" spans="1:4" x14ac:dyDescent="0.3">
      <c r="A749" s="1">
        <v>27052</v>
      </c>
      <c r="B749">
        <v>95.760002</v>
      </c>
      <c r="C749">
        <f t="shared" si="39"/>
        <v>4.9323223325393427E-3</v>
      </c>
      <c r="D749">
        <f t="shared" si="38"/>
        <v>0.35738755286247098</v>
      </c>
    </row>
    <row r="750" spans="1:4" x14ac:dyDescent="0.3">
      <c r="A750" s="1">
        <v>27053</v>
      </c>
      <c r="B750">
        <v>95.610000999999997</v>
      </c>
      <c r="C750">
        <f t="shared" si="39"/>
        <v>-1.5664264501582107E-3</v>
      </c>
      <c r="D750">
        <f t="shared" si="38"/>
        <v>-0.16248562673866254</v>
      </c>
    </row>
    <row r="751" spans="1:4" x14ac:dyDescent="0.3">
      <c r="A751" s="1">
        <v>27054</v>
      </c>
      <c r="B751">
        <v>95.400002000000001</v>
      </c>
      <c r="C751">
        <f t="shared" si="39"/>
        <v>-2.1964124861791005E-3</v>
      </c>
      <c r="D751">
        <f t="shared" si="38"/>
        <v>-0.21288191910227466</v>
      </c>
    </row>
    <row r="752" spans="1:4" x14ac:dyDescent="0.3">
      <c r="A752" s="1">
        <v>27057</v>
      </c>
      <c r="B752">
        <v>95.019997000000004</v>
      </c>
      <c r="C752">
        <f t="shared" si="39"/>
        <v>-3.9832808389248988E-3</v>
      </c>
      <c r="D752">
        <f t="shared" si="38"/>
        <v>-0.35582403967536813</v>
      </c>
    </row>
    <row r="753" spans="1:4" x14ac:dyDescent="0.3">
      <c r="A753" s="1">
        <v>27058</v>
      </c>
      <c r="B753">
        <v>94.559997999999993</v>
      </c>
      <c r="C753">
        <f t="shared" si="39"/>
        <v>-4.8410757158833676E-3</v>
      </c>
      <c r="D753">
        <f t="shared" si="38"/>
        <v>-0.42444410255843529</v>
      </c>
    </row>
    <row r="754" spans="1:4" x14ac:dyDescent="0.3">
      <c r="A754" s="1">
        <v>27059</v>
      </c>
      <c r="B754">
        <v>95.169998000000007</v>
      </c>
      <c r="C754">
        <f t="shared" si="39"/>
        <v>6.4509307624986802E-3</v>
      </c>
      <c r="D754">
        <f t="shared" si="38"/>
        <v>0.4788699827040413</v>
      </c>
    </row>
    <row r="755" spans="1:4" x14ac:dyDescent="0.3">
      <c r="A755" s="1">
        <v>27060</v>
      </c>
      <c r="B755">
        <v>94.93</v>
      </c>
      <c r="C755">
        <f t="shared" si="39"/>
        <v>-2.5217821271783561E-3</v>
      </c>
      <c r="D755">
        <f t="shared" si="38"/>
        <v>-0.2389101524542569</v>
      </c>
    </row>
    <row r="756" spans="1:4" x14ac:dyDescent="0.3">
      <c r="A756" s="1">
        <v>27061</v>
      </c>
      <c r="B756">
        <v>94.150002000000001</v>
      </c>
      <c r="C756">
        <f t="shared" si="39"/>
        <v>-8.216559570209692E-3</v>
      </c>
      <c r="D756">
        <f t="shared" si="38"/>
        <v>-0.69446893083199546</v>
      </c>
    </row>
    <row r="757" spans="1:4" x14ac:dyDescent="0.3">
      <c r="A757" s="1">
        <v>27064</v>
      </c>
      <c r="B757">
        <v>92.889999000000003</v>
      </c>
      <c r="C757">
        <f t="shared" si="39"/>
        <v>-1.3382931208009933E-2</v>
      </c>
      <c r="D757">
        <f t="shared" si="38"/>
        <v>-1.1077574176089007</v>
      </c>
    </row>
    <row r="758" spans="1:4" x14ac:dyDescent="0.3">
      <c r="A758" s="1">
        <v>27065</v>
      </c>
      <c r="B758">
        <v>92.459998999999996</v>
      </c>
      <c r="C758">
        <f t="shared" si="39"/>
        <v>-4.6291312803222965E-3</v>
      </c>
      <c r="D758">
        <f t="shared" si="38"/>
        <v>-0.40748941923427617</v>
      </c>
    </row>
    <row r="759" spans="1:4" x14ac:dyDescent="0.3">
      <c r="A759" s="1">
        <v>27066</v>
      </c>
      <c r="B759">
        <v>92.739998</v>
      </c>
      <c r="C759">
        <f t="shared" si="39"/>
        <v>3.0283257952447486E-3</v>
      </c>
      <c r="D759">
        <f t="shared" si="38"/>
        <v>0.20507565915944659</v>
      </c>
    </row>
    <row r="760" spans="1:4" x14ac:dyDescent="0.3">
      <c r="A760" s="1">
        <v>27067</v>
      </c>
      <c r="B760">
        <v>92.809997999999993</v>
      </c>
      <c r="C760">
        <f t="shared" si="39"/>
        <v>7.5479837728693053E-4</v>
      </c>
      <c r="D760">
        <f t="shared" si="38"/>
        <v>2.3202814523425087E-2</v>
      </c>
    </row>
    <row r="761" spans="1:4" x14ac:dyDescent="0.3">
      <c r="A761" s="1">
        <v>27068</v>
      </c>
      <c r="B761">
        <v>92.199996999999996</v>
      </c>
      <c r="C761">
        <f t="shared" si="39"/>
        <v>-6.5725785275848941E-3</v>
      </c>
      <c r="D761">
        <f t="shared" si="38"/>
        <v>-0.56295720751245215</v>
      </c>
    </row>
    <row r="762" spans="1:4" x14ac:dyDescent="0.3">
      <c r="A762" s="1">
        <v>27071</v>
      </c>
      <c r="B762">
        <v>91.129997000000003</v>
      </c>
      <c r="C762">
        <f t="shared" si="39"/>
        <v>-1.1605206451362392E-2</v>
      </c>
      <c r="D762">
        <f t="shared" si="38"/>
        <v>-0.96554674712497601</v>
      </c>
    </row>
    <row r="763" spans="1:4" x14ac:dyDescent="0.3">
      <c r="A763" s="1">
        <v>27072</v>
      </c>
      <c r="B763">
        <v>90.5</v>
      </c>
      <c r="C763">
        <f t="shared" si="39"/>
        <v>-6.9131682293372947E-3</v>
      </c>
      <c r="D763">
        <f t="shared" si="38"/>
        <v>-0.5902029831394221</v>
      </c>
    </row>
    <row r="764" spans="1:4" x14ac:dyDescent="0.3">
      <c r="A764" s="1">
        <v>27073</v>
      </c>
      <c r="B764">
        <v>90.080001999999993</v>
      </c>
      <c r="C764">
        <f t="shared" si="39"/>
        <v>-4.6408618784531137E-3</v>
      </c>
      <c r="D764">
        <f t="shared" si="38"/>
        <v>-0.40842781884823376</v>
      </c>
    </row>
    <row r="765" spans="1:4" x14ac:dyDescent="0.3">
      <c r="A765" s="1">
        <v>27074</v>
      </c>
      <c r="B765">
        <v>90.209998999999996</v>
      </c>
      <c r="C765">
        <f t="shared" si="39"/>
        <v>1.4431282983319988E-3</v>
      </c>
      <c r="D765">
        <f t="shared" si="38"/>
        <v>7.8266377777482729E-2</v>
      </c>
    </row>
    <row r="766" spans="1:4" x14ac:dyDescent="0.3">
      <c r="A766" s="1">
        <v>27075</v>
      </c>
      <c r="B766">
        <v>90.980002999999996</v>
      </c>
      <c r="C766">
        <f t="shared" si="39"/>
        <v>8.5356835000075792E-3</v>
      </c>
      <c r="D766">
        <f t="shared" si="38"/>
        <v>0.64564162915027357</v>
      </c>
    </row>
    <row r="767" spans="1:4" x14ac:dyDescent="0.3">
      <c r="A767" s="1">
        <v>27079</v>
      </c>
      <c r="B767">
        <v>90.82</v>
      </c>
      <c r="C767">
        <f t="shared" si="39"/>
        <v>-1.7586611862389499E-3</v>
      </c>
      <c r="D767">
        <f t="shared" si="38"/>
        <v>-0.17786361515116364</v>
      </c>
    </row>
    <row r="768" spans="1:4" x14ac:dyDescent="0.3">
      <c r="A768" s="1">
        <v>27080</v>
      </c>
      <c r="B768">
        <v>91.559997999999993</v>
      </c>
      <c r="C768">
        <f t="shared" si="39"/>
        <v>8.147963003743668E-3</v>
      </c>
      <c r="D768">
        <f t="shared" si="38"/>
        <v>0.61462558376536769</v>
      </c>
    </row>
    <row r="769" spans="1:4" x14ac:dyDescent="0.3">
      <c r="A769" s="1">
        <v>27081</v>
      </c>
      <c r="B769">
        <v>92.169998000000007</v>
      </c>
      <c r="C769">
        <f t="shared" si="39"/>
        <v>6.6622980922303393E-3</v>
      </c>
      <c r="D769">
        <f t="shared" si="38"/>
        <v>0.49577849993492079</v>
      </c>
    </row>
    <row r="770" spans="1:4" x14ac:dyDescent="0.3">
      <c r="A770" s="1">
        <v>27082</v>
      </c>
      <c r="B770">
        <v>92.93</v>
      </c>
      <c r="C770">
        <f t="shared" si="39"/>
        <v>8.2456549472855589E-3</v>
      </c>
      <c r="D770">
        <f t="shared" si="38"/>
        <v>0.62244053753704676</v>
      </c>
    </row>
    <row r="771" spans="1:4" x14ac:dyDescent="0.3">
      <c r="A771" s="1">
        <v>27085</v>
      </c>
      <c r="B771">
        <v>92.720000999999996</v>
      </c>
      <c r="C771">
        <f t="shared" si="39"/>
        <v>-2.2597546540407882E-3</v>
      </c>
      <c r="D771">
        <f t="shared" ref="D771:D834" si="40">(C771-avrtn)/sdrtn</f>
        <v>-0.21794903206665908</v>
      </c>
    </row>
    <row r="772" spans="1:4" x14ac:dyDescent="0.3">
      <c r="A772" s="1">
        <v>27086</v>
      </c>
      <c r="B772">
        <v>93.110000999999997</v>
      </c>
      <c r="C772">
        <f t="shared" ref="C772:C835" si="41">(B772-B771)/B771</f>
        <v>4.2062122065766646E-3</v>
      </c>
      <c r="D772">
        <f t="shared" si="40"/>
        <v>0.29930172856813542</v>
      </c>
    </row>
    <row r="773" spans="1:4" x14ac:dyDescent="0.3">
      <c r="A773" s="1">
        <v>27087</v>
      </c>
      <c r="B773">
        <v>94.059997999999993</v>
      </c>
      <c r="C773">
        <f t="shared" si="41"/>
        <v>1.0202953386285499E-2</v>
      </c>
      <c r="D773">
        <f t="shared" si="40"/>
        <v>0.77901636419776943</v>
      </c>
    </row>
    <row r="774" spans="1:4" x14ac:dyDescent="0.3">
      <c r="A774" s="1">
        <v>27088</v>
      </c>
      <c r="B774">
        <v>94.349997999999999</v>
      </c>
      <c r="C774">
        <f t="shared" si="41"/>
        <v>3.0831384878405618E-3</v>
      </c>
      <c r="D774">
        <f t="shared" si="40"/>
        <v>0.20946044917597292</v>
      </c>
    </row>
    <row r="775" spans="1:4" x14ac:dyDescent="0.3">
      <c r="A775" s="1">
        <v>27089</v>
      </c>
      <c r="B775">
        <v>94.050003000000004</v>
      </c>
      <c r="C775">
        <f t="shared" si="41"/>
        <v>-3.1795973117031287E-3</v>
      </c>
      <c r="D775">
        <f t="shared" si="40"/>
        <v>-0.29153266226403718</v>
      </c>
    </row>
    <row r="776" spans="1:4" x14ac:dyDescent="0.3">
      <c r="A776" s="1">
        <v>27092</v>
      </c>
      <c r="B776">
        <v>93.800003000000004</v>
      </c>
      <c r="C776">
        <f t="shared" si="41"/>
        <v>-2.6581604681075871E-3</v>
      </c>
      <c r="D776">
        <f t="shared" si="40"/>
        <v>-0.24981985893750661</v>
      </c>
    </row>
    <row r="777" spans="1:4" x14ac:dyDescent="0.3">
      <c r="A777" s="1">
        <v>27093</v>
      </c>
      <c r="B777">
        <v>94.709998999999996</v>
      </c>
      <c r="C777">
        <f t="shared" si="41"/>
        <v>9.7014495831092076E-3</v>
      </c>
      <c r="D777">
        <f t="shared" si="40"/>
        <v>0.73889812213962691</v>
      </c>
    </row>
    <row r="778" spans="1:4" x14ac:dyDescent="0.3">
      <c r="A778" s="1">
        <v>27094</v>
      </c>
      <c r="B778">
        <v>95.120002999999997</v>
      </c>
      <c r="C778">
        <f t="shared" si="41"/>
        <v>4.3290466089013551E-3</v>
      </c>
      <c r="D778">
        <f t="shared" si="40"/>
        <v>0.30912797565603023</v>
      </c>
    </row>
    <row r="779" spans="1:4" x14ac:dyDescent="0.3">
      <c r="A779" s="1">
        <v>27095</v>
      </c>
      <c r="B779">
        <v>94.529999000000004</v>
      </c>
      <c r="C779">
        <f t="shared" si="41"/>
        <v>-6.2027331937741141E-3</v>
      </c>
      <c r="D779">
        <f t="shared" si="40"/>
        <v>-0.53337110162068957</v>
      </c>
    </row>
    <row r="780" spans="1:4" x14ac:dyDescent="0.3">
      <c r="A780" s="1">
        <v>27096</v>
      </c>
      <c r="B780">
        <v>95.169998000000007</v>
      </c>
      <c r="C780">
        <f t="shared" si="41"/>
        <v>6.7703269519764102E-3</v>
      </c>
      <c r="D780">
        <f t="shared" si="40"/>
        <v>0.50442036449728089</v>
      </c>
    </row>
    <row r="781" spans="1:4" x14ac:dyDescent="0.3">
      <c r="A781" s="1">
        <v>27099</v>
      </c>
      <c r="B781">
        <v>95.870002999999997</v>
      </c>
      <c r="C781">
        <f t="shared" si="41"/>
        <v>7.3553117023286074E-3</v>
      </c>
      <c r="D781">
        <f t="shared" si="40"/>
        <v>0.55121673905378998</v>
      </c>
    </row>
    <row r="782" spans="1:4" x14ac:dyDescent="0.3">
      <c r="A782" s="1">
        <v>27100</v>
      </c>
      <c r="B782">
        <v>95.800003000000004</v>
      </c>
      <c r="C782">
        <f t="shared" si="41"/>
        <v>-7.30155395947919E-4</v>
      </c>
      <c r="D782">
        <f t="shared" si="40"/>
        <v>-9.5587381168961552E-2</v>
      </c>
    </row>
    <row r="783" spans="1:4" x14ac:dyDescent="0.3">
      <c r="A783" s="1">
        <v>27101</v>
      </c>
      <c r="B783">
        <v>96.330001999999993</v>
      </c>
      <c r="C783">
        <f t="shared" si="41"/>
        <v>5.5323484697593324E-3</v>
      </c>
      <c r="D783">
        <f t="shared" si="40"/>
        <v>0.40538717651785106</v>
      </c>
    </row>
    <row r="784" spans="1:4" x14ac:dyDescent="0.3">
      <c r="A784" s="1">
        <v>27102</v>
      </c>
      <c r="B784">
        <v>96.510002</v>
      </c>
      <c r="C784">
        <f t="shared" si="41"/>
        <v>1.8685767285669405E-3</v>
      </c>
      <c r="D784">
        <f t="shared" si="40"/>
        <v>0.11230050274187954</v>
      </c>
    </row>
    <row r="785" spans="1:4" x14ac:dyDescent="0.3">
      <c r="A785" s="1">
        <v>27103</v>
      </c>
      <c r="B785">
        <v>96.529999000000004</v>
      </c>
      <c r="C785">
        <f t="shared" si="41"/>
        <v>2.0720132199358564E-4</v>
      </c>
      <c r="D785">
        <f t="shared" si="40"/>
        <v>-2.0602698167496505E-2</v>
      </c>
    </row>
    <row r="786" spans="1:4" x14ac:dyDescent="0.3">
      <c r="A786" s="1">
        <v>27106</v>
      </c>
      <c r="B786">
        <v>95.370002999999997</v>
      </c>
      <c r="C786">
        <f t="shared" si="41"/>
        <v>-1.2016948223525897E-2</v>
      </c>
      <c r="D786">
        <f t="shared" si="40"/>
        <v>-0.99848439580577264</v>
      </c>
    </row>
    <row r="787" spans="1:4" x14ac:dyDescent="0.3">
      <c r="A787" s="1">
        <v>27107</v>
      </c>
      <c r="B787">
        <v>94.75</v>
      </c>
      <c r="C787">
        <f t="shared" si="41"/>
        <v>-6.5010273723069608E-3</v>
      </c>
      <c r="D787">
        <f t="shared" si="40"/>
        <v>-0.55723340931032594</v>
      </c>
    </row>
    <row r="788" spans="1:4" x14ac:dyDescent="0.3">
      <c r="A788" s="1">
        <v>27108</v>
      </c>
      <c r="B788">
        <v>94.949996999999996</v>
      </c>
      <c r="C788">
        <f t="shared" si="41"/>
        <v>2.1107862796833372E-3</v>
      </c>
      <c r="D788">
        <f t="shared" si="40"/>
        <v>0.13167627085956593</v>
      </c>
    </row>
    <row r="789" spans="1:4" x14ac:dyDescent="0.3">
      <c r="A789" s="1">
        <v>27109</v>
      </c>
      <c r="B789">
        <v>95.360000999999997</v>
      </c>
      <c r="C789">
        <f t="shared" si="41"/>
        <v>4.3181044018358499E-3</v>
      </c>
      <c r="D789">
        <f t="shared" si="40"/>
        <v>0.30825264408541414</v>
      </c>
    </row>
    <row r="790" spans="1:4" x14ac:dyDescent="0.3">
      <c r="A790" s="1">
        <v>27110</v>
      </c>
      <c r="B790">
        <v>95.449996999999996</v>
      </c>
      <c r="C790">
        <f t="shared" si="41"/>
        <v>9.4374999010328562E-4</v>
      </c>
      <c r="D790">
        <f t="shared" si="40"/>
        <v>3.8318166575058994E-2</v>
      </c>
    </row>
    <row r="791" spans="1:4" x14ac:dyDescent="0.3">
      <c r="A791" s="1">
        <v>27113</v>
      </c>
      <c r="B791">
        <v>95.349997999999999</v>
      </c>
      <c r="C791">
        <f t="shared" si="41"/>
        <v>-1.047658492854608E-3</v>
      </c>
      <c r="D791">
        <f t="shared" si="40"/>
        <v>-0.12098632334096103</v>
      </c>
    </row>
    <row r="792" spans="1:4" x14ac:dyDescent="0.3">
      <c r="A792" s="1">
        <v>27114</v>
      </c>
      <c r="B792">
        <v>95.269997000000004</v>
      </c>
      <c r="C792">
        <f t="shared" si="41"/>
        <v>-8.3902466363969686E-4</v>
      </c>
      <c r="D792">
        <f t="shared" si="40"/>
        <v>-0.10429647491120007</v>
      </c>
    </row>
    <row r="793" spans="1:4" x14ac:dyDescent="0.3">
      <c r="A793" s="1">
        <v>27115</v>
      </c>
      <c r="B793">
        <v>94.209998999999996</v>
      </c>
      <c r="C793">
        <f t="shared" si="41"/>
        <v>-1.1126252056038243E-2</v>
      </c>
      <c r="D793">
        <f t="shared" si="40"/>
        <v>-0.92723236497128581</v>
      </c>
    </row>
    <row r="794" spans="1:4" x14ac:dyDescent="0.3">
      <c r="A794" s="1">
        <v>27116</v>
      </c>
      <c r="B794">
        <v>92.870002999999997</v>
      </c>
      <c r="C794">
        <f t="shared" si="41"/>
        <v>-1.4223500840924533E-2</v>
      </c>
      <c r="D794">
        <f t="shared" si="40"/>
        <v>-1.1749995317990851</v>
      </c>
    </row>
    <row r="795" spans="1:4" x14ac:dyDescent="0.3">
      <c r="A795" s="1">
        <v>27117</v>
      </c>
      <c r="B795">
        <v>92.269997000000004</v>
      </c>
      <c r="C795">
        <f t="shared" si="41"/>
        <v>-6.4607083085804727E-3</v>
      </c>
      <c r="D795">
        <f t="shared" si="40"/>
        <v>-0.5540080500051876</v>
      </c>
    </row>
    <row r="796" spans="1:4" x14ac:dyDescent="0.3">
      <c r="A796" s="1">
        <v>27120</v>
      </c>
      <c r="B796">
        <v>91.900002000000001</v>
      </c>
      <c r="C796">
        <f t="shared" si="41"/>
        <v>-4.009916679633174E-3</v>
      </c>
      <c r="D796">
        <f t="shared" si="40"/>
        <v>-0.35795479740479869</v>
      </c>
    </row>
    <row r="797" spans="1:4" x14ac:dyDescent="0.3">
      <c r="A797" s="1">
        <v>27121</v>
      </c>
      <c r="B797">
        <v>92.029999000000004</v>
      </c>
      <c r="C797">
        <f t="shared" si="41"/>
        <v>1.4145483914135609E-3</v>
      </c>
      <c r="D797">
        <f t="shared" si="40"/>
        <v>7.5980102745287173E-2</v>
      </c>
    </row>
    <row r="798" spans="1:4" x14ac:dyDescent="0.3">
      <c r="A798" s="1">
        <v>27122</v>
      </c>
      <c r="B798">
        <v>92.129997000000003</v>
      </c>
      <c r="C798">
        <f t="shared" si="41"/>
        <v>1.0865804746993354E-3</v>
      </c>
      <c r="D798">
        <f t="shared" si="40"/>
        <v>4.9744018020280924E-2</v>
      </c>
    </row>
    <row r="799" spans="1:4" x14ac:dyDescent="0.3">
      <c r="A799" s="1">
        <v>27123</v>
      </c>
      <c r="B799">
        <v>91.879997000000003</v>
      </c>
      <c r="C799">
        <f t="shared" si="41"/>
        <v>-2.7135570187850977E-3</v>
      </c>
      <c r="D799">
        <f t="shared" si="40"/>
        <v>-0.25425135519972997</v>
      </c>
    </row>
    <row r="800" spans="1:4" x14ac:dyDescent="0.3">
      <c r="A800" s="1">
        <v>27124</v>
      </c>
      <c r="B800">
        <v>90.699996999999996</v>
      </c>
      <c r="C800">
        <f t="shared" si="41"/>
        <v>-1.2842838904315666E-2</v>
      </c>
      <c r="D800">
        <f t="shared" si="40"/>
        <v>-1.0645522541861825</v>
      </c>
    </row>
    <row r="801" spans="1:4" x14ac:dyDescent="0.3">
      <c r="A801" s="1">
        <v>27127</v>
      </c>
      <c r="B801">
        <v>89.919998000000007</v>
      </c>
      <c r="C801">
        <f t="shared" si="41"/>
        <v>-8.5997687519216732E-3</v>
      </c>
      <c r="D801">
        <f t="shared" si="40"/>
        <v>-0.72512408960338315</v>
      </c>
    </row>
    <row r="802" spans="1:4" x14ac:dyDescent="0.3">
      <c r="A802" s="1">
        <v>27128</v>
      </c>
      <c r="B802">
        <v>90.18</v>
      </c>
      <c r="C802">
        <f t="shared" si="41"/>
        <v>2.8914813810382873E-3</v>
      </c>
      <c r="D802">
        <f t="shared" si="40"/>
        <v>0.1941286687305232</v>
      </c>
    </row>
    <row r="803" spans="1:4" x14ac:dyDescent="0.3">
      <c r="A803" s="1">
        <v>27129</v>
      </c>
      <c r="B803">
        <v>89.870002999999997</v>
      </c>
      <c r="C803">
        <f t="shared" si="41"/>
        <v>-3.437536039033154E-3</v>
      </c>
      <c r="D803">
        <f t="shared" si="40"/>
        <v>-0.31216669980005479</v>
      </c>
    </row>
    <row r="804" spans="1:4" x14ac:dyDescent="0.3">
      <c r="A804" s="1">
        <v>27130</v>
      </c>
      <c r="B804">
        <v>89.790001000000004</v>
      </c>
      <c r="C804">
        <f t="shared" si="41"/>
        <v>-8.9019692143543435E-4</v>
      </c>
      <c r="D804">
        <f t="shared" si="40"/>
        <v>-0.10839004511327771</v>
      </c>
    </row>
    <row r="805" spans="1:4" x14ac:dyDescent="0.3">
      <c r="A805" s="1">
        <v>27134</v>
      </c>
      <c r="B805">
        <v>89.419998000000007</v>
      </c>
      <c r="C805">
        <f t="shared" si="41"/>
        <v>-4.1207595041679191E-3</v>
      </c>
      <c r="D805">
        <f t="shared" si="40"/>
        <v>-0.36682176757916035</v>
      </c>
    </row>
    <row r="806" spans="1:4" x14ac:dyDescent="0.3">
      <c r="A806" s="1">
        <v>27135</v>
      </c>
      <c r="B806">
        <v>90.330001999999993</v>
      </c>
      <c r="C806">
        <f t="shared" si="41"/>
        <v>1.0176739212183683E-2</v>
      </c>
      <c r="D806">
        <f t="shared" si="40"/>
        <v>0.77691933806295221</v>
      </c>
    </row>
    <row r="807" spans="1:4" x14ac:dyDescent="0.3">
      <c r="A807" s="1">
        <v>27136</v>
      </c>
      <c r="B807">
        <v>90.720000999999996</v>
      </c>
      <c r="C807">
        <f t="shared" si="41"/>
        <v>4.3174913247539075E-3</v>
      </c>
      <c r="D807">
        <f t="shared" si="40"/>
        <v>0.30820360043984674</v>
      </c>
    </row>
    <row r="808" spans="1:4" x14ac:dyDescent="0.3">
      <c r="A808" s="1">
        <v>27137</v>
      </c>
      <c r="B808">
        <v>90.900002000000001</v>
      </c>
      <c r="C808">
        <f t="shared" si="41"/>
        <v>1.9841379851837115E-3</v>
      </c>
      <c r="D808">
        <f t="shared" si="40"/>
        <v>0.12154492808049464</v>
      </c>
    </row>
    <row r="809" spans="1:4" x14ac:dyDescent="0.3">
      <c r="A809" s="1">
        <v>27138</v>
      </c>
      <c r="B809">
        <v>90.309997999999993</v>
      </c>
      <c r="C809">
        <f t="shared" si="41"/>
        <v>-6.4906929264974883E-3</v>
      </c>
      <c r="D809">
        <f t="shared" si="40"/>
        <v>-0.55640669614106331</v>
      </c>
    </row>
    <row r="810" spans="1:4" x14ac:dyDescent="0.3">
      <c r="A810" s="1">
        <v>27141</v>
      </c>
      <c r="B810">
        <v>90.269997000000004</v>
      </c>
      <c r="C810">
        <f t="shared" si="41"/>
        <v>-4.4292991790332583E-4</v>
      </c>
      <c r="D810">
        <f t="shared" si="40"/>
        <v>-7.2610524003617047E-2</v>
      </c>
    </row>
    <row r="811" spans="1:4" x14ac:dyDescent="0.3">
      <c r="A811" s="1">
        <v>27142</v>
      </c>
      <c r="B811">
        <v>88.470000999999996</v>
      </c>
      <c r="C811">
        <f t="shared" si="41"/>
        <v>-1.9940135812788463E-2</v>
      </c>
      <c r="D811">
        <f t="shared" si="40"/>
        <v>-1.6323068226047359</v>
      </c>
    </row>
    <row r="812" spans="1:4" x14ac:dyDescent="0.3">
      <c r="A812" s="1">
        <v>27143</v>
      </c>
      <c r="B812">
        <v>86.949996999999996</v>
      </c>
      <c r="C812">
        <f t="shared" si="41"/>
        <v>-1.7181010317836441E-2</v>
      </c>
      <c r="D812">
        <f t="shared" si="40"/>
        <v>-1.4115881286004019</v>
      </c>
    </row>
    <row r="813" spans="1:4" x14ac:dyDescent="0.3">
      <c r="A813" s="1">
        <v>27144</v>
      </c>
      <c r="B813">
        <v>86.040001000000004</v>
      </c>
      <c r="C813">
        <f t="shared" si="41"/>
        <v>-1.0465739291514783E-2</v>
      </c>
      <c r="D813">
        <f t="shared" si="40"/>
        <v>-0.87439405985412566</v>
      </c>
    </row>
    <row r="814" spans="1:4" x14ac:dyDescent="0.3">
      <c r="A814" s="1">
        <v>27145</v>
      </c>
      <c r="B814">
        <v>86.239998</v>
      </c>
      <c r="C814">
        <f t="shared" si="41"/>
        <v>2.3244653379303911E-3</v>
      </c>
      <c r="D814">
        <f t="shared" si="40"/>
        <v>0.14876971686579255</v>
      </c>
    </row>
    <row r="815" spans="1:4" x14ac:dyDescent="0.3">
      <c r="A815" s="1">
        <v>27148</v>
      </c>
      <c r="B815">
        <v>86.459998999999996</v>
      </c>
      <c r="C815">
        <f t="shared" si="41"/>
        <v>2.5510320628717585E-3</v>
      </c>
      <c r="D815">
        <f t="shared" si="40"/>
        <v>0.16689412321316216</v>
      </c>
    </row>
    <row r="816" spans="1:4" x14ac:dyDescent="0.3">
      <c r="A816" s="1">
        <v>27149</v>
      </c>
      <c r="B816">
        <v>86.860000999999997</v>
      </c>
      <c r="C816">
        <f t="shared" si="41"/>
        <v>4.6264400257511069E-3</v>
      </c>
      <c r="D816">
        <f t="shared" si="40"/>
        <v>0.33291822611497324</v>
      </c>
    </row>
    <row r="817" spans="1:4" x14ac:dyDescent="0.3">
      <c r="A817" s="1">
        <v>27150</v>
      </c>
      <c r="B817">
        <v>87.629997000000003</v>
      </c>
      <c r="C817">
        <f t="shared" si="41"/>
        <v>8.8647938191942482E-3</v>
      </c>
      <c r="D817">
        <f t="shared" si="40"/>
        <v>0.67196910137548826</v>
      </c>
    </row>
    <row r="818" spans="1:4" x14ac:dyDescent="0.3">
      <c r="A818" s="1">
        <v>27151</v>
      </c>
      <c r="B818">
        <v>87.970000999999996</v>
      </c>
      <c r="C818">
        <f t="shared" si="41"/>
        <v>3.8799955681841835E-3</v>
      </c>
      <c r="D818">
        <f t="shared" si="40"/>
        <v>0.27320573890756927</v>
      </c>
    </row>
    <row r="819" spans="1:4" x14ac:dyDescent="0.3">
      <c r="A819" s="1">
        <v>27152</v>
      </c>
      <c r="B819">
        <v>87.470000999999996</v>
      </c>
      <c r="C819">
        <f t="shared" si="41"/>
        <v>-5.6837557612395622E-3</v>
      </c>
      <c r="D819">
        <f t="shared" si="40"/>
        <v>-0.49185504106587941</v>
      </c>
    </row>
    <row r="820" spans="1:4" x14ac:dyDescent="0.3">
      <c r="A820" s="1">
        <v>27155</v>
      </c>
      <c r="B820">
        <v>87.309997999999993</v>
      </c>
      <c r="C820">
        <f t="shared" si="41"/>
        <v>-1.8292328589318667E-3</v>
      </c>
      <c r="D820">
        <f t="shared" si="40"/>
        <v>-0.18350905877414492</v>
      </c>
    </row>
    <row r="821" spans="1:4" x14ac:dyDescent="0.3">
      <c r="A821" s="1">
        <v>27156</v>
      </c>
      <c r="B821">
        <v>86.660004000000001</v>
      </c>
      <c r="C821">
        <f t="shared" si="41"/>
        <v>-7.4446685933951401E-3</v>
      </c>
      <c r="D821">
        <f t="shared" si="40"/>
        <v>-0.63272082672149355</v>
      </c>
    </row>
    <row r="822" spans="1:4" x14ac:dyDescent="0.3">
      <c r="A822" s="1">
        <v>27157</v>
      </c>
      <c r="B822">
        <v>85.739998</v>
      </c>
      <c r="C822">
        <f t="shared" si="41"/>
        <v>-1.0616269992325419E-2</v>
      </c>
      <c r="D822">
        <f t="shared" si="40"/>
        <v>-0.88643589693303626</v>
      </c>
    </row>
    <row r="823" spans="1:4" x14ac:dyDescent="0.3">
      <c r="A823" s="1">
        <v>27158</v>
      </c>
      <c r="B823">
        <v>85.809997999999993</v>
      </c>
      <c r="C823">
        <f t="shared" si="41"/>
        <v>8.1642175918867157E-4</v>
      </c>
      <c r="D823">
        <f t="shared" si="40"/>
        <v>2.8132431678703884E-2</v>
      </c>
    </row>
    <row r="824" spans="1:4" x14ac:dyDescent="0.3">
      <c r="A824" s="1">
        <v>27159</v>
      </c>
      <c r="B824">
        <v>84.300003000000004</v>
      </c>
      <c r="C824">
        <f t="shared" si="41"/>
        <v>-1.7596958806594884E-2</v>
      </c>
      <c r="D824">
        <f t="shared" si="40"/>
        <v>-1.4448622973106715</v>
      </c>
    </row>
    <row r="825" spans="1:4" x14ac:dyDescent="0.3">
      <c r="A825" s="1">
        <v>27162</v>
      </c>
      <c r="B825">
        <v>83.18</v>
      </c>
      <c r="C825">
        <f t="shared" si="41"/>
        <v>-1.3285918862897275E-2</v>
      </c>
      <c r="D825">
        <f t="shared" si="40"/>
        <v>-1.0999968289170348</v>
      </c>
    </row>
    <row r="826" spans="1:4" x14ac:dyDescent="0.3">
      <c r="A826" s="1">
        <v>27163</v>
      </c>
      <c r="B826">
        <v>83.160004000000001</v>
      </c>
      <c r="C826">
        <f t="shared" si="41"/>
        <v>-2.4039432555910217E-4</v>
      </c>
      <c r="D826">
        <f t="shared" si="40"/>
        <v>-5.6408509447411229E-2</v>
      </c>
    </row>
    <row r="827" spans="1:4" x14ac:dyDescent="0.3">
      <c r="A827" s="1">
        <v>27164</v>
      </c>
      <c r="B827">
        <v>83.510002</v>
      </c>
      <c r="C827">
        <f t="shared" si="41"/>
        <v>4.2087299562900381E-3</v>
      </c>
      <c r="D827">
        <f t="shared" si="40"/>
        <v>0.29950313819215663</v>
      </c>
    </row>
    <row r="828" spans="1:4" x14ac:dyDescent="0.3">
      <c r="A828" s="1">
        <v>27165</v>
      </c>
      <c r="B828">
        <v>83.5</v>
      </c>
      <c r="C828">
        <f t="shared" si="41"/>
        <v>-1.1977008454628065E-4</v>
      </c>
      <c r="D828">
        <f t="shared" si="40"/>
        <v>-4.6759066176228332E-2</v>
      </c>
    </row>
    <row r="829" spans="1:4" x14ac:dyDescent="0.3">
      <c r="A829" s="1">
        <v>27166</v>
      </c>
      <c r="B829">
        <v>81.93</v>
      </c>
      <c r="C829">
        <f t="shared" si="41"/>
        <v>-1.8802395209580755E-2</v>
      </c>
      <c r="D829">
        <f t="shared" si="40"/>
        <v>-1.5412922527654342</v>
      </c>
    </row>
    <row r="830" spans="1:4" x14ac:dyDescent="0.3">
      <c r="A830" s="1">
        <v>27169</v>
      </c>
      <c r="B830">
        <v>81.430000000000007</v>
      </c>
      <c r="C830">
        <f t="shared" si="41"/>
        <v>-6.1027706578786764E-3</v>
      </c>
      <c r="D830">
        <f t="shared" si="40"/>
        <v>-0.52537450979745826</v>
      </c>
    </row>
    <row r="831" spans="1:4" x14ac:dyDescent="0.3">
      <c r="A831" s="1">
        <v>27170</v>
      </c>
      <c r="B831">
        <v>81.290001000000004</v>
      </c>
      <c r="C831">
        <f t="shared" si="41"/>
        <v>-1.719255802529818E-3</v>
      </c>
      <c r="D831">
        <f t="shared" si="40"/>
        <v>-0.17471134649033912</v>
      </c>
    </row>
    <row r="832" spans="1:4" x14ac:dyDescent="0.3">
      <c r="A832" s="1">
        <v>27171</v>
      </c>
      <c r="B832">
        <v>80.720000999999996</v>
      </c>
      <c r="C832">
        <f t="shared" si="41"/>
        <v>-7.0119325007759244E-3</v>
      </c>
      <c r="D832">
        <f t="shared" si="40"/>
        <v>-0.59810371873340173</v>
      </c>
    </row>
    <row r="833" spans="1:4" x14ac:dyDescent="0.3">
      <c r="A833" s="1">
        <v>27172</v>
      </c>
      <c r="B833">
        <v>80.550003000000004</v>
      </c>
      <c r="C833">
        <f t="shared" si="41"/>
        <v>-2.1060207865952895E-3</v>
      </c>
      <c r="D833">
        <f t="shared" si="40"/>
        <v>-0.20565095482845941</v>
      </c>
    </row>
    <row r="834" spans="1:4" x14ac:dyDescent="0.3">
      <c r="A834" s="1">
        <v>27173</v>
      </c>
      <c r="B834">
        <v>81.449996999999996</v>
      </c>
      <c r="C834">
        <f t="shared" si="41"/>
        <v>1.1173109453515382E-2</v>
      </c>
      <c r="D834">
        <f t="shared" si="40"/>
        <v>0.85662486027057461</v>
      </c>
    </row>
    <row r="835" spans="1:4" x14ac:dyDescent="0.3">
      <c r="A835" s="1">
        <v>27177</v>
      </c>
      <c r="B835">
        <v>81.059997999999993</v>
      </c>
      <c r="C835">
        <f t="shared" si="41"/>
        <v>-4.7882015268828444E-3</v>
      </c>
      <c r="D835">
        <f t="shared" ref="D835:D898" si="42">(C835-avrtn)/sdrtn</f>
        <v>-0.42021438485835771</v>
      </c>
    </row>
    <row r="836" spans="1:4" x14ac:dyDescent="0.3">
      <c r="A836" s="1">
        <v>27178</v>
      </c>
      <c r="B836">
        <v>79.779999000000004</v>
      </c>
      <c r="C836">
        <f t="shared" ref="C836:C899" si="43">(B836-B835)/B835</f>
        <v>-1.5790760320521961E-2</v>
      </c>
      <c r="D836">
        <f t="shared" si="42"/>
        <v>-1.3003738455573912</v>
      </c>
    </row>
    <row r="837" spans="1:4" x14ac:dyDescent="0.3">
      <c r="A837" s="1">
        <v>27179</v>
      </c>
      <c r="B837">
        <v>80.089995999999999</v>
      </c>
      <c r="C837">
        <f t="shared" si="43"/>
        <v>3.8856480807927265E-3</v>
      </c>
      <c r="D837">
        <f t="shared" si="42"/>
        <v>0.27365791667298195</v>
      </c>
    </row>
    <row r="838" spans="1:4" x14ac:dyDescent="0.3">
      <c r="A838" s="1">
        <v>27180</v>
      </c>
      <c r="B838">
        <v>80.199996999999996</v>
      </c>
      <c r="C838">
        <f t="shared" si="43"/>
        <v>1.3734674178282754E-3</v>
      </c>
      <c r="D838">
        <f t="shared" si="42"/>
        <v>7.2693793784437077E-2</v>
      </c>
    </row>
    <row r="839" spans="1:4" x14ac:dyDescent="0.3">
      <c r="A839" s="1">
        <v>27183</v>
      </c>
      <c r="B839">
        <v>81.080001999999993</v>
      </c>
      <c r="C839">
        <f t="shared" si="43"/>
        <v>1.0972631333140786E-2</v>
      </c>
      <c r="D839">
        <f t="shared" si="42"/>
        <v>0.84058743501156374</v>
      </c>
    </row>
    <row r="840" spans="1:4" x14ac:dyDescent="0.3">
      <c r="A840" s="1">
        <v>27184</v>
      </c>
      <c r="B840">
        <v>81.769997000000004</v>
      </c>
      <c r="C840">
        <f t="shared" si="43"/>
        <v>8.5100515907734001E-3</v>
      </c>
      <c r="D840">
        <f t="shared" si="42"/>
        <v>0.64359118181057984</v>
      </c>
    </row>
    <row r="841" spans="1:4" x14ac:dyDescent="0.3">
      <c r="A841" s="1">
        <v>27185</v>
      </c>
      <c r="B841">
        <v>82.209998999999996</v>
      </c>
      <c r="C841">
        <f t="shared" si="43"/>
        <v>5.3809712136835795E-3</v>
      </c>
      <c r="D841">
        <f t="shared" si="42"/>
        <v>0.39327761849878723</v>
      </c>
    </row>
    <row r="842" spans="1:4" x14ac:dyDescent="0.3">
      <c r="A842" s="1">
        <v>27186</v>
      </c>
      <c r="B842">
        <v>83.199996999999996</v>
      </c>
      <c r="C842">
        <f t="shared" si="43"/>
        <v>1.2042306435254913E-2</v>
      </c>
      <c r="D842">
        <f t="shared" si="42"/>
        <v>0.92615704465039173</v>
      </c>
    </row>
    <row r="843" spans="1:4" x14ac:dyDescent="0.3">
      <c r="A843" s="1">
        <v>27187</v>
      </c>
      <c r="B843">
        <v>83.709998999999996</v>
      </c>
      <c r="C843">
        <f t="shared" si="43"/>
        <v>6.1298319517968259E-3</v>
      </c>
      <c r="D843">
        <f t="shared" si="42"/>
        <v>0.45318339821409204</v>
      </c>
    </row>
    <row r="844" spans="1:4" x14ac:dyDescent="0.3">
      <c r="A844" s="1">
        <v>27190</v>
      </c>
      <c r="B844">
        <v>83.919998000000007</v>
      </c>
      <c r="C844">
        <f t="shared" si="43"/>
        <v>2.5086489369090842E-3</v>
      </c>
      <c r="D844">
        <f t="shared" si="42"/>
        <v>0.16350364741660353</v>
      </c>
    </row>
    <row r="845" spans="1:4" x14ac:dyDescent="0.3">
      <c r="A845" s="1">
        <v>27191</v>
      </c>
      <c r="B845">
        <v>83.339995999999999</v>
      </c>
      <c r="C845">
        <f t="shared" si="43"/>
        <v>-6.9113681342080988E-3</v>
      </c>
      <c r="D845">
        <f t="shared" si="42"/>
        <v>-0.59005898293112191</v>
      </c>
    </row>
    <row r="846" spans="1:4" x14ac:dyDescent="0.3">
      <c r="A846" s="1">
        <v>27192</v>
      </c>
      <c r="B846">
        <v>83.099997999999999</v>
      </c>
      <c r="C846">
        <f t="shared" si="43"/>
        <v>-2.8797457585671101E-3</v>
      </c>
      <c r="D846">
        <f t="shared" si="42"/>
        <v>-0.26754577101010968</v>
      </c>
    </row>
    <row r="847" spans="1:4" x14ac:dyDescent="0.3">
      <c r="A847" s="1">
        <v>27193</v>
      </c>
      <c r="B847">
        <v>83.239998</v>
      </c>
      <c r="C847">
        <f t="shared" si="43"/>
        <v>1.6847172487296639E-3</v>
      </c>
      <c r="D847">
        <f t="shared" si="42"/>
        <v>9.7592500389595993E-2</v>
      </c>
    </row>
    <row r="848" spans="1:4" x14ac:dyDescent="0.3">
      <c r="A848" s="1">
        <v>27194</v>
      </c>
      <c r="B848">
        <v>82.760002</v>
      </c>
      <c r="C848">
        <f t="shared" si="43"/>
        <v>-5.7664105181742063E-3</v>
      </c>
      <c r="D848">
        <f t="shared" si="42"/>
        <v>-0.49846708174225957</v>
      </c>
    </row>
    <row r="849" spans="1:4" x14ac:dyDescent="0.3">
      <c r="A849" s="1">
        <v>27197</v>
      </c>
      <c r="B849">
        <v>81.540001000000004</v>
      </c>
      <c r="C849">
        <f t="shared" si="43"/>
        <v>-1.4741432703203612E-2</v>
      </c>
      <c r="D849">
        <f t="shared" si="42"/>
        <v>-1.2164319510328681</v>
      </c>
    </row>
    <row r="850" spans="1:4" x14ac:dyDescent="0.3">
      <c r="A850" s="1">
        <v>27198</v>
      </c>
      <c r="B850">
        <v>81.25</v>
      </c>
      <c r="C850">
        <f t="shared" si="43"/>
        <v>-3.5565488894218154E-3</v>
      </c>
      <c r="D850">
        <f t="shared" si="42"/>
        <v>-0.32168723844738273</v>
      </c>
    </row>
    <row r="851" spans="1:4" x14ac:dyDescent="0.3">
      <c r="A851" s="1">
        <v>27199</v>
      </c>
      <c r="B851">
        <v>80.660004000000001</v>
      </c>
      <c r="C851">
        <f t="shared" si="43"/>
        <v>-7.2614892307692218E-3</v>
      </c>
      <c r="D851">
        <f t="shared" si="42"/>
        <v>-0.61806723094946003</v>
      </c>
    </row>
    <row r="852" spans="1:4" x14ac:dyDescent="0.3">
      <c r="A852" s="1">
        <v>27200</v>
      </c>
      <c r="B852">
        <v>79.849997999999999</v>
      </c>
      <c r="C852">
        <f t="shared" si="43"/>
        <v>-1.0042226132297258E-2</v>
      </c>
      <c r="D852">
        <f t="shared" si="42"/>
        <v>-0.84051474861324027</v>
      </c>
    </row>
    <row r="853" spans="1:4" x14ac:dyDescent="0.3">
      <c r="A853" s="1">
        <v>27201</v>
      </c>
      <c r="B853">
        <v>79.110000999999997</v>
      </c>
      <c r="C853">
        <f t="shared" si="43"/>
        <v>-9.2673389922940577E-3</v>
      </c>
      <c r="D853">
        <f t="shared" si="42"/>
        <v>-0.77852696376794317</v>
      </c>
    </row>
    <row r="854" spans="1:4" x14ac:dyDescent="0.3">
      <c r="A854" s="1">
        <v>27204</v>
      </c>
      <c r="B854">
        <v>78.879997000000003</v>
      </c>
      <c r="C854">
        <f t="shared" si="43"/>
        <v>-2.907394730029063E-3</v>
      </c>
      <c r="D854">
        <f t="shared" si="42"/>
        <v>-0.26975757503381587</v>
      </c>
    </row>
    <row r="855" spans="1:4" x14ac:dyDescent="0.3">
      <c r="A855" s="1">
        <v>27205</v>
      </c>
      <c r="B855">
        <v>79.349997999999999</v>
      </c>
      <c r="C855">
        <f t="shared" si="43"/>
        <v>5.958430753997066E-3</v>
      </c>
      <c r="D855">
        <f t="shared" si="42"/>
        <v>0.43947200719604801</v>
      </c>
    </row>
    <row r="856" spans="1:4" x14ac:dyDescent="0.3">
      <c r="A856" s="1">
        <v>27206</v>
      </c>
      <c r="B856">
        <v>78.269997000000004</v>
      </c>
      <c r="C856">
        <f t="shared" si="43"/>
        <v>-1.361059895678883E-2</v>
      </c>
      <c r="D856">
        <f t="shared" si="42"/>
        <v>-1.1259699013358357</v>
      </c>
    </row>
    <row r="857" spans="1:4" x14ac:dyDescent="0.3">
      <c r="A857" s="1">
        <v>27207</v>
      </c>
      <c r="B857">
        <v>76.830001999999993</v>
      </c>
      <c r="C857">
        <f t="shared" si="43"/>
        <v>-1.8397790407479003E-2</v>
      </c>
      <c r="D857">
        <f t="shared" si="42"/>
        <v>-1.5089255323421815</v>
      </c>
    </row>
    <row r="858" spans="1:4" x14ac:dyDescent="0.3">
      <c r="A858" s="1">
        <v>27208</v>
      </c>
      <c r="B858">
        <v>75.959998999999996</v>
      </c>
      <c r="C858">
        <f t="shared" si="43"/>
        <v>-1.1323740431504831E-2</v>
      </c>
      <c r="D858">
        <f t="shared" si="42"/>
        <v>-0.94303062293156048</v>
      </c>
    </row>
    <row r="859" spans="1:4" x14ac:dyDescent="0.3">
      <c r="A859" s="1">
        <v>27211</v>
      </c>
      <c r="B859">
        <v>75.389999000000003</v>
      </c>
      <c r="C859">
        <f t="shared" si="43"/>
        <v>-7.5039495458654919E-3</v>
      </c>
      <c r="D859">
        <f t="shared" si="42"/>
        <v>-0.63746305915438872</v>
      </c>
    </row>
    <row r="860" spans="1:4" x14ac:dyDescent="0.3">
      <c r="A860" s="1">
        <v>27212</v>
      </c>
      <c r="B860">
        <v>73.809997999999993</v>
      </c>
      <c r="C860">
        <f t="shared" si="43"/>
        <v>-2.095770023819751E-2</v>
      </c>
      <c r="D860">
        <f t="shared" si="42"/>
        <v>-1.7137077923875403</v>
      </c>
    </row>
    <row r="861" spans="1:4" x14ac:dyDescent="0.3">
      <c r="A861" s="1">
        <v>27213</v>
      </c>
      <c r="B861">
        <v>73.660004000000001</v>
      </c>
      <c r="C861">
        <f t="shared" si="43"/>
        <v>-2.0321637185248594E-3</v>
      </c>
      <c r="D861">
        <f t="shared" si="42"/>
        <v>-0.19974269308490361</v>
      </c>
    </row>
    <row r="862" spans="1:4" x14ac:dyDescent="0.3">
      <c r="A862" s="1">
        <v>27215</v>
      </c>
      <c r="B862">
        <v>73.569999999999993</v>
      </c>
      <c r="C862">
        <f t="shared" si="43"/>
        <v>-1.2218842670712795E-3</v>
      </c>
      <c r="D862">
        <f t="shared" si="42"/>
        <v>-0.13492366885763041</v>
      </c>
    </row>
    <row r="863" spans="1:4" x14ac:dyDescent="0.3">
      <c r="A863" s="1">
        <v>27218</v>
      </c>
      <c r="B863">
        <v>70.959998999999996</v>
      </c>
      <c r="C863">
        <f t="shared" si="43"/>
        <v>-3.5476430610303075E-2</v>
      </c>
      <c r="D863">
        <f t="shared" si="42"/>
        <v>-2.8751465207799654</v>
      </c>
    </row>
    <row r="864" spans="1:4" x14ac:dyDescent="0.3">
      <c r="A864" s="1">
        <v>27219</v>
      </c>
      <c r="B864">
        <v>70.589995999999999</v>
      </c>
      <c r="C864">
        <f t="shared" si="43"/>
        <v>-5.2142475368411011E-3</v>
      </c>
      <c r="D864">
        <f t="shared" si="42"/>
        <v>-0.45429631374335722</v>
      </c>
    </row>
    <row r="865" spans="1:4" x14ac:dyDescent="0.3">
      <c r="A865" s="1">
        <v>27220</v>
      </c>
      <c r="B865">
        <v>69.819999999999993</v>
      </c>
      <c r="C865">
        <f t="shared" si="43"/>
        <v>-1.0908004584672396E-2</v>
      </c>
      <c r="D865">
        <f t="shared" si="42"/>
        <v>-0.90977346470098264</v>
      </c>
    </row>
    <row r="866" spans="1:4" x14ac:dyDescent="0.3">
      <c r="A866" s="1">
        <v>27221</v>
      </c>
      <c r="B866">
        <v>69.949996999999996</v>
      </c>
      <c r="C866">
        <f t="shared" si="43"/>
        <v>1.8618877112575628E-3</v>
      </c>
      <c r="D866">
        <f t="shared" si="42"/>
        <v>0.11176540886253285</v>
      </c>
    </row>
    <row r="867" spans="1:4" x14ac:dyDescent="0.3">
      <c r="A867" s="1">
        <v>27222</v>
      </c>
      <c r="B867">
        <v>71.680000000000007</v>
      </c>
      <c r="C867">
        <f t="shared" si="43"/>
        <v>2.4731995342330188E-2</v>
      </c>
      <c r="D867">
        <f t="shared" si="42"/>
        <v>1.941279976903838</v>
      </c>
    </row>
    <row r="868" spans="1:4" x14ac:dyDescent="0.3">
      <c r="A868" s="1">
        <v>27225</v>
      </c>
      <c r="B868">
        <v>71.980002999999996</v>
      </c>
      <c r="C868">
        <f t="shared" si="43"/>
        <v>4.1853097098212833E-3</v>
      </c>
      <c r="D868">
        <f t="shared" si="42"/>
        <v>0.29762961477928518</v>
      </c>
    </row>
    <row r="869" spans="1:4" x14ac:dyDescent="0.3">
      <c r="A869" s="1">
        <v>27226</v>
      </c>
      <c r="B869">
        <v>71.629997000000003</v>
      </c>
      <c r="C869">
        <f t="shared" si="43"/>
        <v>-4.8625449487685263E-3</v>
      </c>
      <c r="D869">
        <f t="shared" si="42"/>
        <v>-0.42616155290723484</v>
      </c>
    </row>
    <row r="870" spans="1:4" x14ac:dyDescent="0.3">
      <c r="A870" s="1">
        <v>27227</v>
      </c>
      <c r="B870">
        <v>72.709998999999996</v>
      </c>
      <c r="C870">
        <f t="shared" si="43"/>
        <v>1.5077510054900508E-2</v>
      </c>
      <c r="D870">
        <f t="shared" si="42"/>
        <v>1.1689608533901794</v>
      </c>
    </row>
    <row r="871" spans="1:4" x14ac:dyDescent="0.3">
      <c r="A871" s="1">
        <v>27228</v>
      </c>
      <c r="B871">
        <v>72.809997999999993</v>
      </c>
      <c r="C871">
        <f t="shared" si="43"/>
        <v>1.3753129057256189E-3</v>
      </c>
      <c r="D871">
        <f t="shared" si="42"/>
        <v>7.284142522753298E-2</v>
      </c>
    </row>
    <row r="872" spans="1:4" x14ac:dyDescent="0.3">
      <c r="A872" s="1">
        <v>27229</v>
      </c>
      <c r="B872">
        <v>73.400002000000001</v>
      </c>
      <c r="C872">
        <f t="shared" si="43"/>
        <v>8.1033376762351724E-3</v>
      </c>
      <c r="D872">
        <f t="shared" si="42"/>
        <v>0.61105574106513127</v>
      </c>
    </row>
    <row r="873" spans="1:4" x14ac:dyDescent="0.3">
      <c r="A873" s="1">
        <v>27232</v>
      </c>
      <c r="B873">
        <v>73.419998000000007</v>
      </c>
      <c r="C873">
        <f t="shared" si="43"/>
        <v>2.7242506069694819E-4</v>
      </c>
      <c r="D873">
        <f t="shared" si="42"/>
        <v>-1.5385067272843618E-2</v>
      </c>
    </row>
    <row r="874" spans="1:4" x14ac:dyDescent="0.3">
      <c r="A874" s="1">
        <v>27233</v>
      </c>
      <c r="B874">
        <v>74.440002000000007</v>
      </c>
      <c r="C874">
        <f t="shared" si="43"/>
        <v>1.3892727155890143E-2</v>
      </c>
      <c r="D874">
        <f t="shared" si="42"/>
        <v>1.0741830933257415</v>
      </c>
    </row>
    <row r="875" spans="1:4" x14ac:dyDescent="0.3">
      <c r="A875" s="1">
        <v>27234</v>
      </c>
      <c r="B875">
        <v>74.629997000000003</v>
      </c>
      <c r="C875">
        <f t="shared" si="43"/>
        <v>2.5523239507703951E-3</v>
      </c>
      <c r="D875">
        <f t="shared" si="42"/>
        <v>0.16699746893277831</v>
      </c>
    </row>
    <row r="876" spans="1:4" x14ac:dyDescent="0.3">
      <c r="A876" s="1">
        <v>27235</v>
      </c>
      <c r="B876">
        <v>73.510002</v>
      </c>
      <c r="C876">
        <f t="shared" si="43"/>
        <v>-1.5007303296555176E-2</v>
      </c>
      <c r="D876">
        <f t="shared" si="42"/>
        <v>-1.2377005052345806</v>
      </c>
    </row>
    <row r="877" spans="1:4" x14ac:dyDescent="0.3">
      <c r="A877" s="1">
        <v>27236</v>
      </c>
      <c r="B877">
        <v>72.830001999999993</v>
      </c>
      <c r="C877">
        <f t="shared" si="43"/>
        <v>-9.2504418650404454E-3</v>
      </c>
      <c r="D877">
        <f t="shared" si="42"/>
        <v>-0.7771752630690566</v>
      </c>
    </row>
    <row r="878" spans="1:4" x14ac:dyDescent="0.3">
      <c r="A878" s="1">
        <v>27239</v>
      </c>
      <c r="B878">
        <v>71.489998</v>
      </c>
      <c r="C878">
        <f t="shared" si="43"/>
        <v>-1.8399065813563941E-2</v>
      </c>
      <c r="D878">
        <f t="shared" si="42"/>
        <v>-1.5090275595844755</v>
      </c>
    </row>
    <row r="879" spans="1:4" x14ac:dyDescent="0.3">
      <c r="A879" s="1">
        <v>27240</v>
      </c>
      <c r="B879">
        <v>71.300003000000004</v>
      </c>
      <c r="C879">
        <f t="shared" si="43"/>
        <v>-2.6576445001438684E-3</v>
      </c>
      <c r="D879">
        <f t="shared" si="42"/>
        <v>-0.24977858362208205</v>
      </c>
    </row>
    <row r="880" spans="1:4" x14ac:dyDescent="0.3">
      <c r="A880" s="1">
        <v>27241</v>
      </c>
      <c r="B880">
        <v>69.989998</v>
      </c>
      <c r="C880">
        <f t="shared" si="43"/>
        <v>-1.8373140881915585E-2</v>
      </c>
      <c r="D880">
        <f t="shared" si="42"/>
        <v>-1.506953671656563</v>
      </c>
    </row>
    <row r="881" spans="1:4" x14ac:dyDescent="0.3">
      <c r="A881" s="1">
        <v>27242</v>
      </c>
      <c r="B881">
        <v>69.629997000000003</v>
      </c>
      <c r="C881">
        <f t="shared" si="43"/>
        <v>-5.1436063764424868E-3</v>
      </c>
      <c r="D881">
        <f t="shared" si="42"/>
        <v>-0.4486453113896553</v>
      </c>
    </row>
    <row r="882" spans="1:4" x14ac:dyDescent="0.3">
      <c r="A882" s="1">
        <v>27243</v>
      </c>
      <c r="B882">
        <v>69.400002000000001</v>
      </c>
      <c r="C882">
        <f t="shared" si="43"/>
        <v>-3.3031022534727723E-3</v>
      </c>
      <c r="D882">
        <f t="shared" si="42"/>
        <v>-0.30141254975025356</v>
      </c>
    </row>
    <row r="883" spans="1:4" x14ac:dyDescent="0.3">
      <c r="A883" s="1">
        <v>27246</v>
      </c>
      <c r="B883">
        <v>69.669998000000007</v>
      </c>
      <c r="C883">
        <f t="shared" si="43"/>
        <v>3.8904321645409478E-3</v>
      </c>
      <c r="D883">
        <f t="shared" si="42"/>
        <v>0.27404062370056975</v>
      </c>
    </row>
    <row r="884" spans="1:4" x14ac:dyDescent="0.3">
      <c r="A884" s="1">
        <v>27247</v>
      </c>
      <c r="B884">
        <v>70.529999000000004</v>
      </c>
      <c r="C884">
        <f t="shared" si="43"/>
        <v>1.2343921697830346E-2</v>
      </c>
      <c r="D884">
        <f t="shared" si="42"/>
        <v>0.95028502540705595</v>
      </c>
    </row>
    <row r="885" spans="1:4" x14ac:dyDescent="0.3">
      <c r="A885" s="1">
        <v>27248</v>
      </c>
      <c r="B885">
        <v>71.680000000000007</v>
      </c>
      <c r="C885">
        <f t="shared" si="43"/>
        <v>1.6305132798881836E-2</v>
      </c>
      <c r="D885">
        <f t="shared" si="42"/>
        <v>1.2671656248937992</v>
      </c>
    </row>
    <row r="886" spans="1:4" x14ac:dyDescent="0.3">
      <c r="A886" s="1">
        <v>27249</v>
      </c>
      <c r="B886">
        <v>70.660004000000001</v>
      </c>
      <c r="C886">
        <f t="shared" si="43"/>
        <v>-1.422985491071437E-2</v>
      </c>
      <c r="D886">
        <f t="shared" si="42"/>
        <v>-1.1755078312541811</v>
      </c>
    </row>
    <row r="887" spans="1:4" x14ac:dyDescent="0.3">
      <c r="A887" s="1">
        <v>27250</v>
      </c>
      <c r="B887">
        <v>70.690002000000007</v>
      </c>
      <c r="C887">
        <f t="shared" si="43"/>
        <v>4.2454002691545538E-4</v>
      </c>
      <c r="D887">
        <f t="shared" si="42"/>
        <v>-3.2164954758416467E-3</v>
      </c>
    </row>
    <row r="888" spans="1:4" x14ac:dyDescent="0.3">
      <c r="A888" s="1">
        <v>27253</v>
      </c>
      <c r="B888">
        <v>70.360000999999997</v>
      </c>
      <c r="C888">
        <f t="shared" si="43"/>
        <v>-4.6682839250734489E-3</v>
      </c>
      <c r="D888">
        <f t="shared" si="42"/>
        <v>-0.41062146981773112</v>
      </c>
    </row>
    <row r="889" spans="1:4" x14ac:dyDescent="0.3">
      <c r="A889" s="1">
        <v>27254</v>
      </c>
      <c r="B889">
        <v>68.819999999999993</v>
      </c>
      <c r="C889">
        <f t="shared" si="43"/>
        <v>-2.1887449944749202E-2</v>
      </c>
      <c r="D889">
        <f t="shared" si="42"/>
        <v>-1.7880839457580382</v>
      </c>
    </row>
    <row r="890" spans="1:4" x14ac:dyDescent="0.3">
      <c r="A890" s="1">
        <v>27255</v>
      </c>
      <c r="B890">
        <v>67.25</v>
      </c>
      <c r="C890">
        <f t="shared" si="43"/>
        <v>-2.2813135716361427E-2</v>
      </c>
      <c r="D890">
        <f t="shared" si="42"/>
        <v>-1.8621350010443789</v>
      </c>
    </row>
    <row r="891" spans="1:4" x14ac:dyDescent="0.3">
      <c r="A891" s="1">
        <v>27256</v>
      </c>
      <c r="B891">
        <v>66.879997000000003</v>
      </c>
      <c r="C891">
        <f t="shared" si="43"/>
        <v>-5.5019033457248618E-3</v>
      </c>
      <c r="D891">
        <f t="shared" si="42"/>
        <v>-0.47730759560630415</v>
      </c>
    </row>
    <row r="892" spans="1:4" x14ac:dyDescent="0.3">
      <c r="A892" s="1">
        <v>27257</v>
      </c>
      <c r="B892">
        <v>65.860000999999997</v>
      </c>
      <c r="C892">
        <f t="shared" si="43"/>
        <v>-1.5251137047748463E-2</v>
      </c>
      <c r="D892">
        <f t="shared" si="42"/>
        <v>-1.2572062026796678</v>
      </c>
    </row>
    <row r="893" spans="1:4" x14ac:dyDescent="0.3">
      <c r="A893" s="1">
        <v>27260</v>
      </c>
      <c r="B893">
        <v>65.129997000000003</v>
      </c>
      <c r="C893">
        <f t="shared" si="43"/>
        <v>-1.1084178392283867E-2</v>
      </c>
      <c r="D893">
        <f t="shared" si="42"/>
        <v>-0.92386664487887482</v>
      </c>
    </row>
    <row r="894" spans="1:4" x14ac:dyDescent="0.3">
      <c r="A894" s="1">
        <v>27261</v>
      </c>
      <c r="B894">
        <v>65.720000999999996</v>
      </c>
      <c r="C894">
        <f t="shared" si="43"/>
        <v>9.058867298888303E-3</v>
      </c>
      <c r="D894">
        <f t="shared" si="42"/>
        <v>0.68749418171609578</v>
      </c>
    </row>
    <row r="895" spans="1:4" x14ac:dyDescent="0.3">
      <c r="A895" s="1">
        <v>27262</v>
      </c>
      <c r="B895">
        <v>64.919998000000007</v>
      </c>
      <c r="C895">
        <f t="shared" si="43"/>
        <v>-1.2172899997368983E-2</v>
      </c>
      <c r="D895">
        <f t="shared" si="42"/>
        <v>-1.0109598964356938</v>
      </c>
    </row>
    <row r="896" spans="1:4" x14ac:dyDescent="0.3">
      <c r="A896" s="1">
        <v>27263</v>
      </c>
      <c r="B896">
        <v>63.59</v>
      </c>
      <c r="C896">
        <f t="shared" si="43"/>
        <v>-2.0486722750669265E-2</v>
      </c>
      <c r="D896">
        <f t="shared" si="42"/>
        <v>-1.6760315300562816</v>
      </c>
    </row>
    <row r="897" spans="1:4" x14ac:dyDescent="0.3">
      <c r="A897" s="1">
        <v>27264</v>
      </c>
      <c r="B897">
        <v>62.57</v>
      </c>
      <c r="C897">
        <f t="shared" si="43"/>
        <v>-1.6040257902185925E-2</v>
      </c>
      <c r="D897">
        <f t="shared" si="42"/>
        <v>-1.3203326261503225</v>
      </c>
    </row>
    <row r="898" spans="1:4" x14ac:dyDescent="0.3">
      <c r="A898" s="1">
        <v>27267</v>
      </c>
      <c r="B898">
        <v>62.939999</v>
      </c>
      <c r="C898">
        <f t="shared" si="43"/>
        <v>5.9133610356400827E-3</v>
      </c>
      <c r="D898">
        <f t="shared" si="42"/>
        <v>0.43586661505527857</v>
      </c>
    </row>
    <row r="899" spans="1:4" x14ac:dyDescent="0.3">
      <c r="A899" s="1">
        <v>27268</v>
      </c>
      <c r="B899">
        <v>62.34</v>
      </c>
      <c r="C899">
        <f t="shared" si="43"/>
        <v>-9.5328727285171524E-3</v>
      </c>
      <c r="D899">
        <f t="shared" ref="D899:D962" si="44">(C899-avrtn)/sdrtn</f>
        <v>-0.79976857078454311</v>
      </c>
    </row>
    <row r="900" spans="1:4" x14ac:dyDescent="0.3">
      <c r="A900" s="1">
        <v>27269</v>
      </c>
      <c r="B900">
        <v>62.43</v>
      </c>
      <c r="C900">
        <f t="shared" ref="C900:C963" si="45">(B900-B899)/B899</f>
        <v>1.443695861405138E-3</v>
      </c>
      <c r="D900">
        <f t="shared" si="44"/>
        <v>7.8311780489500563E-2</v>
      </c>
    </row>
    <row r="901" spans="1:4" x14ac:dyDescent="0.3">
      <c r="A901" s="1">
        <v>27270</v>
      </c>
      <c r="B901">
        <v>61.369999</v>
      </c>
      <c r="C901">
        <f t="shared" si="45"/>
        <v>-1.6979032516418385E-2</v>
      </c>
      <c r="D901">
        <f t="shared" si="44"/>
        <v>-1.3954307350246395</v>
      </c>
    </row>
    <row r="902" spans="1:4" x14ac:dyDescent="0.3">
      <c r="A902" s="1">
        <v>27271</v>
      </c>
      <c r="B902">
        <v>62.369999</v>
      </c>
      <c r="C902">
        <f t="shared" si="45"/>
        <v>1.6294606750767587E-2</v>
      </c>
      <c r="D902">
        <f t="shared" si="44"/>
        <v>1.2663235843280278</v>
      </c>
    </row>
    <row r="903" spans="1:4" x14ac:dyDescent="0.3">
      <c r="A903" s="1">
        <v>27275</v>
      </c>
      <c r="B903">
        <v>60.880001</v>
      </c>
      <c r="C903">
        <f t="shared" si="45"/>
        <v>-2.3889658872689734E-2</v>
      </c>
      <c r="D903">
        <f t="shared" si="44"/>
        <v>-1.9482524268609742</v>
      </c>
    </row>
    <row r="904" spans="1:4" x14ac:dyDescent="0.3">
      <c r="A904" s="1">
        <v>27276</v>
      </c>
      <c r="B904">
        <v>58.950001</v>
      </c>
      <c r="C904">
        <f t="shared" si="45"/>
        <v>-3.1701707757856308E-2</v>
      </c>
      <c r="D904">
        <f t="shared" si="44"/>
        <v>-2.5731842143373393</v>
      </c>
    </row>
    <row r="905" spans="1:4" x14ac:dyDescent="0.3">
      <c r="A905" s="1">
        <v>27277</v>
      </c>
      <c r="B905">
        <v>60.220001000000003</v>
      </c>
      <c r="C905">
        <f t="shared" si="45"/>
        <v>2.154368072020903E-2</v>
      </c>
      <c r="D905">
        <f t="shared" si="44"/>
        <v>1.6862279175622095</v>
      </c>
    </row>
    <row r="906" spans="1:4" x14ac:dyDescent="0.3">
      <c r="A906" s="1">
        <v>27278</v>
      </c>
      <c r="B906">
        <v>60.700001</v>
      </c>
      <c r="C906">
        <f t="shared" si="45"/>
        <v>7.9707736969316361E-3</v>
      </c>
      <c r="D906">
        <f t="shared" si="44"/>
        <v>0.60045116782718833</v>
      </c>
    </row>
    <row r="907" spans="1:4" x14ac:dyDescent="0.3">
      <c r="A907" s="1">
        <v>27281</v>
      </c>
      <c r="B907">
        <v>59.369999</v>
      </c>
      <c r="C907">
        <f t="shared" si="45"/>
        <v>-2.1911070479224543E-2</v>
      </c>
      <c r="D907">
        <f t="shared" si="44"/>
        <v>-1.7899734913878473</v>
      </c>
    </row>
    <row r="908" spans="1:4" x14ac:dyDescent="0.3">
      <c r="A908" s="1">
        <v>27282</v>
      </c>
      <c r="B908">
        <v>58.970001000000003</v>
      </c>
      <c r="C908">
        <f t="shared" si="45"/>
        <v>-6.7373758924940616E-3</v>
      </c>
      <c r="D908">
        <f t="shared" si="44"/>
        <v>-0.57614031905437191</v>
      </c>
    </row>
    <row r="909" spans="1:4" x14ac:dyDescent="0.3">
      <c r="A909" s="1">
        <v>27283</v>
      </c>
      <c r="B909">
        <v>58.959999000000003</v>
      </c>
      <c r="C909">
        <f t="shared" si="45"/>
        <v>-1.696116640730609E-4</v>
      </c>
      <c r="D909">
        <f t="shared" si="44"/>
        <v>-5.0746187588571107E-2</v>
      </c>
    </row>
    <row r="910" spans="1:4" x14ac:dyDescent="0.3">
      <c r="A910" s="1">
        <v>27284</v>
      </c>
      <c r="B910">
        <v>57.709999000000003</v>
      </c>
      <c r="C910">
        <f t="shared" si="45"/>
        <v>-2.1200814470841493E-2</v>
      </c>
      <c r="D910">
        <f t="shared" si="44"/>
        <v>-1.733155931307361</v>
      </c>
    </row>
    <row r="911" spans="1:4" x14ac:dyDescent="0.3">
      <c r="A911" s="1">
        <v>27285</v>
      </c>
      <c r="B911">
        <v>56.66</v>
      </c>
      <c r="C911">
        <f t="shared" si="45"/>
        <v>-1.8194403365004507E-2</v>
      </c>
      <c r="D911">
        <f t="shared" si="44"/>
        <v>-1.4926554052767378</v>
      </c>
    </row>
    <row r="912" spans="1:4" x14ac:dyDescent="0.3">
      <c r="A912" s="1">
        <v>27288</v>
      </c>
      <c r="B912">
        <v>57.240001999999997</v>
      </c>
      <c r="C912">
        <f t="shared" si="45"/>
        <v>1.0236533709848224E-2</v>
      </c>
      <c r="D912">
        <f t="shared" si="44"/>
        <v>0.78170265199967193</v>
      </c>
    </row>
    <row r="913" spans="1:4" x14ac:dyDescent="0.3">
      <c r="A913" s="1">
        <v>27289</v>
      </c>
      <c r="B913">
        <v>57.720001000000003</v>
      </c>
      <c r="C913">
        <f t="shared" si="45"/>
        <v>8.3857264714981405E-3</v>
      </c>
      <c r="D913">
        <f t="shared" si="44"/>
        <v>0.63364568349650419</v>
      </c>
    </row>
    <row r="914" spans="1:4" x14ac:dyDescent="0.3">
      <c r="A914" s="1">
        <v>27290</v>
      </c>
      <c r="B914">
        <v>58.119999</v>
      </c>
      <c r="C914">
        <f t="shared" si="45"/>
        <v>6.9299721599103319E-3</v>
      </c>
      <c r="D914">
        <f t="shared" si="44"/>
        <v>0.51719132466697704</v>
      </c>
    </row>
    <row r="915" spans="1:4" x14ac:dyDescent="0.3">
      <c r="A915" s="1">
        <v>27291</v>
      </c>
      <c r="B915">
        <v>59.52</v>
      </c>
      <c r="C915">
        <f t="shared" si="45"/>
        <v>2.4088111219685383E-2</v>
      </c>
      <c r="D915">
        <f t="shared" si="44"/>
        <v>1.8897718947595865</v>
      </c>
    </row>
    <row r="916" spans="1:4" x14ac:dyDescent="0.3">
      <c r="A916" s="1">
        <v>27292</v>
      </c>
      <c r="B916">
        <v>59.900002000000001</v>
      </c>
      <c r="C916">
        <f t="shared" si="45"/>
        <v>6.3844422043010333E-3</v>
      </c>
      <c r="D916">
        <f t="shared" si="44"/>
        <v>0.47355117145081449</v>
      </c>
    </row>
    <row r="917" spans="1:4" x14ac:dyDescent="0.3">
      <c r="A917" s="1">
        <v>27295</v>
      </c>
      <c r="B917">
        <v>59.66</v>
      </c>
      <c r="C917">
        <f t="shared" si="45"/>
        <v>-4.0067110515289136E-3</v>
      </c>
      <c r="D917">
        <f t="shared" si="44"/>
        <v>-0.35769836033807939</v>
      </c>
    </row>
    <row r="918" spans="1:4" x14ac:dyDescent="0.3">
      <c r="A918" s="1">
        <v>27296</v>
      </c>
      <c r="B918">
        <v>58.84</v>
      </c>
      <c r="C918">
        <f t="shared" si="45"/>
        <v>-1.3744552463962341E-2</v>
      </c>
      <c r="D918">
        <f t="shared" si="44"/>
        <v>-1.1366856310896036</v>
      </c>
    </row>
    <row r="919" spans="1:4" x14ac:dyDescent="0.3">
      <c r="A919" s="1">
        <v>27297</v>
      </c>
      <c r="B919">
        <v>58.759998000000003</v>
      </c>
      <c r="C919">
        <f t="shared" si="45"/>
        <v>-1.3596532970768245E-3</v>
      </c>
      <c r="D919">
        <f t="shared" si="44"/>
        <v>-0.14594462474843758</v>
      </c>
    </row>
    <row r="920" spans="1:4" x14ac:dyDescent="0.3">
      <c r="A920" s="1">
        <v>27298</v>
      </c>
      <c r="B920">
        <v>57.869999</v>
      </c>
      <c r="C920">
        <f t="shared" si="45"/>
        <v>-1.5146341563864638E-2</v>
      </c>
      <c r="D920">
        <f t="shared" si="44"/>
        <v>-1.2488229948905663</v>
      </c>
    </row>
    <row r="921" spans="1:4" x14ac:dyDescent="0.3">
      <c r="A921" s="1">
        <v>27299</v>
      </c>
      <c r="B921">
        <v>57.119999</v>
      </c>
      <c r="C921">
        <f t="shared" si="45"/>
        <v>-1.2960083168482515E-2</v>
      </c>
      <c r="D921">
        <f t="shared" si="44"/>
        <v>-1.0739313132082353</v>
      </c>
    </row>
    <row r="922" spans="1:4" x14ac:dyDescent="0.3">
      <c r="A922" s="1">
        <v>27302</v>
      </c>
      <c r="B922">
        <v>55.669998</v>
      </c>
      <c r="C922">
        <f t="shared" si="45"/>
        <v>-2.5385172013045736E-2</v>
      </c>
      <c r="D922">
        <f t="shared" si="44"/>
        <v>-2.067887328502676</v>
      </c>
    </row>
    <row r="923" spans="1:4" x14ac:dyDescent="0.3">
      <c r="A923" s="1">
        <v>27303</v>
      </c>
      <c r="B923">
        <v>55.48</v>
      </c>
      <c r="C923">
        <f t="shared" si="45"/>
        <v>-3.4129334798970673E-3</v>
      </c>
      <c r="D923">
        <f t="shared" si="44"/>
        <v>-0.31019859623549551</v>
      </c>
    </row>
    <row r="924" spans="1:4" x14ac:dyDescent="0.3">
      <c r="A924" s="1">
        <v>27304</v>
      </c>
      <c r="B924">
        <v>55.669998</v>
      </c>
      <c r="C924">
        <f t="shared" si="45"/>
        <v>3.4246214852199494E-3</v>
      </c>
      <c r="D924">
        <f t="shared" si="44"/>
        <v>0.23677768477984837</v>
      </c>
    </row>
    <row r="925" spans="1:4" x14ac:dyDescent="0.3">
      <c r="A925" s="1">
        <v>27305</v>
      </c>
      <c r="B925">
        <v>54.869999</v>
      </c>
      <c r="C925">
        <f t="shared" si="45"/>
        <v>-1.4370379535490547E-2</v>
      </c>
      <c r="D925">
        <f t="shared" si="44"/>
        <v>-1.1867492233955652</v>
      </c>
    </row>
    <row r="926" spans="1:4" x14ac:dyDescent="0.3">
      <c r="A926" s="1">
        <v>27306</v>
      </c>
      <c r="B926">
        <v>55.16</v>
      </c>
      <c r="C926">
        <f t="shared" si="45"/>
        <v>5.2852379312052951E-3</v>
      </c>
      <c r="D926">
        <f t="shared" si="44"/>
        <v>0.38561934955813421</v>
      </c>
    </row>
    <row r="927" spans="1:4" x14ac:dyDescent="0.3">
      <c r="A927" s="1">
        <v>27309</v>
      </c>
      <c r="B927">
        <v>56.57</v>
      </c>
      <c r="C927">
        <f t="shared" si="45"/>
        <v>2.5562001450326392E-2</v>
      </c>
      <c r="D927">
        <f t="shared" si="44"/>
        <v>2.0076770525380248</v>
      </c>
    </row>
    <row r="928" spans="1:4" x14ac:dyDescent="0.3">
      <c r="A928" s="1">
        <v>27310</v>
      </c>
      <c r="B928">
        <v>56.130001</v>
      </c>
      <c r="C928">
        <f t="shared" si="45"/>
        <v>-7.7779565140533892E-3</v>
      </c>
      <c r="D928">
        <f t="shared" si="44"/>
        <v>-0.65938248988603476</v>
      </c>
    </row>
    <row r="929" spans="1:4" x14ac:dyDescent="0.3">
      <c r="A929" s="1">
        <v>27311</v>
      </c>
      <c r="B929">
        <v>57.57</v>
      </c>
      <c r="C929">
        <f t="shared" si="45"/>
        <v>2.5654711818016897E-2</v>
      </c>
      <c r="D929">
        <f t="shared" si="44"/>
        <v>2.0150935007259552</v>
      </c>
    </row>
    <row r="930" spans="1:4" x14ac:dyDescent="0.3">
      <c r="A930" s="1">
        <v>27312</v>
      </c>
      <c r="B930">
        <v>59.130001</v>
      </c>
      <c r="C930">
        <f t="shared" si="45"/>
        <v>2.7097463956922002E-2</v>
      </c>
      <c r="D930">
        <f t="shared" si="44"/>
        <v>2.1305077392061196</v>
      </c>
    </row>
    <row r="931" spans="1:4" x14ac:dyDescent="0.3">
      <c r="A931" s="1">
        <v>27313</v>
      </c>
      <c r="B931">
        <v>60.419998</v>
      </c>
      <c r="C931">
        <f t="shared" si="45"/>
        <v>2.181628578020825E-2</v>
      </c>
      <c r="D931">
        <f t="shared" si="44"/>
        <v>1.7080352014034423</v>
      </c>
    </row>
    <row r="932" spans="1:4" x14ac:dyDescent="0.3">
      <c r="A932" s="1">
        <v>27316</v>
      </c>
      <c r="B932">
        <v>61.73</v>
      </c>
      <c r="C932">
        <f t="shared" si="45"/>
        <v>2.1681596215875367E-2</v>
      </c>
      <c r="D932">
        <f t="shared" si="44"/>
        <v>1.6972605901036097</v>
      </c>
    </row>
    <row r="933" spans="1:4" x14ac:dyDescent="0.3">
      <c r="A933" s="1">
        <v>27317</v>
      </c>
      <c r="B933">
        <v>61.400002000000001</v>
      </c>
      <c r="C933">
        <f t="shared" si="45"/>
        <v>-5.3458286084561192E-3</v>
      </c>
      <c r="D933">
        <f t="shared" si="44"/>
        <v>-0.46482225840795921</v>
      </c>
    </row>
    <row r="934" spans="1:4" x14ac:dyDescent="0.3">
      <c r="A934" s="1">
        <v>27318</v>
      </c>
      <c r="B934">
        <v>61.189999</v>
      </c>
      <c r="C934">
        <f t="shared" si="45"/>
        <v>-3.420244188265668E-3</v>
      </c>
      <c r="D934">
        <f t="shared" si="44"/>
        <v>-0.31078342284317118</v>
      </c>
    </row>
    <row r="935" spans="1:4" x14ac:dyDescent="0.3">
      <c r="A935" s="1">
        <v>27319</v>
      </c>
      <c r="B935">
        <v>62.040000999999997</v>
      </c>
      <c r="C935">
        <f t="shared" si="45"/>
        <v>1.3891191598156365E-2</v>
      </c>
      <c r="D935">
        <f t="shared" si="44"/>
        <v>1.0740602550212903</v>
      </c>
    </row>
    <row r="936" spans="1:4" x14ac:dyDescent="0.3">
      <c r="A936" s="1">
        <v>27320</v>
      </c>
      <c r="B936">
        <v>62.75</v>
      </c>
      <c r="C936">
        <f t="shared" si="45"/>
        <v>1.1444213226237752E-2</v>
      </c>
      <c r="D936">
        <f t="shared" si="44"/>
        <v>0.87831204730298973</v>
      </c>
    </row>
    <row r="937" spans="1:4" x14ac:dyDescent="0.3">
      <c r="A937" s="1">
        <v>27323</v>
      </c>
      <c r="B937">
        <v>63.82</v>
      </c>
      <c r="C937">
        <f t="shared" si="45"/>
        <v>1.7051792828685262E-2</v>
      </c>
      <c r="D937">
        <f t="shared" si="44"/>
        <v>1.3268953569936852</v>
      </c>
    </row>
    <row r="938" spans="1:4" x14ac:dyDescent="0.3">
      <c r="A938" s="1">
        <v>27324</v>
      </c>
      <c r="B938">
        <v>64.139999000000003</v>
      </c>
      <c r="C938">
        <f t="shared" si="45"/>
        <v>5.0140864932623442E-3</v>
      </c>
      <c r="D938">
        <f t="shared" si="44"/>
        <v>0.36392834950407321</v>
      </c>
    </row>
    <row r="939" spans="1:4" x14ac:dyDescent="0.3">
      <c r="A939" s="1">
        <v>27325</v>
      </c>
      <c r="B939">
        <v>63.400002000000001</v>
      </c>
      <c r="C939">
        <f t="shared" si="45"/>
        <v>-1.1537215646043313E-2</v>
      </c>
      <c r="D939">
        <f t="shared" si="44"/>
        <v>-0.96010776227931172</v>
      </c>
    </row>
    <row r="940" spans="1:4" x14ac:dyDescent="0.3">
      <c r="A940" s="1">
        <v>27326</v>
      </c>
      <c r="B940">
        <v>62.599997999999999</v>
      </c>
      <c r="C940">
        <f t="shared" si="45"/>
        <v>-1.2618359223395628E-2</v>
      </c>
      <c r="D940">
        <f t="shared" si="44"/>
        <v>-1.0465948027785428</v>
      </c>
    </row>
    <row r="941" spans="1:4" x14ac:dyDescent="0.3">
      <c r="A941" s="1">
        <v>27327</v>
      </c>
      <c r="B941">
        <v>62.880001</v>
      </c>
      <c r="C941">
        <f t="shared" si="45"/>
        <v>4.4728915167058098E-3</v>
      </c>
      <c r="D941">
        <f t="shared" si="44"/>
        <v>0.32063497678659142</v>
      </c>
    </row>
    <row r="942" spans="1:4" x14ac:dyDescent="0.3">
      <c r="A942" s="1">
        <v>27330</v>
      </c>
      <c r="B942">
        <v>62.5</v>
      </c>
      <c r="C942">
        <f t="shared" si="45"/>
        <v>-6.0432728046553317E-3</v>
      </c>
      <c r="D942">
        <f t="shared" si="44"/>
        <v>-0.52061492619622496</v>
      </c>
    </row>
    <row r="943" spans="1:4" x14ac:dyDescent="0.3">
      <c r="A943" s="1">
        <v>27331</v>
      </c>
      <c r="B943">
        <v>63.669998</v>
      </c>
      <c r="C943">
        <f t="shared" si="45"/>
        <v>1.8719967999999993E-2</v>
      </c>
      <c r="D943">
        <f t="shared" si="44"/>
        <v>1.4603425111215715</v>
      </c>
    </row>
    <row r="944" spans="1:4" x14ac:dyDescent="0.3">
      <c r="A944" s="1">
        <v>27332</v>
      </c>
      <c r="B944">
        <v>64.879997000000003</v>
      </c>
      <c r="C944">
        <f t="shared" si="45"/>
        <v>1.900422550665077E-2</v>
      </c>
      <c r="D944">
        <f t="shared" si="44"/>
        <v>1.4830819427797821</v>
      </c>
    </row>
    <row r="945" spans="1:4" x14ac:dyDescent="0.3">
      <c r="A945" s="1">
        <v>27333</v>
      </c>
      <c r="B945">
        <v>65.230002999999996</v>
      </c>
      <c r="C945">
        <f t="shared" si="45"/>
        <v>5.394667327126932E-3</v>
      </c>
      <c r="D945">
        <f t="shared" si="44"/>
        <v>0.39437325125550043</v>
      </c>
    </row>
    <row r="946" spans="1:4" x14ac:dyDescent="0.3">
      <c r="A946" s="1">
        <v>27334</v>
      </c>
      <c r="B946">
        <v>65.059997999999993</v>
      </c>
      <c r="C946">
        <f t="shared" si="45"/>
        <v>-2.6062393405072094E-3</v>
      </c>
      <c r="D946">
        <f t="shared" si="44"/>
        <v>-0.2456663822304288</v>
      </c>
    </row>
    <row r="947" spans="1:4" x14ac:dyDescent="0.3">
      <c r="A947" s="1">
        <v>27337</v>
      </c>
      <c r="B947">
        <v>64.620002999999997</v>
      </c>
      <c r="C947">
        <f t="shared" si="45"/>
        <v>-6.7629113668278345E-3</v>
      </c>
      <c r="D947">
        <f t="shared" si="44"/>
        <v>-0.57818305199857578</v>
      </c>
    </row>
    <row r="948" spans="1:4" x14ac:dyDescent="0.3">
      <c r="A948" s="1">
        <v>27338</v>
      </c>
      <c r="B948">
        <v>65.989998</v>
      </c>
      <c r="C948">
        <f t="shared" si="45"/>
        <v>2.1200788245088802E-2</v>
      </c>
      <c r="D948">
        <f t="shared" si="44"/>
        <v>1.6587979295348738</v>
      </c>
    </row>
    <row r="949" spans="1:4" x14ac:dyDescent="0.3">
      <c r="A949" s="1">
        <v>27339</v>
      </c>
      <c r="B949">
        <v>66.110000999999997</v>
      </c>
      <c r="C949">
        <f t="shared" si="45"/>
        <v>1.8185028585695211E-3</v>
      </c>
      <c r="D949">
        <f t="shared" si="44"/>
        <v>0.10829479904706975</v>
      </c>
    </row>
    <row r="950" spans="1:4" x14ac:dyDescent="0.3">
      <c r="A950" s="1">
        <v>27340</v>
      </c>
      <c r="B950">
        <v>66.639999000000003</v>
      </c>
      <c r="C950">
        <f t="shared" si="45"/>
        <v>8.0169110873255962E-3</v>
      </c>
      <c r="D950">
        <f t="shared" si="44"/>
        <v>0.60414196934062225</v>
      </c>
    </row>
    <row r="951" spans="1:4" x14ac:dyDescent="0.3">
      <c r="A951" s="1">
        <v>27341</v>
      </c>
      <c r="B951">
        <v>66.510002</v>
      </c>
      <c r="C951">
        <f t="shared" si="45"/>
        <v>-1.9507353233904313E-3</v>
      </c>
      <c r="D951">
        <f t="shared" si="44"/>
        <v>-0.19322875630971084</v>
      </c>
    </row>
    <row r="952" spans="1:4" x14ac:dyDescent="0.3">
      <c r="A952" s="1">
        <v>27344</v>
      </c>
      <c r="B952">
        <v>66.720000999999996</v>
      </c>
      <c r="C952">
        <f t="shared" si="45"/>
        <v>3.1574048065732469E-3</v>
      </c>
      <c r="D952">
        <f t="shared" si="44"/>
        <v>0.21540144928966037</v>
      </c>
    </row>
    <row r="953" spans="1:4" x14ac:dyDescent="0.3">
      <c r="A953" s="1">
        <v>27345</v>
      </c>
      <c r="B953">
        <v>65.360000999999997</v>
      </c>
      <c r="C953">
        <f t="shared" si="45"/>
        <v>-2.0383692740052559E-2</v>
      </c>
      <c r="D953">
        <f t="shared" si="44"/>
        <v>-1.6677895528688802</v>
      </c>
    </row>
    <row r="954" spans="1:4" x14ac:dyDescent="0.3">
      <c r="A954" s="1">
        <v>27346</v>
      </c>
      <c r="B954">
        <v>64.980002999999996</v>
      </c>
      <c r="C954">
        <f t="shared" si="45"/>
        <v>-5.8139227996645915E-3</v>
      </c>
      <c r="D954">
        <f t="shared" si="44"/>
        <v>-0.50226786888982156</v>
      </c>
    </row>
    <row r="955" spans="1:4" x14ac:dyDescent="0.3">
      <c r="A955" s="1">
        <v>27347</v>
      </c>
      <c r="B955">
        <v>65.040001000000004</v>
      </c>
      <c r="C955">
        <f t="shared" si="45"/>
        <v>9.2333021283497521E-4</v>
      </c>
      <c r="D955">
        <f t="shared" si="44"/>
        <v>3.668466836022001E-2</v>
      </c>
    </row>
    <row r="956" spans="1:4" x14ac:dyDescent="0.3">
      <c r="A956" s="1">
        <v>27348</v>
      </c>
      <c r="B956">
        <v>64.410004000000001</v>
      </c>
      <c r="C956">
        <f t="shared" si="45"/>
        <v>-9.6863005890790652E-3</v>
      </c>
      <c r="D956">
        <f t="shared" si="44"/>
        <v>-0.81204216873036372</v>
      </c>
    </row>
    <row r="957" spans="1:4" x14ac:dyDescent="0.3">
      <c r="A957" s="1">
        <v>27351</v>
      </c>
      <c r="B957">
        <v>62.09</v>
      </c>
      <c r="C957">
        <f t="shared" si="45"/>
        <v>-3.6019311534276524E-2</v>
      </c>
      <c r="D957">
        <f t="shared" si="44"/>
        <v>-2.9185747623581433</v>
      </c>
    </row>
    <row r="958" spans="1:4" x14ac:dyDescent="0.3">
      <c r="A958" s="1">
        <v>27352</v>
      </c>
      <c r="B958">
        <v>60.93</v>
      </c>
      <c r="C958">
        <f t="shared" si="45"/>
        <v>-1.8682557577709834E-2</v>
      </c>
      <c r="D958">
        <f t="shared" si="44"/>
        <v>-1.5317057349910472</v>
      </c>
    </row>
    <row r="959" spans="1:4" x14ac:dyDescent="0.3">
      <c r="A959" s="1">
        <v>27353</v>
      </c>
      <c r="B959">
        <v>60.75</v>
      </c>
      <c r="C959">
        <f t="shared" si="45"/>
        <v>-2.9542097488921668E-3</v>
      </c>
      <c r="D959">
        <f t="shared" si="44"/>
        <v>-0.27350258403835637</v>
      </c>
    </row>
    <row r="960" spans="1:4" x14ac:dyDescent="0.3">
      <c r="A960" s="1">
        <v>27354</v>
      </c>
      <c r="B960">
        <v>61.490001999999997</v>
      </c>
      <c r="C960">
        <f t="shared" si="45"/>
        <v>1.2181102880658386E-2</v>
      </c>
      <c r="D960">
        <f t="shared" si="44"/>
        <v>0.93726018954827583</v>
      </c>
    </row>
    <row r="961" spans="1:4" x14ac:dyDescent="0.3">
      <c r="A961" s="1">
        <v>27355</v>
      </c>
      <c r="B961">
        <v>62.07</v>
      </c>
      <c r="C961">
        <f t="shared" si="45"/>
        <v>9.4323952046708893E-3</v>
      </c>
      <c r="D961">
        <f t="shared" si="44"/>
        <v>0.71737487822277635</v>
      </c>
    </row>
    <row r="962" spans="1:4" x14ac:dyDescent="0.3">
      <c r="A962" s="1">
        <v>27358</v>
      </c>
      <c r="B962">
        <v>61.68</v>
      </c>
      <c r="C962">
        <f t="shared" si="45"/>
        <v>-6.2832286128564618E-3</v>
      </c>
      <c r="D962">
        <f t="shared" si="44"/>
        <v>-0.5398104041481363</v>
      </c>
    </row>
    <row r="963" spans="1:4" x14ac:dyDescent="0.3">
      <c r="A963" s="1">
        <v>27359</v>
      </c>
      <c r="B963">
        <v>62.650002000000001</v>
      </c>
      <c r="C963">
        <f t="shared" si="45"/>
        <v>1.5726361867704295E-2</v>
      </c>
      <c r="D963">
        <f t="shared" ref="D963:D1026" si="46">(C963-avrtn)/sdrtn</f>
        <v>1.2208663303198857</v>
      </c>
    </row>
    <row r="964" spans="1:4" x14ac:dyDescent="0.3">
      <c r="A964" s="1">
        <v>27360</v>
      </c>
      <c r="B964">
        <v>62.799999</v>
      </c>
      <c r="C964">
        <f t="shared" ref="C964:C1027" si="47">(B964-B963)/B963</f>
        <v>2.3942058293948505E-3</v>
      </c>
      <c r="D964">
        <f t="shared" si="46"/>
        <v>0.15434866940833486</v>
      </c>
    </row>
    <row r="965" spans="1:4" x14ac:dyDescent="0.3">
      <c r="A965" s="1">
        <v>27362</v>
      </c>
      <c r="B965">
        <v>62.950001</v>
      </c>
      <c r="C965">
        <f t="shared" si="47"/>
        <v>2.3885669170154067E-3</v>
      </c>
      <c r="D965">
        <f t="shared" si="46"/>
        <v>0.1538975796053256</v>
      </c>
    </row>
    <row r="966" spans="1:4" x14ac:dyDescent="0.3">
      <c r="A966" s="1">
        <v>27365</v>
      </c>
      <c r="B966">
        <v>61.66</v>
      </c>
      <c r="C966">
        <f t="shared" si="47"/>
        <v>-2.0492469888920315E-2</v>
      </c>
      <c r="D966">
        <f t="shared" si="46"/>
        <v>-1.676491277483992</v>
      </c>
    </row>
    <row r="967" spans="1:4" x14ac:dyDescent="0.3">
      <c r="A967" s="1">
        <v>27366</v>
      </c>
      <c r="B967">
        <v>60.5</v>
      </c>
      <c r="C967">
        <f t="shared" si="47"/>
        <v>-1.8812844631852038E-2</v>
      </c>
      <c r="D967">
        <f t="shared" si="46"/>
        <v>-1.5421281635788557</v>
      </c>
    </row>
    <row r="968" spans="1:4" x14ac:dyDescent="0.3">
      <c r="A968" s="1">
        <v>27367</v>
      </c>
      <c r="B968">
        <v>60.41</v>
      </c>
      <c r="C968">
        <f t="shared" si="47"/>
        <v>-1.4876033057851803E-3</v>
      </c>
      <c r="D968">
        <f t="shared" si="46"/>
        <v>-0.15618009931152646</v>
      </c>
    </row>
    <row r="969" spans="1:4" x14ac:dyDescent="0.3">
      <c r="A969" s="1">
        <v>27368</v>
      </c>
      <c r="B969">
        <v>58.919998</v>
      </c>
      <c r="C969">
        <f t="shared" si="47"/>
        <v>-2.4664823704684605E-2</v>
      </c>
      <c r="D969">
        <f t="shared" si="46"/>
        <v>-2.0102624259237287</v>
      </c>
    </row>
    <row r="970" spans="1:4" x14ac:dyDescent="0.3">
      <c r="A970" s="1">
        <v>27369</v>
      </c>
      <c r="B970">
        <v>58.209999000000003</v>
      </c>
      <c r="C970">
        <f t="shared" si="47"/>
        <v>-1.2050221047190061E-2</v>
      </c>
      <c r="D970">
        <f t="shared" si="46"/>
        <v>-1.0011460848802374</v>
      </c>
    </row>
    <row r="971" spans="1:4" x14ac:dyDescent="0.3">
      <c r="A971" s="1">
        <v>27372</v>
      </c>
      <c r="B971">
        <v>57.91</v>
      </c>
      <c r="C971">
        <f t="shared" si="47"/>
        <v>-5.153736559933746E-3</v>
      </c>
      <c r="D971">
        <f t="shared" si="46"/>
        <v>-0.44945568441339262</v>
      </c>
    </row>
    <row r="972" spans="1:4" x14ac:dyDescent="0.3">
      <c r="A972" s="1">
        <v>27373</v>
      </c>
      <c r="B972">
        <v>58.759998000000003</v>
      </c>
      <c r="C972">
        <f t="shared" si="47"/>
        <v>1.4677914004489838E-2</v>
      </c>
      <c r="D972">
        <f t="shared" si="46"/>
        <v>1.1369948125061033</v>
      </c>
    </row>
    <row r="973" spans="1:4" x14ac:dyDescent="0.3">
      <c r="A973" s="1">
        <v>27374</v>
      </c>
      <c r="B973">
        <v>59.27</v>
      </c>
      <c r="C973">
        <f t="shared" si="47"/>
        <v>8.6794080558001384E-3</v>
      </c>
      <c r="D973">
        <f t="shared" si="46"/>
        <v>0.65713900261477354</v>
      </c>
    </row>
    <row r="974" spans="1:4" x14ac:dyDescent="0.3">
      <c r="A974" s="1">
        <v>27375</v>
      </c>
      <c r="B974">
        <v>59.360000999999997</v>
      </c>
      <c r="C974">
        <f t="shared" si="47"/>
        <v>1.5184916483886245E-3</v>
      </c>
      <c r="D974">
        <f t="shared" si="46"/>
        <v>8.4295135886065659E-2</v>
      </c>
    </row>
    <row r="975" spans="1:4" x14ac:dyDescent="0.3">
      <c r="A975" s="1">
        <v>27376</v>
      </c>
      <c r="B975">
        <v>59.220001000000003</v>
      </c>
      <c r="C975">
        <f t="shared" si="47"/>
        <v>-2.3584905263056427E-3</v>
      </c>
      <c r="D975">
        <f t="shared" si="46"/>
        <v>-0.22584749584351471</v>
      </c>
    </row>
    <row r="976" spans="1:4" x14ac:dyDescent="0.3">
      <c r="A976" s="1">
        <v>27379</v>
      </c>
      <c r="B976">
        <v>58.849997999999999</v>
      </c>
      <c r="C976">
        <f t="shared" si="47"/>
        <v>-6.2479397796701159E-3</v>
      </c>
      <c r="D976">
        <f t="shared" si="46"/>
        <v>-0.53698744260177778</v>
      </c>
    </row>
    <row r="977" spans="1:4" x14ac:dyDescent="0.3">
      <c r="A977" s="1">
        <v>27380</v>
      </c>
      <c r="B977">
        <v>59.18</v>
      </c>
      <c r="C977">
        <f t="shared" si="47"/>
        <v>5.6075108107905176E-3</v>
      </c>
      <c r="D977">
        <f t="shared" si="46"/>
        <v>0.41139985473095281</v>
      </c>
    </row>
    <row r="978" spans="1:4" x14ac:dyDescent="0.3">
      <c r="A978" s="1">
        <v>27381</v>
      </c>
      <c r="B978">
        <v>59.630001</v>
      </c>
      <c r="C978">
        <f t="shared" si="47"/>
        <v>7.6039371409259938E-3</v>
      </c>
      <c r="D978">
        <f t="shared" si="46"/>
        <v>0.57110575178766854</v>
      </c>
    </row>
    <row r="979" spans="1:4" x14ac:dyDescent="0.3">
      <c r="A979" s="1">
        <v>27382</v>
      </c>
      <c r="B979">
        <v>59.459999000000003</v>
      </c>
      <c r="C979">
        <f t="shared" si="47"/>
        <v>-2.8509474618321181E-3</v>
      </c>
      <c r="D979">
        <f t="shared" si="46"/>
        <v>-0.26524202569061406</v>
      </c>
    </row>
    <row r="980" spans="1:4" x14ac:dyDescent="0.3">
      <c r="A980" s="1">
        <v>27383</v>
      </c>
      <c r="B980">
        <v>58.669998</v>
      </c>
      <c r="C980">
        <f t="shared" si="47"/>
        <v>-1.3286259893815398E-2</v>
      </c>
      <c r="D980">
        <f t="shared" si="46"/>
        <v>-1.1000241099881571</v>
      </c>
    </row>
    <row r="981" spans="1:4" x14ac:dyDescent="0.3">
      <c r="A981" s="1">
        <v>27386</v>
      </c>
      <c r="B981">
        <v>57.860000999999997</v>
      </c>
      <c r="C981">
        <f t="shared" si="47"/>
        <v>-1.3805983085255989E-2</v>
      </c>
      <c r="D981">
        <f t="shared" si="46"/>
        <v>-1.1415998281888715</v>
      </c>
    </row>
    <row r="982" spans="1:4" x14ac:dyDescent="0.3">
      <c r="A982" s="1">
        <v>27387</v>
      </c>
      <c r="B982">
        <v>58.310001</v>
      </c>
      <c r="C982">
        <f t="shared" si="47"/>
        <v>7.7773935745352454E-3</v>
      </c>
      <c r="D982">
        <f t="shared" si="46"/>
        <v>0.58498155321929179</v>
      </c>
    </row>
    <row r="983" spans="1:4" x14ac:dyDescent="0.3">
      <c r="A983" s="1">
        <v>27389</v>
      </c>
      <c r="B983">
        <v>58.880001</v>
      </c>
      <c r="C983">
        <f t="shared" si="47"/>
        <v>9.7753385392670509E-3</v>
      </c>
      <c r="D983">
        <f t="shared" si="46"/>
        <v>0.74480893479905119</v>
      </c>
    </row>
    <row r="984" spans="1:4" x14ac:dyDescent="0.3">
      <c r="A984" s="1">
        <v>27390</v>
      </c>
      <c r="B984">
        <v>58.740001999999997</v>
      </c>
      <c r="C984">
        <f t="shared" si="47"/>
        <v>-2.3777003672266089E-3</v>
      </c>
      <c r="D984">
        <f t="shared" si="46"/>
        <v>-0.22738420412585417</v>
      </c>
    </row>
    <row r="985" spans="1:4" x14ac:dyDescent="0.3">
      <c r="A985" s="1">
        <v>27393</v>
      </c>
      <c r="B985">
        <v>58.779998999999997</v>
      </c>
      <c r="C985">
        <f t="shared" si="47"/>
        <v>6.8091587739475422E-4</v>
      </c>
      <c r="D985">
        <f t="shared" si="46"/>
        <v>1.7292518338705855E-2</v>
      </c>
    </row>
    <row r="986" spans="1:4" x14ac:dyDescent="0.3">
      <c r="A986" s="1">
        <v>27394</v>
      </c>
      <c r="B986">
        <v>59.82</v>
      </c>
      <c r="C986">
        <f t="shared" si="47"/>
        <v>1.7693110202332663E-2</v>
      </c>
      <c r="D986">
        <f t="shared" si="46"/>
        <v>1.3781981097726794</v>
      </c>
    </row>
    <row r="987" spans="1:4" x14ac:dyDescent="0.3">
      <c r="A987" s="1">
        <v>27396</v>
      </c>
      <c r="B987">
        <v>60.700001</v>
      </c>
      <c r="C987">
        <f t="shared" si="47"/>
        <v>1.471081578067536E-2</v>
      </c>
      <c r="D987">
        <f t="shared" si="46"/>
        <v>1.139626819308033</v>
      </c>
    </row>
    <row r="988" spans="1:4" x14ac:dyDescent="0.3">
      <c r="A988" s="1">
        <v>27397</v>
      </c>
      <c r="B988">
        <v>61.23</v>
      </c>
      <c r="C988">
        <f t="shared" si="47"/>
        <v>8.7314496090370175E-3</v>
      </c>
      <c r="D988">
        <f t="shared" si="46"/>
        <v>0.66130211287757834</v>
      </c>
    </row>
    <row r="989" spans="1:4" x14ac:dyDescent="0.3">
      <c r="A989" s="1">
        <v>27400</v>
      </c>
      <c r="B989">
        <v>61.740001999999997</v>
      </c>
      <c r="C989">
        <f t="shared" si="47"/>
        <v>8.3292830311938616E-3</v>
      </c>
      <c r="D989">
        <f t="shared" si="46"/>
        <v>0.62913044036897525</v>
      </c>
    </row>
    <row r="990" spans="1:4" x14ac:dyDescent="0.3">
      <c r="A990" s="1">
        <v>27401</v>
      </c>
      <c r="B990">
        <v>61.889999000000003</v>
      </c>
      <c r="C990">
        <f t="shared" si="47"/>
        <v>2.4294945763041302E-3</v>
      </c>
      <c r="D990">
        <f t="shared" si="46"/>
        <v>0.15717162405288287</v>
      </c>
    </row>
    <row r="991" spans="1:4" x14ac:dyDescent="0.3">
      <c r="A991" s="1">
        <v>27402</v>
      </c>
      <c r="B991">
        <v>61.5</v>
      </c>
      <c r="C991">
        <f t="shared" si="47"/>
        <v>-6.3014866101387896E-3</v>
      </c>
      <c r="D991">
        <f t="shared" si="46"/>
        <v>-0.5412709688533891</v>
      </c>
    </row>
    <row r="992" spans="1:4" x14ac:dyDescent="0.3">
      <c r="A992" s="1">
        <v>27403</v>
      </c>
      <c r="B992">
        <v>62.369999</v>
      </c>
      <c r="C992">
        <f t="shared" si="47"/>
        <v>1.4146325203252033E-2</v>
      </c>
      <c r="D992">
        <f t="shared" si="46"/>
        <v>1.0944698943132909</v>
      </c>
    </row>
    <row r="993" spans="1:4" x14ac:dyDescent="0.3">
      <c r="A993" s="1">
        <v>27404</v>
      </c>
      <c r="B993">
        <v>63.689999</v>
      </c>
      <c r="C993">
        <f t="shared" si="47"/>
        <v>2.1164021503351321E-2</v>
      </c>
      <c r="D993">
        <f t="shared" si="46"/>
        <v>1.6558567413816208</v>
      </c>
    </row>
    <row r="994" spans="1:4" x14ac:dyDescent="0.3">
      <c r="A994" s="1">
        <v>27407</v>
      </c>
      <c r="B994">
        <v>63.34</v>
      </c>
      <c r="C994">
        <f t="shared" si="47"/>
        <v>-5.4953525748995041E-3</v>
      </c>
      <c r="D994">
        <f t="shared" si="46"/>
        <v>-0.47678356087720614</v>
      </c>
    </row>
    <row r="995" spans="1:4" x14ac:dyDescent="0.3">
      <c r="A995" s="1">
        <v>27408</v>
      </c>
      <c r="B995">
        <v>63.110000999999997</v>
      </c>
      <c r="C995">
        <f t="shared" si="47"/>
        <v>-3.6311809283234367E-3</v>
      </c>
      <c r="D995">
        <f t="shared" si="46"/>
        <v>-0.32765749467073474</v>
      </c>
    </row>
    <row r="996" spans="1:4" x14ac:dyDescent="0.3">
      <c r="A996" s="1">
        <v>27409</v>
      </c>
      <c r="B996">
        <v>63.869999</v>
      </c>
      <c r="C996">
        <f t="shared" si="47"/>
        <v>1.2042433654849777E-2</v>
      </c>
      <c r="D996">
        <f t="shared" si="46"/>
        <v>0.92616722169485077</v>
      </c>
    </row>
    <row r="997" spans="1:4" x14ac:dyDescent="0.3">
      <c r="A997" s="1">
        <v>27410</v>
      </c>
      <c r="B997">
        <v>64.800003000000004</v>
      </c>
      <c r="C997">
        <f t="shared" si="47"/>
        <v>1.4560889534380669E-2</v>
      </c>
      <c r="D997">
        <f t="shared" si="46"/>
        <v>1.1276333361048663</v>
      </c>
    </row>
    <row r="998" spans="1:4" x14ac:dyDescent="0.3">
      <c r="A998" s="1">
        <v>27411</v>
      </c>
      <c r="B998">
        <v>64.400002000000001</v>
      </c>
      <c r="C998">
        <f t="shared" si="47"/>
        <v>-6.172854652491345E-3</v>
      </c>
      <c r="D998">
        <f t="shared" si="46"/>
        <v>-0.5309809411793639</v>
      </c>
    </row>
    <row r="999" spans="1:4" x14ac:dyDescent="0.3">
      <c r="A999" s="1">
        <v>27414</v>
      </c>
      <c r="B999">
        <v>64.440002000000007</v>
      </c>
      <c r="C999">
        <f t="shared" si="47"/>
        <v>6.2111799313307862E-4</v>
      </c>
      <c r="D999">
        <f t="shared" si="46"/>
        <v>1.2508933488141144E-2</v>
      </c>
    </row>
    <row r="1000" spans="1:4" x14ac:dyDescent="0.3">
      <c r="A1000" s="1">
        <v>27415</v>
      </c>
      <c r="B1000">
        <v>64.180000000000007</v>
      </c>
      <c r="C1000">
        <f t="shared" si="47"/>
        <v>-4.0347919293981403E-3</v>
      </c>
      <c r="D1000">
        <f t="shared" si="46"/>
        <v>-0.35994471509835774</v>
      </c>
    </row>
    <row r="1001" spans="1:4" x14ac:dyDescent="0.3">
      <c r="A1001" s="1">
        <v>27416</v>
      </c>
      <c r="B1001">
        <v>64.120002999999997</v>
      </c>
      <c r="C1001">
        <f t="shared" si="47"/>
        <v>-9.3482393268946461E-4</v>
      </c>
      <c r="D1001">
        <f t="shared" si="46"/>
        <v>-0.11196002250623335</v>
      </c>
    </row>
    <row r="1002" spans="1:4" x14ac:dyDescent="0.3">
      <c r="A1002" s="1">
        <v>27417</v>
      </c>
      <c r="B1002">
        <v>64.489998</v>
      </c>
      <c r="C1002">
        <f t="shared" si="47"/>
        <v>5.7703521941507548E-3</v>
      </c>
      <c r="D1002">
        <f t="shared" si="46"/>
        <v>0.42442649579200231</v>
      </c>
    </row>
    <row r="1003" spans="1:4" x14ac:dyDescent="0.3">
      <c r="A1003" s="1">
        <v>27418</v>
      </c>
      <c r="B1003">
        <v>65.379997000000003</v>
      </c>
      <c r="C1003">
        <f t="shared" si="47"/>
        <v>1.380057416035279E-2</v>
      </c>
      <c r="D1003">
        <f t="shared" si="46"/>
        <v>1.0668112326181352</v>
      </c>
    </row>
    <row r="1004" spans="1:4" x14ac:dyDescent="0.3">
      <c r="A1004" s="1">
        <v>27421</v>
      </c>
      <c r="B1004">
        <v>67.040001000000004</v>
      </c>
      <c r="C1004">
        <f t="shared" si="47"/>
        <v>2.5390089877183698E-2</v>
      </c>
      <c r="D1004">
        <f t="shared" si="46"/>
        <v>1.9939248335912221</v>
      </c>
    </row>
    <row r="1005" spans="1:4" x14ac:dyDescent="0.3">
      <c r="A1005" s="1">
        <v>27422</v>
      </c>
      <c r="B1005">
        <v>67.919998000000007</v>
      </c>
      <c r="C1005">
        <f t="shared" si="47"/>
        <v>1.3126446701574528E-2</v>
      </c>
      <c r="D1005">
        <f t="shared" si="46"/>
        <v>1.0128838079445481</v>
      </c>
    </row>
    <row r="1006" spans="1:4" x14ac:dyDescent="0.3">
      <c r="A1006" s="1">
        <v>27423</v>
      </c>
      <c r="B1006">
        <v>69.080001999999993</v>
      </c>
      <c r="C1006">
        <f t="shared" si="47"/>
        <v>1.7078975767931947E-2</v>
      </c>
      <c r="D1006">
        <f t="shared" si="46"/>
        <v>1.3290698803565058</v>
      </c>
    </row>
    <row r="1007" spans="1:4" x14ac:dyDescent="0.3">
      <c r="A1007" s="1">
        <v>27424</v>
      </c>
      <c r="B1007">
        <v>68.989998</v>
      </c>
      <c r="C1007">
        <f t="shared" si="47"/>
        <v>-1.3028951562565577E-3</v>
      </c>
      <c r="D1007">
        <f t="shared" si="46"/>
        <v>-0.14140420687368585</v>
      </c>
    </row>
    <row r="1008" spans="1:4" x14ac:dyDescent="0.3">
      <c r="A1008" s="1">
        <v>27425</v>
      </c>
      <c r="B1008">
        <v>69.779999000000004</v>
      </c>
      <c r="C1008">
        <f t="shared" si="47"/>
        <v>1.145094974491815E-2</v>
      </c>
      <c r="D1008">
        <f t="shared" si="46"/>
        <v>0.87885094109669115</v>
      </c>
    </row>
    <row r="1009" spans="1:4" x14ac:dyDescent="0.3">
      <c r="A1009" s="1">
        <v>27428</v>
      </c>
      <c r="B1009">
        <v>70.730002999999996</v>
      </c>
      <c r="C1009">
        <f t="shared" si="47"/>
        <v>1.3614273625885158E-2</v>
      </c>
      <c r="D1009">
        <f t="shared" si="46"/>
        <v>1.0519079559330997</v>
      </c>
    </row>
    <row r="1010" spans="1:4" x14ac:dyDescent="0.3">
      <c r="A1010" s="1">
        <v>27429</v>
      </c>
      <c r="B1010">
        <v>70.129997000000003</v>
      </c>
      <c r="C1010">
        <f t="shared" si="47"/>
        <v>-8.4830478517015397E-3</v>
      </c>
      <c r="D1010">
        <f t="shared" si="46"/>
        <v>-0.71578689754498204</v>
      </c>
    </row>
    <row r="1011" spans="1:4" x14ac:dyDescent="0.3">
      <c r="A1011" s="1">
        <v>27430</v>
      </c>
      <c r="B1011">
        <v>71.069999999999993</v>
      </c>
      <c r="C1011">
        <f t="shared" si="47"/>
        <v>1.3403722233154952E-2</v>
      </c>
      <c r="D1011">
        <f t="shared" si="46"/>
        <v>1.0350647103071835</v>
      </c>
    </row>
    <row r="1012" spans="1:4" x14ac:dyDescent="0.3">
      <c r="A1012" s="1">
        <v>27431</v>
      </c>
      <c r="B1012">
        <v>71.459998999999996</v>
      </c>
      <c r="C1012">
        <f t="shared" si="47"/>
        <v>5.4875334177571849E-3</v>
      </c>
      <c r="D1012">
        <f t="shared" si="46"/>
        <v>0.40180215663827423</v>
      </c>
    </row>
    <row r="1013" spans="1:4" x14ac:dyDescent="0.3">
      <c r="A1013" s="1">
        <v>27432</v>
      </c>
      <c r="B1013">
        <v>71.120002999999997</v>
      </c>
      <c r="C1013">
        <f t="shared" si="47"/>
        <v>-4.7578506123404692E-3</v>
      </c>
      <c r="D1013">
        <f t="shared" si="46"/>
        <v>-0.41778643649867403</v>
      </c>
    </row>
    <row r="1014" spans="1:4" x14ac:dyDescent="0.3">
      <c r="A1014" s="1">
        <v>27435</v>
      </c>
      <c r="B1014">
        <v>70.819999999999993</v>
      </c>
      <c r="C1014">
        <f t="shared" si="47"/>
        <v>-4.2182647264512041E-3</v>
      </c>
      <c r="D1014">
        <f t="shared" si="46"/>
        <v>-0.37462178441795341</v>
      </c>
    </row>
    <row r="1015" spans="1:4" x14ac:dyDescent="0.3">
      <c r="A1015" s="1">
        <v>27436</v>
      </c>
      <c r="B1015">
        <v>70.830001999999993</v>
      </c>
      <c r="C1015">
        <f t="shared" si="47"/>
        <v>1.4123129059587781E-4</v>
      </c>
      <c r="D1015">
        <f t="shared" si="46"/>
        <v>-2.588002940892312E-2</v>
      </c>
    </row>
    <row r="1016" spans="1:4" x14ac:dyDescent="0.3">
      <c r="A1016" s="1">
        <v>27437</v>
      </c>
      <c r="B1016">
        <v>71.589995999999999</v>
      </c>
      <c r="C1016">
        <f t="shared" si="47"/>
        <v>1.0729831689119621E-2</v>
      </c>
      <c r="D1016">
        <f t="shared" si="46"/>
        <v>0.82116446188797243</v>
      </c>
    </row>
    <row r="1017" spans="1:4" x14ac:dyDescent="0.3">
      <c r="A1017" s="1">
        <v>27438</v>
      </c>
      <c r="B1017">
        <v>72.879997000000003</v>
      </c>
      <c r="C1017">
        <f t="shared" si="47"/>
        <v>1.8019291410492657E-2</v>
      </c>
      <c r="D1017">
        <f t="shared" si="46"/>
        <v>1.4042912651603365</v>
      </c>
    </row>
    <row r="1018" spans="1:4" x14ac:dyDescent="0.3">
      <c r="A1018" s="1">
        <v>27439</v>
      </c>
      <c r="B1018">
        <v>73.260002</v>
      </c>
      <c r="C1018">
        <f t="shared" si="47"/>
        <v>5.2141193145218848E-3</v>
      </c>
      <c r="D1018">
        <f t="shared" si="46"/>
        <v>0.37993015266496061</v>
      </c>
    </row>
    <row r="1019" spans="1:4" x14ac:dyDescent="0.3">
      <c r="A1019" s="1">
        <v>27443</v>
      </c>
      <c r="B1019">
        <v>72.470000999999996</v>
      </c>
      <c r="C1019">
        <f t="shared" si="47"/>
        <v>-1.0783524139133981E-2</v>
      </c>
      <c r="D1019">
        <f t="shared" si="46"/>
        <v>-0.89981554092456006</v>
      </c>
    </row>
    <row r="1020" spans="1:4" x14ac:dyDescent="0.3">
      <c r="A1020" s="1">
        <v>27444</v>
      </c>
      <c r="B1020">
        <v>72.870002999999997</v>
      </c>
      <c r="C1020">
        <f t="shared" si="47"/>
        <v>5.5195528422857434E-3</v>
      </c>
      <c r="D1020">
        <f t="shared" si="46"/>
        <v>0.40436357893589853</v>
      </c>
    </row>
    <row r="1021" spans="1:4" x14ac:dyDescent="0.3">
      <c r="A1021" s="1">
        <v>27445</v>
      </c>
      <c r="B1021">
        <v>73.580001999999993</v>
      </c>
      <c r="C1021">
        <f t="shared" si="47"/>
        <v>9.7433644952642073E-3</v>
      </c>
      <c r="D1021">
        <f t="shared" si="46"/>
        <v>0.7422511427568782</v>
      </c>
    </row>
    <row r="1022" spans="1:4" x14ac:dyDescent="0.3">
      <c r="A1022" s="1">
        <v>27446</v>
      </c>
      <c r="B1022">
        <v>73.790001000000004</v>
      </c>
      <c r="C1022">
        <f t="shared" si="47"/>
        <v>2.8540227547154797E-3</v>
      </c>
      <c r="D1022">
        <f t="shared" si="46"/>
        <v>0.19113213265549042</v>
      </c>
    </row>
    <row r="1023" spans="1:4" x14ac:dyDescent="0.3">
      <c r="A1023" s="1">
        <v>27449</v>
      </c>
      <c r="B1023">
        <v>73.139999000000003</v>
      </c>
      <c r="C1023">
        <f t="shared" si="47"/>
        <v>-8.8088086623010157E-3</v>
      </c>
      <c r="D1023">
        <f t="shared" si="46"/>
        <v>-0.74184642285648295</v>
      </c>
    </row>
    <row r="1024" spans="1:4" x14ac:dyDescent="0.3">
      <c r="A1024" s="1">
        <v>27450</v>
      </c>
      <c r="B1024">
        <v>72.069999999999993</v>
      </c>
      <c r="C1024">
        <f t="shared" si="47"/>
        <v>-1.4629464241584279E-2</v>
      </c>
      <c r="D1024">
        <f t="shared" si="46"/>
        <v>-1.2074749345203866</v>
      </c>
    </row>
    <row r="1025" spans="1:4" x14ac:dyDescent="0.3">
      <c r="A1025" s="1">
        <v>27451</v>
      </c>
      <c r="B1025">
        <v>72.239998</v>
      </c>
      <c r="C1025">
        <f t="shared" si="47"/>
        <v>2.3587900652144687E-3</v>
      </c>
      <c r="D1025">
        <f t="shared" si="46"/>
        <v>0.1515155539043968</v>
      </c>
    </row>
    <row r="1026" spans="1:4" x14ac:dyDescent="0.3">
      <c r="A1026" s="1">
        <v>27452</v>
      </c>
      <c r="B1026">
        <v>72.529999000000004</v>
      </c>
      <c r="C1026">
        <f t="shared" si="47"/>
        <v>4.0144104101443043E-3</v>
      </c>
      <c r="D1026">
        <f t="shared" si="46"/>
        <v>0.28395837354724618</v>
      </c>
    </row>
    <row r="1027" spans="1:4" x14ac:dyDescent="0.3">
      <c r="A1027" s="1">
        <v>27453</v>
      </c>
      <c r="B1027">
        <v>73</v>
      </c>
      <c r="C1027">
        <f t="shared" si="47"/>
        <v>6.4800910861724445E-3</v>
      </c>
      <c r="D1027">
        <f t="shared" ref="D1027:D1090" si="48">(C1027-avrtn)/sdrtn</f>
        <v>0.48120268868997501</v>
      </c>
    </row>
    <row r="1028" spans="1:4" x14ac:dyDescent="0.3">
      <c r="A1028" s="1">
        <v>27456</v>
      </c>
      <c r="B1028">
        <v>73.830001999999993</v>
      </c>
      <c r="C1028">
        <f t="shared" ref="C1028:C1091" si="49">(B1028-B1027)/B1027</f>
        <v>1.1369890410958811E-2</v>
      </c>
      <c r="D1028">
        <f t="shared" si="48"/>
        <v>0.872366527697917</v>
      </c>
    </row>
    <row r="1029" spans="1:4" x14ac:dyDescent="0.3">
      <c r="A1029" s="1">
        <v>27457</v>
      </c>
      <c r="B1029">
        <v>74.209998999999996</v>
      </c>
      <c r="C1029">
        <f t="shared" si="49"/>
        <v>5.1469184573502118E-3</v>
      </c>
      <c r="D1029">
        <f t="shared" si="48"/>
        <v>0.3745543604228026</v>
      </c>
    </row>
    <row r="1030" spans="1:4" x14ac:dyDescent="0.3">
      <c r="A1030" s="1">
        <v>27458</v>
      </c>
      <c r="B1030">
        <v>73.900002000000001</v>
      </c>
      <c r="C1030">
        <f t="shared" si="49"/>
        <v>-4.1772942214969664E-3</v>
      </c>
      <c r="D1030">
        <f t="shared" si="48"/>
        <v>-0.37134431249333744</v>
      </c>
    </row>
    <row r="1031" spans="1:4" x14ac:dyDescent="0.3">
      <c r="A1031" s="1">
        <v>27459</v>
      </c>
      <c r="B1031">
        <v>74.029999000000004</v>
      </c>
      <c r="C1031">
        <f t="shared" si="49"/>
        <v>1.7590933218107766E-3</v>
      </c>
      <c r="D1031">
        <f t="shared" si="48"/>
        <v>0.10354228039984505</v>
      </c>
    </row>
    <row r="1032" spans="1:4" x14ac:dyDescent="0.3">
      <c r="A1032" s="1">
        <v>27460</v>
      </c>
      <c r="B1032">
        <v>74.400002000000001</v>
      </c>
      <c r="C1032">
        <f t="shared" si="49"/>
        <v>4.9980143860328423E-3</v>
      </c>
      <c r="D1032">
        <f t="shared" si="48"/>
        <v>0.36264264701461291</v>
      </c>
    </row>
    <row r="1033" spans="1:4" x14ac:dyDescent="0.3">
      <c r="A1033" s="1">
        <v>27463</v>
      </c>
      <c r="B1033">
        <v>74.879997000000003</v>
      </c>
      <c r="C1033">
        <f t="shared" si="49"/>
        <v>6.4515455254961201E-3</v>
      </c>
      <c r="D1033">
        <f t="shared" si="48"/>
        <v>0.47891916121591593</v>
      </c>
    </row>
    <row r="1034" spans="1:4" x14ac:dyDescent="0.3">
      <c r="A1034" s="1">
        <v>27464</v>
      </c>
      <c r="B1034">
        <v>75.040001000000004</v>
      </c>
      <c r="C1034">
        <f t="shared" si="49"/>
        <v>2.1368056411647652E-3</v>
      </c>
      <c r="D1034">
        <f t="shared" si="48"/>
        <v>0.13375771278582646</v>
      </c>
    </row>
    <row r="1035" spans="1:4" x14ac:dyDescent="0.3">
      <c r="A1035" s="1">
        <v>27465</v>
      </c>
      <c r="B1035">
        <v>74.129997000000003</v>
      </c>
      <c r="C1035">
        <f t="shared" si="49"/>
        <v>-1.212691881493979E-2</v>
      </c>
      <c r="D1035">
        <f t="shared" si="48"/>
        <v>-1.0072815909171102</v>
      </c>
    </row>
    <row r="1036" spans="1:4" x14ac:dyDescent="0.3">
      <c r="A1036" s="1">
        <v>27466</v>
      </c>
      <c r="B1036">
        <v>74.680000000000007</v>
      </c>
      <c r="C1036">
        <f t="shared" si="49"/>
        <v>7.4194391239487539E-3</v>
      </c>
      <c r="D1036">
        <f t="shared" si="48"/>
        <v>0.5563466690898683</v>
      </c>
    </row>
    <row r="1037" spans="1:4" x14ac:dyDescent="0.3">
      <c r="A1037" s="1">
        <v>27467</v>
      </c>
      <c r="B1037">
        <v>76.069999999999993</v>
      </c>
      <c r="C1037">
        <f t="shared" si="49"/>
        <v>1.8612747723620596E-2</v>
      </c>
      <c r="D1037">
        <f t="shared" si="48"/>
        <v>1.4517653299036306</v>
      </c>
    </row>
    <row r="1038" spans="1:4" x14ac:dyDescent="0.3">
      <c r="A1038" s="1">
        <v>27470</v>
      </c>
      <c r="B1038">
        <v>76.269997000000004</v>
      </c>
      <c r="C1038">
        <f t="shared" si="49"/>
        <v>2.6291179177075118E-3</v>
      </c>
      <c r="D1038">
        <f t="shared" si="48"/>
        <v>0.17314067050906876</v>
      </c>
    </row>
    <row r="1039" spans="1:4" x14ac:dyDescent="0.3">
      <c r="A1039" s="1">
        <v>27471</v>
      </c>
      <c r="B1039">
        <v>76.180000000000007</v>
      </c>
      <c r="C1039">
        <f t="shared" si="49"/>
        <v>-1.1799790683090859E-3</v>
      </c>
      <c r="D1039">
        <f t="shared" si="48"/>
        <v>-0.13157142527186183</v>
      </c>
    </row>
    <row r="1040" spans="1:4" x14ac:dyDescent="0.3">
      <c r="A1040" s="1">
        <v>27472</v>
      </c>
      <c r="B1040">
        <v>75.669998000000007</v>
      </c>
      <c r="C1040">
        <f t="shared" si="49"/>
        <v>-6.6946967708059859E-3</v>
      </c>
      <c r="D1040">
        <f t="shared" si="48"/>
        <v>-0.57272616481692284</v>
      </c>
    </row>
    <row r="1041" spans="1:4" x14ac:dyDescent="0.3">
      <c r="A1041" s="1">
        <v>27473</v>
      </c>
      <c r="B1041">
        <v>75.779999000000004</v>
      </c>
      <c r="C1041">
        <f t="shared" si="49"/>
        <v>1.4536937083042727E-3</v>
      </c>
      <c r="D1041">
        <f t="shared" si="48"/>
        <v>7.9111567130039237E-2</v>
      </c>
    </row>
    <row r="1042" spans="1:4" x14ac:dyDescent="0.3">
      <c r="A1042" s="1">
        <v>27474</v>
      </c>
      <c r="B1042">
        <v>75.919998000000007</v>
      </c>
      <c r="C1042">
        <f t="shared" si="49"/>
        <v>1.8474399821515317E-3</v>
      </c>
      <c r="D1042">
        <f t="shared" si="48"/>
        <v>0.11060964994346743</v>
      </c>
    </row>
    <row r="1043" spans="1:4" x14ac:dyDescent="0.3">
      <c r="A1043" s="1">
        <v>27477</v>
      </c>
      <c r="B1043">
        <v>74.419998000000007</v>
      </c>
      <c r="C1043">
        <f t="shared" si="49"/>
        <v>-1.9757640141139097E-2</v>
      </c>
      <c r="D1043">
        <f t="shared" si="48"/>
        <v>-1.6177079192994723</v>
      </c>
    </row>
    <row r="1044" spans="1:4" x14ac:dyDescent="0.3">
      <c r="A1044" s="1">
        <v>27478</v>
      </c>
      <c r="B1044">
        <v>74.330001999999993</v>
      </c>
      <c r="C1044">
        <f t="shared" si="49"/>
        <v>-1.2092986081511786E-3</v>
      </c>
      <c r="D1044">
        <f t="shared" si="48"/>
        <v>-0.13391686789656104</v>
      </c>
    </row>
    <row r="1045" spans="1:4" x14ac:dyDescent="0.3">
      <c r="A1045" s="1">
        <v>27479</v>
      </c>
      <c r="B1045">
        <v>75.559997999999993</v>
      </c>
      <c r="C1045">
        <f t="shared" si="49"/>
        <v>1.6547772997503752E-2</v>
      </c>
      <c r="D1045">
        <f t="shared" si="48"/>
        <v>1.2865758430410941</v>
      </c>
    </row>
    <row r="1046" spans="1:4" x14ac:dyDescent="0.3">
      <c r="A1046" s="1">
        <v>27480</v>
      </c>
      <c r="B1046">
        <v>76.180000000000007</v>
      </c>
      <c r="C1046">
        <f t="shared" si="49"/>
        <v>8.2054263685927276E-3</v>
      </c>
      <c r="D1046">
        <f t="shared" si="48"/>
        <v>0.61922241666252431</v>
      </c>
    </row>
    <row r="1047" spans="1:4" x14ac:dyDescent="0.3">
      <c r="A1047" s="1">
        <v>27484</v>
      </c>
      <c r="B1047">
        <v>75.660004000000001</v>
      </c>
      <c r="C1047">
        <f t="shared" si="49"/>
        <v>-6.8258860593332377E-3</v>
      </c>
      <c r="D1047">
        <f t="shared" si="48"/>
        <v>-0.58322076844552517</v>
      </c>
    </row>
    <row r="1048" spans="1:4" x14ac:dyDescent="0.3">
      <c r="A1048" s="1">
        <v>27485</v>
      </c>
      <c r="B1048">
        <v>75.419998000000007</v>
      </c>
      <c r="C1048">
        <f t="shared" si="49"/>
        <v>-3.172164780747222E-3</v>
      </c>
      <c r="D1048">
        <f t="shared" si="48"/>
        <v>-0.29093809035031459</v>
      </c>
    </row>
    <row r="1049" spans="1:4" x14ac:dyDescent="0.3">
      <c r="A1049" s="1">
        <v>27486</v>
      </c>
      <c r="B1049">
        <v>75.620002999999997</v>
      </c>
      <c r="C1049">
        <f t="shared" si="49"/>
        <v>2.6518828600338891E-3</v>
      </c>
      <c r="D1049">
        <f t="shared" si="48"/>
        <v>0.17496177228517673</v>
      </c>
    </row>
    <row r="1050" spans="1:4" x14ac:dyDescent="0.3">
      <c r="A1050" s="1">
        <v>27487</v>
      </c>
      <c r="B1050">
        <v>74.949996999999996</v>
      </c>
      <c r="C1050">
        <f t="shared" si="49"/>
        <v>-8.8601689158885749E-3</v>
      </c>
      <c r="D1050">
        <f t="shared" si="48"/>
        <v>-0.74595503194886292</v>
      </c>
    </row>
    <row r="1051" spans="1:4" x14ac:dyDescent="0.3">
      <c r="A1051" s="1">
        <v>27488</v>
      </c>
      <c r="B1051">
        <v>74.730002999999996</v>
      </c>
      <c r="C1051">
        <f t="shared" si="49"/>
        <v>-2.935210257580128E-3</v>
      </c>
      <c r="D1051">
        <f t="shared" si="48"/>
        <v>-0.27198270285976833</v>
      </c>
    </row>
    <row r="1052" spans="1:4" x14ac:dyDescent="0.3">
      <c r="A1052" s="1">
        <v>27491</v>
      </c>
      <c r="B1052">
        <v>74.339995999999999</v>
      </c>
      <c r="C1052">
        <f t="shared" si="49"/>
        <v>-5.2188810965255435E-3</v>
      </c>
      <c r="D1052">
        <f t="shared" si="48"/>
        <v>-0.45466697946480134</v>
      </c>
    </row>
    <row r="1053" spans="1:4" x14ac:dyDescent="0.3">
      <c r="A1053" s="1">
        <v>27492</v>
      </c>
      <c r="B1053">
        <v>74.529999000000004</v>
      </c>
      <c r="C1053">
        <f t="shared" si="49"/>
        <v>2.5558650823710614E-3</v>
      </c>
      <c r="D1053">
        <f t="shared" si="48"/>
        <v>0.16728074489961145</v>
      </c>
    </row>
    <row r="1054" spans="1:4" x14ac:dyDescent="0.3">
      <c r="A1054" s="1">
        <v>27493</v>
      </c>
      <c r="B1054">
        <v>75.400002000000001</v>
      </c>
      <c r="C1054">
        <f t="shared" si="49"/>
        <v>1.1673192159844211E-2</v>
      </c>
      <c r="D1054">
        <f t="shared" si="48"/>
        <v>0.89662942042450533</v>
      </c>
    </row>
    <row r="1055" spans="1:4" x14ac:dyDescent="0.3">
      <c r="A1055" s="1">
        <v>27494</v>
      </c>
      <c r="B1055">
        <v>75.760002</v>
      </c>
      <c r="C1055">
        <f t="shared" si="49"/>
        <v>4.7745356823730512E-3</v>
      </c>
      <c r="D1055">
        <f t="shared" si="48"/>
        <v>0.34476526967174997</v>
      </c>
    </row>
    <row r="1056" spans="1:4" x14ac:dyDescent="0.3">
      <c r="A1056" s="1">
        <v>27495</v>
      </c>
      <c r="B1056">
        <v>76.309997999999993</v>
      </c>
      <c r="C1056">
        <f t="shared" si="49"/>
        <v>7.2597146974731214E-3</v>
      </c>
      <c r="D1056">
        <f t="shared" si="48"/>
        <v>0.54356937176258391</v>
      </c>
    </row>
    <row r="1057" spans="1:4" x14ac:dyDescent="0.3">
      <c r="A1057" s="1">
        <v>27498</v>
      </c>
      <c r="B1057">
        <v>77.330001999999993</v>
      </c>
      <c r="C1057">
        <f t="shared" si="49"/>
        <v>1.3366584022188027E-2</v>
      </c>
      <c r="D1057">
        <f t="shared" si="48"/>
        <v>1.0320938061430653</v>
      </c>
    </row>
    <row r="1058" spans="1:4" x14ac:dyDescent="0.3">
      <c r="A1058" s="1">
        <v>27499</v>
      </c>
      <c r="B1058">
        <v>77.510002</v>
      </c>
      <c r="C1058">
        <f t="shared" si="49"/>
        <v>2.3276864780115594E-3</v>
      </c>
      <c r="D1058">
        <f t="shared" si="48"/>
        <v>0.14902739482687888</v>
      </c>
    </row>
    <row r="1059" spans="1:4" x14ac:dyDescent="0.3">
      <c r="A1059" s="1">
        <v>27500</v>
      </c>
      <c r="B1059">
        <v>78</v>
      </c>
      <c r="C1059">
        <f t="shared" si="49"/>
        <v>6.3217389673141788E-3</v>
      </c>
      <c r="D1059">
        <f t="shared" si="48"/>
        <v>0.46853517032911723</v>
      </c>
    </row>
    <row r="1060" spans="1:4" x14ac:dyDescent="0.3">
      <c r="A1060" s="1">
        <v>27501</v>
      </c>
      <c r="B1060">
        <v>78.260002</v>
      </c>
      <c r="C1060">
        <f t="shared" si="49"/>
        <v>3.3333589743589753E-3</v>
      </c>
      <c r="D1060">
        <f t="shared" si="48"/>
        <v>0.22947705918465744</v>
      </c>
    </row>
    <row r="1061" spans="1:4" x14ac:dyDescent="0.3">
      <c r="A1061" s="1">
        <v>27502</v>
      </c>
      <c r="B1061">
        <v>78.080001999999993</v>
      </c>
      <c r="C1061">
        <f t="shared" si="49"/>
        <v>-2.3000254970605141E-3</v>
      </c>
      <c r="D1061">
        <f t="shared" si="48"/>
        <v>-0.22117053391354119</v>
      </c>
    </row>
    <row r="1062" spans="1:4" x14ac:dyDescent="0.3">
      <c r="A1062" s="1">
        <v>27505</v>
      </c>
      <c r="B1062">
        <v>79.080001999999993</v>
      </c>
      <c r="C1062">
        <f t="shared" si="49"/>
        <v>1.2807376721122523E-2</v>
      </c>
      <c r="D1062">
        <f t="shared" si="48"/>
        <v>0.98735952153198703</v>
      </c>
    </row>
    <row r="1063" spans="1:4" x14ac:dyDescent="0.3">
      <c r="A1063" s="1">
        <v>27506</v>
      </c>
      <c r="B1063">
        <v>78.540001000000004</v>
      </c>
      <c r="C1063">
        <f t="shared" si="49"/>
        <v>-6.8285405455602993E-3</v>
      </c>
      <c r="D1063">
        <f t="shared" si="48"/>
        <v>-0.58343311642837759</v>
      </c>
    </row>
    <row r="1064" spans="1:4" x14ac:dyDescent="0.3">
      <c r="A1064" s="1">
        <v>27507</v>
      </c>
      <c r="B1064">
        <v>78.239998</v>
      </c>
      <c r="C1064">
        <f t="shared" si="49"/>
        <v>-3.8197478505252857E-3</v>
      </c>
      <c r="D1064">
        <f t="shared" si="48"/>
        <v>-0.34274207305506543</v>
      </c>
    </row>
    <row r="1065" spans="1:4" x14ac:dyDescent="0.3">
      <c r="A1065" s="1">
        <v>27508</v>
      </c>
      <c r="B1065">
        <v>78.069999999999993</v>
      </c>
      <c r="C1065">
        <f t="shared" si="49"/>
        <v>-2.1727761291610304E-3</v>
      </c>
      <c r="D1065">
        <f t="shared" si="48"/>
        <v>-0.21099110773410987</v>
      </c>
    </row>
    <row r="1066" spans="1:4" x14ac:dyDescent="0.3">
      <c r="A1066" s="1">
        <v>27509</v>
      </c>
      <c r="B1066">
        <v>78.639999000000003</v>
      </c>
      <c r="C1066">
        <f t="shared" si="49"/>
        <v>7.3011271935443829E-3</v>
      </c>
      <c r="D1066">
        <f t="shared" si="48"/>
        <v>0.54688220115908348</v>
      </c>
    </row>
    <row r="1067" spans="1:4" x14ac:dyDescent="0.3">
      <c r="A1067" s="1">
        <v>27512</v>
      </c>
      <c r="B1067">
        <v>78.279999000000004</v>
      </c>
      <c r="C1067">
        <f t="shared" si="49"/>
        <v>-4.5778230490567456E-3</v>
      </c>
      <c r="D1067">
        <f t="shared" si="48"/>
        <v>-0.40338497171373972</v>
      </c>
    </row>
    <row r="1068" spans="1:4" x14ac:dyDescent="0.3">
      <c r="A1068" s="1">
        <v>27513</v>
      </c>
      <c r="B1068">
        <v>77.819999999999993</v>
      </c>
      <c r="C1068">
        <f t="shared" si="49"/>
        <v>-5.8763286391969741E-3</v>
      </c>
      <c r="D1068">
        <f t="shared" si="48"/>
        <v>-0.50726007943806661</v>
      </c>
    </row>
    <row r="1069" spans="1:4" x14ac:dyDescent="0.3">
      <c r="A1069" s="1">
        <v>27514</v>
      </c>
      <c r="B1069">
        <v>78.540001000000004</v>
      </c>
      <c r="C1069">
        <f t="shared" si="49"/>
        <v>9.2521331277307974E-3</v>
      </c>
      <c r="D1069">
        <f t="shared" si="48"/>
        <v>0.70295465330965845</v>
      </c>
    </row>
    <row r="1070" spans="1:4" x14ac:dyDescent="0.3">
      <c r="A1070" s="1">
        <v>27515</v>
      </c>
      <c r="B1070">
        <v>79.269997000000004</v>
      </c>
      <c r="C1070">
        <f t="shared" si="49"/>
        <v>9.2945758938811299E-3</v>
      </c>
      <c r="D1070">
        <f t="shared" si="48"/>
        <v>0.70634990007598786</v>
      </c>
    </row>
    <row r="1071" spans="1:4" x14ac:dyDescent="0.3">
      <c r="A1071" s="1">
        <v>27516</v>
      </c>
      <c r="B1071">
        <v>80.25</v>
      </c>
      <c r="C1071">
        <f t="shared" si="49"/>
        <v>1.2362848960370168E-2</v>
      </c>
      <c r="D1071">
        <f t="shared" si="48"/>
        <v>0.95179912858087301</v>
      </c>
    </row>
    <row r="1072" spans="1:4" x14ac:dyDescent="0.3">
      <c r="A1072" s="1">
        <v>27519</v>
      </c>
      <c r="B1072">
        <v>81.139999000000003</v>
      </c>
      <c r="C1072">
        <f t="shared" si="49"/>
        <v>1.1090330218068574E-2</v>
      </c>
      <c r="D1072">
        <f t="shared" si="48"/>
        <v>0.85000286182508011</v>
      </c>
    </row>
    <row r="1073" spans="1:4" x14ac:dyDescent="0.3">
      <c r="A1073" s="1">
        <v>27520</v>
      </c>
      <c r="B1073">
        <v>80.809997999999993</v>
      </c>
      <c r="C1073">
        <f t="shared" si="49"/>
        <v>-4.0670569887486683E-3</v>
      </c>
      <c r="D1073">
        <f t="shared" si="48"/>
        <v>-0.36252578717168321</v>
      </c>
    </row>
    <row r="1074" spans="1:4" x14ac:dyDescent="0.3">
      <c r="A1074" s="1">
        <v>27521</v>
      </c>
      <c r="B1074">
        <v>81.309997999999993</v>
      </c>
      <c r="C1074">
        <f t="shared" si="49"/>
        <v>6.1873532034984096E-3</v>
      </c>
      <c r="D1074">
        <f t="shared" si="48"/>
        <v>0.45778486182141842</v>
      </c>
    </row>
    <row r="1075" spans="1:4" x14ac:dyDescent="0.3">
      <c r="A1075" s="1">
        <v>27522</v>
      </c>
      <c r="B1075">
        <v>82.120002999999997</v>
      </c>
      <c r="C1075">
        <f t="shared" si="49"/>
        <v>9.9619360462904448E-3</v>
      </c>
      <c r="D1075">
        <f t="shared" si="48"/>
        <v>0.75973596806738908</v>
      </c>
    </row>
    <row r="1076" spans="1:4" x14ac:dyDescent="0.3">
      <c r="A1076" s="1">
        <v>27523</v>
      </c>
      <c r="B1076">
        <v>82.82</v>
      </c>
      <c r="C1076">
        <f t="shared" si="49"/>
        <v>8.5240742136845297E-3</v>
      </c>
      <c r="D1076">
        <f t="shared" si="48"/>
        <v>0.64471293398210028</v>
      </c>
    </row>
    <row r="1077" spans="1:4" x14ac:dyDescent="0.3">
      <c r="A1077" s="1">
        <v>27526</v>
      </c>
      <c r="B1077">
        <v>82.300003000000004</v>
      </c>
      <c r="C1077">
        <f t="shared" si="49"/>
        <v>-6.2786404250179837E-3</v>
      </c>
      <c r="D1077">
        <f t="shared" si="48"/>
        <v>-0.53944336798779913</v>
      </c>
    </row>
    <row r="1078" spans="1:4" x14ac:dyDescent="0.3">
      <c r="A1078" s="1">
        <v>27527</v>
      </c>
      <c r="B1078">
        <v>82.349997999999999</v>
      </c>
      <c r="C1078">
        <f t="shared" si="49"/>
        <v>6.074726388527054E-4</v>
      </c>
      <c r="D1078">
        <f t="shared" si="48"/>
        <v>1.1417361255743358E-2</v>
      </c>
    </row>
    <row r="1079" spans="1:4" x14ac:dyDescent="0.3">
      <c r="A1079" s="1">
        <v>27528</v>
      </c>
      <c r="B1079">
        <v>82.910004000000001</v>
      </c>
      <c r="C1079">
        <f t="shared" si="49"/>
        <v>6.8003158907180708E-3</v>
      </c>
      <c r="D1079">
        <f t="shared" si="48"/>
        <v>0.50681935628136077</v>
      </c>
    </row>
    <row r="1080" spans="1:4" x14ac:dyDescent="0.3">
      <c r="A1080" s="1">
        <v>27529</v>
      </c>
      <c r="B1080">
        <v>82.790001000000004</v>
      </c>
      <c r="C1080">
        <f t="shared" si="49"/>
        <v>-1.4473886649432194E-3</v>
      </c>
      <c r="D1080">
        <f t="shared" si="48"/>
        <v>-0.15296309340776082</v>
      </c>
    </row>
    <row r="1081" spans="1:4" x14ac:dyDescent="0.3">
      <c r="A1081" s="1">
        <v>27530</v>
      </c>
      <c r="B1081">
        <v>82.440002000000007</v>
      </c>
      <c r="C1081">
        <f t="shared" si="49"/>
        <v>-4.2275515856075039E-3</v>
      </c>
      <c r="D1081">
        <f t="shared" si="48"/>
        <v>-0.37536469496266434</v>
      </c>
    </row>
    <row r="1082" spans="1:4" x14ac:dyDescent="0.3">
      <c r="A1082" s="1">
        <v>27533</v>
      </c>
      <c r="B1082">
        <v>81.989998</v>
      </c>
      <c r="C1082">
        <f t="shared" si="49"/>
        <v>-5.4585636715536092E-3</v>
      </c>
      <c r="D1082">
        <f t="shared" si="48"/>
        <v>-0.47384059988640903</v>
      </c>
    </row>
    <row r="1083" spans="1:4" x14ac:dyDescent="0.3">
      <c r="A1083" s="1">
        <v>27534</v>
      </c>
      <c r="B1083">
        <v>81.819999999999993</v>
      </c>
      <c r="C1083">
        <f t="shared" si="49"/>
        <v>-2.0733992456007468E-3</v>
      </c>
      <c r="D1083">
        <f t="shared" si="48"/>
        <v>-0.20304136568947409</v>
      </c>
    </row>
    <row r="1084" spans="1:4" x14ac:dyDescent="0.3">
      <c r="A1084" s="1">
        <v>27535</v>
      </c>
      <c r="B1084">
        <v>80.949996999999996</v>
      </c>
      <c r="C1084">
        <f t="shared" si="49"/>
        <v>-1.0633133708139782E-2</v>
      </c>
      <c r="D1084">
        <f t="shared" si="48"/>
        <v>-0.88778492485417149</v>
      </c>
    </row>
    <row r="1085" spans="1:4" x14ac:dyDescent="0.3">
      <c r="A1085" s="1">
        <v>27536</v>
      </c>
      <c r="B1085">
        <v>81.559997999999993</v>
      </c>
      <c r="C1085">
        <f t="shared" si="49"/>
        <v>7.5355283830337502E-3</v>
      </c>
      <c r="D1085">
        <f t="shared" si="48"/>
        <v>0.56563333245478231</v>
      </c>
    </row>
    <row r="1086" spans="1:4" x14ac:dyDescent="0.3">
      <c r="A1086" s="1">
        <v>27537</v>
      </c>
      <c r="B1086">
        <v>82.620002999999997</v>
      </c>
      <c r="C1086">
        <f t="shared" si="49"/>
        <v>1.2996628567842828E-2</v>
      </c>
      <c r="D1086">
        <f t="shared" si="48"/>
        <v>1.0024988910613677</v>
      </c>
    </row>
    <row r="1087" spans="1:4" x14ac:dyDescent="0.3">
      <c r="A1087" s="1">
        <v>27541</v>
      </c>
      <c r="B1087">
        <v>82.489998</v>
      </c>
      <c r="C1087">
        <f t="shared" si="49"/>
        <v>-1.5735293546285279E-3</v>
      </c>
      <c r="D1087">
        <f t="shared" si="48"/>
        <v>-0.16305382988897019</v>
      </c>
    </row>
    <row r="1088" spans="1:4" x14ac:dyDescent="0.3">
      <c r="A1088" s="1">
        <v>27542</v>
      </c>
      <c r="B1088">
        <v>81.980002999999996</v>
      </c>
      <c r="C1088">
        <f t="shared" si="49"/>
        <v>-6.1825071204390566E-3</v>
      </c>
      <c r="D1088">
        <f t="shared" si="48"/>
        <v>-0.53175309892399547</v>
      </c>
    </row>
    <row r="1089" spans="1:4" x14ac:dyDescent="0.3">
      <c r="A1089" s="1">
        <v>27543</v>
      </c>
      <c r="B1089">
        <v>81.779999000000004</v>
      </c>
      <c r="C1089">
        <f t="shared" si="49"/>
        <v>-2.4396681224809515E-3</v>
      </c>
      <c r="D1089">
        <f t="shared" si="48"/>
        <v>-0.23234136973326938</v>
      </c>
    </row>
    <row r="1090" spans="1:4" x14ac:dyDescent="0.3">
      <c r="A1090" s="1">
        <v>27544</v>
      </c>
      <c r="B1090">
        <v>83.099997999999999</v>
      </c>
      <c r="C1090">
        <f t="shared" si="49"/>
        <v>1.6140853706784659E-2</v>
      </c>
      <c r="D1090">
        <f t="shared" si="48"/>
        <v>1.2540239730456881</v>
      </c>
    </row>
    <row r="1091" spans="1:4" x14ac:dyDescent="0.3">
      <c r="A1091" s="1">
        <v>27547</v>
      </c>
      <c r="B1091">
        <v>83.879997000000003</v>
      </c>
      <c r="C1091">
        <f t="shared" si="49"/>
        <v>9.3862697806563564E-3</v>
      </c>
      <c r="D1091">
        <f t="shared" ref="D1091:D1154" si="50">(C1091-avrtn)/sdrtn</f>
        <v>0.71368503397049055</v>
      </c>
    </row>
    <row r="1092" spans="1:4" x14ac:dyDescent="0.3">
      <c r="A1092" s="1">
        <v>27548</v>
      </c>
      <c r="B1092">
        <v>84.139999000000003</v>
      </c>
      <c r="C1092">
        <f t="shared" ref="C1092:C1155" si="51">(B1092-B1091)/B1091</f>
        <v>3.0996901442426144E-3</v>
      </c>
      <c r="D1092">
        <f t="shared" si="50"/>
        <v>0.21078451362731934</v>
      </c>
    </row>
    <row r="1093" spans="1:4" x14ac:dyDescent="0.3">
      <c r="A1093" s="1">
        <v>27549</v>
      </c>
      <c r="B1093">
        <v>84.040001000000004</v>
      </c>
      <c r="C1093">
        <f t="shared" si="51"/>
        <v>-1.188471609085702E-3</v>
      </c>
      <c r="D1093">
        <f t="shared" si="50"/>
        <v>-0.13225079361245479</v>
      </c>
    </row>
    <row r="1094" spans="1:4" x14ac:dyDescent="0.3">
      <c r="A1094" s="1">
        <v>27550</v>
      </c>
      <c r="B1094">
        <v>84.239998</v>
      </c>
      <c r="C1094">
        <f t="shared" si="51"/>
        <v>2.3797834081415135E-3</v>
      </c>
      <c r="D1094">
        <f t="shared" si="50"/>
        <v>0.15319493501341847</v>
      </c>
    </row>
    <row r="1095" spans="1:4" x14ac:dyDescent="0.3">
      <c r="A1095" s="1">
        <v>27551</v>
      </c>
      <c r="B1095">
        <v>84.769997000000004</v>
      </c>
      <c r="C1095">
        <f t="shared" si="51"/>
        <v>6.2915362367411696E-3</v>
      </c>
      <c r="D1095">
        <f t="shared" si="50"/>
        <v>0.46611907607764674</v>
      </c>
    </row>
    <row r="1096" spans="1:4" x14ac:dyDescent="0.3">
      <c r="A1096" s="1">
        <v>27554</v>
      </c>
      <c r="B1096">
        <v>84.010002</v>
      </c>
      <c r="C1096">
        <f t="shared" si="51"/>
        <v>-8.965377219489621E-3</v>
      </c>
      <c r="D1096">
        <f t="shared" si="50"/>
        <v>-0.75437126361781726</v>
      </c>
    </row>
    <row r="1097" spans="1:4" x14ac:dyDescent="0.3">
      <c r="A1097" s="1">
        <v>27555</v>
      </c>
      <c r="B1097">
        <v>83.400002000000001</v>
      </c>
      <c r="C1097">
        <f t="shared" si="51"/>
        <v>-7.2610401794776704E-3</v>
      </c>
      <c r="D1097">
        <f t="shared" si="50"/>
        <v>-0.61803130869264589</v>
      </c>
    </row>
    <row r="1098" spans="1:4" x14ac:dyDescent="0.3">
      <c r="A1098" s="1">
        <v>27556</v>
      </c>
      <c r="B1098">
        <v>83.599997999999999</v>
      </c>
      <c r="C1098">
        <f t="shared" si="51"/>
        <v>2.3980335156346725E-3</v>
      </c>
      <c r="D1098">
        <f t="shared" si="50"/>
        <v>0.15465486856798075</v>
      </c>
    </row>
    <row r="1099" spans="1:4" x14ac:dyDescent="0.3">
      <c r="A1099" s="1">
        <v>27557</v>
      </c>
      <c r="B1099">
        <v>82.989998</v>
      </c>
      <c r="C1099">
        <f t="shared" si="51"/>
        <v>-7.2966508922643683E-3</v>
      </c>
      <c r="D1099">
        <f t="shared" si="50"/>
        <v>-0.62088001928345582</v>
      </c>
    </row>
    <row r="1100" spans="1:4" x14ac:dyDescent="0.3">
      <c r="A1100" s="1">
        <v>27558</v>
      </c>
      <c r="B1100">
        <v>83.43</v>
      </c>
      <c r="C1100">
        <f t="shared" si="51"/>
        <v>5.3018678226743289E-3</v>
      </c>
      <c r="D1100">
        <f t="shared" si="50"/>
        <v>0.38694967249313456</v>
      </c>
    </row>
    <row r="1101" spans="1:4" x14ac:dyDescent="0.3">
      <c r="A1101" s="1">
        <v>27561</v>
      </c>
      <c r="B1101">
        <v>84.010002</v>
      </c>
      <c r="C1101">
        <f t="shared" si="51"/>
        <v>6.9519597267169268E-3</v>
      </c>
      <c r="D1101">
        <f t="shared" si="50"/>
        <v>0.51895023959808972</v>
      </c>
    </row>
    <row r="1102" spans="1:4" x14ac:dyDescent="0.3">
      <c r="A1102" s="1">
        <v>27562</v>
      </c>
      <c r="B1102">
        <v>83.43</v>
      </c>
      <c r="C1102">
        <f t="shared" si="51"/>
        <v>-6.9039636494710862E-3</v>
      </c>
      <c r="D1102">
        <f t="shared" si="50"/>
        <v>-0.58946665459958403</v>
      </c>
    </row>
    <row r="1103" spans="1:4" x14ac:dyDescent="0.3">
      <c r="A1103" s="1">
        <v>27563</v>
      </c>
      <c r="B1103">
        <v>83.470000999999996</v>
      </c>
      <c r="C1103">
        <f t="shared" si="51"/>
        <v>4.7945583123564081E-4</v>
      </c>
      <c r="D1103">
        <f t="shared" si="50"/>
        <v>1.1765430546365249E-3</v>
      </c>
    </row>
    <row r="1104" spans="1:4" x14ac:dyDescent="0.3">
      <c r="A1104" s="1">
        <v>27564</v>
      </c>
      <c r="B1104">
        <v>84.550003000000004</v>
      </c>
      <c r="C1104">
        <f t="shared" si="51"/>
        <v>1.2938804205836867E-2</v>
      </c>
      <c r="D1104">
        <f t="shared" si="50"/>
        <v>0.99787317987608815</v>
      </c>
    </row>
    <row r="1105" spans="1:4" x14ac:dyDescent="0.3">
      <c r="A1105" s="1">
        <v>27565</v>
      </c>
      <c r="B1105">
        <v>85.239998</v>
      </c>
      <c r="C1105">
        <f t="shared" si="51"/>
        <v>8.1607921409535145E-3</v>
      </c>
      <c r="D1105">
        <f t="shared" si="50"/>
        <v>0.61565186198842803</v>
      </c>
    </row>
    <row r="1106" spans="1:4" x14ac:dyDescent="0.3">
      <c r="A1106" s="1">
        <v>27568</v>
      </c>
      <c r="B1106">
        <v>85.769997000000004</v>
      </c>
      <c r="C1106">
        <f t="shared" si="51"/>
        <v>6.2177265654089252E-3</v>
      </c>
      <c r="D1106">
        <f t="shared" si="50"/>
        <v>0.46021460587824925</v>
      </c>
    </row>
    <row r="1107" spans="1:4" x14ac:dyDescent="0.3">
      <c r="A1107" s="1">
        <v>27569</v>
      </c>
      <c r="B1107">
        <v>86.230002999999996</v>
      </c>
      <c r="C1107">
        <f t="shared" si="51"/>
        <v>5.3632507413984495E-3</v>
      </c>
      <c r="D1107">
        <f t="shared" si="50"/>
        <v>0.39186005358299425</v>
      </c>
    </row>
    <row r="1108" spans="1:4" x14ac:dyDescent="0.3">
      <c r="A1108" s="1">
        <v>27570</v>
      </c>
      <c r="B1108">
        <v>86.300003000000004</v>
      </c>
      <c r="C1108">
        <f t="shared" si="51"/>
        <v>8.1178241406308887E-4</v>
      </c>
      <c r="D1108">
        <f t="shared" si="50"/>
        <v>2.7761303145758413E-2</v>
      </c>
    </row>
    <row r="1109" spans="1:4" x14ac:dyDescent="0.3">
      <c r="A1109" s="1">
        <v>27571</v>
      </c>
      <c r="B1109">
        <v>86.449996999999996</v>
      </c>
      <c r="C1109">
        <f t="shared" si="51"/>
        <v>1.7380532420142837E-3</v>
      </c>
      <c r="D1109">
        <f t="shared" si="50"/>
        <v>0.1018591605334507</v>
      </c>
    </row>
    <row r="1110" spans="1:4" x14ac:dyDescent="0.3">
      <c r="A1110" s="1">
        <v>27572</v>
      </c>
      <c r="B1110">
        <v>86.5</v>
      </c>
      <c r="C1110">
        <f t="shared" si="51"/>
        <v>5.7840372163348714E-4</v>
      </c>
      <c r="D1110">
        <f t="shared" si="50"/>
        <v>9.0919674103077334E-3</v>
      </c>
    </row>
    <row r="1111" spans="1:4" x14ac:dyDescent="0.3">
      <c r="A1111" s="1">
        <v>27575</v>
      </c>
      <c r="B1111">
        <v>87.019997000000004</v>
      </c>
      <c r="C1111">
        <f t="shared" si="51"/>
        <v>6.0115260115607356E-3</v>
      </c>
      <c r="D1111">
        <f t="shared" si="50"/>
        <v>0.44371940947213789</v>
      </c>
    </row>
    <row r="1112" spans="1:4" x14ac:dyDescent="0.3">
      <c r="A1112" s="1">
        <v>27576</v>
      </c>
      <c r="B1112">
        <v>86.330001999999993</v>
      </c>
      <c r="C1112">
        <f t="shared" si="51"/>
        <v>-7.9291544907776814E-3</v>
      </c>
      <c r="D1112">
        <f t="shared" si="50"/>
        <v>-0.67147770629418291</v>
      </c>
    </row>
    <row r="1113" spans="1:4" x14ac:dyDescent="0.3">
      <c r="A1113" s="1">
        <v>27577</v>
      </c>
      <c r="B1113">
        <v>85.639999000000003</v>
      </c>
      <c r="C1113">
        <f t="shared" si="51"/>
        <v>-7.9926211515666378E-3</v>
      </c>
      <c r="D1113">
        <f t="shared" si="50"/>
        <v>-0.67655477818083087</v>
      </c>
    </row>
    <row r="1114" spans="1:4" x14ac:dyDescent="0.3">
      <c r="A1114" s="1">
        <v>27578</v>
      </c>
      <c r="B1114">
        <v>86.199996999999996</v>
      </c>
      <c r="C1114">
        <f t="shared" si="51"/>
        <v>6.5389771898525257E-3</v>
      </c>
      <c r="D1114">
        <f t="shared" si="50"/>
        <v>0.48591333484327631</v>
      </c>
    </row>
    <row r="1115" spans="1:4" x14ac:dyDescent="0.3">
      <c r="A1115" s="1">
        <v>27582</v>
      </c>
      <c r="B1115">
        <v>85.599997999999999</v>
      </c>
      <c r="C1115">
        <f t="shared" si="51"/>
        <v>-6.9605454858658157E-3</v>
      </c>
      <c r="D1115">
        <f t="shared" si="50"/>
        <v>-0.59399296884526087</v>
      </c>
    </row>
    <row r="1116" spans="1:4" x14ac:dyDescent="0.3">
      <c r="A1116" s="1">
        <v>27583</v>
      </c>
      <c r="B1116">
        <v>85.389999000000003</v>
      </c>
      <c r="C1116">
        <f t="shared" si="51"/>
        <v>-2.4532594031134937E-3</v>
      </c>
      <c r="D1116">
        <f t="shared" si="50"/>
        <v>-0.23342861629619288</v>
      </c>
    </row>
    <row r="1117" spans="1:4" x14ac:dyDescent="0.3">
      <c r="A1117" s="1">
        <v>27584</v>
      </c>
      <c r="B1117">
        <v>86.5</v>
      </c>
      <c r="C1117">
        <f t="shared" si="51"/>
        <v>1.2999192095083604E-2</v>
      </c>
      <c r="D1117">
        <f t="shared" si="50"/>
        <v>1.0027039626993428</v>
      </c>
    </row>
    <row r="1118" spans="1:4" x14ac:dyDescent="0.3">
      <c r="A1118" s="1">
        <v>27585</v>
      </c>
      <c r="B1118">
        <v>86.830001999999993</v>
      </c>
      <c r="C1118">
        <f t="shared" si="51"/>
        <v>3.8150520231213093E-3</v>
      </c>
      <c r="D1118">
        <f t="shared" si="50"/>
        <v>0.2680105223519923</v>
      </c>
    </row>
    <row r="1119" spans="1:4" x14ac:dyDescent="0.3">
      <c r="A1119" s="1">
        <v>27586</v>
      </c>
      <c r="B1119">
        <v>87.199996999999996</v>
      </c>
      <c r="C1119">
        <f t="shared" si="51"/>
        <v>4.2611423641335747E-3</v>
      </c>
      <c r="D1119">
        <f t="shared" si="50"/>
        <v>0.30369591529853074</v>
      </c>
    </row>
    <row r="1120" spans="1:4" x14ac:dyDescent="0.3">
      <c r="A1120" s="1">
        <v>27589</v>
      </c>
      <c r="B1120">
        <v>87.580001999999993</v>
      </c>
      <c r="C1120">
        <f t="shared" si="51"/>
        <v>4.3578556545133488E-3</v>
      </c>
      <c r="D1120">
        <f t="shared" si="50"/>
        <v>0.31143258084148634</v>
      </c>
    </row>
    <row r="1121" spans="1:4" x14ac:dyDescent="0.3">
      <c r="A1121" s="1">
        <v>27590</v>
      </c>
      <c r="B1121">
        <v>88</v>
      </c>
      <c r="C1121">
        <f t="shared" si="51"/>
        <v>4.7955924915371291E-3</v>
      </c>
      <c r="D1121">
        <f t="shared" si="50"/>
        <v>0.3464497278187596</v>
      </c>
    </row>
    <row r="1122" spans="1:4" x14ac:dyDescent="0.3">
      <c r="A1122" s="1">
        <v>27591</v>
      </c>
      <c r="B1122">
        <v>87.389999000000003</v>
      </c>
      <c r="C1122">
        <f t="shared" si="51"/>
        <v>-6.9318295454545101E-3</v>
      </c>
      <c r="D1122">
        <f t="shared" si="50"/>
        <v>-0.591695811693009</v>
      </c>
    </row>
    <row r="1123" spans="1:4" x14ac:dyDescent="0.3">
      <c r="A1123" s="1">
        <v>27592</v>
      </c>
      <c r="B1123">
        <v>87.129997000000003</v>
      </c>
      <c r="C1123">
        <f t="shared" si="51"/>
        <v>-2.9751917035723968E-3</v>
      </c>
      <c r="D1123">
        <f t="shared" si="50"/>
        <v>-0.27518105413446159</v>
      </c>
    </row>
    <row r="1124" spans="1:4" x14ac:dyDescent="0.3">
      <c r="A1124" s="1">
        <v>27593</v>
      </c>
      <c r="B1124">
        <v>87.019997000000004</v>
      </c>
      <c r="C1124">
        <f t="shared" si="51"/>
        <v>-1.2624813931762149E-3</v>
      </c>
      <c r="D1124">
        <f t="shared" si="50"/>
        <v>-0.13817127200964519</v>
      </c>
    </row>
    <row r="1125" spans="1:4" x14ac:dyDescent="0.3">
      <c r="A1125" s="1">
        <v>27596</v>
      </c>
      <c r="B1125">
        <v>86.769997000000004</v>
      </c>
      <c r="C1125">
        <f t="shared" si="51"/>
        <v>-2.8729028800127399E-3</v>
      </c>
      <c r="D1125">
        <f t="shared" si="50"/>
        <v>-0.26699836886384476</v>
      </c>
    </row>
    <row r="1126" spans="1:4" x14ac:dyDescent="0.3">
      <c r="A1126" s="1">
        <v>27597</v>
      </c>
      <c r="B1126">
        <v>85.720000999999996</v>
      </c>
      <c r="C1126">
        <f t="shared" si="51"/>
        <v>-1.2100910871300448E-2</v>
      </c>
      <c r="D1126">
        <f t="shared" si="50"/>
        <v>-1.0052010623712662</v>
      </c>
    </row>
    <row r="1127" spans="1:4" x14ac:dyDescent="0.3">
      <c r="A1127" s="1">
        <v>27598</v>
      </c>
      <c r="B1127">
        <v>84.620002999999997</v>
      </c>
      <c r="C1127">
        <f t="shared" si="51"/>
        <v>-1.2832454353331137E-2</v>
      </c>
      <c r="D1127">
        <f t="shared" si="50"/>
        <v>-1.0637215328089489</v>
      </c>
    </row>
    <row r="1128" spans="1:4" x14ac:dyDescent="0.3">
      <c r="A1128" s="1">
        <v>27599</v>
      </c>
      <c r="B1128">
        <v>84.139999000000003</v>
      </c>
      <c r="C1128">
        <f t="shared" si="51"/>
        <v>-5.6724649371614165E-3</v>
      </c>
      <c r="D1128">
        <f t="shared" si="50"/>
        <v>-0.49095182156777378</v>
      </c>
    </row>
    <row r="1129" spans="1:4" x14ac:dyDescent="0.3">
      <c r="A1129" s="1">
        <v>27600</v>
      </c>
      <c r="B1129">
        <v>83.599997999999999</v>
      </c>
      <c r="C1129">
        <f t="shared" si="51"/>
        <v>-6.4178869315175977E-3</v>
      </c>
      <c r="D1129">
        <f t="shared" si="50"/>
        <v>-0.55058251592271223</v>
      </c>
    </row>
    <row r="1130" spans="1:4" x14ac:dyDescent="0.3">
      <c r="A1130" s="1">
        <v>27603</v>
      </c>
      <c r="B1130">
        <v>83.089995999999999</v>
      </c>
      <c r="C1130">
        <f t="shared" si="51"/>
        <v>-6.1005025382895352E-3</v>
      </c>
      <c r="D1130">
        <f t="shared" si="50"/>
        <v>-0.52519306955689038</v>
      </c>
    </row>
    <row r="1131" spans="1:4" x14ac:dyDescent="0.3">
      <c r="A1131" s="1">
        <v>27604</v>
      </c>
      <c r="B1131">
        <v>82.669998000000007</v>
      </c>
      <c r="C1131">
        <f t="shared" si="51"/>
        <v>-5.0547360719573574E-3</v>
      </c>
      <c r="D1131">
        <f t="shared" si="50"/>
        <v>-0.4415360524677206</v>
      </c>
    </row>
    <row r="1132" spans="1:4" x14ac:dyDescent="0.3">
      <c r="A1132" s="1">
        <v>27605</v>
      </c>
      <c r="B1132">
        <v>83.029999000000004</v>
      </c>
      <c r="C1132">
        <f t="shared" si="51"/>
        <v>4.3546753200598464E-3</v>
      </c>
      <c r="D1132">
        <f t="shared" si="50"/>
        <v>0.31117816716281954</v>
      </c>
    </row>
    <row r="1133" spans="1:4" x14ac:dyDescent="0.3">
      <c r="A1133" s="1">
        <v>27606</v>
      </c>
      <c r="B1133">
        <v>83.190002000000007</v>
      </c>
      <c r="C1133">
        <f t="shared" si="51"/>
        <v>1.9270504868969494E-3</v>
      </c>
      <c r="D1133">
        <f t="shared" si="50"/>
        <v>0.11697816296274928</v>
      </c>
    </row>
    <row r="1134" spans="1:4" x14ac:dyDescent="0.3">
      <c r="A1134" s="1">
        <v>27607</v>
      </c>
      <c r="B1134">
        <v>81.620002999999997</v>
      </c>
      <c r="C1134">
        <f t="shared" si="51"/>
        <v>-1.8872448157892938E-2</v>
      </c>
      <c r="D1134">
        <f t="shared" si="50"/>
        <v>-1.5468962005709641</v>
      </c>
    </row>
    <row r="1135" spans="1:4" x14ac:dyDescent="0.3">
      <c r="A1135" s="1">
        <v>27610</v>
      </c>
      <c r="B1135">
        <v>80.980002999999996</v>
      </c>
      <c r="C1135">
        <f t="shared" si="51"/>
        <v>-7.8412151001758801E-3</v>
      </c>
      <c r="D1135">
        <f t="shared" si="50"/>
        <v>-0.66444291665497357</v>
      </c>
    </row>
    <row r="1136" spans="1:4" x14ac:dyDescent="0.3">
      <c r="A1136" s="1">
        <v>27611</v>
      </c>
      <c r="B1136">
        <v>80.169998000000007</v>
      </c>
      <c r="C1136">
        <f t="shared" si="51"/>
        <v>-1.0002531118700869E-2</v>
      </c>
      <c r="D1136">
        <f t="shared" si="50"/>
        <v>-0.83733931075240031</v>
      </c>
    </row>
    <row r="1137" spans="1:4" x14ac:dyDescent="0.3">
      <c r="A1137" s="1">
        <v>27612</v>
      </c>
      <c r="B1137">
        <v>80.239998</v>
      </c>
      <c r="C1137">
        <f t="shared" si="51"/>
        <v>8.731445895756811E-4</v>
      </c>
      <c r="D1137">
        <f t="shared" si="50"/>
        <v>3.2670024863992397E-2</v>
      </c>
    </row>
    <row r="1138" spans="1:4" x14ac:dyDescent="0.3">
      <c r="A1138" s="1">
        <v>27613</v>
      </c>
      <c r="B1138">
        <v>79.589995999999999</v>
      </c>
      <c r="C1138">
        <f t="shared" si="51"/>
        <v>-8.1007230334178299E-3</v>
      </c>
      <c r="D1138">
        <f t="shared" si="50"/>
        <v>-0.6852024842113319</v>
      </c>
    </row>
    <row r="1139" spans="1:4" x14ac:dyDescent="0.3">
      <c r="A1139" s="1">
        <v>27614</v>
      </c>
      <c r="B1139">
        <v>79.550003000000004</v>
      </c>
      <c r="C1139">
        <f t="shared" si="51"/>
        <v>-5.0248777497105925E-4</v>
      </c>
      <c r="D1139">
        <f t="shared" si="50"/>
        <v>-7.73749076656641E-2</v>
      </c>
    </row>
    <row r="1140" spans="1:4" x14ac:dyDescent="0.3">
      <c r="A1140" s="1">
        <v>27617</v>
      </c>
      <c r="B1140">
        <v>79.449996999999996</v>
      </c>
      <c r="C1140">
        <f t="shared" si="51"/>
        <v>-1.2571464013647817E-3</v>
      </c>
      <c r="D1140">
        <f t="shared" si="50"/>
        <v>-0.13774449460234794</v>
      </c>
    </row>
    <row r="1141" spans="1:4" x14ac:dyDescent="0.3">
      <c r="A1141" s="1">
        <v>27618</v>
      </c>
      <c r="B1141">
        <v>79.599997999999999</v>
      </c>
      <c r="C1141">
        <f t="shared" si="51"/>
        <v>1.8879925193704308E-3</v>
      </c>
      <c r="D1141">
        <f t="shared" si="50"/>
        <v>0.11385368616794993</v>
      </c>
    </row>
    <row r="1142" spans="1:4" x14ac:dyDescent="0.3">
      <c r="A1142" s="1">
        <v>27619</v>
      </c>
      <c r="B1142">
        <v>79.089995999999999</v>
      </c>
      <c r="C1142">
        <f t="shared" si="51"/>
        <v>-6.4070604624889569E-3</v>
      </c>
      <c r="D1142">
        <f t="shared" si="50"/>
        <v>-0.54971644291912758</v>
      </c>
    </row>
    <row r="1143" spans="1:4" x14ac:dyDescent="0.3">
      <c r="A1143" s="1">
        <v>27620</v>
      </c>
      <c r="B1143">
        <v>78.449996999999996</v>
      </c>
      <c r="C1143">
        <f t="shared" si="51"/>
        <v>-8.0920348004569764E-3</v>
      </c>
      <c r="D1143">
        <f t="shared" si="50"/>
        <v>-0.68450746130069107</v>
      </c>
    </row>
    <row r="1144" spans="1:4" x14ac:dyDescent="0.3">
      <c r="A1144" s="1">
        <v>27621</v>
      </c>
      <c r="B1144">
        <v>78.580001999999993</v>
      </c>
      <c r="C1144">
        <f t="shared" si="51"/>
        <v>1.657170235455803E-3</v>
      </c>
      <c r="D1144">
        <f t="shared" si="50"/>
        <v>9.5388852601682533E-2</v>
      </c>
    </row>
    <row r="1145" spans="1:4" x14ac:dyDescent="0.3">
      <c r="A1145" s="1">
        <v>27624</v>
      </c>
      <c r="B1145">
        <v>78.029999000000004</v>
      </c>
      <c r="C1145">
        <f t="shared" si="51"/>
        <v>-6.9992744464423612E-3</v>
      </c>
      <c r="D1145">
        <f t="shared" si="50"/>
        <v>-0.59709112643694706</v>
      </c>
    </row>
    <row r="1146" spans="1:4" x14ac:dyDescent="0.3">
      <c r="A1146" s="1">
        <v>27625</v>
      </c>
      <c r="B1146">
        <v>76.650002000000001</v>
      </c>
      <c r="C1146">
        <f t="shared" si="51"/>
        <v>-1.7685467354677308E-2</v>
      </c>
      <c r="D1146">
        <f t="shared" si="50"/>
        <v>-1.451942617207941</v>
      </c>
    </row>
    <row r="1147" spans="1:4" x14ac:dyDescent="0.3">
      <c r="A1147" s="1">
        <v>27626</v>
      </c>
      <c r="B1147">
        <v>75.519997000000004</v>
      </c>
      <c r="C1147">
        <f t="shared" si="51"/>
        <v>-1.4742400137184563E-2</v>
      </c>
      <c r="D1147">
        <f t="shared" si="50"/>
        <v>-1.2165093417732318</v>
      </c>
    </row>
    <row r="1148" spans="1:4" x14ac:dyDescent="0.3">
      <c r="A1148" s="1">
        <v>27627</v>
      </c>
      <c r="B1148">
        <v>75.900002000000001</v>
      </c>
      <c r="C1148">
        <f t="shared" si="51"/>
        <v>5.0318460685319817E-3</v>
      </c>
      <c r="D1148">
        <f t="shared" si="50"/>
        <v>0.36534904249783434</v>
      </c>
    </row>
    <row r="1149" spans="1:4" x14ac:dyDescent="0.3">
      <c r="A1149" s="1">
        <v>27628</v>
      </c>
      <c r="B1149">
        <v>76.449996999999996</v>
      </c>
      <c r="C1149">
        <f t="shared" si="51"/>
        <v>7.246310744497682E-3</v>
      </c>
      <c r="D1149">
        <f t="shared" si="50"/>
        <v>0.54249711064193273</v>
      </c>
    </row>
    <row r="1150" spans="1:4" x14ac:dyDescent="0.3">
      <c r="A1150" s="1">
        <v>27631</v>
      </c>
      <c r="B1150">
        <v>76.839995999999999</v>
      </c>
      <c r="C1150">
        <f t="shared" si="51"/>
        <v>5.1013605664366884E-3</v>
      </c>
      <c r="D1150">
        <f t="shared" si="50"/>
        <v>0.37090991648488753</v>
      </c>
    </row>
    <row r="1151" spans="1:4" x14ac:dyDescent="0.3">
      <c r="A1151" s="1">
        <v>27632</v>
      </c>
      <c r="B1151">
        <v>76.209998999999996</v>
      </c>
      <c r="C1151">
        <f t="shared" si="51"/>
        <v>-8.1988161477780791E-3</v>
      </c>
      <c r="D1151">
        <f t="shared" si="50"/>
        <v>-0.69304952999885538</v>
      </c>
    </row>
    <row r="1152" spans="1:4" x14ac:dyDescent="0.3">
      <c r="A1152" s="1">
        <v>27633</v>
      </c>
      <c r="B1152">
        <v>76.569999999999993</v>
      </c>
      <c r="C1152">
        <f t="shared" si="51"/>
        <v>4.7238027125547782E-3</v>
      </c>
      <c r="D1152">
        <f t="shared" si="50"/>
        <v>0.34070684070150659</v>
      </c>
    </row>
    <row r="1153" spans="1:4" x14ac:dyDescent="0.3">
      <c r="A1153" s="1">
        <v>27634</v>
      </c>
      <c r="B1153">
        <v>78.059997999999993</v>
      </c>
      <c r="C1153">
        <f t="shared" si="51"/>
        <v>1.9459292150972966E-2</v>
      </c>
      <c r="D1153">
        <f t="shared" si="50"/>
        <v>1.5194854030803351</v>
      </c>
    </row>
    <row r="1154" spans="1:4" x14ac:dyDescent="0.3">
      <c r="A1154" s="1">
        <v>27635</v>
      </c>
      <c r="B1154">
        <v>79.010002</v>
      </c>
      <c r="C1154">
        <f t="shared" si="51"/>
        <v>1.2170177098902911E-2</v>
      </c>
      <c r="D1154">
        <f t="shared" si="50"/>
        <v>0.9363861719349208</v>
      </c>
    </row>
    <row r="1155" spans="1:4" x14ac:dyDescent="0.3">
      <c r="A1155" s="1">
        <v>27639</v>
      </c>
      <c r="B1155">
        <v>77.889999000000003</v>
      </c>
      <c r="C1155">
        <f t="shared" si="51"/>
        <v>-1.4175458443856221E-2</v>
      </c>
      <c r="D1155">
        <f t="shared" ref="D1155:D1218" si="52">(C1155-avrtn)/sdrtn</f>
        <v>-1.1711563375851373</v>
      </c>
    </row>
    <row r="1156" spans="1:4" x14ac:dyDescent="0.3">
      <c r="A1156" s="1">
        <v>27640</v>
      </c>
      <c r="B1156">
        <v>78.080001999999993</v>
      </c>
      <c r="C1156">
        <f t="shared" ref="C1156:C1219" si="53">(B1156-B1155)/B1155</f>
        <v>2.4393760744558508E-3</v>
      </c>
      <c r="D1156">
        <f t="shared" si="52"/>
        <v>0.15796210327205734</v>
      </c>
    </row>
    <row r="1157" spans="1:4" x14ac:dyDescent="0.3">
      <c r="A1157" s="1">
        <v>27641</v>
      </c>
      <c r="B1157">
        <v>78.129997000000003</v>
      </c>
      <c r="C1157">
        <f t="shared" si="53"/>
        <v>6.4030479917264588E-4</v>
      </c>
      <c r="D1157">
        <f t="shared" si="52"/>
        <v>1.4043799074688664E-2</v>
      </c>
    </row>
    <row r="1158" spans="1:4" x14ac:dyDescent="0.3">
      <c r="A1158" s="1">
        <v>27642</v>
      </c>
      <c r="B1158">
        <v>77.779999000000004</v>
      </c>
      <c r="C1158">
        <f t="shared" si="53"/>
        <v>-4.4796878719961979E-3</v>
      </c>
      <c r="D1158">
        <f t="shared" si="52"/>
        <v>-0.39553456108315516</v>
      </c>
    </row>
    <row r="1159" spans="1:4" x14ac:dyDescent="0.3">
      <c r="A1159" s="1">
        <v>27645</v>
      </c>
      <c r="B1159">
        <v>77.459998999999996</v>
      </c>
      <c r="C1159">
        <f t="shared" si="53"/>
        <v>-4.1141682195188429E-3</v>
      </c>
      <c r="D1159">
        <f t="shared" si="52"/>
        <v>-0.36629449191075869</v>
      </c>
    </row>
    <row r="1160" spans="1:4" x14ac:dyDescent="0.3">
      <c r="A1160" s="1">
        <v>27646</v>
      </c>
      <c r="B1160">
        <v>76.599997999999999</v>
      </c>
      <c r="C1160">
        <f t="shared" si="53"/>
        <v>-1.1102517571682347E-2</v>
      </c>
      <c r="D1160">
        <f t="shared" si="52"/>
        <v>-0.9253337038195969</v>
      </c>
    </row>
    <row r="1161" spans="1:4" x14ac:dyDescent="0.3">
      <c r="A1161" s="1">
        <v>27647</v>
      </c>
      <c r="B1161">
        <v>75.239998</v>
      </c>
      <c r="C1161">
        <f t="shared" si="53"/>
        <v>-1.7754569654166302E-2</v>
      </c>
      <c r="D1161">
        <f t="shared" si="52"/>
        <v>-1.4574705170167073</v>
      </c>
    </row>
    <row r="1162" spans="1:4" x14ac:dyDescent="0.3">
      <c r="A1162" s="1">
        <v>27648</v>
      </c>
      <c r="B1162">
        <v>74.849997999999999</v>
      </c>
      <c r="C1162">
        <f t="shared" si="53"/>
        <v>-5.1834132159333732E-3</v>
      </c>
      <c r="D1162">
        <f t="shared" si="52"/>
        <v>-0.45182969486222418</v>
      </c>
    </row>
    <row r="1163" spans="1:4" x14ac:dyDescent="0.3">
      <c r="A1163" s="1">
        <v>27649</v>
      </c>
      <c r="B1163">
        <v>74.720000999999996</v>
      </c>
      <c r="C1163">
        <f t="shared" si="53"/>
        <v>-1.7367669134741063E-3</v>
      </c>
      <c r="D1163">
        <f t="shared" si="52"/>
        <v>-0.17611216335976371</v>
      </c>
    </row>
    <row r="1164" spans="1:4" x14ac:dyDescent="0.3">
      <c r="A1164" s="1">
        <v>27652</v>
      </c>
      <c r="B1164">
        <v>74.470000999999996</v>
      </c>
      <c r="C1164">
        <f t="shared" si="53"/>
        <v>-3.3458243663567404E-3</v>
      </c>
      <c r="D1164">
        <f t="shared" si="52"/>
        <v>-0.30483014310659312</v>
      </c>
    </row>
    <row r="1165" spans="1:4" x14ac:dyDescent="0.3">
      <c r="A1165" s="1">
        <v>27653</v>
      </c>
      <c r="B1165">
        <v>73.779999000000004</v>
      </c>
      <c r="C1165">
        <f t="shared" si="53"/>
        <v>-9.2655027626492546E-3</v>
      </c>
      <c r="D1165">
        <f t="shared" si="52"/>
        <v>-0.77838007294698031</v>
      </c>
    </row>
    <row r="1166" spans="1:4" x14ac:dyDescent="0.3">
      <c r="A1166" s="1">
        <v>27654</v>
      </c>
      <c r="B1166">
        <v>73.870002999999997</v>
      </c>
      <c r="C1166">
        <f t="shared" si="53"/>
        <v>1.2198970075886462E-3</v>
      </c>
      <c r="D1166">
        <f t="shared" si="52"/>
        <v>6.0408792450566927E-2</v>
      </c>
    </row>
    <row r="1167" spans="1:4" x14ac:dyDescent="0.3">
      <c r="A1167" s="1">
        <v>27655</v>
      </c>
      <c r="B1167">
        <v>74.779999000000004</v>
      </c>
      <c r="C1167">
        <f t="shared" si="53"/>
        <v>1.2318884026578511E-2</v>
      </c>
      <c r="D1167">
        <f t="shared" si="52"/>
        <v>0.9482821146624284</v>
      </c>
    </row>
    <row r="1168" spans="1:4" x14ac:dyDescent="0.3">
      <c r="A1168" s="1">
        <v>27656</v>
      </c>
      <c r="B1168">
        <v>76.389999000000003</v>
      </c>
      <c r="C1168">
        <f t="shared" si="53"/>
        <v>2.1529821095611398E-2</v>
      </c>
      <c r="D1168">
        <f t="shared" si="52"/>
        <v>1.6851192045855159</v>
      </c>
    </row>
    <row r="1169" spans="1:4" x14ac:dyDescent="0.3">
      <c r="A1169" s="1">
        <v>27659</v>
      </c>
      <c r="B1169">
        <v>75.860000999999997</v>
      </c>
      <c r="C1169">
        <f t="shared" si="53"/>
        <v>-6.9380548100282883E-3</v>
      </c>
      <c r="D1169">
        <f t="shared" si="52"/>
        <v>-0.59219380726047033</v>
      </c>
    </row>
    <row r="1170" spans="1:4" x14ac:dyDescent="0.3">
      <c r="A1170" s="1">
        <v>27660</v>
      </c>
      <c r="B1170">
        <v>75.940002000000007</v>
      </c>
      <c r="C1170">
        <f t="shared" si="53"/>
        <v>1.0545873839364962E-3</v>
      </c>
      <c r="D1170">
        <f t="shared" si="52"/>
        <v>4.7184702315629087E-2</v>
      </c>
    </row>
    <row r="1171" spans="1:4" x14ac:dyDescent="0.3">
      <c r="A1171" s="1">
        <v>27661</v>
      </c>
      <c r="B1171">
        <v>76.430000000000007</v>
      </c>
      <c r="C1171">
        <f t="shared" si="53"/>
        <v>6.4524359638547272E-3</v>
      </c>
      <c r="D1171">
        <f t="shared" si="52"/>
        <v>0.47899039262310011</v>
      </c>
    </row>
    <row r="1172" spans="1:4" x14ac:dyDescent="0.3">
      <c r="A1172" s="1">
        <v>27662</v>
      </c>
      <c r="B1172">
        <v>76.099997999999999</v>
      </c>
      <c r="C1172">
        <f t="shared" si="53"/>
        <v>-4.3177024728510722E-3</v>
      </c>
      <c r="D1172">
        <f t="shared" si="52"/>
        <v>-0.38257639523948644</v>
      </c>
    </row>
    <row r="1173" spans="1:4" x14ac:dyDescent="0.3">
      <c r="A1173" s="1">
        <v>27663</v>
      </c>
      <c r="B1173">
        <v>76.139999000000003</v>
      </c>
      <c r="C1173">
        <f t="shared" si="53"/>
        <v>5.256373331311221E-4</v>
      </c>
      <c r="D1173">
        <f t="shared" si="52"/>
        <v>4.8708733068045396E-3</v>
      </c>
    </row>
    <row r="1174" spans="1:4" x14ac:dyDescent="0.3">
      <c r="A1174" s="1">
        <v>27666</v>
      </c>
      <c r="B1174">
        <v>75.370002999999997</v>
      </c>
      <c r="C1174">
        <f t="shared" si="53"/>
        <v>-1.011289742727743E-2</v>
      </c>
      <c r="D1174">
        <f t="shared" si="52"/>
        <v>-0.84616816160955255</v>
      </c>
    </row>
    <row r="1175" spans="1:4" x14ac:dyDescent="0.3">
      <c r="A1175" s="1">
        <v>27667</v>
      </c>
      <c r="B1175">
        <v>74.330001999999993</v>
      </c>
      <c r="C1175">
        <f t="shared" si="53"/>
        <v>-1.37986063235264E-2</v>
      </c>
      <c r="D1175">
        <f t="shared" si="52"/>
        <v>-1.1410097175839298</v>
      </c>
    </row>
    <row r="1176" spans="1:4" x14ac:dyDescent="0.3">
      <c r="A1176" s="1">
        <v>27668</v>
      </c>
      <c r="B1176">
        <v>73.800003000000004</v>
      </c>
      <c r="C1176">
        <f t="shared" si="53"/>
        <v>-7.1303509449655265E-3</v>
      </c>
      <c r="D1176">
        <f t="shared" si="52"/>
        <v>-0.60757670732901781</v>
      </c>
    </row>
    <row r="1177" spans="1:4" x14ac:dyDescent="0.3">
      <c r="A1177" s="1">
        <v>27669</v>
      </c>
      <c r="B1177">
        <v>74.160004000000001</v>
      </c>
      <c r="C1177">
        <f t="shared" si="53"/>
        <v>4.8780621323280555E-3</v>
      </c>
      <c r="D1177">
        <f t="shared" si="52"/>
        <v>0.35304695996484448</v>
      </c>
    </row>
    <row r="1178" spans="1:4" x14ac:dyDescent="0.3">
      <c r="A1178" s="1">
        <v>27670</v>
      </c>
      <c r="B1178">
        <v>75.5</v>
      </c>
      <c r="C1178">
        <f t="shared" si="53"/>
        <v>1.8068985001672859E-2</v>
      </c>
      <c r="D1178">
        <f t="shared" si="52"/>
        <v>1.4082665481134848</v>
      </c>
    </row>
    <row r="1179" spans="1:4" x14ac:dyDescent="0.3">
      <c r="A1179" s="1">
        <v>27673</v>
      </c>
      <c r="B1179">
        <v>76.029999000000004</v>
      </c>
      <c r="C1179">
        <f t="shared" si="53"/>
        <v>7.0198543046358104E-3</v>
      </c>
      <c r="D1179">
        <f t="shared" si="52"/>
        <v>0.52438152664742776</v>
      </c>
    </row>
    <row r="1180" spans="1:4" x14ac:dyDescent="0.3">
      <c r="A1180" s="1">
        <v>27674</v>
      </c>
      <c r="B1180">
        <v>75.879997000000003</v>
      </c>
      <c r="C1180">
        <f t="shared" si="53"/>
        <v>-1.9729317634214439E-3</v>
      </c>
      <c r="D1180">
        <f t="shared" si="52"/>
        <v>-0.19500438023988509</v>
      </c>
    </row>
    <row r="1181" spans="1:4" x14ac:dyDescent="0.3">
      <c r="A1181" s="1">
        <v>27675</v>
      </c>
      <c r="B1181">
        <v>76.610000999999997</v>
      </c>
      <c r="C1181">
        <f t="shared" si="53"/>
        <v>9.6205064425607962E-3</v>
      </c>
      <c r="D1181">
        <f t="shared" si="52"/>
        <v>0.73242300373593672</v>
      </c>
    </row>
    <row r="1182" spans="1:4" x14ac:dyDescent="0.3">
      <c r="A1182" s="1">
        <v>27676</v>
      </c>
      <c r="B1182">
        <v>76.870002999999997</v>
      </c>
      <c r="C1182">
        <f t="shared" si="53"/>
        <v>3.3938388801221927E-3</v>
      </c>
      <c r="D1182">
        <f t="shared" si="52"/>
        <v>0.23431520295085634</v>
      </c>
    </row>
    <row r="1183" spans="1:4" x14ac:dyDescent="0.3">
      <c r="A1183" s="1">
        <v>27677</v>
      </c>
      <c r="B1183">
        <v>76.959998999999996</v>
      </c>
      <c r="C1183">
        <f t="shared" si="53"/>
        <v>1.1707557758258355E-3</v>
      </c>
      <c r="D1183">
        <f t="shared" si="52"/>
        <v>5.6477695979494494E-2</v>
      </c>
    </row>
    <row r="1184" spans="1:4" x14ac:dyDescent="0.3">
      <c r="A1184" s="1">
        <v>27680</v>
      </c>
      <c r="B1184">
        <v>77.699996999999996</v>
      </c>
      <c r="C1184">
        <f t="shared" si="53"/>
        <v>9.6153587527983194E-3</v>
      </c>
      <c r="D1184">
        <f t="shared" si="52"/>
        <v>0.73201120972236544</v>
      </c>
    </row>
    <row r="1185" spans="1:4" x14ac:dyDescent="0.3">
      <c r="A1185" s="1">
        <v>27681</v>
      </c>
      <c r="B1185">
        <v>78.190002000000007</v>
      </c>
      <c r="C1185">
        <f t="shared" si="53"/>
        <v>6.3063708998600185E-3</v>
      </c>
      <c r="D1185">
        <f t="shared" si="52"/>
        <v>0.46730578812665541</v>
      </c>
    </row>
    <row r="1186" spans="1:4" x14ac:dyDescent="0.3">
      <c r="A1186" s="1">
        <v>27682</v>
      </c>
      <c r="B1186">
        <v>78.199996999999996</v>
      </c>
      <c r="C1186">
        <f t="shared" si="53"/>
        <v>1.2782964246489361E-4</v>
      </c>
      <c r="D1186">
        <f t="shared" si="52"/>
        <v>-2.6952106151495459E-2</v>
      </c>
    </row>
    <row r="1187" spans="1:4" x14ac:dyDescent="0.3">
      <c r="A1187" s="1">
        <v>27683</v>
      </c>
      <c r="B1187">
        <v>78.220000999999996</v>
      </c>
      <c r="C1187">
        <f t="shared" si="53"/>
        <v>2.5580563641198264E-4</v>
      </c>
      <c r="D1187">
        <f t="shared" si="52"/>
        <v>-1.6714552876159857E-2</v>
      </c>
    </row>
    <row r="1188" spans="1:4" x14ac:dyDescent="0.3">
      <c r="A1188" s="1">
        <v>27684</v>
      </c>
      <c r="B1188">
        <v>77.629997000000003</v>
      </c>
      <c r="C1188">
        <f t="shared" si="53"/>
        <v>-7.5428789626325026E-3</v>
      </c>
      <c r="D1188">
        <f t="shared" si="52"/>
        <v>-0.64057725241703123</v>
      </c>
    </row>
    <row r="1189" spans="1:4" x14ac:dyDescent="0.3">
      <c r="A1189" s="1">
        <v>27687</v>
      </c>
      <c r="B1189">
        <v>78.129997000000003</v>
      </c>
      <c r="C1189">
        <f t="shared" si="53"/>
        <v>6.4408092145102104E-3</v>
      </c>
      <c r="D1189">
        <f t="shared" si="52"/>
        <v>0.47806030048501774</v>
      </c>
    </row>
    <row r="1190" spans="1:4" x14ac:dyDescent="0.3">
      <c r="A1190" s="1">
        <v>27688</v>
      </c>
      <c r="B1190">
        <v>78.430000000000007</v>
      </c>
      <c r="C1190">
        <f t="shared" si="53"/>
        <v>3.8397928007088467E-3</v>
      </c>
      <c r="D1190">
        <f t="shared" si="52"/>
        <v>0.26998968282430996</v>
      </c>
    </row>
    <row r="1191" spans="1:4" x14ac:dyDescent="0.3">
      <c r="A1191" s="1">
        <v>27689</v>
      </c>
      <c r="B1191">
        <v>78.910004000000001</v>
      </c>
      <c r="C1191">
        <f t="shared" si="53"/>
        <v>6.1201581027667202E-3</v>
      </c>
      <c r="D1191">
        <f t="shared" si="52"/>
        <v>0.45240953007078849</v>
      </c>
    </row>
    <row r="1192" spans="1:4" x14ac:dyDescent="0.3">
      <c r="A1192" s="1">
        <v>27690</v>
      </c>
      <c r="B1192">
        <v>78.059997999999993</v>
      </c>
      <c r="C1192">
        <f t="shared" si="53"/>
        <v>-1.0771840792201805E-2</v>
      </c>
      <c r="D1192">
        <f t="shared" si="52"/>
        <v>-0.89888092121219565</v>
      </c>
    </row>
    <row r="1193" spans="1:4" x14ac:dyDescent="0.3">
      <c r="A1193" s="1">
        <v>27691</v>
      </c>
      <c r="B1193">
        <v>78.620002999999997</v>
      </c>
      <c r="C1193">
        <f t="shared" si="53"/>
        <v>7.1740329790939E-3</v>
      </c>
      <c r="D1193">
        <f t="shared" si="52"/>
        <v>0.53671518661757733</v>
      </c>
    </row>
    <row r="1194" spans="1:4" x14ac:dyDescent="0.3">
      <c r="A1194" s="1">
        <v>27694</v>
      </c>
      <c r="B1194">
        <v>78.290001000000004</v>
      </c>
      <c r="C1194">
        <f t="shared" si="53"/>
        <v>-4.1974305190498815E-3</v>
      </c>
      <c r="D1194">
        <f t="shared" si="52"/>
        <v>-0.37295513349662035</v>
      </c>
    </row>
    <row r="1195" spans="1:4" x14ac:dyDescent="0.3">
      <c r="A1195" s="1">
        <v>27695</v>
      </c>
      <c r="B1195">
        <v>78.730002999999996</v>
      </c>
      <c r="C1195">
        <f t="shared" si="53"/>
        <v>5.6201557590986962E-3</v>
      </c>
      <c r="D1195">
        <f t="shared" si="52"/>
        <v>0.41241139859926895</v>
      </c>
    </row>
    <row r="1196" spans="1:4" x14ac:dyDescent="0.3">
      <c r="A1196" s="1">
        <v>27696</v>
      </c>
      <c r="B1196">
        <v>77.580001999999993</v>
      </c>
      <c r="C1196">
        <f t="shared" si="53"/>
        <v>-1.460689643311716E-2</v>
      </c>
      <c r="D1196">
        <f t="shared" si="52"/>
        <v>-1.2056696026424001</v>
      </c>
    </row>
    <row r="1197" spans="1:4" x14ac:dyDescent="0.3">
      <c r="A1197" s="1">
        <v>27697</v>
      </c>
      <c r="B1197">
        <v>77.449996999999996</v>
      </c>
      <c r="C1197">
        <f t="shared" si="53"/>
        <v>-1.6757540171241172E-3</v>
      </c>
      <c r="D1197">
        <f t="shared" si="52"/>
        <v>-0.17123138253829348</v>
      </c>
    </row>
    <row r="1198" spans="1:4" x14ac:dyDescent="0.3">
      <c r="A1198" s="1">
        <v>27698</v>
      </c>
      <c r="B1198">
        <v>76.989998</v>
      </c>
      <c r="C1198">
        <f t="shared" si="53"/>
        <v>-5.9393030060413852E-3</v>
      </c>
      <c r="D1198">
        <f t="shared" si="52"/>
        <v>-0.51229776983347575</v>
      </c>
    </row>
    <row r="1199" spans="1:4" x14ac:dyDescent="0.3">
      <c r="A1199" s="1">
        <v>27701</v>
      </c>
      <c r="B1199">
        <v>76.620002999999997</v>
      </c>
      <c r="C1199">
        <f t="shared" si="53"/>
        <v>-4.8057541188662317E-3</v>
      </c>
      <c r="D1199">
        <f t="shared" si="52"/>
        <v>-0.42161852004033917</v>
      </c>
    </row>
    <row r="1200" spans="1:4" x14ac:dyDescent="0.3">
      <c r="A1200" s="1">
        <v>27702</v>
      </c>
      <c r="B1200">
        <v>76.860000999999997</v>
      </c>
      <c r="C1200">
        <f t="shared" si="53"/>
        <v>3.1323151997266294E-3</v>
      </c>
      <c r="D1200">
        <f t="shared" si="52"/>
        <v>0.21339438391101079</v>
      </c>
    </row>
    <row r="1201" spans="1:4" x14ac:dyDescent="0.3">
      <c r="A1201" s="1">
        <v>27703</v>
      </c>
      <c r="B1201">
        <v>77.300003000000004</v>
      </c>
      <c r="C1201">
        <f t="shared" si="53"/>
        <v>5.724720196139562E-3</v>
      </c>
      <c r="D1201">
        <f t="shared" si="52"/>
        <v>0.42077612359100391</v>
      </c>
    </row>
    <row r="1202" spans="1:4" x14ac:dyDescent="0.3">
      <c r="A1202" s="1">
        <v>27704</v>
      </c>
      <c r="B1202">
        <v>77.389999000000003</v>
      </c>
      <c r="C1202">
        <f t="shared" si="53"/>
        <v>1.1642431630953403E-3</v>
      </c>
      <c r="D1202">
        <f t="shared" si="52"/>
        <v>5.595671374107844E-2</v>
      </c>
    </row>
    <row r="1203" spans="1:4" x14ac:dyDescent="0.3">
      <c r="A1203" s="1">
        <v>27705</v>
      </c>
      <c r="B1203">
        <v>77.209998999999996</v>
      </c>
      <c r="C1203">
        <f t="shared" si="53"/>
        <v>-2.3258819269400275E-3</v>
      </c>
      <c r="D1203">
        <f t="shared" si="52"/>
        <v>-0.2232389419816273</v>
      </c>
    </row>
    <row r="1204" spans="1:4" x14ac:dyDescent="0.3">
      <c r="A1204" s="1">
        <v>27708</v>
      </c>
      <c r="B1204">
        <v>77.459998999999996</v>
      </c>
      <c r="C1204">
        <f t="shared" si="53"/>
        <v>3.237922590829201E-3</v>
      </c>
      <c r="D1204">
        <f t="shared" si="52"/>
        <v>0.22184254093902947</v>
      </c>
    </row>
    <row r="1205" spans="1:4" x14ac:dyDescent="0.3">
      <c r="A1205" s="1">
        <v>27709</v>
      </c>
      <c r="B1205">
        <v>78</v>
      </c>
      <c r="C1205">
        <f t="shared" si="53"/>
        <v>6.9713530463640172E-3</v>
      </c>
      <c r="D1205">
        <f t="shared" si="52"/>
        <v>0.5205016254240501</v>
      </c>
    </row>
    <row r="1206" spans="1:4" x14ac:dyDescent="0.3">
      <c r="A1206" s="1">
        <v>27710</v>
      </c>
      <c r="B1206">
        <v>79.269997000000004</v>
      </c>
      <c r="C1206">
        <f t="shared" si="53"/>
        <v>1.6282012820512868E-2</v>
      </c>
      <c r="D1206">
        <f t="shared" si="52"/>
        <v>1.2653161216942008</v>
      </c>
    </row>
    <row r="1207" spans="1:4" x14ac:dyDescent="0.3">
      <c r="A1207" s="1">
        <v>27711</v>
      </c>
      <c r="B1207">
        <v>79.220000999999996</v>
      </c>
      <c r="C1207">
        <f t="shared" si="53"/>
        <v>-6.3070520868074788E-4</v>
      </c>
      <c r="D1207">
        <f t="shared" si="52"/>
        <v>-8.7631775129201422E-2</v>
      </c>
    </row>
    <row r="1208" spans="1:4" x14ac:dyDescent="0.3">
      <c r="A1208" s="1">
        <v>27712</v>
      </c>
      <c r="B1208">
        <v>78.980002999999996</v>
      </c>
      <c r="C1208">
        <f t="shared" si="53"/>
        <v>-3.029512711063964E-3</v>
      </c>
      <c r="D1208">
        <f t="shared" si="52"/>
        <v>-0.27952651136446949</v>
      </c>
    </row>
    <row r="1209" spans="1:4" x14ac:dyDescent="0.3">
      <c r="A1209" s="1">
        <v>27715</v>
      </c>
      <c r="B1209">
        <v>79.099997999999999</v>
      </c>
      <c r="C1209">
        <f t="shared" si="53"/>
        <v>1.5193086280333892E-3</v>
      </c>
      <c r="D1209">
        <f t="shared" si="52"/>
        <v>8.4360490898206464E-2</v>
      </c>
    </row>
    <row r="1210" spans="1:4" x14ac:dyDescent="0.3">
      <c r="A1210" s="1">
        <v>27716</v>
      </c>
      <c r="B1210">
        <v>78.620002999999997</v>
      </c>
      <c r="C1210">
        <f t="shared" si="53"/>
        <v>-6.0682049574767678E-3</v>
      </c>
      <c r="D1210">
        <f t="shared" si="52"/>
        <v>-0.52260939590031485</v>
      </c>
    </row>
    <row r="1211" spans="1:4" x14ac:dyDescent="0.3">
      <c r="A1211" s="1">
        <v>27717</v>
      </c>
      <c r="B1211">
        <v>77.870002999999997</v>
      </c>
      <c r="C1211">
        <f t="shared" si="53"/>
        <v>-9.5395570005256808E-3</v>
      </c>
      <c r="D1211">
        <f t="shared" si="52"/>
        <v>-0.80030328505933468</v>
      </c>
    </row>
    <row r="1212" spans="1:4" x14ac:dyDescent="0.3">
      <c r="A1212" s="1">
        <v>27718</v>
      </c>
      <c r="B1212">
        <v>77.669998000000007</v>
      </c>
      <c r="C1212">
        <f t="shared" si="53"/>
        <v>-2.5684473134024435E-3</v>
      </c>
      <c r="D1212">
        <f t="shared" si="52"/>
        <v>-0.24264317546379155</v>
      </c>
    </row>
    <row r="1213" spans="1:4" x14ac:dyDescent="0.3">
      <c r="A1213" s="1">
        <v>27719</v>
      </c>
      <c r="B1213">
        <v>77.739998</v>
      </c>
      <c r="C1213">
        <f t="shared" si="53"/>
        <v>9.0124889664595041E-4</v>
      </c>
      <c r="D1213">
        <f t="shared" si="52"/>
        <v>3.491825386401274E-2</v>
      </c>
    </row>
    <row r="1214" spans="1:4" x14ac:dyDescent="0.3">
      <c r="A1214" s="1">
        <v>27722</v>
      </c>
      <c r="B1214">
        <v>77.919998000000007</v>
      </c>
      <c r="C1214">
        <f t="shared" si="53"/>
        <v>2.3154104017343406E-3</v>
      </c>
      <c r="D1214">
        <f t="shared" si="52"/>
        <v>0.14804535920422865</v>
      </c>
    </row>
    <row r="1215" spans="1:4" x14ac:dyDescent="0.3">
      <c r="A1215" s="1">
        <v>27723</v>
      </c>
      <c r="B1215">
        <v>78.180000000000007</v>
      </c>
      <c r="C1215">
        <f t="shared" si="53"/>
        <v>3.3367813998147183E-3</v>
      </c>
      <c r="D1215">
        <f t="shared" si="52"/>
        <v>0.22975083914801933</v>
      </c>
    </row>
    <row r="1216" spans="1:4" x14ac:dyDescent="0.3">
      <c r="A1216" s="1">
        <v>27724</v>
      </c>
      <c r="B1216">
        <v>78.559997999999993</v>
      </c>
      <c r="C1216">
        <f t="shared" si="53"/>
        <v>4.8605525709898472E-3</v>
      </c>
      <c r="D1216">
        <f t="shared" si="52"/>
        <v>0.35164626705753421</v>
      </c>
    </row>
    <row r="1217" spans="1:4" x14ac:dyDescent="0.3">
      <c r="A1217" s="1">
        <v>27726</v>
      </c>
      <c r="B1217">
        <v>78.800003000000004</v>
      </c>
      <c r="C1217">
        <f t="shared" si="53"/>
        <v>3.0550535400982407E-3</v>
      </c>
      <c r="D1217">
        <f t="shared" si="52"/>
        <v>0.20721376884258241</v>
      </c>
    </row>
    <row r="1218" spans="1:4" x14ac:dyDescent="0.3">
      <c r="A1218" s="1">
        <v>27729</v>
      </c>
      <c r="B1218">
        <v>78.660004000000001</v>
      </c>
      <c r="C1218">
        <f t="shared" si="53"/>
        <v>-1.7766369881991387E-3</v>
      </c>
      <c r="D1218">
        <f t="shared" si="52"/>
        <v>-0.17930160539103943</v>
      </c>
    </row>
    <row r="1219" spans="1:4" x14ac:dyDescent="0.3">
      <c r="A1219" s="1">
        <v>27730</v>
      </c>
      <c r="B1219">
        <v>77.330001999999993</v>
      </c>
      <c r="C1219">
        <f t="shared" si="53"/>
        <v>-1.690823712645638E-2</v>
      </c>
      <c r="D1219">
        <f t="shared" ref="D1219:D1282" si="54">(C1219-avrtn)/sdrtn</f>
        <v>-1.389767394940062</v>
      </c>
    </row>
    <row r="1220" spans="1:4" x14ac:dyDescent="0.3">
      <c r="A1220" s="1">
        <v>27731</v>
      </c>
      <c r="B1220">
        <v>75.669998000000007</v>
      </c>
      <c r="C1220">
        <f t="shared" ref="C1220:C1283" si="55">(B1220-B1219)/B1219</f>
        <v>-2.1466493690249569E-2</v>
      </c>
      <c r="D1220">
        <f t="shared" si="54"/>
        <v>-1.7544091763805292</v>
      </c>
    </row>
    <row r="1221" spans="1:4" x14ac:dyDescent="0.3">
      <c r="A1221" s="1">
        <v>27732</v>
      </c>
      <c r="B1221">
        <v>75.199996999999996</v>
      </c>
      <c r="C1221">
        <f t="shared" si="55"/>
        <v>-6.2111935036658853E-3</v>
      </c>
      <c r="D1221">
        <f t="shared" si="54"/>
        <v>-0.53404789162302913</v>
      </c>
    </row>
    <row r="1222" spans="1:4" x14ac:dyDescent="0.3">
      <c r="A1222" s="1">
        <v>27733</v>
      </c>
      <c r="B1222">
        <v>74.720000999999996</v>
      </c>
      <c r="C1222">
        <f t="shared" si="55"/>
        <v>-6.382925786552889E-3</v>
      </c>
      <c r="D1222">
        <f t="shared" si="54"/>
        <v>-0.5477857680866226</v>
      </c>
    </row>
    <row r="1223" spans="1:4" x14ac:dyDescent="0.3">
      <c r="A1223" s="1">
        <v>27736</v>
      </c>
      <c r="B1223">
        <v>74.919998000000007</v>
      </c>
      <c r="C1223">
        <f t="shared" si="55"/>
        <v>2.6766193431931357E-3</v>
      </c>
      <c r="D1223">
        <f t="shared" si="54"/>
        <v>0.17694058922088993</v>
      </c>
    </row>
    <row r="1224" spans="1:4" x14ac:dyDescent="0.3">
      <c r="A1224" s="1">
        <v>27737</v>
      </c>
      <c r="B1224">
        <v>74.519997000000004</v>
      </c>
      <c r="C1224">
        <f t="shared" si="55"/>
        <v>-5.3390417869472332E-3</v>
      </c>
      <c r="D1224">
        <f t="shared" si="54"/>
        <v>-0.46427934059482512</v>
      </c>
    </row>
    <row r="1225" spans="1:4" x14ac:dyDescent="0.3">
      <c r="A1225" s="1">
        <v>27738</v>
      </c>
      <c r="B1225">
        <v>75.25</v>
      </c>
      <c r="C1225">
        <f t="shared" si="55"/>
        <v>9.7960685639855351E-3</v>
      </c>
      <c r="D1225">
        <f t="shared" si="54"/>
        <v>0.74646725153415894</v>
      </c>
    </row>
    <row r="1226" spans="1:4" x14ac:dyDescent="0.3">
      <c r="A1226" s="1">
        <v>27739</v>
      </c>
      <c r="B1226">
        <v>75.080001999999993</v>
      </c>
      <c r="C1226">
        <f t="shared" si="55"/>
        <v>-2.2591096345515849E-3</v>
      </c>
      <c r="D1226">
        <f t="shared" si="54"/>
        <v>-0.21789743315985882</v>
      </c>
    </row>
    <row r="1227" spans="1:4" x14ac:dyDescent="0.3">
      <c r="A1227" s="1">
        <v>27740</v>
      </c>
      <c r="B1227">
        <v>74.910004000000001</v>
      </c>
      <c r="C1227">
        <f t="shared" si="55"/>
        <v>-2.2642247665362685E-3</v>
      </c>
      <c r="D1227">
        <f t="shared" si="54"/>
        <v>-0.21830662268508511</v>
      </c>
    </row>
    <row r="1228" spans="1:4" x14ac:dyDescent="0.3">
      <c r="A1228" s="1">
        <v>27743</v>
      </c>
      <c r="B1228">
        <v>74.540001000000004</v>
      </c>
      <c r="C1228">
        <f t="shared" si="55"/>
        <v>-4.9393002301801638E-3</v>
      </c>
      <c r="D1228">
        <f t="shared" si="54"/>
        <v>-0.43230165980056279</v>
      </c>
    </row>
    <row r="1229" spans="1:4" x14ac:dyDescent="0.3">
      <c r="A1229" s="1">
        <v>27744</v>
      </c>
      <c r="B1229">
        <v>75.190002000000007</v>
      </c>
      <c r="C1229">
        <f t="shared" si="55"/>
        <v>8.720163553526155E-3</v>
      </c>
      <c r="D1229">
        <f t="shared" si="54"/>
        <v>0.66039927484524685</v>
      </c>
    </row>
    <row r="1230" spans="1:4" x14ac:dyDescent="0.3">
      <c r="A1230" s="1">
        <v>27745</v>
      </c>
      <c r="B1230">
        <v>75.800003000000004</v>
      </c>
      <c r="C1230">
        <f t="shared" si="55"/>
        <v>8.1127940387605898E-3</v>
      </c>
      <c r="D1230">
        <f t="shared" si="54"/>
        <v>0.61181221118236961</v>
      </c>
    </row>
    <row r="1231" spans="1:4" x14ac:dyDescent="0.3">
      <c r="A1231" s="1">
        <v>27746</v>
      </c>
      <c r="B1231">
        <v>76.069999999999993</v>
      </c>
      <c r="C1231">
        <f t="shared" si="55"/>
        <v>3.5619655582334129E-3</v>
      </c>
      <c r="D1231">
        <f t="shared" si="54"/>
        <v>0.24776464585872263</v>
      </c>
    </row>
    <row r="1232" spans="1:4" x14ac:dyDescent="0.3">
      <c r="A1232" s="1">
        <v>27747</v>
      </c>
      <c r="B1232">
        <v>75.919998000000007</v>
      </c>
      <c r="C1232">
        <f t="shared" si="55"/>
        <v>-1.9718943078741481E-3</v>
      </c>
      <c r="D1232">
        <f t="shared" si="54"/>
        <v>-0.19492138806214415</v>
      </c>
    </row>
    <row r="1233" spans="1:4" x14ac:dyDescent="0.3">
      <c r="A1233" s="1">
        <v>27750</v>
      </c>
      <c r="B1233">
        <v>75.589995999999999</v>
      </c>
      <c r="C1233">
        <f t="shared" si="55"/>
        <v>-4.3467071745708873E-3</v>
      </c>
      <c r="D1233">
        <f t="shared" si="54"/>
        <v>-0.38489665210902552</v>
      </c>
    </row>
    <row r="1234" spans="1:4" x14ac:dyDescent="0.3">
      <c r="A1234" s="1">
        <v>27751</v>
      </c>
      <c r="B1234">
        <v>75.879997000000003</v>
      </c>
      <c r="C1234">
        <f t="shared" si="55"/>
        <v>3.8364997399920981E-3</v>
      </c>
      <c r="D1234">
        <f t="shared" si="54"/>
        <v>0.26972625150811669</v>
      </c>
    </row>
    <row r="1235" spans="1:4" x14ac:dyDescent="0.3">
      <c r="A1235" s="1">
        <v>27752</v>
      </c>
      <c r="B1235">
        <v>76.370002999999997</v>
      </c>
      <c r="C1235">
        <f t="shared" si="55"/>
        <v>6.4576439031750876E-3</v>
      </c>
      <c r="D1235">
        <f t="shared" si="54"/>
        <v>0.47940700635355449</v>
      </c>
    </row>
    <row r="1236" spans="1:4" x14ac:dyDescent="0.3">
      <c r="A1236" s="1">
        <v>27754</v>
      </c>
      <c r="B1236">
        <v>77.129997000000003</v>
      </c>
      <c r="C1236">
        <f t="shared" si="55"/>
        <v>9.9514727006100295E-3</v>
      </c>
      <c r="D1236">
        <f t="shared" si="54"/>
        <v>0.7588989434384904</v>
      </c>
    </row>
    <row r="1237" spans="1:4" x14ac:dyDescent="0.3">
      <c r="A1237" s="1">
        <v>27757</v>
      </c>
      <c r="B1237">
        <v>76.940002000000007</v>
      </c>
      <c r="C1237">
        <f t="shared" si="55"/>
        <v>-2.4633087954093417E-3</v>
      </c>
      <c r="D1237">
        <f t="shared" si="54"/>
        <v>-0.23423252635651268</v>
      </c>
    </row>
    <row r="1238" spans="1:4" x14ac:dyDescent="0.3">
      <c r="A1238" s="1">
        <v>27758</v>
      </c>
      <c r="B1238">
        <v>76.669998000000007</v>
      </c>
      <c r="C1238">
        <f t="shared" si="55"/>
        <v>-3.5092798671879435E-3</v>
      </c>
      <c r="D1238">
        <f t="shared" si="54"/>
        <v>-0.31790591104005383</v>
      </c>
    </row>
    <row r="1239" spans="1:4" x14ac:dyDescent="0.3">
      <c r="A1239" s="1">
        <v>27759</v>
      </c>
      <c r="B1239">
        <v>77.620002999999997</v>
      </c>
      <c r="C1239">
        <f t="shared" si="55"/>
        <v>1.2390831156666915E-2</v>
      </c>
      <c r="D1239">
        <f t="shared" si="54"/>
        <v>0.95403758922113413</v>
      </c>
    </row>
    <row r="1240" spans="1:4" x14ac:dyDescent="0.3">
      <c r="A1240" s="1">
        <v>27761</v>
      </c>
      <c r="B1240">
        <v>78.059997999999993</v>
      </c>
      <c r="C1240">
        <f t="shared" si="55"/>
        <v>5.668577467073741E-3</v>
      </c>
      <c r="D1240">
        <f t="shared" si="54"/>
        <v>0.41628493612601958</v>
      </c>
    </row>
    <row r="1241" spans="1:4" x14ac:dyDescent="0.3">
      <c r="A1241" s="1">
        <v>27764</v>
      </c>
      <c r="B1241">
        <v>78.760002</v>
      </c>
      <c r="C1241">
        <f t="shared" si="55"/>
        <v>8.9675123998851115E-3</v>
      </c>
      <c r="D1241">
        <f t="shared" si="54"/>
        <v>0.68018616544942978</v>
      </c>
    </row>
    <row r="1242" spans="1:4" x14ac:dyDescent="0.3">
      <c r="A1242" s="1">
        <v>27765</v>
      </c>
      <c r="B1242">
        <v>80.269997000000004</v>
      </c>
      <c r="C1242">
        <f t="shared" si="55"/>
        <v>1.9172104642658637E-2</v>
      </c>
      <c r="D1242">
        <f t="shared" si="54"/>
        <v>1.4965115833372793</v>
      </c>
    </row>
    <row r="1243" spans="1:4" x14ac:dyDescent="0.3">
      <c r="A1243" s="1">
        <v>27766</v>
      </c>
      <c r="B1243">
        <v>80.989998</v>
      </c>
      <c r="C1243">
        <f t="shared" si="55"/>
        <v>8.9697399639867472E-3</v>
      </c>
      <c r="D1243">
        <f t="shared" si="54"/>
        <v>0.68036436141776224</v>
      </c>
    </row>
    <row r="1244" spans="1:4" x14ac:dyDescent="0.3">
      <c r="A1244" s="1">
        <v>27767</v>
      </c>
      <c r="B1244">
        <v>81.650002000000001</v>
      </c>
      <c r="C1244">
        <f t="shared" si="55"/>
        <v>8.1492038066231422E-3</v>
      </c>
      <c r="D1244">
        <f t="shared" si="54"/>
        <v>0.6147248428935137</v>
      </c>
    </row>
    <row r="1245" spans="1:4" x14ac:dyDescent="0.3">
      <c r="A1245" s="1">
        <v>27768</v>
      </c>
      <c r="B1245">
        <v>82.309997999999993</v>
      </c>
      <c r="C1245">
        <f t="shared" si="55"/>
        <v>8.0832331149237758E-3</v>
      </c>
      <c r="D1245">
        <f t="shared" si="54"/>
        <v>0.60944745883066953</v>
      </c>
    </row>
    <row r="1246" spans="1:4" x14ac:dyDescent="0.3">
      <c r="A1246" s="1">
        <v>27771</v>
      </c>
      <c r="B1246">
        <v>82.709998999999996</v>
      </c>
      <c r="C1246">
        <f t="shared" si="55"/>
        <v>4.8596890987654164E-3</v>
      </c>
      <c r="D1246">
        <f t="shared" si="54"/>
        <v>0.35157719283019878</v>
      </c>
    </row>
    <row r="1247" spans="1:4" x14ac:dyDescent="0.3">
      <c r="A1247" s="1">
        <v>27772</v>
      </c>
      <c r="B1247">
        <v>82.419998000000007</v>
      </c>
      <c r="C1247">
        <f t="shared" si="55"/>
        <v>-3.506238707607644E-3</v>
      </c>
      <c r="D1247">
        <f t="shared" si="54"/>
        <v>-0.31766263077895274</v>
      </c>
    </row>
    <row r="1248" spans="1:4" x14ac:dyDescent="0.3">
      <c r="A1248" s="1">
        <v>27773</v>
      </c>
      <c r="B1248">
        <v>83.620002999999997</v>
      </c>
      <c r="C1248">
        <f t="shared" si="55"/>
        <v>1.4559633937384834E-2</v>
      </c>
      <c r="D1248">
        <f t="shared" si="54"/>
        <v>1.1275328935082451</v>
      </c>
    </row>
    <row r="1249" spans="1:4" x14ac:dyDescent="0.3">
      <c r="A1249" s="1">
        <v>27774</v>
      </c>
      <c r="B1249">
        <v>83.730002999999996</v>
      </c>
      <c r="C1249">
        <f t="shared" si="55"/>
        <v>1.3154747196074538E-3</v>
      </c>
      <c r="D1249">
        <f t="shared" si="54"/>
        <v>6.8054616394171333E-2</v>
      </c>
    </row>
    <row r="1250" spans="1:4" x14ac:dyDescent="0.3">
      <c r="A1250" s="1">
        <v>27775</v>
      </c>
      <c r="B1250">
        <v>84.300003000000004</v>
      </c>
      <c r="C1250">
        <f t="shared" si="55"/>
        <v>6.8075955998712599E-3</v>
      </c>
      <c r="D1250">
        <f t="shared" si="54"/>
        <v>0.50740170307927301</v>
      </c>
    </row>
    <row r="1251" spans="1:4" x14ac:dyDescent="0.3">
      <c r="A1251" s="1">
        <v>27778</v>
      </c>
      <c r="B1251">
        <v>84.730002999999996</v>
      </c>
      <c r="C1251">
        <f t="shared" si="55"/>
        <v>5.1008301862099882E-3</v>
      </c>
      <c r="D1251">
        <f t="shared" si="54"/>
        <v>0.370867488247688</v>
      </c>
    </row>
    <row r="1252" spans="1:4" x14ac:dyDescent="0.3">
      <c r="A1252" s="1">
        <v>27779</v>
      </c>
      <c r="B1252">
        <v>84.900002000000001</v>
      </c>
      <c r="C1252">
        <f t="shared" si="55"/>
        <v>2.006361312178925E-3</v>
      </c>
      <c r="D1252">
        <f t="shared" si="54"/>
        <v>0.12332270285724507</v>
      </c>
    </row>
    <row r="1253" spans="1:4" x14ac:dyDescent="0.3">
      <c r="A1253" s="1">
        <v>27780</v>
      </c>
      <c r="B1253">
        <v>84.949996999999996</v>
      </c>
      <c r="C1253">
        <f t="shared" si="55"/>
        <v>5.8886924407841091E-4</v>
      </c>
      <c r="D1253">
        <f t="shared" si="54"/>
        <v>9.9291661714162021E-3</v>
      </c>
    </row>
    <row r="1254" spans="1:4" x14ac:dyDescent="0.3">
      <c r="A1254" s="1">
        <v>27781</v>
      </c>
      <c r="B1254">
        <v>84.620002999999997</v>
      </c>
      <c r="C1254">
        <f t="shared" si="55"/>
        <v>-3.8845675297669432E-3</v>
      </c>
      <c r="D1254">
        <f t="shared" si="54"/>
        <v>-0.34792738085428432</v>
      </c>
    </row>
    <row r="1255" spans="1:4" x14ac:dyDescent="0.3">
      <c r="A1255" s="1">
        <v>27782</v>
      </c>
      <c r="B1255">
        <v>85.260002</v>
      </c>
      <c r="C1255">
        <f t="shared" si="55"/>
        <v>7.5632117384822487E-3</v>
      </c>
      <c r="D1255">
        <f t="shared" si="54"/>
        <v>0.5678478870560244</v>
      </c>
    </row>
    <row r="1256" spans="1:4" x14ac:dyDescent="0.3">
      <c r="A1256" s="1">
        <v>27785</v>
      </c>
      <c r="B1256">
        <v>85.050003000000004</v>
      </c>
      <c r="C1256">
        <f t="shared" si="55"/>
        <v>-2.4630424005854033E-3</v>
      </c>
      <c r="D1256">
        <f t="shared" si="54"/>
        <v>-0.23421121586601967</v>
      </c>
    </row>
    <row r="1257" spans="1:4" x14ac:dyDescent="0.3">
      <c r="A1257" s="1">
        <v>27786</v>
      </c>
      <c r="B1257">
        <v>84.760002</v>
      </c>
      <c r="C1257">
        <f t="shared" si="55"/>
        <v>-3.4097706028300046E-3</v>
      </c>
      <c r="D1257">
        <f t="shared" si="54"/>
        <v>-0.30994557907595871</v>
      </c>
    </row>
    <row r="1258" spans="1:4" x14ac:dyDescent="0.3">
      <c r="A1258" s="1">
        <v>27787</v>
      </c>
      <c r="B1258">
        <v>84.629997000000003</v>
      </c>
      <c r="C1258">
        <f t="shared" si="55"/>
        <v>-1.5338012851863435E-3</v>
      </c>
      <c r="D1258">
        <f t="shared" si="54"/>
        <v>-0.15987574769639312</v>
      </c>
    </row>
    <row r="1259" spans="1:4" x14ac:dyDescent="0.3">
      <c r="A1259" s="1">
        <v>27788</v>
      </c>
      <c r="B1259">
        <v>86.150002000000001</v>
      </c>
      <c r="C1259">
        <f t="shared" si="55"/>
        <v>1.7960593806945278E-2</v>
      </c>
      <c r="D1259">
        <f t="shared" si="54"/>
        <v>1.3995956982425342</v>
      </c>
    </row>
    <row r="1260" spans="1:4" x14ac:dyDescent="0.3">
      <c r="A1260" s="1">
        <v>27789</v>
      </c>
      <c r="B1260">
        <v>87.050003000000004</v>
      </c>
      <c r="C1260">
        <f t="shared" si="55"/>
        <v>1.0446906315800239E-2</v>
      </c>
      <c r="D1260">
        <f t="shared" si="54"/>
        <v>0.79853159541850849</v>
      </c>
    </row>
    <row r="1261" spans="1:4" x14ac:dyDescent="0.3">
      <c r="A1261" s="1">
        <v>27792</v>
      </c>
      <c r="B1261">
        <v>87.279999000000004</v>
      </c>
      <c r="C1261">
        <f t="shared" si="55"/>
        <v>2.6421136366876386E-3</v>
      </c>
      <c r="D1261">
        <f t="shared" si="54"/>
        <v>0.17418027458876312</v>
      </c>
    </row>
    <row r="1262" spans="1:4" x14ac:dyDescent="0.3">
      <c r="A1262" s="1">
        <v>27793</v>
      </c>
      <c r="B1262">
        <v>87.379997000000003</v>
      </c>
      <c r="C1262">
        <f t="shared" si="55"/>
        <v>1.1457149535485142E-3</v>
      </c>
      <c r="D1262">
        <f t="shared" si="54"/>
        <v>5.4474533165785252E-2</v>
      </c>
    </row>
    <row r="1263" spans="1:4" x14ac:dyDescent="0.3">
      <c r="A1263" s="1">
        <v>27794</v>
      </c>
      <c r="B1263">
        <v>88.449996999999996</v>
      </c>
      <c r="C1263">
        <f t="shared" si="55"/>
        <v>1.2245365492516475E-2</v>
      </c>
      <c r="D1263">
        <f t="shared" si="54"/>
        <v>0.94240093424748406</v>
      </c>
    </row>
    <row r="1264" spans="1:4" x14ac:dyDescent="0.3">
      <c r="A1264" s="1">
        <v>27795</v>
      </c>
      <c r="B1264">
        <v>88.019997000000004</v>
      </c>
      <c r="C1264">
        <f t="shared" si="55"/>
        <v>-4.861503839282127E-3</v>
      </c>
      <c r="D1264">
        <f t="shared" si="54"/>
        <v>-0.42607826842939067</v>
      </c>
    </row>
    <row r="1265" spans="1:4" x14ac:dyDescent="0.3">
      <c r="A1265" s="1">
        <v>27796</v>
      </c>
      <c r="B1265">
        <v>87.25</v>
      </c>
      <c r="C1265">
        <f t="shared" si="55"/>
        <v>-8.7479780304923621E-3</v>
      </c>
      <c r="D1265">
        <f t="shared" si="54"/>
        <v>-0.73698022244884331</v>
      </c>
    </row>
    <row r="1266" spans="1:4" x14ac:dyDescent="0.3">
      <c r="A1266" s="1">
        <v>27799</v>
      </c>
      <c r="B1266">
        <v>87.830001999999993</v>
      </c>
      <c r="C1266">
        <f t="shared" si="55"/>
        <v>6.6475873925500662E-3</v>
      </c>
      <c r="D1266">
        <f t="shared" si="54"/>
        <v>0.49460170445125751</v>
      </c>
    </row>
    <row r="1267" spans="1:4" x14ac:dyDescent="0.3">
      <c r="A1267" s="1">
        <v>27800</v>
      </c>
      <c r="B1267">
        <v>87.949996999999996</v>
      </c>
      <c r="C1267">
        <f t="shared" si="55"/>
        <v>1.3662188007237319E-3</v>
      </c>
      <c r="D1267">
        <f t="shared" si="54"/>
        <v>7.2113934222565235E-2</v>
      </c>
    </row>
    <row r="1268" spans="1:4" x14ac:dyDescent="0.3">
      <c r="A1268" s="1">
        <v>27801</v>
      </c>
      <c r="B1268">
        <v>88.690002000000007</v>
      </c>
      <c r="C1268">
        <f t="shared" si="55"/>
        <v>8.4139286553927984E-3</v>
      </c>
      <c r="D1268">
        <f t="shared" si="54"/>
        <v>0.63590174224000373</v>
      </c>
    </row>
    <row r="1269" spans="1:4" x14ac:dyDescent="0.3">
      <c r="A1269" s="1">
        <v>27802</v>
      </c>
      <c r="B1269">
        <v>88.879997000000003</v>
      </c>
      <c r="C1269">
        <f t="shared" si="55"/>
        <v>2.142236956990892E-3</v>
      </c>
      <c r="D1269">
        <f t="shared" si="54"/>
        <v>0.13419219571821245</v>
      </c>
    </row>
    <row r="1270" spans="1:4" x14ac:dyDescent="0.3">
      <c r="A1270" s="1">
        <v>27803</v>
      </c>
      <c r="B1270">
        <v>88.959998999999996</v>
      </c>
      <c r="C1270">
        <f t="shared" si="55"/>
        <v>9.0011254163288557E-4</v>
      </c>
      <c r="D1270">
        <f t="shared" si="54"/>
        <v>3.4827350135687288E-2</v>
      </c>
    </row>
    <row r="1271" spans="1:4" x14ac:dyDescent="0.3">
      <c r="A1271" s="1">
        <v>27807</v>
      </c>
      <c r="B1271">
        <v>88.82</v>
      </c>
      <c r="C1271">
        <f t="shared" si="55"/>
        <v>-1.573729783877393E-3</v>
      </c>
      <c r="D1271">
        <f t="shared" si="54"/>
        <v>-0.16306986340470941</v>
      </c>
    </row>
    <row r="1272" spans="1:4" x14ac:dyDescent="0.3">
      <c r="A1272" s="1">
        <v>27808</v>
      </c>
      <c r="B1272">
        <v>89.230002999999996</v>
      </c>
      <c r="C1272">
        <f t="shared" si="55"/>
        <v>4.6161112362080982E-3</v>
      </c>
      <c r="D1272">
        <f t="shared" si="54"/>
        <v>0.33209196542376895</v>
      </c>
    </row>
    <row r="1273" spans="1:4" x14ac:dyDescent="0.3">
      <c r="A1273" s="1">
        <v>27809</v>
      </c>
      <c r="B1273">
        <v>90.139999000000003</v>
      </c>
      <c r="C1273">
        <f t="shared" si="55"/>
        <v>1.0198318608148054E-2</v>
      </c>
      <c r="D1273">
        <f t="shared" si="54"/>
        <v>0.7786456010050955</v>
      </c>
    </row>
    <row r="1274" spans="1:4" x14ac:dyDescent="0.3">
      <c r="A1274" s="1">
        <v>27810</v>
      </c>
      <c r="B1274">
        <v>91.019997000000004</v>
      </c>
      <c r="C1274">
        <f t="shared" si="55"/>
        <v>9.7625694448920559E-3</v>
      </c>
      <c r="D1274">
        <f t="shared" si="54"/>
        <v>0.74378745975588145</v>
      </c>
    </row>
    <row r="1275" spans="1:4" x14ac:dyDescent="0.3">
      <c r="A1275" s="1">
        <v>27813</v>
      </c>
      <c r="B1275">
        <v>91.309997999999993</v>
      </c>
      <c r="C1275">
        <f t="shared" si="55"/>
        <v>3.1861240338207164E-3</v>
      </c>
      <c r="D1275">
        <f t="shared" si="54"/>
        <v>0.21769886937528984</v>
      </c>
    </row>
    <row r="1276" spans="1:4" x14ac:dyDescent="0.3">
      <c r="A1276" s="1">
        <v>27814</v>
      </c>
      <c r="B1276">
        <v>91.730002999999996</v>
      </c>
      <c r="C1276">
        <f t="shared" si="55"/>
        <v>4.5997701149878825E-3</v>
      </c>
      <c r="D1276">
        <f t="shared" si="54"/>
        <v>0.33078474292124366</v>
      </c>
    </row>
    <row r="1277" spans="1:4" x14ac:dyDescent="0.3">
      <c r="A1277" s="1">
        <v>27815</v>
      </c>
      <c r="B1277">
        <v>92.089995999999999</v>
      </c>
      <c r="C1277">
        <f t="shared" si="55"/>
        <v>3.9244847729919177E-3</v>
      </c>
      <c r="D1277">
        <f t="shared" si="54"/>
        <v>0.27676469235148471</v>
      </c>
    </row>
    <row r="1278" spans="1:4" x14ac:dyDescent="0.3">
      <c r="A1278" s="1">
        <v>27816</v>
      </c>
      <c r="B1278">
        <v>91.449996999999996</v>
      </c>
      <c r="C1278">
        <f t="shared" si="55"/>
        <v>-6.9497125398941609E-3</v>
      </c>
      <c r="D1278">
        <f t="shared" si="54"/>
        <v>-0.59312637771286858</v>
      </c>
    </row>
    <row r="1279" spans="1:4" x14ac:dyDescent="0.3">
      <c r="A1279" s="1">
        <v>27817</v>
      </c>
      <c r="B1279">
        <v>90.260002</v>
      </c>
      <c r="C1279">
        <f t="shared" si="55"/>
        <v>-1.301252092988036E-2</v>
      </c>
      <c r="D1279">
        <f t="shared" si="54"/>
        <v>-1.0781261184946997</v>
      </c>
    </row>
    <row r="1280" spans="1:4" x14ac:dyDescent="0.3">
      <c r="A1280" s="1">
        <v>27820</v>
      </c>
      <c r="B1280">
        <v>90.25</v>
      </c>
      <c r="C1280">
        <f t="shared" si="55"/>
        <v>-1.1081320383751007E-4</v>
      </c>
      <c r="D1280">
        <f t="shared" si="54"/>
        <v>-4.6042552550440229E-2</v>
      </c>
    </row>
    <row r="1281" spans="1:4" x14ac:dyDescent="0.3">
      <c r="A1281" s="1">
        <v>27821</v>
      </c>
      <c r="B1281">
        <v>90.540001000000004</v>
      </c>
      <c r="C1281">
        <f t="shared" si="55"/>
        <v>3.2133074792244178E-3</v>
      </c>
      <c r="D1281">
        <f t="shared" si="54"/>
        <v>0.21987343322859054</v>
      </c>
    </row>
    <row r="1282" spans="1:4" x14ac:dyDescent="0.3">
      <c r="A1282" s="1">
        <v>27822</v>
      </c>
      <c r="B1282">
        <v>90.169998000000007</v>
      </c>
      <c r="C1282">
        <f t="shared" si="55"/>
        <v>-4.0866246511306863E-3</v>
      </c>
      <c r="D1282">
        <f t="shared" si="54"/>
        <v>-0.36409111969953611</v>
      </c>
    </row>
    <row r="1283" spans="1:4" x14ac:dyDescent="0.3">
      <c r="A1283" s="1">
        <v>27823</v>
      </c>
      <c r="B1283">
        <v>89.650002000000001</v>
      </c>
      <c r="C1283">
        <f t="shared" si="55"/>
        <v>-5.7668405404645356E-3</v>
      </c>
      <c r="D1283">
        <f t="shared" ref="D1283:D1346" si="56">(C1283-avrtn)/sdrtn</f>
        <v>-0.4985014817572237</v>
      </c>
    </row>
    <row r="1284" spans="1:4" x14ac:dyDescent="0.3">
      <c r="A1284" s="1">
        <v>27824</v>
      </c>
      <c r="B1284">
        <v>89.470000999999996</v>
      </c>
      <c r="C1284">
        <f t="shared" ref="C1284:C1347" si="57">(B1284-B1283)/B1283</f>
        <v>-2.0078192524747998E-3</v>
      </c>
      <c r="D1284">
        <f t="shared" si="56"/>
        <v>-0.19779523590594139</v>
      </c>
    </row>
    <row r="1285" spans="1:4" x14ac:dyDescent="0.3">
      <c r="A1285" s="1">
        <v>27827</v>
      </c>
      <c r="B1285">
        <v>89.970000999999996</v>
      </c>
      <c r="C1285">
        <f t="shared" si="57"/>
        <v>5.5884653449372376E-3</v>
      </c>
      <c r="D1285">
        <f t="shared" si="56"/>
        <v>0.40987629577811396</v>
      </c>
    </row>
    <row r="1286" spans="1:4" x14ac:dyDescent="0.3">
      <c r="A1286" s="1">
        <v>27828</v>
      </c>
      <c r="B1286">
        <v>89.980002999999996</v>
      </c>
      <c r="C1286">
        <f t="shared" si="57"/>
        <v>1.1117038889440567E-4</v>
      </c>
      <c r="D1286">
        <f t="shared" si="56"/>
        <v>-2.8284777933874489E-2</v>
      </c>
    </row>
    <row r="1287" spans="1:4" x14ac:dyDescent="0.3">
      <c r="A1287" s="1">
        <v>27829</v>
      </c>
      <c r="B1287">
        <v>90.199996999999996</v>
      </c>
      <c r="C1287">
        <f t="shared" si="57"/>
        <v>2.4449210120608667E-3</v>
      </c>
      <c r="D1287">
        <f t="shared" si="56"/>
        <v>0.15840567547953893</v>
      </c>
    </row>
    <row r="1288" spans="1:4" x14ac:dyDescent="0.3">
      <c r="A1288" s="1">
        <v>27830</v>
      </c>
      <c r="B1288">
        <v>91.209998999999996</v>
      </c>
      <c r="C1288">
        <f t="shared" si="57"/>
        <v>1.1197361791486535E-2</v>
      </c>
      <c r="D1288">
        <f t="shared" si="56"/>
        <v>0.85856494758205726</v>
      </c>
    </row>
    <row r="1289" spans="1:4" x14ac:dyDescent="0.3">
      <c r="A1289" s="1">
        <v>27831</v>
      </c>
      <c r="B1289">
        <v>90.989998</v>
      </c>
      <c r="C1289">
        <f t="shared" si="57"/>
        <v>-2.4120272164458237E-3</v>
      </c>
      <c r="D1289">
        <f t="shared" si="56"/>
        <v>-0.23013021091054392</v>
      </c>
    </row>
    <row r="1290" spans="1:4" x14ac:dyDescent="0.3">
      <c r="A1290" s="1">
        <v>27834</v>
      </c>
      <c r="B1290">
        <v>89.720000999999996</v>
      </c>
      <c r="C1290">
        <f t="shared" si="57"/>
        <v>-1.395754509193421E-2</v>
      </c>
      <c r="D1290">
        <f t="shared" si="56"/>
        <v>-1.1537241654964339</v>
      </c>
    </row>
    <row r="1291" spans="1:4" x14ac:dyDescent="0.3">
      <c r="A1291" s="1">
        <v>27835</v>
      </c>
      <c r="B1291">
        <v>89.860000999999997</v>
      </c>
      <c r="C1291">
        <f t="shared" si="57"/>
        <v>1.5604101475656534E-3</v>
      </c>
      <c r="D1291">
        <f t="shared" si="56"/>
        <v>8.7648443450329405E-2</v>
      </c>
    </row>
    <row r="1292" spans="1:4" x14ac:dyDescent="0.3">
      <c r="A1292" s="1">
        <v>27836</v>
      </c>
      <c r="B1292">
        <v>90.110000999999997</v>
      </c>
      <c r="C1292">
        <f t="shared" si="57"/>
        <v>2.7821054664800195E-3</v>
      </c>
      <c r="D1292">
        <f t="shared" si="56"/>
        <v>0.18537904532230987</v>
      </c>
    </row>
    <row r="1293" spans="1:4" x14ac:dyDescent="0.3">
      <c r="A1293" s="1">
        <v>27837</v>
      </c>
      <c r="B1293">
        <v>89.550003000000004</v>
      </c>
      <c r="C1293">
        <f t="shared" si="57"/>
        <v>-6.2146043034667494E-3</v>
      </c>
      <c r="D1293">
        <f t="shared" si="56"/>
        <v>-0.53432074158180565</v>
      </c>
    </row>
    <row r="1294" spans="1:4" x14ac:dyDescent="0.3">
      <c r="A1294" s="1">
        <v>27838</v>
      </c>
      <c r="B1294">
        <v>89.540001000000004</v>
      </c>
      <c r="C1294">
        <f t="shared" si="57"/>
        <v>-1.1169178855303965E-4</v>
      </c>
      <c r="D1294">
        <f t="shared" si="56"/>
        <v>-4.6112835714920662E-2</v>
      </c>
    </row>
    <row r="1295" spans="1:4" x14ac:dyDescent="0.3">
      <c r="A1295" s="1">
        <v>27841</v>
      </c>
      <c r="B1295">
        <v>89.690002000000007</v>
      </c>
      <c r="C1295">
        <f t="shared" si="57"/>
        <v>1.6752400974398376E-3</v>
      </c>
      <c r="D1295">
        <f t="shared" si="56"/>
        <v>9.6834367256688841E-2</v>
      </c>
    </row>
    <row r="1296" spans="1:4" x14ac:dyDescent="0.3">
      <c r="A1296" s="1">
        <v>27842</v>
      </c>
      <c r="B1296">
        <v>90.360000999999997</v>
      </c>
      <c r="C1296">
        <f t="shared" si="57"/>
        <v>7.4701637312929257E-3</v>
      </c>
      <c r="D1296">
        <f t="shared" si="56"/>
        <v>0.5604044290965704</v>
      </c>
    </row>
    <row r="1297" spans="1:4" x14ac:dyDescent="0.3">
      <c r="A1297" s="1">
        <v>27843</v>
      </c>
      <c r="B1297">
        <v>90.93</v>
      </c>
      <c r="C1297">
        <f t="shared" si="57"/>
        <v>6.3080897929606037E-3</v>
      </c>
      <c r="D1297">
        <f t="shared" si="56"/>
        <v>0.46744329250657157</v>
      </c>
    </row>
    <row r="1298" spans="1:4" x14ac:dyDescent="0.3">
      <c r="A1298" s="1">
        <v>27844</v>
      </c>
      <c r="B1298">
        <v>90.669998000000007</v>
      </c>
      <c r="C1298">
        <f t="shared" si="57"/>
        <v>-2.8593643462003744E-3</v>
      </c>
      <c r="D1298">
        <f t="shared" si="56"/>
        <v>-0.26591534182963922</v>
      </c>
    </row>
    <row r="1299" spans="1:4" x14ac:dyDescent="0.3">
      <c r="A1299" s="1">
        <v>27845</v>
      </c>
      <c r="B1299">
        <v>90.889999000000003</v>
      </c>
      <c r="C1299">
        <f t="shared" si="57"/>
        <v>2.42639246556503E-3</v>
      </c>
      <c r="D1299">
        <f t="shared" si="56"/>
        <v>0.15692346794971043</v>
      </c>
    </row>
    <row r="1300" spans="1:4" x14ac:dyDescent="0.3">
      <c r="A1300" s="1">
        <v>27848</v>
      </c>
      <c r="B1300">
        <v>90.690002000000007</v>
      </c>
      <c r="C1300">
        <f t="shared" si="57"/>
        <v>-2.2004291143186854E-3</v>
      </c>
      <c r="D1300">
        <f t="shared" si="56"/>
        <v>-0.21320323283696785</v>
      </c>
    </row>
    <row r="1301" spans="1:4" x14ac:dyDescent="0.3">
      <c r="A1301" s="1">
        <v>27849</v>
      </c>
      <c r="B1301">
        <v>90.489998</v>
      </c>
      <c r="C1301">
        <f t="shared" si="57"/>
        <v>-2.2053588663500851E-3</v>
      </c>
      <c r="D1301">
        <f t="shared" si="56"/>
        <v>-0.21359759272821835</v>
      </c>
    </row>
    <row r="1302" spans="1:4" x14ac:dyDescent="0.3">
      <c r="A1302" s="1">
        <v>27850</v>
      </c>
      <c r="B1302">
        <v>90.620002999999997</v>
      </c>
      <c r="C1302">
        <f t="shared" si="57"/>
        <v>1.4366781177296195E-3</v>
      </c>
      <c r="D1302">
        <f t="shared" si="56"/>
        <v>7.7750389852593513E-2</v>
      </c>
    </row>
    <row r="1303" spans="1:4" x14ac:dyDescent="0.3">
      <c r="A1303" s="1">
        <v>27851</v>
      </c>
      <c r="B1303">
        <v>90.440002000000007</v>
      </c>
      <c r="C1303">
        <f t="shared" si="57"/>
        <v>-1.9863274557604029E-3</v>
      </c>
      <c r="D1303">
        <f t="shared" si="56"/>
        <v>-0.1960759805435858</v>
      </c>
    </row>
    <row r="1304" spans="1:4" x14ac:dyDescent="0.3">
      <c r="A1304" s="1">
        <v>27852</v>
      </c>
      <c r="B1304">
        <v>90.629997000000003</v>
      </c>
      <c r="C1304">
        <f t="shared" si="57"/>
        <v>2.1007850044054192E-3</v>
      </c>
      <c r="D1304">
        <f t="shared" si="56"/>
        <v>0.13087620996282215</v>
      </c>
    </row>
    <row r="1305" spans="1:4" x14ac:dyDescent="0.3">
      <c r="A1305" s="1">
        <v>27855</v>
      </c>
      <c r="B1305">
        <v>91.43</v>
      </c>
      <c r="C1305">
        <f t="shared" si="57"/>
        <v>8.8271325883416251E-3</v>
      </c>
      <c r="D1305">
        <f t="shared" si="56"/>
        <v>0.66895635777118501</v>
      </c>
    </row>
    <row r="1306" spans="1:4" x14ac:dyDescent="0.3">
      <c r="A1306" s="1">
        <v>27856</v>
      </c>
      <c r="B1306">
        <v>91.550003000000004</v>
      </c>
      <c r="C1306">
        <f t="shared" si="57"/>
        <v>1.312512304495209E-3</v>
      </c>
      <c r="D1306">
        <f t="shared" si="56"/>
        <v>6.7817635366715479E-2</v>
      </c>
    </row>
    <row r="1307" spans="1:4" x14ac:dyDescent="0.3">
      <c r="A1307" s="1">
        <v>27857</v>
      </c>
      <c r="B1307">
        <v>90.800003000000004</v>
      </c>
      <c r="C1307">
        <f t="shared" si="57"/>
        <v>-8.1922444065894787E-3</v>
      </c>
      <c r="D1307">
        <f t="shared" si="56"/>
        <v>-0.69252381772692861</v>
      </c>
    </row>
    <row r="1308" spans="1:4" x14ac:dyDescent="0.3">
      <c r="A1308" s="1">
        <v>27858</v>
      </c>
      <c r="B1308">
        <v>90.040001000000004</v>
      </c>
      <c r="C1308">
        <f t="shared" si="57"/>
        <v>-8.3700658027511306E-3</v>
      </c>
      <c r="D1308">
        <f t="shared" si="56"/>
        <v>-0.70674879821391068</v>
      </c>
    </row>
    <row r="1309" spans="1:4" x14ac:dyDescent="0.3">
      <c r="A1309" s="1">
        <v>27859</v>
      </c>
      <c r="B1309">
        <v>88.889999000000003</v>
      </c>
      <c r="C1309">
        <f t="shared" si="57"/>
        <v>-1.277212335881694E-2</v>
      </c>
      <c r="D1309">
        <f t="shared" si="56"/>
        <v>-1.0588953013303448</v>
      </c>
    </row>
    <row r="1310" spans="1:4" x14ac:dyDescent="0.3">
      <c r="A1310" s="1">
        <v>27862</v>
      </c>
      <c r="B1310">
        <v>88.599997999999999</v>
      </c>
      <c r="C1310">
        <f t="shared" si="57"/>
        <v>-3.2624705058215122E-3</v>
      </c>
      <c r="D1310">
        <f t="shared" si="56"/>
        <v>-0.29816217701689746</v>
      </c>
    </row>
    <row r="1311" spans="1:4" x14ac:dyDescent="0.3">
      <c r="A1311" s="1">
        <v>27863</v>
      </c>
      <c r="B1311">
        <v>88.660004000000001</v>
      </c>
      <c r="C1311">
        <f t="shared" si="57"/>
        <v>6.7726863831307695E-4</v>
      </c>
      <c r="D1311">
        <f t="shared" si="56"/>
        <v>1.7000754209708389E-2</v>
      </c>
    </row>
    <row r="1312" spans="1:4" x14ac:dyDescent="0.3">
      <c r="A1312" s="1">
        <v>27864</v>
      </c>
      <c r="B1312">
        <v>88.75</v>
      </c>
      <c r="C1312">
        <f t="shared" si="57"/>
        <v>1.0150687563695497E-3</v>
      </c>
      <c r="D1312">
        <f t="shared" si="56"/>
        <v>4.4023374611840915E-2</v>
      </c>
    </row>
    <row r="1313" spans="1:4" x14ac:dyDescent="0.3">
      <c r="A1313" s="1">
        <v>27865</v>
      </c>
      <c r="B1313">
        <v>89.169998000000007</v>
      </c>
      <c r="C1313">
        <f t="shared" si="57"/>
        <v>4.7323718309859918E-3</v>
      </c>
      <c r="D1313">
        <f t="shared" si="56"/>
        <v>0.34139233493957816</v>
      </c>
    </row>
    <row r="1314" spans="1:4" x14ac:dyDescent="0.3">
      <c r="A1314" s="1">
        <v>27869</v>
      </c>
      <c r="B1314">
        <v>89.589995999999999</v>
      </c>
      <c r="C1314">
        <f t="shared" si="57"/>
        <v>4.710081971741129E-3</v>
      </c>
      <c r="D1314">
        <f t="shared" si="56"/>
        <v>0.33960923785643798</v>
      </c>
    </row>
    <row r="1315" spans="1:4" x14ac:dyDescent="0.3">
      <c r="A1315" s="1">
        <v>27870</v>
      </c>
      <c r="B1315">
        <v>90.610000999999997</v>
      </c>
      <c r="C1315">
        <f t="shared" si="57"/>
        <v>1.1385255559113962E-2</v>
      </c>
      <c r="D1315">
        <f t="shared" si="56"/>
        <v>0.87359567636846236</v>
      </c>
    </row>
    <row r="1316" spans="1:4" x14ac:dyDescent="0.3">
      <c r="A1316" s="1">
        <v>27871</v>
      </c>
      <c r="B1316">
        <v>90.769997000000004</v>
      </c>
      <c r="C1316">
        <f t="shared" si="57"/>
        <v>1.7657653485734614E-3</v>
      </c>
      <c r="D1316">
        <f t="shared" si="56"/>
        <v>0.10407601510532186</v>
      </c>
    </row>
    <row r="1317" spans="1:4" x14ac:dyDescent="0.3">
      <c r="A1317" s="1">
        <v>27872</v>
      </c>
      <c r="B1317">
        <v>90.959998999999996</v>
      </c>
      <c r="C1317">
        <f t="shared" si="57"/>
        <v>2.0932247028717281E-3</v>
      </c>
      <c r="D1317">
        <f t="shared" si="56"/>
        <v>0.13027141692827254</v>
      </c>
    </row>
    <row r="1318" spans="1:4" x14ac:dyDescent="0.3">
      <c r="A1318" s="1">
        <v>27873</v>
      </c>
      <c r="B1318">
        <v>90.599997999999999</v>
      </c>
      <c r="C1318">
        <f t="shared" si="57"/>
        <v>-3.957794678515739E-3</v>
      </c>
      <c r="D1318">
        <f t="shared" si="56"/>
        <v>-0.35378525164235314</v>
      </c>
    </row>
    <row r="1319" spans="1:4" x14ac:dyDescent="0.3">
      <c r="A1319" s="1">
        <v>27876</v>
      </c>
      <c r="B1319">
        <v>90.57</v>
      </c>
      <c r="C1319">
        <f t="shared" si="57"/>
        <v>-3.3110376006858394E-4</v>
      </c>
      <c r="D1319">
        <f t="shared" si="56"/>
        <v>-6.3664891208746299E-2</v>
      </c>
    </row>
    <row r="1320" spans="1:4" x14ac:dyDescent="0.3">
      <c r="A1320" s="1">
        <v>27877</v>
      </c>
      <c r="B1320">
        <v>89.980002999999996</v>
      </c>
      <c r="C1320">
        <f t="shared" si="57"/>
        <v>-6.5142652092303943E-3</v>
      </c>
      <c r="D1320">
        <f t="shared" si="56"/>
        <v>-0.55829238182988994</v>
      </c>
    </row>
    <row r="1321" spans="1:4" x14ac:dyDescent="0.3">
      <c r="A1321" s="1">
        <v>27878</v>
      </c>
      <c r="B1321">
        <v>90.300003000000004</v>
      </c>
      <c r="C1321">
        <f t="shared" si="57"/>
        <v>3.5563457360632384E-3</v>
      </c>
      <c r="D1321">
        <f t="shared" si="56"/>
        <v>0.24731508319395551</v>
      </c>
    </row>
    <row r="1322" spans="1:4" x14ac:dyDescent="0.3">
      <c r="A1322" s="1">
        <v>27879</v>
      </c>
      <c r="B1322">
        <v>90.550003000000004</v>
      </c>
      <c r="C1322">
        <f t="shared" si="57"/>
        <v>2.7685491881988089E-3</v>
      </c>
      <c r="D1322">
        <f t="shared" si="56"/>
        <v>0.18429459880356239</v>
      </c>
    </row>
    <row r="1323" spans="1:4" x14ac:dyDescent="0.3">
      <c r="A1323" s="1">
        <v>27880</v>
      </c>
      <c r="B1323">
        <v>90.080001999999993</v>
      </c>
      <c r="C1323">
        <f t="shared" si="57"/>
        <v>-5.1905133564712361E-3</v>
      </c>
      <c r="D1323">
        <f t="shared" si="56"/>
        <v>-0.45239767690930088</v>
      </c>
    </row>
    <row r="1324" spans="1:4" x14ac:dyDescent="0.3">
      <c r="A1324" s="1">
        <v>27883</v>
      </c>
      <c r="B1324">
        <v>89.050003000000004</v>
      </c>
      <c r="C1324">
        <f t="shared" si="57"/>
        <v>-1.1434269284318949E-2</v>
      </c>
      <c r="D1324">
        <f t="shared" si="56"/>
        <v>-0.9518724766593315</v>
      </c>
    </row>
    <row r="1325" spans="1:4" x14ac:dyDescent="0.3">
      <c r="A1325" s="1">
        <v>27884</v>
      </c>
      <c r="B1325">
        <v>89.239998</v>
      </c>
      <c r="C1325">
        <f t="shared" si="57"/>
        <v>2.1335765704577924E-3</v>
      </c>
      <c r="D1325">
        <f t="shared" si="56"/>
        <v>0.13349940040728672</v>
      </c>
    </row>
    <row r="1326" spans="1:4" x14ac:dyDescent="0.3">
      <c r="A1326" s="1">
        <v>27885</v>
      </c>
      <c r="B1326">
        <v>89.239998</v>
      </c>
      <c r="C1326">
        <f t="shared" si="57"/>
        <v>0</v>
      </c>
      <c r="D1326">
        <f t="shared" si="56"/>
        <v>-3.7177951910056316E-2</v>
      </c>
    </row>
    <row r="1327" spans="1:4" x14ac:dyDescent="0.3">
      <c r="A1327" s="1">
        <v>27886</v>
      </c>
      <c r="B1327">
        <v>89.419998000000007</v>
      </c>
      <c r="C1327">
        <f t="shared" si="57"/>
        <v>2.0170327659577809E-3</v>
      </c>
      <c r="D1327">
        <f t="shared" si="56"/>
        <v>0.12417637527827341</v>
      </c>
    </row>
    <row r="1328" spans="1:4" x14ac:dyDescent="0.3">
      <c r="A1328" s="1">
        <v>27887</v>
      </c>
      <c r="B1328">
        <v>90.019997000000004</v>
      </c>
      <c r="C1328">
        <f t="shared" si="57"/>
        <v>6.7098972648153808E-3</v>
      </c>
      <c r="D1328">
        <f t="shared" si="56"/>
        <v>0.49958623801275692</v>
      </c>
    </row>
    <row r="1329" spans="1:4" x14ac:dyDescent="0.3">
      <c r="A1329" s="1">
        <v>27890</v>
      </c>
      <c r="B1329">
        <v>90.550003000000004</v>
      </c>
      <c r="C1329">
        <f t="shared" si="57"/>
        <v>5.8876473857247535E-3</v>
      </c>
      <c r="D1329">
        <f t="shared" si="56"/>
        <v>0.43380962879721252</v>
      </c>
    </row>
    <row r="1330" spans="1:4" x14ac:dyDescent="0.3">
      <c r="A1330" s="1">
        <v>27891</v>
      </c>
      <c r="B1330">
        <v>90.589995999999999</v>
      </c>
      <c r="C1330">
        <f t="shared" si="57"/>
        <v>4.4166757233564646E-4</v>
      </c>
      <c r="D1330">
        <f t="shared" si="56"/>
        <v>-1.8463622711139571E-3</v>
      </c>
    </row>
    <row r="1331" spans="1:4" x14ac:dyDescent="0.3">
      <c r="A1331" s="1">
        <v>27892</v>
      </c>
      <c r="B1331">
        <v>90.639999000000003</v>
      </c>
      <c r="C1331">
        <f t="shared" si="57"/>
        <v>5.5197044053301202E-4</v>
      </c>
      <c r="D1331">
        <f t="shared" si="56"/>
        <v>6.9774136165710841E-3</v>
      </c>
    </row>
    <row r="1332" spans="1:4" x14ac:dyDescent="0.3">
      <c r="A1332" s="1">
        <v>27893</v>
      </c>
      <c r="B1332">
        <v>90.220000999999996</v>
      </c>
      <c r="C1332">
        <f t="shared" si="57"/>
        <v>-4.6336937845730423E-3</v>
      </c>
      <c r="D1332">
        <f t="shared" si="56"/>
        <v>-0.40785440081320623</v>
      </c>
    </row>
    <row r="1333" spans="1:4" x14ac:dyDescent="0.3">
      <c r="A1333" s="1">
        <v>27894</v>
      </c>
      <c r="B1333">
        <v>89.779999000000004</v>
      </c>
      <c r="C1333">
        <f t="shared" si="57"/>
        <v>-4.876989526967448E-3</v>
      </c>
      <c r="D1333">
        <f t="shared" si="56"/>
        <v>-0.4273170597666881</v>
      </c>
    </row>
    <row r="1334" spans="1:4" x14ac:dyDescent="0.3">
      <c r="A1334" s="1">
        <v>27897</v>
      </c>
      <c r="B1334">
        <v>89.489998</v>
      </c>
      <c r="C1334">
        <f t="shared" si="57"/>
        <v>-3.2301292407009687E-3</v>
      </c>
      <c r="D1334">
        <f t="shared" si="56"/>
        <v>-0.29557500879533077</v>
      </c>
    </row>
    <row r="1335" spans="1:4" x14ac:dyDescent="0.3">
      <c r="A1335" s="1">
        <v>27898</v>
      </c>
      <c r="B1335">
        <v>89.529999000000004</v>
      </c>
      <c r="C1335">
        <f t="shared" si="57"/>
        <v>4.4698850032384322E-4</v>
      </c>
      <c r="D1335">
        <f t="shared" si="56"/>
        <v>-1.4207099118448401E-3</v>
      </c>
    </row>
    <row r="1336" spans="1:4" x14ac:dyDescent="0.3">
      <c r="A1336" s="1">
        <v>27899</v>
      </c>
      <c r="B1336">
        <v>89.25</v>
      </c>
      <c r="C1336">
        <f t="shared" si="57"/>
        <v>-3.1274321805812113E-3</v>
      </c>
      <c r="D1336">
        <f t="shared" si="56"/>
        <v>-0.28735966627858467</v>
      </c>
    </row>
    <row r="1337" spans="1:4" x14ac:dyDescent="0.3">
      <c r="A1337" s="1">
        <v>27900</v>
      </c>
      <c r="B1337">
        <v>89.529999000000004</v>
      </c>
      <c r="C1337">
        <f t="shared" si="57"/>
        <v>3.1372436974790325E-3</v>
      </c>
      <c r="D1337">
        <f t="shared" si="56"/>
        <v>0.21378864346509918</v>
      </c>
    </row>
    <row r="1338" spans="1:4" x14ac:dyDescent="0.3">
      <c r="A1338" s="1">
        <v>27901</v>
      </c>
      <c r="B1338">
        <v>89.389999000000003</v>
      </c>
      <c r="C1338">
        <f t="shared" si="57"/>
        <v>-1.5637216750108594E-3</v>
      </c>
      <c r="D1338">
        <f t="shared" si="56"/>
        <v>-0.16226925584897631</v>
      </c>
    </row>
    <row r="1339" spans="1:4" x14ac:dyDescent="0.3">
      <c r="A1339" s="1">
        <v>27904</v>
      </c>
      <c r="B1339">
        <v>88.150002000000001</v>
      </c>
      <c r="C1339">
        <f t="shared" si="57"/>
        <v>-1.3871764334620951E-2</v>
      </c>
      <c r="D1339">
        <f t="shared" si="56"/>
        <v>-1.1468620576439548</v>
      </c>
    </row>
    <row r="1340" spans="1:4" x14ac:dyDescent="0.3">
      <c r="A1340" s="1">
        <v>27905</v>
      </c>
      <c r="B1340">
        <v>87.809997999999993</v>
      </c>
      <c r="C1340">
        <f t="shared" si="57"/>
        <v>-3.8571071161179046E-3</v>
      </c>
      <c r="D1340">
        <f t="shared" si="56"/>
        <v>-0.34573066068025687</v>
      </c>
    </row>
    <row r="1341" spans="1:4" x14ac:dyDescent="0.3">
      <c r="A1341" s="1">
        <v>27906</v>
      </c>
      <c r="B1341">
        <v>88.099997999999999</v>
      </c>
      <c r="C1341">
        <f t="shared" si="57"/>
        <v>3.3025852021999393E-3</v>
      </c>
      <c r="D1341">
        <f t="shared" si="56"/>
        <v>0.22701528395444182</v>
      </c>
    </row>
    <row r="1342" spans="1:4" x14ac:dyDescent="0.3">
      <c r="A1342" s="1">
        <v>27907</v>
      </c>
      <c r="B1342">
        <v>87.779999000000004</v>
      </c>
      <c r="C1342">
        <f t="shared" si="57"/>
        <v>-3.6322248270652139E-3</v>
      </c>
      <c r="D1342">
        <f t="shared" si="56"/>
        <v>-0.32774100227753966</v>
      </c>
    </row>
    <row r="1343" spans="1:4" x14ac:dyDescent="0.3">
      <c r="A1343" s="1">
        <v>27908</v>
      </c>
      <c r="B1343">
        <v>88.040001000000004</v>
      </c>
      <c r="C1343">
        <f t="shared" si="57"/>
        <v>2.9619731483478376E-3</v>
      </c>
      <c r="D1343">
        <f t="shared" si="56"/>
        <v>0.19976772025140807</v>
      </c>
    </row>
    <row r="1344" spans="1:4" x14ac:dyDescent="0.3">
      <c r="A1344" s="1">
        <v>27912</v>
      </c>
      <c r="B1344">
        <v>87.809997999999993</v>
      </c>
      <c r="C1344">
        <f t="shared" si="57"/>
        <v>-2.6124829326161707E-3</v>
      </c>
      <c r="D1344">
        <f t="shared" si="56"/>
        <v>-0.24616584392534155</v>
      </c>
    </row>
    <row r="1345" spans="1:4" x14ac:dyDescent="0.3">
      <c r="A1345" s="1">
        <v>27913</v>
      </c>
      <c r="B1345">
        <v>88.160004000000001</v>
      </c>
      <c r="C1345">
        <f t="shared" si="57"/>
        <v>3.985947021659283E-3</v>
      </c>
      <c r="D1345">
        <f t="shared" si="56"/>
        <v>0.28168141951059728</v>
      </c>
    </row>
    <row r="1346" spans="1:4" x14ac:dyDescent="0.3">
      <c r="A1346" s="1">
        <v>27914</v>
      </c>
      <c r="B1346">
        <v>88.260002</v>
      </c>
      <c r="C1346">
        <f t="shared" si="57"/>
        <v>1.1342785329274642E-3</v>
      </c>
      <c r="D1346">
        <f t="shared" si="56"/>
        <v>5.3559666542943841E-2</v>
      </c>
    </row>
    <row r="1347" spans="1:4" x14ac:dyDescent="0.3">
      <c r="A1347" s="1">
        <v>27915</v>
      </c>
      <c r="B1347">
        <v>87.75</v>
      </c>
      <c r="C1347">
        <f t="shared" si="57"/>
        <v>-5.7784045824064234E-3</v>
      </c>
      <c r="D1347">
        <f t="shared" ref="D1347:D1410" si="58">(C1347-avrtn)/sdrtn</f>
        <v>-0.49942655756095011</v>
      </c>
    </row>
    <row r="1348" spans="1:4" x14ac:dyDescent="0.3">
      <c r="A1348" s="1">
        <v>27918</v>
      </c>
      <c r="B1348">
        <v>87.220000999999996</v>
      </c>
      <c r="C1348">
        <f t="shared" ref="C1348:C1411" si="59">(B1348-B1347)/B1347</f>
        <v>-6.039874643874686E-3</v>
      </c>
      <c r="D1348">
        <f t="shared" si="58"/>
        <v>-0.520343087307094</v>
      </c>
    </row>
    <row r="1349" spans="1:4" x14ac:dyDescent="0.3">
      <c r="A1349" s="1">
        <v>27919</v>
      </c>
      <c r="B1349">
        <v>87.120002999999997</v>
      </c>
      <c r="C1349">
        <f t="shared" si="59"/>
        <v>-1.1465030824753071E-3</v>
      </c>
      <c r="D1349">
        <f t="shared" si="58"/>
        <v>-0.12889348405923579</v>
      </c>
    </row>
    <row r="1350" spans="1:4" x14ac:dyDescent="0.3">
      <c r="A1350" s="1">
        <v>27920</v>
      </c>
      <c r="B1350">
        <v>86.949996999999996</v>
      </c>
      <c r="C1350">
        <f t="shared" si="59"/>
        <v>-1.951400300112487E-3</v>
      </c>
      <c r="D1350">
        <f t="shared" si="58"/>
        <v>-0.19328195171307469</v>
      </c>
    </row>
    <row r="1351" spans="1:4" x14ac:dyDescent="0.3">
      <c r="A1351" s="1">
        <v>27921</v>
      </c>
      <c r="B1351">
        <v>87.309997999999993</v>
      </c>
      <c r="C1351">
        <f t="shared" si="59"/>
        <v>4.1403221670036046E-3</v>
      </c>
      <c r="D1351">
        <f t="shared" si="58"/>
        <v>0.29403079634375229</v>
      </c>
    </row>
    <row r="1352" spans="1:4" x14ac:dyDescent="0.3">
      <c r="A1352" s="1">
        <v>27922</v>
      </c>
      <c r="B1352">
        <v>87.709998999999996</v>
      </c>
      <c r="C1352">
        <f t="shared" si="59"/>
        <v>4.5813882620865847E-3</v>
      </c>
      <c r="D1352">
        <f t="shared" si="58"/>
        <v>0.32931427027577059</v>
      </c>
    </row>
    <row r="1353" spans="1:4" x14ac:dyDescent="0.3">
      <c r="A1353" s="1">
        <v>27925</v>
      </c>
      <c r="B1353">
        <v>88.400002000000001</v>
      </c>
      <c r="C1353">
        <f t="shared" si="59"/>
        <v>7.866868177709185E-3</v>
      </c>
      <c r="D1353">
        <f t="shared" si="58"/>
        <v>0.59213915355144031</v>
      </c>
    </row>
    <row r="1354" spans="1:4" x14ac:dyDescent="0.3">
      <c r="A1354" s="1">
        <v>27926</v>
      </c>
      <c r="B1354">
        <v>88.449996999999996</v>
      </c>
      <c r="C1354">
        <f t="shared" si="59"/>
        <v>5.6555428584713797E-4</v>
      </c>
      <c r="D1354">
        <f t="shared" si="58"/>
        <v>8.0640653845954688E-3</v>
      </c>
    </row>
    <row r="1355" spans="1:4" x14ac:dyDescent="0.3">
      <c r="A1355" s="1">
        <v>27927</v>
      </c>
      <c r="B1355">
        <v>88.93</v>
      </c>
      <c r="C1355">
        <f t="shared" si="59"/>
        <v>5.4268289008535591E-3</v>
      </c>
      <c r="D1355">
        <f t="shared" si="58"/>
        <v>0.39694604490444918</v>
      </c>
    </row>
    <row r="1356" spans="1:4" x14ac:dyDescent="0.3">
      <c r="A1356" s="1">
        <v>27928</v>
      </c>
      <c r="B1356">
        <v>89.720000999999996</v>
      </c>
      <c r="C1356">
        <f t="shared" si="59"/>
        <v>8.8834026762621109E-3</v>
      </c>
      <c r="D1356">
        <f t="shared" si="58"/>
        <v>0.67345773342083981</v>
      </c>
    </row>
    <row r="1357" spans="1:4" x14ac:dyDescent="0.3">
      <c r="A1357" s="1">
        <v>27929</v>
      </c>
      <c r="B1357">
        <v>90.050003000000004</v>
      </c>
      <c r="C1357">
        <f t="shared" si="59"/>
        <v>3.6781319251212165E-3</v>
      </c>
      <c r="D1357">
        <f t="shared" si="58"/>
        <v>0.257057477530792</v>
      </c>
    </row>
    <row r="1358" spans="1:4" x14ac:dyDescent="0.3">
      <c r="A1358" s="1">
        <v>27932</v>
      </c>
      <c r="B1358">
        <v>90.150002000000001</v>
      </c>
      <c r="C1358">
        <f t="shared" si="59"/>
        <v>1.110483027968326E-3</v>
      </c>
      <c r="D1358">
        <f t="shared" si="58"/>
        <v>5.1656123993913845E-2</v>
      </c>
    </row>
    <row r="1359" spans="1:4" x14ac:dyDescent="0.3">
      <c r="A1359" s="1">
        <v>27933</v>
      </c>
      <c r="B1359">
        <v>89.540001000000004</v>
      </c>
      <c r="C1359">
        <f t="shared" si="59"/>
        <v>-6.7665112198222344E-3</v>
      </c>
      <c r="D1359">
        <f t="shared" si="58"/>
        <v>-0.57847102543544382</v>
      </c>
    </row>
    <row r="1360" spans="1:4" x14ac:dyDescent="0.3">
      <c r="A1360" s="1">
        <v>27934</v>
      </c>
      <c r="B1360">
        <v>89.190002000000007</v>
      </c>
      <c r="C1360">
        <f t="shared" si="59"/>
        <v>-3.908856333383298E-3</v>
      </c>
      <c r="D1360">
        <f t="shared" si="58"/>
        <v>-0.34987038526743547</v>
      </c>
    </row>
    <row r="1361" spans="1:4" x14ac:dyDescent="0.3">
      <c r="A1361" s="1">
        <v>27935</v>
      </c>
      <c r="B1361">
        <v>89.800003000000004</v>
      </c>
      <c r="C1361">
        <f t="shared" si="59"/>
        <v>6.8393428223041961E-3</v>
      </c>
      <c r="D1361">
        <f t="shared" si="58"/>
        <v>0.50994135032854926</v>
      </c>
    </row>
    <row r="1362" spans="1:4" x14ac:dyDescent="0.3">
      <c r="A1362" s="1">
        <v>27936</v>
      </c>
      <c r="B1362">
        <v>90.050003000000004</v>
      </c>
      <c r="C1362">
        <f t="shared" si="59"/>
        <v>2.7839642722506368E-3</v>
      </c>
      <c r="D1362">
        <f t="shared" si="58"/>
        <v>0.18552774214050424</v>
      </c>
    </row>
    <row r="1363" spans="1:4" x14ac:dyDescent="0.3">
      <c r="A1363" s="1">
        <v>27939</v>
      </c>
      <c r="B1363">
        <v>89.870002999999997</v>
      </c>
      <c r="C1363">
        <f t="shared" si="59"/>
        <v>-1.9988894392375181E-3</v>
      </c>
      <c r="D1363">
        <f t="shared" si="58"/>
        <v>-0.1970808875665703</v>
      </c>
    </row>
    <row r="1364" spans="1:4" x14ac:dyDescent="0.3">
      <c r="A1364" s="1">
        <v>27940</v>
      </c>
      <c r="B1364">
        <v>90.110000999999997</v>
      </c>
      <c r="C1364">
        <f t="shared" si="59"/>
        <v>2.6705017468398209E-3</v>
      </c>
      <c r="D1364">
        <f t="shared" si="58"/>
        <v>0.17645120666833128</v>
      </c>
    </row>
    <row r="1365" spans="1:4" x14ac:dyDescent="0.3">
      <c r="A1365" s="1">
        <v>27941</v>
      </c>
      <c r="B1365">
        <v>90.32</v>
      </c>
      <c r="C1365">
        <f t="shared" si="59"/>
        <v>2.3304738394131887E-3</v>
      </c>
      <c r="D1365">
        <f t="shared" si="58"/>
        <v>0.14925037227731064</v>
      </c>
    </row>
    <row r="1366" spans="1:4" x14ac:dyDescent="0.3">
      <c r="A1366" s="1">
        <v>27942</v>
      </c>
      <c r="B1366">
        <v>90.279999000000004</v>
      </c>
      <c r="C1366">
        <f t="shared" si="59"/>
        <v>-4.4288086802468467E-4</v>
      </c>
      <c r="D1366">
        <f t="shared" si="58"/>
        <v>-7.2606600215020051E-2</v>
      </c>
    </row>
    <row r="1367" spans="1:4" x14ac:dyDescent="0.3">
      <c r="A1367" s="1">
        <v>27943</v>
      </c>
      <c r="B1367">
        <v>90.879997000000003</v>
      </c>
      <c r="C1367">
        <f t="shared" si="59"/>
        <v>6.6459681728618467E-3</v>
      </c>
      <c r="D1367">
        <f t="shared" si="58"/>
        <v>0.49447217353447109</v>
      </c>
    </row>
    <row r="1368" spans="1:4" x14ac:dyDescent="0.3">
      <c r="A1368" s="1">
        <v>27947</v>
      </c>
      <c r="B1368">
        <v>90.620002999999997</v>
      </c>
      <c r="C1368">
        <f t="shared" si="59"/>
        <v>-2.8608495662693083E-3</v>
      </c>
      <c r="D1368">
        <f t="shared" si="58"/>
        <v>-0.26603415332789254</v>
      </c>
    </row>
    <row r="1369" spans="1:4" x14ac:dyDescent="0.3">
      <c r="A1369" s="1">
        <v>27948</v>
      </c>
      <c r="B1369">
        <v>90.599997999999999</v>
      </c>
      <c r="C1369">
        <f t="shared" si="59"/>
        <v>-2.2075699997491292E-4</v>
      </c>
      <c r="D1369">
        <f t="shared" si="58"/>
        <v>-5.4837604149841387E-2</v>
      </c>
    </row>
    <row r="1370" spans="1:4" x14ac:dyDescent="0.3">
      <c r="A1370" s="1">
        <v>27949</v>
      </c>
      <c r="B1370">
        <v>90.790001000000004</v>
      </c>
      <c r="C1370">
        <f t="shared" si="59"/>
        <v>2.0971634017034344E-3</v>
      </c>
      <c r="D1370">
        <f t="shared" si="58"/>
        <v>0.13058649663878266</v>
      </c>
    </row>
    <row r="1371" spans="1:4" x14ac:dyDescent="0.3">
      <c r="A1371" s="1">
        <v>27950</v>
      </c>
      <c r="B1371">
        <v>91.480002999999996</v>
      </c>
      <c r="C1371">
        <f t="shared" si="59"/>
        <v>7.5999778874326993E-3</v>
      </c>
      <c r="D1371">
        <f t="shared" si="58"/>
        <v>0.57078902778875262</v>
      </c>
    </row>
    <row r="1372" spans="1:4" x14ac:dyDescent="0.3">
      <c r="A1372" s="1">
        <v>27953</v>
      </c>
      <c r="B1372">
        <v>91.940002000000007</v>
      </c>
      <c r="C1372">
        <f t="shared" si="59"/>
        <v>5.028410416646035E-3</v>
      </c>
      <c r="D1372">
        <f t="shared" si="58"/>
        <v>0.36507420447444361</v>
      </c>
    </row>
    <row r="1373" spans="1:4" x14ac:dyDescent="0.3">
      <c r="A1373" s="1">
        <v>27954</v>
      </c>
      <c r="B1373">
        <v>91.970000999999996</v>
      </c>
      <c r="C1373">
        <f t="shared" si="59"/>
        <v>3.2628887695683808E-4</v>
      </c>
      <c r="D1373">
        <f t="shared" si="58"/>
        <v>-1.1076183461388339E-2</v>
      </c>
    </row>
    <row r="1374" spans="1:4" x14ac:dyDescent="0.3">
      <c r="A1374" s="1">
        <v>27955</v>
      </c>
      <c r="B1374">
        <v>92.440002000000007</v>
      </c>
      <c r="C1374">
        <f t="shared" si="59"/>
        <v>5.1103728921348011E-3</v>
      </c>
      <c r="D1374">
        <f t="shared" si="58"/>
        <v>0.37163086548183183</v>
      </c>
    </row>
    <row r="1375" spans="1:4" x14ac:dyDescent="0.3">
      <c r="A1375" s="1">
        <v>27956</v>
      </c>
      <c r="B1375">
        <v>92.519997000000004</v>
      </c>
      <c r="C1375">
        <f t="shared" si="59"/>
        <v>8.6537211455270954E-4</v>
      </c>
      <c r="D1375">
        <f t="shared" si="58"/>
        <v>3.2048258822762937E-2</v>
      </c>
    </row>
    <row r="1376" spans="1:4" x14ac:dyDescent="0.3">
      <c r="A1376" s="1">
        <v>27957</v>
      </c>
      <c r="B1376">
        <v>92.400002000000001</v>
      </c>
      <c r="C1376">
        <f t="shared" si="59"/>
        <v>-1.2969628609045779E-3</v>
      </c>
      <c r="D1376">
        <f t="shared" si="58"/>
        <v>-0.14092964763927171</v>
      </c>
    </row>
    <row r="1377" spans="1:4" x14ac:dyDescent="0.3">
      <c r="A1377" s="1">
        <v>27960</v>
      </c>
      <c r="B1377">
        <v>92.080001999999993</v>
      </c>
      <c r="C1377">
        <f t="shared" si="59"/>
        <v>-3.463203388242431E-3</v>
      </c>
      <c r="D1377">
        <f t="shared" si="58"/>
        <v>-0.31421998219202635</v>
      </c>
    </row>
    <row r="1378" spans="1:4" x14ac:dyDescent="0.3">
      <c r="A1378" s="1">
        <v>27961</v>
      </c>
      <c r="B1378">
        <v>91.68</v>
      </c>
      <c r="C1378">
        <f t="shared" si="59"/>
        <v>-4.3440702792337735E-3</v>
      </c>
      <c r="D1378">
        <f t="shared" si="58"/>
        <v>-0.38468571132503482</v>
      </c>
    </row>
    <row r="1379" spans="1:4" x14ac:dyDescent="0.3">
      <c r="A1379" s="1">
        <v>27962</v>
      </c>
      <c r="B1379">
        <v>91.529999000000004</v>
      </c>
      <c r="C1379">
        <f t="shared" si="59"/>
        <v>-1.6361365619546591E-3</v>
      </c>
      <c r="D1379">
        <f t="shared" si="58"/>
        <v>-0.1680621490326859</v>
      </c>
    </row>
    <row r="1380" spans="1:4" x14ac:dyDescent="0.3">
      <c r="A1380" s="1">
        <v>27963</v>
      </c>
      <c r="B1380">
        <v>91.660004000000001</v>
      </c>
      <c r="C1380">
        <f t="shared" si="59"/>
        <v>1.4203539978187593E-3</v>
      </c>
      <c r="D1380">
        <f t="shared" si="58"/>
        <v>7.6444527384906855E-2</v>
      </c>
    </row>
    <row r="1381" spans="1:4" x14ac:dyDescent="0.3">
      <c r="A1381" s="1">
        <v>27964</v>
      </c>
      <c r="B1381">
        <v>91.599997999999999</v>
      </c>
      <c r="C1381">
        <f t="shared" si="59"/>
        <v>-6.5465849205070229E-4</v>
      </c>
      <c r="D1381">
        <f t="shared" si="58"/>
        <v>-8.9547939302308019E-2</v>
      </c>
    </row>
    <row r="1382" spans="1:4" x14ac:dyDescent="0.3">
      <c r="A1382" s="1">
        <v>27967</v>
      </c>
      <c r="B1382">
        <v>91.480002999999996</v>
      </c>
      <c r="C1382">
        <f t="shared" si="59"/>
        <v>-1.3099891115718469E-3</v>
      </c>
      <c r="D1382">
        <f t="shared" si="58"/>
        <v>-0.14197169412839045</v>
      </c>
    </row>
    <row r="1383" spans="1:4" x14ac:dyDescent="0.3">
      <c r="A1383" s="1">
        <v>27968</v>
      </c>
      <c r="B1383">
        <v>91.300003000000004</v>
      </c>
      <c r="C1383">
        <f t="shared" si="59"/>
        <v>-1.9676431361725318E-3</v>
      </c>
      <c r="D1383">
        <f t="shared" si="58"/>
        <v>-0.19458131180693733</v>
      </c>
    </row>
    <row r="1384" spans="1:4" x14ac:dyDescent="0.3">
      <c r="A1384" s="1">
        <v>27969</v>
      </c>
      <c r="B1384">
        <v>91.010002</v>
      </c>
      <c r="C1384">
        <f t="shared" si="59"/>
        <v>-3.1763525790903173E-3</v>
      </c>
      <c r="D1384">
        <f t="shared" si="58"/>
        <v>-0.29127309699743253</v>
      </c>
    </row>
    <row r="1385" spans="1:4" x14ac:dyDescent="0.3">
      <c r="A1385" s="1">
        <v>27970</v>
      </c>
      <c r="B1385">
        <v>90.849997999999999</v>
      </c>
      <c r="C1385">
        <f t="shared" si="59"/>
        <v>-1.7580924786706489E-3</v>
      </c>
      <c r="D1385">
        <f t="shared" si="58"/>
        <v>-0.17781812088423907</v>
      </c>
    </row>
    <row r="1386" spans="1:4" x14ac:dyDescent="0.3">
      <c r="A1386" s="1">
        <v>27971</v>
      </c>
      <c r="B1386">
        <v>91.290001000000004</v>
      </c>
      <c r="C1386">
        <f t="shared" si="59"/>
        <v>4.8431811743133374E-3</v>
      </c>
      <c r="D1386">
        <f t="shared" si="58"/>
        <v>0.35025662675502339</v>
      </c>
    </row>
    <row r="1387" spans="1:4" x14ac:dyDescent="0.3">
      <c r="A1387" s="1">
        <v>27974</v>
      </c>
      <c r="B1387">
        <v>91.269997000000004</v>
      </c>
      <c r="C1387">
        <f t="shared" si="59"/>
        <v>-2.1912586023523138E-4</v>
      </c>
      <c r="D1387">
        <f t="shared" si="58"/>
        <v>-5.4707119677953553E-2</v>
      </c>
    </row>
    <row r="1388" spans="1:4" x14ac:dyDescent="0.3">
      <c r="A1388" s="1">
        <v>27975</v>
      </c>
      <c r="B1388">
        <v>92.010002</v>
      </c>
      <c r="C1388">
        <f t="shared" si="59"/>
        <v>8.1078670354289197E-3</v>
      </c>
      <c r="D1388">
        <f t="shared" si="58"/>
        <v>0.61141807117579472</v>
      </c>
    </row>
    <row r="1389" spans="1:4" x14ac:dyDescent="0.3">
      <c r="A1389" s="1">
        <v>27976</v>
      </c>
      <c r="B1389">
        <v>91.870002999999997</v>
      </c>
      <c r="C1389">
        <f t="shared" si="59"/>
        <v>-1.5215628405268712E-3</v>
      </c>
      <c r="D1389">
        <f t="shared" si="58"/>
        <v>-0.15889672244842049</v>
      </c>
    </row>
    <row r="1390" spans="1:4" x14ac:dyDescent="0.3">
      <c r="A1390" s="1">
        <v>27977</v>
      </c>
      <c r="B1390">
        <v>91.480002999999996</v>
      </c>
      <c r="C1390">
        <f t="shared" si="59"/>
        <v>-4.2451288479875265E-3</v>
      </c>
      <c r="D1390">
        <f t="shared" si="58"/>
        <v>-0.37677080367493138</v>
      </c>
    </row>
    <row r="1391" spans="1:4" x14ac:dyDescent="0.3">
      <c r="A1391" s="1">
        <v>27978</v>
      </c>
      <c r="B1391">
        <v>91.639999000000003</v>
      </c>
      <c r="C1391">
        <f t="shared" si="59"/>
        <v>1.7489723956393693E-3</v>
      </c>
      <c r="D1391">
        <f t="shared" si="58"/>
        <v>0.10273264792362956</v>
      </c>
    </row>
    <row r="1392" spans="1:4" x14ac:dyDescent="0.3">
      <c r="A1392" s="1">
        <v>27981</v>
      </c>
      <c r="B1392">
        <v>91.330001999999993</v>
      </c>
      <c r="C1392">
        <f t="shared" si="59"/>
        <v>-3.3827695698688282E-3</v>
      </c>
      <c r="D1392">
        <f t="shared" si="58"/>
        <v>-0.30778560746797556</v>
      </c>
    </row>
    <row r="1393" spans="1:4" x14ac:dyDescent="0.3">
      <c r="A1393" s="1">
        <v>27982</v>
      </c>
      <c r="B1393">
        <v>91.889999000000003</v>
      </c>
      <c r="C1393">
        <f t="shared" si="59"/>
        <v>6.1315776605371138E-3</v>
      </c>
      <c r="D1393">
        <f t="shared" si="58"/>
        <v>0.45332304773491783</v>
      </c>
    </row>
    <row r="1394" spans="1:4" x14ac:dyDescent="0.3">
      <c r="A1394" s="1">
        <v>27983</v>
      </c>
      <c r="B1394">
        <v>91.809997999999993</v>
      </c>
      <c r="C1394">
        <f t="shared" si="59"/>
        <v>-8.7061705159023866E-4</v>
      </c>
      <c r="D1394">
        <f t="shared" si="58"/>
        <v>-0.10682373603856794</v>
      </c>
    </row>
    <row r="1395" spans="1:4" x14ac:dyDescent="0.3">
      <c r="A1395" s="1">
        <v>27984</v>
      </c>
      <c r="B1395">
        <v>91.889999000000003</v>
      </c>
      <c r="C1395">
        <f t="shared" si="59"/>
        <v>8.7137568612091667E-4</v>
      </c>
      <c r="D1395">
        <f t="shared" si="58"/>
        <v>3.2528519861385712E-2</v>
      </c>
    </row>
    <row r="1396" spans="1:4" x14ac:dyDescent="0.3">
      <c r="A1396" s="1">
        <v>27985</v>
      </c>
      <c r="B1396">
        <v>91.809997999999993</v>
      </c>
      <c r="C1396">
        <f t="shared" si="59"/>
        <v>-8.7061705159023866E-4</v>
      </c>
      <c r="D1396">
        <f t="shared" si="58"/>
        <v>-0.10682373603856794</v>
      </c>
    </row>
    <row r="1397" spans="1:4" x14ac:dyDescent="0.3">
      <c r="A1397" s="1">
        <v>27988</v>
      </c>
      <c r="B1397">
        <v>91.769997000000004</v>
      </c>
      <c r="C1397">
        <f t="shared" si="59"/>
        <v>-4.3569328909025268E-4</v>
      </c>
      <c r="D1397">
        <f t="shared" si="58"/>
        <v>-7.2031623455766677E-2</v>
      </c>
    </row>
    <row r="1398" spans="1:4" x14ac:dyDescent="0.3">
      <c r="A1398" s="1">
        <v>27989</v>
      </c>
      <c r="B1398">
        <v>92.010002</v>
      </c>
      <c r="C1398">
        <f t="shared" si="59"/>
        <v>2.6152883060462173E-3</v>
      </c>
      <c r="D1398">
        <f t="shared" si="58"/>
        <v>0.17203435844386814</v>
      </c>
    </row>
    <row r="1399" spans="1:4" x14ac:dyDescent="0.3">
      <c r="A1399" s="1">
        <v>27990</v>
      </c>
      <c r="B1399">
        <v>91.849997999999999</v>
      </c>
      <c r="C1399">
        <f t="shared" si="59"/>
        <v>-1.7389848551465166E-3</v>
      </c>
      <c r="D1399">
        <f t="shared" si="58"/>
        <v>-0.17628958957332588</v>
      </c>
    </row>
    <row r="1400" spans="1:4" x14ac:dyDescent="0.3">
      <c r="A1400" s="1">
        <v>27991</v>
      </c>
      <c r="B1400">
        <v>90.739998</v>
      </c>
      <c r="C1400">
        <f t="shared" si="59"/>
        <v>-1.208492133010171E-2</v>
      </c>
      <c r="D1400">
        <f t="shared" si="58"/>
        <v>-1.0039219648247533</v>
      </c>
    </row>
    <row r="1401" spans="1:4" x14ac:dyDescent="0.3">
      <c r="A1401" s="1">
        <v>27992</v>
      </c>
      <c r="B1401">
        <v>90.190002000000007</v>
      </c>
      <c r="C1401">
        <f t="shared" si="59"/>
        <v>-6.0612300211863902E-3</v>
      </c>
      <c r="D1401">
        <f t="shared" si="58"/>
        <v>-0.52205142967819407</v>
      </c>
    </row>
    <row r="1402" spans="1:4" x14ac:dyDescent="0.3">
      <c r="A1402" s="1">
        <v>27995</v>
      </c>
      <c r="B1402">
        <v>89.599997999999999</v>
      </c>
      <c r="C1402">
        <f t="shared" si="59"/>
        <v>-6.5417894103163175E-3</v>
      </c>
      <c r="D1402">
        <f t="shared" si="58"/>
        <v>-0.56049420473657263</v>
      </c>
    </row>
    <row r="1403" spans="1:4" x14ac:dyDescent="0.3">
      <c r="A1403" s="1">
        <v>27996</v>
      </c>
      <c r="B1403">
        <v>89.129997000000003</v>
      </c>
      <c r="C1403">
        <f t="shared" si="59"/>
        <v>-5.2455469920880612E-3</v>
      </c>
      <c r="D1403">
        <f t="shared" si="58"/>
        <v>-0.45680014145898501</v>
      </c>
    </row>
    <row r="1404" spans="1:4" x14ac:dyDescent="0.3">
      <c r="A1404" s="1">
        <v>27997</v>
      </c>
      <c r="B1404">
        <v>89.550003000000004</v>
      </c>
      <c r="C1404">
        <f t="shared" si="59"/>
        <v>4.7122855843919837E-3</v>
      </c>
      <c r="D1404">
        <f t="shared" si="58"/>
        <v>0.33978551780719701</v>
      </c>
    </row>
    <row r="1405" spans="1:4" x14ac:dyDescent="0.3">
      <c r="A1405" s="1">
        <v>27998</v>
      </c>
      <c r="B1405">
        <v>89.199996999999996</v>
      </c>
      <c r="C1405">
        <f t="shared" si="59"/>
        <v>-3.9084979148466086E-3</v>
      </c>
      <c r="D1405">
        <f t="shared" si="58"/>
        <v>-0.34984171325832614</v>
      </c>
    </row>
    <row r="1406" spans="1:4" x14ac:dyDescent="0.3">
      <c r="A1406" s="1">
        <v>27999</v>
      </c>
      <c r="B1406">
        <v>89.139999000000003</v>
      </c>
      <c r="C1406">
        <f t="shared" si="59"/>
        <v>-6.7262334100743433E-4</v>
      </c>
      <c r="D1406">
        <f t="shared" si="58"/>
        <v>-9.0985053346946274E-2</v>
      </c>
    </row>
    <row r="1407" spans="1:4" x14ac:dyDescent="0.3">
      <c r="A1407" s="1">
        <v>28002</v>
      </c>
      <c r="B1407">
        <v>89.279999000000004</v>
      </c>
      <c r="C1407">
        <f t="shared" si="59"/>
        <v>1.5705631766946796E-3</v>
      </c>
      <c r="D1407">
        <f t="shared" si="58"/>
        <v>8.8460644031146257E-2</v>
      </c>
    </row>
    <row r="1408" spans="1:4" x14ac:dyDescent="0.3">
      <c r="A1408" s="1">
        <v>28003</v>
      </c>
      <c r="B1408">
        <v>89.699996999999996</v>
      </c>
      <c r="C1408">
        <f t="shared" si="59"/>
        <v>4.7042787265263357E-3</v>
      </c>
      <c r="D1408">
        <f t="shared" si="58"/>
        <v>0.33914500210234144</v>
      </c>
    </row>
    <row r="1409" spans="1:4" x14ac:dyDescent="0.3">
      <c r="A1409" s="1">
        <v>28004</v>
      </c>
      <c r="B1409">
        <v>90.589995999999999</v>
      </c>
      <c r="C1409">
        <f t="shared" si="59"/>
        <v>9.9219512794409912E-3</v>
      </c>
      <c r="D1409">
        <f t="shared" si="58"/>
        <v>0.75653735113777654</v>
      </c>
    </row>
    <row r="1410" spans="1:4" x14ac:dyDescent="0.3">
      <c r="A1410" s="1">
        <v>28005</v>
      </c>
      <c r="B1410">
        <v>90.68</v>
      </c>
      <c r="C1410">
        <f t="shared" si="59"/>
        <v>9.9353133871434907E-4</v>
      </c>
      <c r="D1410">
        <f t="shared" si="58"/>
        <v>4.2300469761815437E-2</v>
      </c>
    </row>
    <row r="1411" spans="1:4" x14ac:dyDescent="0.3">
      <c r="A1411" s="1">
        <v>28006</v>
      </c>
      <c r="B1411">
        <v>91.019997000000004</v>
      </c>
      <c r="C1411">
        <f t="shared" si="59"/>
        <v>3.7494155271283278E-3</v>
      </c>
      <c r="D1411">
        <f t="shared" ref="D1411:D1474" si="60">(C1411-avrtn)/sdrtn</f>
        <v>0.26275987257143801</v>
      </c>
    </row>
    <row r="1412" spans="1:4" x14ac:dyDescent="0.3">
      <c r="A1412" s="1">
        <v>28010</v>
      </c>
      <c r="B1412">
        <v>91.209998999999996</v>
      </c>
      <c r="C1412">
        <f t="shared" ref="C1412:C1475" si="61">(B1412-B1411)/B1411</f>
        <v>2.0874753489608737E-3</v>
      </c>
      <c r="D1412">
        <f t="shared" si="60"/>
        <v>0.12981149225688873</v>
      </c>
    </row>
    <row r="1413" spans="1:4" x14ac:dyDescent="0.3">
      <c r="A1413" s="1">
        <v>28011</v>
      </c>
      <c r="B1413">
        <v>91.260002</v>
      </c>
      <c r="C1413">
        <f t="shared" si="61"/>
        <v>5.4821840311612983E-4</v>
      </c>
      <c r="D1413">
        <f t="shared" si="60"/>
        <v>6.6772660516905566E-3</v>
      </c>
    </row>
    <row r="1414" spans="1:4" x14ac:dyDescent="0.3">
      <c r="A1414" s="1">
        <v>28012</v>
      </c>
      <c r="B1414">
        <v>90.860000999999997</v>
      </c>
      <c r="C1414">
        <f t="shared" si="61"/>
        <v>-4.3830921678042825E-3</v>
      </c>
      <c r="D1414">
        <f t="shared" si="60"/>
        <v>-0.38780730195171098</v>
      </c>
    </row>
    <row r="1415" spans="1:4" x14ac:dyDescent="0.3">
      <c r="A1415" s="1">
        <v>28013</v>
      </c>
      <c r="B1415">
        <v>91.190002000000007</v>
      </c>
      <c r="C1415">
        <f t="shared" si="61"/>
        <v>3.6319722250499425E-3</v>
      </c>
      <c r="D1415">
        <f t="shared" si="60"/>
        <v>0.25336489133491097</v>
      </c>
    </row>
    <row r="1416" spans="1:4" x14ac:dyDescent="0.3">
      <c r="A1416" s="1">
        <v>28016</v>
      </c>
      <c r="B1416">
        <v>90.959998999999996</v>
      </c>
      <c r="C1416">
        <f t="shared" si="61"/>
        <v>-2.5222392253046624E-3</v>
      </c>
      <c r="D1416">
        <f t="shared" si="60"/>
        <v>-0.23894671842476267</v>
      </c>
    </row>
    <row r="1417" spans="1:4" x14ac:dyDescent="0.3">
      <c r="A1417" s="1">
        <v>28017</v>
      </c>
      <c r="B1417">
        <v>90.529999000000004</v>
      </c>
      <c r="C1417">
        <f t="shared" si="61"/>
        <v>-4.7273527344694963E-3</v>
      </c>
      <c r="D1417">
        <f t="shared" si="60"/>
        <v>-0.41534673167701935</v>
      </c>
    </row>
    <row r="1418" spans="1:4" x14ac:dyDescent="0.3">
      <c r="A1418" s="1">
        <v>28018</v>
      </c>
      <c r="B1418">
        <v>90.629997000000003</v>
      </c>
      <c r="C1418">
        <f t="shared" si="61"/>
        <v>1.1045841279640283E-3</v>
      </c>
      <c r="D1418">
        <f t="shared" si="60"/>
        <v>5.1184236249991785E-2</v>
      </c>
    </row>
    <row r="1419" spans="1:4" x14ac:dyDescent="0.3">
      <c r="A1419" s="1">
        <v>28019</v>
      </c>
      <c r="B1419">
        <v>91.040001000000004</v>
      </c>
      <c r="C1419">
        <f t="shared" si="61"/>
        <v>4.5239326224406767E-3</v>
      </c>
      <c r="D1419">
        <f t="shared" si="60"/>
        <v>0.32471805536309989</v>
      </c>
    </row>
    <row r="1420" spans="1:4" x14ac:dyDescent="0.3">
      <c r="A1420" s="1">
        <v>28020</v>
      </c>
      <c r="B1420">
        <v>91.610000999999997</v>
      </c>
      <c r="C1420">
        <f t="shared" si="61"/>
        <v>6.2609841140049321E-3</v>
      </c>
      <c r="D1420">
        <f t="shared" si="60"/>
        <v>0.46367503188982712</v>
      </c>
    </row>
    <row r="1421" spans="1:4" x14ac:dyDescent="0.3">
      <c r="A1421" s="1">
        <v>28023</v>
      </c>
      <c r="B1421">
        <v>91.889999000000003</v>
      </c>
      <c r="C1421">
        <f t="shared" si="61"/>
        <v>3.0564130219800588E-3</v>
      </c>
      <c r="D1421">
        <f t="shared" si="60"/>
        <v>0.20732252180290497</v>
      </c>
    </row>
    <row r="1422" spans="1:4" x14ac:dyDescent="0.3">
      <c r="A1422" s="1">
        <v>28024</v>
      </c>
      <c r="B1422">
        <v>92.419998000000007</v>
      </c>
      <c r="C1422">
        <f t="shared" si="61"/>
        <v>5.7677549871341669E-3</v>
      </c>
      <c r="D1422">
        <f t="shared" si="60"/>
        <v>0.42421872991045434</v>
      </c>
    </row>
    <row r="1423" spans="1:4" x14ac:dyDescent="0.3">
      <c r="A1423" s="1">
        <v>28025</v>
      </c>
      <c r="B1423">
        <v>92.440002000000007</v>
      </c>
      <c r="C1423">
        <f t="shared" si="61"/>
        <v>2.1644666125182269E-4</v>
      </c>
      <c r="D1423">
        <f t="shared" si="60"/>
        <v>-1.9863109043899735E-2</v>
      </c>
    </row>
    <row r="1424" spans="1:4" x14ac:dyDescent="0.3">
      <c r="A1424" s="1">
        <v>28026</v>
      </c>
      <c r="B1424">
        <v>92.269997000000004</v>
      </c>
      <c r="C1424">
        <f t="shared" si="61"/>
        <v>-1.8390847719800274E-3</v>
      </c>
      <c r="D1424">
        <f t="shared" si="60"/>
        <v>-0.18429717130668924</v>
      </c>
    </row>
    <row r="1425" spans="1:4" x14ac:dyDescent="0.3">
      <c r="A1425" s="1">
        <v>28027</v>
      </c>
      <c r="B1425">
        <v>92.309997999999993</v>
      </c>
      <c r="C1425">
        <f t="shared" si="61"/>
        <v>4.3352120191344015E-4</v>
      </c>
      <c r="D1425">
        <f t="shared" si="60"/>
        <v>-2.4980384068151269E-3</v>
      </c>
    </row>
    <row r="1426" spans="1:4" x14ac:dyDescent="0.3">
      <c r="A1426" s="1">
        <v>28030</v>
      </c>
      <c r="B1426">
        <v>92.440002000000007</v>
      </c>
      <c r="C1426">
        <f t="shared" si="61"/>
        <v>1.4083414886436655E-3</v>
      </c>
      <c r="D1426">
        <f t="shared" si="60"/>
        <v>7.5483576046632223E-2</v>
      </c>
    </row>
    <row r="1427" spans="1:4" x14ac:dyDescent="0.3">
      <c r="A1427" s="1">
        <v>28031</v>
      </c>
      <c r="B1427">
        <v>91.639999000000003</v>
      </c>
      <c r="C1427">
        <f t="shared" si="61"/>
        <v>-8.6542944903874371E-3</v>
      </c>
      <c r="D1427">
        <f t="shared" si="60"/>
        <v>-0.72948592446946803</v>
      </c>
    </row>
    <row r="1428" spans="1:4" x14ac:dyDescent="0.3">
      <c r="A1428" s="1">
        <v>28032</v>
      </c>
      <c r="B1428">
        <v>91.269997000000004</v>
      </c>
      <c r="C1428">
        <f t="shared" si="61"/>
        <v>-4.0375600615185463E-3</v>
      </c>
      <c r="D1428">
        <f t="shared" si="60"/>
        <v>-0.36016615428536297</v>
      </c>
    </row>
    <row r="1429" spans="1:4" x14ac:dyDescent="0.3">
      <c r="A1429" s="1">
        <v>28033</v>
      </c>
      <c r="B1429">
        <v>91.260002</v>
      </c>
      <c r="C1429">
        <f t="shared" si="61"/>
        <v>-1.0951024792959649E-4</v>
      </c>
      <c r="D1429">
        <f t="shared" si="60"/>
        <v>-4.5938321435593843E-2</v>
      </c>
    </row>
    <row r="1430" spans="1:4" x14ac:dyDescent="0.3">
      <c r="A1430" s="1">
        <v>28034</v>
      </c>
      <c r="B1430">
        <v>90.440002000000007</v>
      </c>
      <c r="C1430">
        <f t="shared" si="61"/>
        <v>-8.9853164807074323E-3</v>
      </c>
      <c r="D1430">
        <f t="shared" si="60"/>
        <v>-0.75596632252451013</v>
      </c>
    </row>
    <row r="1431" spans="1:4" x14ac:dyDescent="0.3">
      <c r="A1431" s="1">
        <v>28037</v>
      </c>
      <c r="B1431">
        <v>90.459998999999996</v>
      </c>
      <c r="C1431">
        <f t="shared" si="61"/>
        <v>2.2110791196122909E-4</v>
      </c>
      <c r="D1431">
        <f t="shared" si="60"/>
        <v>-1.9490228154324666E-2</v>
      </c>
    </row>
    <row r="1432" spans="1:4" x14ac:dyDescent="0.3">
      <c r="A1432" s="1">
        <v>28038</v>
      </c>
      <c r="B1432">
        <v>89.75</v>
      </c>
      <c r="C1432">
        <f t="shared" si="61"/>
        <v>-7.8487619704704654E-3</v>
      </c>
      <c r="D1432">
        <f t="shared" si="60"/>
        <v>-0.66504663524562435</v>
      </c>
    </row>
    <row r="1433" spans="1:4" x14ac:dyDescent="0.3">
      <c r="A1433" s="1">
        <v>28039</v>
      </c>
      <c r="B1433">
        <v>89.07</v>
      </c>
      <c r="C1433">
        <f t="shared" si="61"/>
        <v>-7.5766016713092682E-3</v>
      </c>
      <c r="D1433">
        <f t="shared" si="60"/>
        <v>-0.6432749304425659</v>
      </c>
    </row>
    <row r="1434" spans="1:4" x14ac:dyDescent="0.3">
      <c r="A1434" s="1">
        <v>28040</v>
      </c>
      <c r="B1434">
        <v>89.629997000000003</v>
      </c>
      <c r="C1434">
        <f t="shared" si="61"/>
        <v>6.2871561693051518E-3</v>
      </c>
      <c r="D1434">
        <f t="shared" si="60"/>
        <v>0.46576868869371024</v>
      </c>
    </row>
    <row r="1435" spans="1:4" x14ac:dyDescent="0.3">
      <c r="A1435" s="1">
        <v>28041</v>
      </c>
      <c r="B1435">
        <v>89.379997000000003</v>
      </c>
      <c r="C1435">
        <f t="shared" si="61"/>
        <v>-2.7892447659013087E-3</v>
      </c>
      <c r="D1435">
        <f t="shared" si="60"/>
        <v>-0.26030606373915099</v>
      </c>
    </row>
    <row r="1436" spans="1:4" x14ac:dyDescent="0.3">
      <c r="A1436" s="1">
        <v>28044</v>
      </c>
      <c r="B1436">
        <v>89.019997000000004</v>
      </c>
      <c r="C1436">
        <f t="shared" si="61"/>
        <v>-4.0277468346748705E-3</v>
      </c>
      <c r="D1436">
        <f t="shared" si="60"/>
        <v>-0.35938113649009878</v>
      </c>
    </row>
    <row r="1437" spans="1:4" x14ac:dyDescent="0.3">
      <c r="A1437" s="1">
        <v>28045</v>
      </c>
      <c r="B1437">
        <v>88.760002</v>
      </c>
      <c r="C1437">
        <f t="shared" si="61"/>
        <v>-2.9206359106033618E-3</v>
      </c>
      <c r="D1437">
        <f t="shared" si="60"/>
        <v>-0.27081681503169991</v>
      </c>
    </row>
    <row r="1438" spans="1:4" x14ac:dyDescent="0.3">
      <c r="A1438" s="1">
        <v>28046</v>
      </c>
      <c r="B1438">
        <v>89.300003000000004</v>
      </c>
      <c r="C1438">
        <f t="shared" si="61"/>
        <v>6.0838326704860113E-3</v>
      </c>
      <c r="D1438">
        <f t="shared" si="60"/>
        <v>0.44950364485940186</v>
      </c>
    </row>
    <row r="1439" spans="1:4" x14ac:dyDescent="0.3">
      <c r="A1439" s="1">
        <v>28047</v>
      </c>
      <c r="B1439">
        <v>88.730002999999996</v>
      </c>
      <c r="C1439">
        <f t="shared" si="61"/>
        <v>-6.3829785089705689E-3</v>
      </c>
      <c r="D1439">
        <f t="shared" si="60"/>
        <v>-0.54778998566324111</v>
      </c>
    </row>
    <row r="1440" spans="1:4" x14ac:dyDescent="0.3">
      <c r="A1440" s="1">
        <v>28048</v>
      </c>
      <c r="B1440">
        <v>89.059997999999993</v>
      </c>
      <c r="C1440">
        <f t="shared" si="61"/>
        <v>3.7190915005378363E-3</v>
      </c>
      <c r="D1440">
        <f t="shared" si="60"/>
        <v>0.26033407513734114</v>
      </c>
    </row>
    <row r="1441" spans="1:4" x14ac:dyDescent="0.3">
      <c r="A1441" s="1">
        <v>28051</v>
      </c>
      <c r="B1441">
        <v>89.459998999999996</v>
      </c>
      <c r="C1441">
        <f t="shared" si="61"/>
        <v>4.4913654725211557E-3</v>
      </c>
      <c r="D1441">
        <f t="shared" si="60"/>
        <v>0.32211281728645885</v>
      </c>
    </row>
    <row r="1442" spans="1:4" x14ac:dyDescent="0.3">
      <c r="A1442" s="1">
        <v>28052</v>
      </c>
      <c r="B1442">
        <v>89.449996999999996</v>
      </c>
      <c r="C1442">
        <f t="shared" si="61"/>
        <v>-1.1180415953279931E-4</v>
      </c>
      <c r="D1442">
        <f t="shared" si="60"/>
        <v>-4.6121824931229204E-2</v>
      </c>
    </row>
    <row r="1443" spans="1:4" x14ac:dyDescent="0.3">
      <c r="A1443" s="1">
        <v>28053</v>
      </c>
      <c r="B1443">
        <v>89.629997000000003</v>
      </c>
      <c r="C1443">
        <f t="shared" si="61"/>
        <v>2.0122974403230759E-3</v>
      </c>
      <c r="D1443">
        <f t="shared" si="60"/>
        <v>0.12379756869927236</v>
      </c>
    </row>
    <row r="1444" spans="1:4" x14ac:dyDescent="0.3">
      <c r="A1444" s="1">
        <v>28054</v>
      </c>
      <c r="B1444">
        <v>89.489998</v>
      </c>
      <c r="C1444">
        <f t="shared" si="61"/>
        <v>-1.5619659119257038E-3</v>
      </c>
      <c r="D1444">
        <f t="shared" si="60"/>
        <v>-0.16212880202190477</v>
      </c>
    </row>
    <row r="1445" spans="1:4" x14ac:dyDescent="0.3">
      <c r="A1445" s="1">
        <v>28055</v>
      </c>
      <c r="B1445">
        <v>89.260002</v>
      </c>
      <c r="C1445">
        <f t="shared" si="61"/>
        <v>-2.5700749261386717E-3</v>
      </c>
      <c r="D1445">
        <f t="shared" si="60"/>
        <v>-0.24277337778990624</v>
      </c>
    </row>
    <row r="1446" spans="1:4" x14ac:dyDescent="0.3">
      <c r="A1446" s="1">
        <v>28058</v>
      </c>
      <c r="B1446">
        <v>89.370002999999997</v>
      </c>
      <c r="C1446">
        <f t="shared" si="61"/>
        <v>1.232366093829988E-3</v>
      </c>
      <c r="D1446">
        <f t="shared" si="60"/>
        <v>6.1406268076685269E-2</v>
      </c>
    </row>
    <row r="1447" spans="1:4" x14ac:dyDescent="0.3">
      <c r="A1447" s="1">
        <v>28059</v>
      </c>
      <c r="B1447">
        <v>89.419998000000007</v>
      </c>
      <c r="C1447">
        <f t="shared" si="61"/>
        <v>5.5941589260112014E-4</v>
      </c>
      <c r="D1447">
        <f t="shared" si="60"/>
        <v>7.5730191661378928E-3</v>
      </c>
    </row>
    <row r="1448" spans="1:4" x14ac:dyDescent="0.3">
      <c r="A1448" s="1">
        <v>28060</v>
      </c>
      <c r="B1448">
        <v>89.620002999999997</v>
      </c>
      <c r="C1448">
        <f t="shared" si="61"/>
        <v>2.2366920652356782E-3</v>
      </c>
      <c r="D1448">
        <f t="shared" si="60"/>
        <v>0.14174821597606946</v>
      </c>
    </row>
    <row r="1449" spans="1:4" x14ac:dyDescent="0.3">
      <c r="A1449" s="1">
        <v>28061</v>
      </c>
      <c r="B1449">
        <v>89.849997999999999</v>
      </c>
      <c r="C1449">
        <f t="shared" si="61"/>
        <v>2.5663355534590016E-3</v>
      </c>
      <c r="D1449">
        <f t="shared" si="60"/>
        <v>0.16811833953181229</v>
      </c>
    </row>
    <row r="1450" spans="1:4" x14ac:dyDescent="0.3">
      <c r="A1450" s="1">
        <v>28062</v>
      </c>
      <c r="B1450">
        <v>90.349997999999999</v>
      </c>
      <c r="C1450">
        <f t="shared" si="61"/>
        <v>5.5648303965460302E-3</v>
      </c>
      <c r="D1450">
        <f t="shared" si="60"/>
        <v>0.40798559709430587</v>
      </c>
    </row>
    <row r="1451" spans="1:4" x14ac:dyDescent="0.3">
      <c r="A1451" s="1">
        <v>28065</v>
      </c>
      <c r="B1451">
        <v>90.389999000000003</v>
      </c>
      <c r="C1451">
        <f t="shared" si="61"/>
        <v>4.427338227500982E-4</v>
      </c>
      <c r="D1451">
        <f t="shared" si="60"/>
        <v>-1.7610666224057202E-3</v>
      </c>
    </row>
    <row r="1452" spans="1:4" x14ac:dyDescent="0.3">
      <c r="A1452" s="1">
        <v>28067</v>
      </c>
      <c r="B1452">
        <v>89.379997000000003</v>
      </c>
      <c r="C1452">
        <f t="shared" si="61"/>
        <v>-1.1173824661730553E-2</v>
      </c>
      <c r="D1452">
        <f t="shared" si="60"/>
        <v>-0.93103797780694708</v>
      </c>
    </row>
    <row r="1453" spans="1:4" x14ac:dyDescent="0.3">
      <c r="A1453" s="1">
        <v>28068</v>
      </c>
      <c r="B1453">
        <v>90.059997999999993</v>
      </c>
      <c r="C1453">
        <f t="shared" si="61"/>
        <v>7.6079774314603086E-3</v>
      </c>
      <c r="D1453">
        <f t="shared" si="60"/>
        <v>0.57142895841663977</v>
      </c>
    </row>
    <row r="1454" spans="1:4" x14ac:dyDescent="0.3">
      <c r="A1454" s="1">
        <v>28069</v>
      </c>
      <c r="B1454">
        <v>89.470000999999996</v>
      </c>
      <c r="C1454">
        <f t="shared" si="61"/>
        <v>-6.5511549311826189E-3</v>
      </c>
      <c r="D1454">
        <f t="shared" si="60"/>
        <v>-0.5612434078946249</v>
      </c>
    </row>
    <row r="1455" spans="1:4" x14ac:dyDescent="0.3">
      <c r="A1455" s="1">
        <v>28072</v>
      </c>
      <c r="B1455">
        <v>88.739998</v>
      </c>
      <c r="C1455">
        <f t="shared" si="61"/>
        <v>-8.1591929344003965E-3</v>
      </c>
      <c r="D1455">
        <f t="shared" si="60"/>
        <v>-0.6898798358602678</v>
      </c>
    </row>
    <row r="1456" spans="1:4" x14ac:dyDescent="0.3">
      <c r="A1456" s="1">
        <v>28073</v>
      </c>
      <c r="B1456">
        <v>88.080001999999993</v>
      </c>
      <c r="C1456">
        <f t="shared" si="61"/>
        <v>-7.4374128338385434E-3</v>
      </c>
      <c r="D1456">
        <f t="shared" si="60"/>
        <v>-0.63214039579282744</v>
      </c>
    </row>
    <row r="1457" spans="1:4" x14ac:dyDescent="0.3">
      <c r="A1457" s="1">
        <v>28074</v>
      </c>
      <c r="B1457">
        <v>87.82</v>
      </c>
      <c r="C1457">
        <f t="shared" si="61"/>
        <v>-2.9518845832905418E-3</v>
      </c>
      <c r="D1457">
        <f t="shared" si="60"/>
        <v>-0.27331658035136447</v>
      </c>
    </row>
    <row r="1458" spans="1:4" x14ac:dyDescent="0.3">
      <c r="A1458" s="1">
        <v>28075</v>
      </c>
      <c r="B1458">
        <v>88.150002000000001</v>
      </c>
      <c r="C1458">
        <f t="shared" si="61"/>
        <v>3.7577089501253415E-3</v>
      </c>
      <c r="D1458">
        <f t="shared" si="60"/>
        <v>0.26342331230843996</v>
      </c>
    </row>
    <row r="1459" spans="1:4" x14ac:dyDescent="0.3">
      <c r="A1459" s="1">
        <v>28076</v>
      </c>
      <c r="B1459">
        <v>88.099997999999999</v>
      </c>
      <c r="C1459">
        <f t="shared" si="61"/>
        <v>-5.6726033880295627E-4</v>
      </c>
      <c r="D1459">
        <f t="shared" si="60"/>
        <v>-8.2556446425841895E-2</v>
      </c>
    </row>
    <row r="1460" spans="1:4" x14ac:dyDescent="0.3">
      <c r="A1460" s="1">
        <v>28079</v>
      </c>
      <c r="B1460">
        <v>88.129997000000003</v>
      </c>
      <c r="C1460">
        <f t="shared" si="61"/>
        <v>3.4051079093104703E-4</v>
      </c>
      <c r="D1460">
        <f t="shared" si="60"/>
        <v>-9.9384888243113211E-3</v>
      </c>
    </row>
    <row r="1461" spans="1:4" x14ac:dyDescent="0.3">
      <c r="A1461" s="1">
        <v>28080</v>
      </c>
      <c r="B1461">
        <v>88.519997000000004</v>
      </c>
      <c r="C1461">
        <f t="shared" si="61"/>
        <v>4.4252809857692442E-3</v>
      </c>
      <c r="D1461">
        <f t="shared" si="60"/>
        <v>0.31682633008733918</v>
      </c>
    </row>
    <row r="1462" spans="1:4" x14ac:dyDescent="0.3">
      <c r="A1462" s="1">
        <v>28081</v>
      </c>
      <c r="B1462">
        <v>89.010002</v>
      </c>
      <c r="C1462">
        <f t="shared" si="61"/>
        <v>5.5355288816830448E-3</v>
      </c>
      <c r="D1462">
        <f t="shared" si="60"/>
        <v>0.40564159639381608</v>
      </c>
    </row>
    <row r="1463" spans="1:4" x14ac:dyDescent="0.3">
      <c r="A1463" s="1">
        <v>28082</v>
      </c>
      <c r="B1463">
        <v>89.809997999999993</v>
      </c>
      <c r="C1463">
        <f t="shared" si="61"/>
        <v>8.9877090442037413E-3</v>
      </c>
      <c r="D1463">
        <f t="shared" si="60"/>
        <v>0.6818018139458224</v>
      </c>
    </row>
    <row r="1464" spans="1:4" x14ac:dyDescent="0.3">
      <c r="A1464" s="1">
        <v>28083</v>
      </c>
      <c r="B1464">
        <v>89.970000999999996</v>
      </c>
      <c r="C1464">
        <f t="shared" si="61"/>
        <v>1.7815722476689426E-3</v>
      </c>
      <c r="D1464">
        <f t="shared" si="60"/>
        <v>0.10534050203460289</v>
      </c>
    </row>
    <row r="1465" spans="1:4" x14ac:dyDescent="0.3">
      <c r="A1465" s="1">
        <v>28086</v>
      </c>
      <c r="B1465">
        <v>90.470000999999996</v>
      </c>
      <c r="C1465">
        <f t="shared" si="61"/>
        <v>5.5574079631276214E-3</v>
      </c>
      <c r="D1465">
        <f t="shared" si="60"/>
        <v>0.40739183294206172</v>
      </c>
    </row>
    <row r="1466" spans="1:4" x14ac:dyDescent="0.3">
      <c r="A1466" s="1">
        <v>28087</v>
      </c>
      <c r="B1466">
        <v>90.220000999999996</v>
      </c>
      <c r="C1466">
        <f t="shared" si="61"/>
        <v>-2.7633469353006862E-3</v>
      </c>
      <c r="D1466">
        <f t="shared" si="60"/>
        <v>-0.25823434378361698</v>
      </c>
    </row>
    <row r="1467" spans="1:4" x14ac:dyDescent="0.3">
      <c r="A1467" s="1">
        <v>28088</v>
      </c>
      <c r="B1467">
        <v>90.690002000000007</v>
      </c>
      <c r="C1467">
        <f t="shared" si="61"/>
        <v>5.2094989446964269E-3</v>
      </c>
      <c r="D1467">
        <f t="shared" si="60"/>
        <v>0.37956054207799822</v>
      </c>
    </row>
    <row r="1468" spans="1:4" x14ac:dyDescent="0.3">
      <c r="A1468" s="1">
        <v>28090</v>
      </c>
      <c r="B1468">
        <v>91.419998000000007</v>
      </c>
      <c r="C1468">
        <f t="shared" si="61"/>
        <v>8.0493547679048438E-3</v>
      </c>
      <c r="D1468">
        <f t="shared" si="60"/>
        <v>0.60673733037775035</v>
      </c>
    </row>
    <row r="1469" spans="1:4" x14ac:dyDescent="0.3">
      <c r="A1469" s="1">
        <v>28093</v>
      </c>
      <c r="B1469">
        <v>91.080001999999993</v>
      </c>
      <c r="C1469">
        <f t="shared" si="61"/>
        <v>-3.7190549927600468E-3</v>
      </c>
      <c r="D1469">
        <f t="shared" si="60"/>
        <v>-0.33468705848535146</v>
      </c>
    </row>
    <row r="1470" spans="1:4" x14ac:dyDescent="0.3">
      <c r="A1470" s="1">
        <v>28094</v>
      </c>
      <c r="B1470">
        <v>91.120002999999997</v>
      </c>
      <c r="C1470">
        <f t="shared" si="61"/>
        <v>4.3918532193273045E-4</v>
      </c>
      <c r="D1470">
        <f t="shared" si="60"/>
        <v>-2.0449320962725912E-3</v>
      </c>
    </row>
    <row r="1471" spans="1:4" x14ac:dyDescent="0.3">
      <c r="A1471" s="1">
        <v>28095</v>
      </c>
      <c r="B1471">
        <v>91.830001999999993</v>
      </c>
      <c r="C1471">
        <f t="shared" si="61"/>
        <v>7.7919115081679299E-3</v>
      </c>
      <c r="D1471">
        <f t="shared" si="60"/>
        <v>0.5861429282118068</v>
      </c>
    </row>
    <row r="1472" spans="1:4" x14ac:dyDescent="0.3">
      <c r="A1472" s="1">
        <v>28096</v>
      </c>
      <c r="B1472">
        <v>91.839995999999999</v>
      </c>
      <c r="C1472">
        <f t="shared" si="61"/>
        <v>1.0883153416468459E-4</v>
      </c>
      <c r="D1472">
        <f t="shared" si="60"/>
        <v>-2.8471876694824063E-2</v>
      </c>
    </row>
    <row r="1473" spans="1:4" x14ac:dyDescent="0.3">
      <c r="A1473" s="1">
        <v>28097</v>
      </c>
      <c r="B1473">
        <v>92.309997999999993</v>
      </c>
      <c r="C1473">
        <f t="shared" si="61"/>
        <v>5.1176178187115106E-3</v>
      </c>
      <c r="D1473">
        <f t="shared" si="60"/>
        <v>0.37221042981665248</v>
      </c>
    </row>
    <row r="1474" spans="1:4" x14ac:dyDescent="0.3">
      <c r="A1474" s="1">
        <v>28100</v>
      </c>
      <c r="B1474">
        <v>92.629997000000003</v>
      </c>
      <c r="C1474">
        <f t="shared" si="61"/>
        <v>3.4665692442113361E-3</v>
      </c>
      <c r="D1474">
        <f t="shared" si="60"/>
        <v>0.24013333300894366</v>
      </c>
    </row>
    <row r="1475" spans="1:4" x14ac:dyDescent="0.3">
      <c r="A1475" s="1">
        <v>28101</v>
      </c>
      <c r="B1475">
        <v>93.010002</v>
      </c>
      <c r="C1475">
        <f t="shared" si="61"/>
        <v>4.1023967646247146E-3</v>
      </c>
      <c r="D1475">
        <f t="shared" ref="D1475:D1538" si="62">(C1475-avrtn)/sdrtn</f>
        <v>0.29099692010362754</v>
      </c>
    </row>
    <row r="1476" spans="1:4" x14ac:dyDescent="0.3">
      <c r="A1476" s="1">
        <v>28102</v>
      </c>
      <c r="B1476">
        <v>93.370002999999997</v>
      </c>
      <c r="C1476">
        <f t="shared" ref="C1476:C1539" si="63">(B1476-B1475)/B1475</f>
        <v>3.8705622218994998E-3</v>
      </c>
      <c r="D1476">
        <f t="shared" si="62"/>
        <v>0.27245110999494626</v>
      </c>
    </row>
    <row r="1477" spans="1:4" x14ac:dyDescent="0.3">
      <c r="A1477" s="1">
        <v>28103</v>
      </c>
      <c r="B1477">
        <v>94.099997999999999</v>
      </c>
      <c r="C1477">
        <f t="shared" si="63"/>
        <v>7.8183032724118296E-3</v>
      </c>
      <c r="D1477">
        <f t="shared" si="62"/>
        <v>0.58825416082773574</v>
      </c>
    </row>
    <row r="1478" spans="1:4" x14ac:dyDescent="0.3">
      <c r="A1478" s="1">
        <v>28104</v>
      </c>
      <c r="B1478">
        <v>94.620002999999997</v>
      </c>
      <c r="C1478">
        <f t="shared" si="63"/>
        <v>5.5260893841889095E-3</v>
      </c>
      <c r="D1478">
        <f t="shared" si="62"/>
        <v>0.40488647540973088</v>
      </c>
    </row>
    <row r="1479" spans="1:4" x14ac:dyDescent="0.3">
      <c r="A1479" s="1">
        <v>28107</v>
      </c>
      <c r="B1479">
        <v>94.620002999999997</v>
      </c>
      <c r="C1479">
        <f t="shared" si="63"/>
        <v>0</v>
      </c>
      <c r="D1479">
        <f t="shared" si="62"/>
        <v>-3.7177951910056316E-2</v>
      </c>
    </row>
    <row r="1480" spans="1:4" x14ac:dyDescent="0.3">
      <c r="A1480" s="1">
        <v>28108</v>
      </c>
      <c r="B1480">
        <v>94.650002000000001</v>
      </c>
      <c r="C1480">
        <f t="shared" si="63"/>
        <v>3.1704712585988462E-4</v>
      </c>
      <c r="D1480">
        <f t="shared" si="62"/>
        <v>-1.1815485546837031E-2</v>
      </c>
    </row>
    <row r="1481" spans="1:4" x14ac:dyDescent="0.3">
      <c r="A1481" s="1">
        <v>28109</v>
      </c>
      <c r="B1481">
        <v>94.919998000000007</v>
      </c>
      <c r="C1481">
        <f t="shared" si="63"/>
        <v>2.8525725757513045E-3</v>
      </c>
      <c r="D1481">
        <f t="shared" si="62"/>
        <v>0.19101612430152792</v>
      </c>
    </row>
    <row r="1482" spans="1:4" x14ac:dyDescent="0.3">
      <c r="A1482" s="1">
        <v>28110</v>
      </c>
      <c r="B1482">
        <v>94.93</v>
      </c>
      <c r="C1482">
        <f t="shared" si="63"/>
        <v>1.0537294785868059E-4</v>
      </c>
      <c r="D1482">
        <f t="shared" si="62"/>
        <v>-2.8748549377512513E-2</v>
      </c>
    </row>
    <row r="1483" spans="1:4" x14ac:dyDescent="0.3">
      <c r="A1483" s="1">
        <v>28111</v>
      </c>
      <c r="B1483">
        <v>94.639999000000003</v>
      </c>
      <c r="C1483">
        <f t="shared" si="63"/>
        <v>-3.0548930791109629E-3</v>
      </c>
      <c r="D1483">
        <f t="shared" si="62"/>
        <v>-0.28155683644353235</v>
      </c>
    </row>
    <row r="1484" spans="1:4" x14ac:dyDescent="0.3">
      <c r="A1484" s="1">
        <v>28114</v>
      </c>
      <c r="B1484">
        <v>94.470000999999996</v>
      </c>
      <c r="C1484">
        <f t="shared" si="63"/>
        <v>-1.7962595287010384E-3</v>
      </c>
      <c r="D1484">
        <f t="shared" si="62"/>
        <v>-0.18087132794282271</v>
      </c>
    </row>
    <row r="1485" spans="1:4" x14ac:dyDescent="0.3">
      <c r="A1485" s="1">
        <v>28115</v>
      </c>
      <c r="B1485">
        <v>94.68</v>
      </c>
      <c r="C1485">
        <f t="shared" si="63"/>
        <v>2.2229173047220619E-3</v>
      </c>
      <c r="D1485">
        <f t="shared" si="62"/>
        <v>0.14064629177713384</v>
      </c>
    </row>
    <row r="1486" spans="1:4" x14ac:dyDescent="0.3">
      <c r="A1486" s="1">
        <v>28116</v>
      </c>
      <c r="B1486">
        <v>95.18</v>
      </c>
      <c r="C1486">
        <f t="shared" si="63"/>
        <v>5.2809463455851281E-3</v>
      </c>
      <c r="D1486">
        <f t="shared" si="62"/>
        <v>0.38527604035562635</v>
      </c>
    </row>
    <row r="1487" spans="1:4" x14ac:dyDescent="0.3">
      <c r="A1487" s="1">
        <v>28117</v>
      </c>
      <c r="B1487">
        <v>95.220000999999996</v>
      </c>
      <c r="C1487">
        <f t="shared" si="63"/>
        <v>4.2026686278618948E-4</v>
      </c>
      <c r="D1487">
        <f t="shared" si="62"/>
        <v>-3.5583310348270263E-3</v>
      </c>
    </row>
    <row r="1488" spans="1:4" x14ac:dyDescent="0.3">
      <c r="A1488" s="1">
        <v>28121</v>
      </c>
      <c r="B1488">
        <v>95.68</v>
      </c>
      <c r="C1488">
        <f t="shared" si="63"/>
        <v>4.8309073216667E-3</v>
      </c>
      <c r="D1488">
        <f t="shared" si="62"/>
        <v>0.34927476901367605</v>
      </c>
    </row>
    <row r="1489" spans="1:4" x14ac:dyDescent="0.3">
      <c r="A1489" s="1">
        <v>28122</v>
      </c>
      <c r="B1489">
        <v>96.220000999999996</v>
      </c>
      <c r="C1489">
        <f t="shared" si="63"/>
        <v>5.6438231605350072E-3</v>
      </c>
      <c r="D1489">
        <f t="shared" si="62"/>
        <v>0.41430469339323761</v>
      </c>
    </row>
    <row r="1490" spans="1:4" x14ac:dyDescent="0.3">
      <c r="A1490" s="1">
        <v>28123</v>
      </c>
      <c r="B1490">
        <v>96.290001000000004</v>
      </c>
      <c r="C1490">
        <f t="shared" si="63"/>
        <v>7.2749947279679818E-4</v>
      </c>
      <c r="D1490">
        <f t="shared" si="62"/>
        <v>2.1019014417980503E-2</v>
      </c>
    </row>
    <row r="1491" spans="1:4" x14ac:dyDescent="0.3">
      <c r="A1491" s="1">
        <v>28124</v>
      </c>
      <c r="B1491">
        <v>97.050003000000004</v>
      </c>
      <c r="C1491">
        <f t="shared" si="63"/>
        <v>7.8928444501729731E-3</v>
      </c>
      <c r="D1491">
        <f t="shared" si="62"/>
        <v>0.59421714853347274</v>
      </c>
    </row>
    <row r="1492" spans="1:4" x14ac:dyDescent="0.3">
      <c r="A1492" s="1">
        <v>28125</v>
      </c>
      <c r="B1492">
        <v>97.879997000000003</v>
      </c>
      <c r="C1492">
        <f t="shared" si="63"/>
        <v>8.5522305444956995E-3</v>
      </c>
      <c r="D1492">
        <f t="shared" si="62"/>
        <v>0.6469653246674697</v>
      </c>
    </row>
    <row r="1493" spans="1:4" x14ac:dyDescent="0.3">
      <c r="A1493" s="1">
        <v>28128</v>
      </c>
      <c r="B1493">
        <v>97.690002000000007</v>
      </c>
      <c r="C1493">
        <f t="shared" si="63"/>
        <v>-1.9411014080843926E-3</v>
      </c>
      <c r="D1493">
        <f t="shared" si="62"/>
        <v>-0.19245808270012421</v>
      </c>
    </row>
    <row r="1494" spans="1:4" x14ac:dyDescent="0.3">
      <c r="A1494" s="1">
        <v>28129</v>
      </c>
      <c r="B1494">
        <v>97.220000999999996</v>
      </c>
      <c r="C1494">
        <f t="shared" si="63"/>
        <v>-4.811147408923285E-3</v>
      </c>
      <c r="D1494">
        <f t="shared" si="62"/>
        <v>-0.42204996106756221</v>
      </c>
    </row>
    <row r="1495" spans="1:4" x14ac:dyDescent="0.3">
      <c r="A1495" s="1">
        <v>28130</v>
      </c>
      <c r="B1495">
        <v>96.889999000000003</v>
      </c>
      <c r="C1495">
        <f t="shared" si="63"/>
        <v>-3.3943838367168216E-3</v>
      </c>
      <c r="D1495">
        <f t="shared" si="62"/>
        <v>-0.30871470105766441</v>
      </c>
    </row>
    <row r="1496" spans="1:4" x14ac:dyDescent="0.3">
      <c r="A1496" s="1">
        <v>28131</v>
      </c>
      <c r="B1496">
        <v>97.290001000000004</v>
      </c>
      <c r="C1496">
        <f t="shared" si="63"/>
        <v>4.1284137075901983E-3</v>
      </c>
      <c r="D1496">
        <f t="shared" si="62"/>
        <v>0.29307816855855751</v>
      </c>
    </row>
    <row r="1497" spans="1:4" x14ac:dyDescent="0.3">
      <c r="A1497" s="1">
        <v>28132</v>
      </c>
      <c r="B1497">
        <v>97.529999000000004</v>
      </c>
      <c r="C1497">
        <f t="shared" si="63"/>
        <v>2.4668310980899251E-3</v>
      </c>
      <c r="D1497">
        <f t="shared" si="62"/>
        <v>0.1601583922670515</v>
      </c>
    </row>
    <row r="1498" spans="1:4" x14ac:dyDescent="0.3">
      <c r="A1498" s="1">
        <v>28135</v>
      </c>
      <c r="B1498">
        <v>97.309997999999993</v>
      </c>
      <c r="C1498">
        <f t="shared" si="63"/>
        <v>-2.2557264662743464E-3</v>
      </c>
      <c r="D1498">
        <f t="shared" si="62"/>
        <v>-0.2176267936093508</v>
      </c>
    </row>
    <row r="1499" spans="1:4" x14ac:dyDescent="0.3">
      <c r="A1499" s="1">
        <v>28136</v>
      </c>
      <c r="B1499">
        <v>96.410004000000001</v>
      </c>
      <c r="C1499">
        <f t="shared" si="63"/>
        <v>-9.248731050225615E-3</v>
      </c>
      <c r="D1499">
        <f t="shared" si="62"/>
        <v>-0.77703840491878273</v>
      </c>
    </row>
    <row r="1500" spans="1:4" x14ac:dyDescent="0.3">
      <c r="A1500" s="1">
        <v>28137</v>
      </c>
      <c r="B1500">
        <v>96.019997000000004</v>
      </c>
      <c r="C1500">
        <f t="shared" si="63"/>
        <v>-4.0452959632695075E-3</v>
      </c>
      <c r="D1500">
        <f t="shared" si="62"/>
        <v>-0.36078499461522179</v>
      </c>
    </row>
    <row r="1501" spans="1:4" x14ac:dyDescent="0.3">
      <c r="A1501" s="1">
        <v>28138</v>
      </c>
      <c r="B1501">
        <v>96.839995999999999</v>
      </c>
      <c r="C1501">
        <f t="shared" si="63"/>
        <v>8.5398773757511745E-3</v>
      </c>
      <c r="D1501">
        <f t="shared" si="62"/>
        <v>0.64597712196444113</v>
      </c>
    </row>
    <row r="1502" spans="1:4" x14ac:dyDescent="0.3">
      <c r="A1502" s="1">
        <v>28139</v>
      </c>
      <c r="B1502">
        <v>97.199996999999996</v>
      </c>
      <c r="C1502">
        <f t="shared" si="63"/>
        <v>3.7174825988220499E-3</v>
      </c>
      <c r="D1502">
        <f t="shared" si="62"/>
        <v>0.26020536961592161</v>
      </c>
    </row>
    <row r="1503" spans="1:4" x14ac:dyDescent="0.3">
      <c r="A1503" s="1">
        <v>28142</v>
      </c>
      <c r="B1503">
        <v>97.139999000000003</v>
      </c>
      <c r="C1503">
        <f t="shared" si="63"/>
        <v>-6.1726339353686515E-4</v>
      </c>
      <c r="D1503">
        <f t="shared" si="62"/>
        <v>-8.6556485190764962E-2</v>
      </c>
    </row>
    <row r="1504" spans="1:4" x14ac:dyDescent="0.3">
      <c r="A1504" s="1">
        <v>28143</v>
      </c>
      <c r="B1504">
        <v>97.129997000000003</v>
      </c>
      <c r="C1504">
        <f t="shared" si="63"/>
        <v>-1.0296479414211303E-4</v>
      </c>
      <c r="D1504">
        <f t="shared" si="62"/>
        <v>-4.5414712047661968E-2</v>
      </c>
    </row>
    <row r="1505" spans="1:4" x14ac:dyDescent="0.3">
      <c r="A1505" s="1">
        <v>28144</v>
      </c>
      <c r="B1505">
        <v>97.550003000000004</v>
      </c>
      <c r="C1505">
        <f t="shared" si="63"/>
        <v>4.3241636257849445E-3</v>
      </c>
      <c r="D1505">
        <f t="shared" si="62"/>
        <v>0.30873735708566391</v>
      </c>
    </row>
    <row r="1506" spans="1:4" x14ac:dyDescent="0.3">
      <c r="A1506" s="1">
        <v>28145</v>
      </c>
      <c r="B1506">
        <v>97.080001999999993</v>
      </c>
      <c r="C1506">
        <f t="shared" si="63"/>
        <v>-4.8180521327099348E-3</v>
      </c>
      <c r="D1506">
        <f t="shared" si="62"/>
        <v>-0.42260231057810033</v>
      </c>
    </row>
    <row r="1507" spans="1:4" x14ac:dyDescent="0.3">
      <c r="A1507" s="1">
        <v>28146</v>
      </c>
      <c r="B1507">
        <v>97.32</v>
      </c>
      <c r="C1507">
        <f t="shared" si="63"/>
        <v>2.4721672337831221E-3</v>
      </c>
      <c r="D1507">
        <f t="shared" si="62"/>
        <v>0.16058526118018621</v>
      </c>
    </row>
    <row r="1508" spans="1:4" x14ac:dyDescent="0.3">
      <c r="A1508" s="1">
        <v>28149</v>
      </c>
      <c r="B1508">
        <v>97.370002999999997</v>
      </c>
      <c r="C1508">
        <f t="shared" si="63"/>
        <v>5.1379983559395601E-4</v>
      </c>
      <c r="D1508">
        <f t="shared" si="62"/>
        <v>3.9239221799119766E-3</v>
      </c>
    </row>
    <row r="1509" spans="1:4" x14ac:dyDescent="0.3">
      <c r="A1509" s="1">
        <v>28150</v>
      </c>
      <c r="B1509">
        <v>97.059997999999993</v>
      </c>
      <c r="C1509">
        <f t="shared" si="63"/>
        <v>-3.1837834081200949E-3</v>
      </c>
      <c r="D1509">
        <f t="shared" si="62"/>
        <v>-0.29186753276406319</v>
      </c>
    </row>
    <row r="1510" spans="1:4" x14ac:dyDescent="0.3">
      <c r="A1510" s="1">
        <v>28151</v>
      </c>
      <c r="B1510">
        <v>96.510002</v>
      </c>
      <c r="C1510">
        <f t="shared" si="63"/>
        <v>-5.6665568857727881E-3</v>
      </c>
      <c r="D1510">
        <f t="shared" si="62"/>
        <v>-0.490479201750736</v>
      </c>
    </row>
    <row r="1511" spans="1:4" x14ac:dyDescent="0.3">
      <c r="A1511" s="1">
        <v>28152</v>
      </c>
      <c r="B1511">
        <v>96.040001000000004</v>
      </c>
      <c r="C1511">
        <f t="shared" si="63"/>
        <v>-4.8699719227028549E-3</v>
      </c>
      <c r="D1511">
        <f t="shared" si="62"/>
        <v>-0.42675568028208183</v>
      </c>
    </row>
    <row r="1512" spans="1:4" x14ac:dyDescent="0.3">
      <c r="A1512" s="1">
        <v>28153</v>
      </c>
      <c r="B1512">
        <v>95.720000999999996</v>
      </c>
      <c r="C1512">
        <f t="shared" si="63"/>
        <v>-3.3319449882138943E-3</v>
      </c>
      <c r="D1512">
        <f t="shared" si="62"/>
        <v>-0.30371984992750939</v>
      </c>
    </row>
    <row r="1513" spans="1:4" x14ac:dyDescent="0.3">
      <c r="A1513" s="1">
        <v>28156</v>
      </c>
      <c r="B1513">
        <v>95.540001000000004</v>
      </c>
      <c r="C1513">
        <f t="shared" si="63"/>
        <v>-1.8804847275335132E-3</v>
      </c>
      <c r="D1513">
        <f t="shared" si="62"/>
        <v>-0.18760899751333365</v>
      </c>
    </row>
    <row r="1514" spans="1:4" x14ac:dyDescent="0.3">
      <c r="A1514" s="1">
        <v>28157</v>
      </c>
      <c r="B1514">
        <v>96.300003000000004</v>
      </c>
      <c r="C1514">
        <f t="shared" si="63"/>
        <v>7.9548041872011289E-3</v>
      </c>
      <c r="D1514">
        <f t="shared" si="62"/>
        <v>0.59917367271576416</v>
      </c>
    </row>
    <row r="1515" spans="1:4" x14ac:dyDescent="0.3">
      <c r="A1515" s="1">
        <v>28158</v>
      </c>
      <c r="B1515">
        <v>96.459998999999996</v>
      </c>
      <c r="C1515">
        <f t="shared" si="63"/>
        <v>1.661432970048739E-3</v>
      </c>
      <c r="D1515">
        <f t="shared" si="62"/>
        <v>9.5729853840648041E-2</v>
      </c>
    </row>
    <row r="1516" spans="1:4" x14ac:dyDescent="0.3">
      <c r="A1516" s="1">
        <v>28159</v>
      </c>
      <c r="B1516">
        <v>96.330001999999993</v>
      </c>
      <c r="C1516">
        <f t="shared" si="63"/>
        <v>-1.3476778078756048E-3</v>
      </c>
      <c r="D1516">
        <f t="shared" si="62"/>
        <v>-0.14498663485584584</v>
      </c>
    </row>
    <row r="1517" spans="1:4" x14ac:dyDescent="0.3">
      <c r="A1517" s="1">
        <v>28160</v>
      </c>
      <c r="B1517">
        <v>96.739998</v>
      </c>
      <c r="C1517">
        <f t="shared" si="63"/>
        <v>4.2561610244750822E-3</v>
      </c>
      <c r="D1517">
        <f t="shared" si="62"/>
        <v>0.30329742860924236</v>
      </c>
    </row>
    <row r="1518" spans="1:4" x14ac:dyDescent="0.3">
      <c r="A1518" s="1">
        <v>28163</v>
      </c>
      <c r="B1518">
        <v>96.610000999999997</v>
      </c>
      <c r="C1518">
        <f t="shared" si="63"/>
        <v>-1.3437771623687964E-3</v>
      </c>
      <c r="D1518">
        <f t="shared" si="62"/>
        <v>-0.14467459925485132</v>
      </c>
    </row>
    <row r="1519" spans="1:4" x14ac:dyDescent="0.3">
      <c r="A1519" s="1">
        <v>28164</v>
      </c>
      <c r="B1519">
        <v>96.589995999999999</v>
      </c>
      <c r="C1519">
        <f t="shared" si="63"/>
        <v>-2.0706965938234085E-4</v>
      </c>
      <c r="D1519">
        <f t="shared" si="62"/>
        <v>-5.3742673185116434E-2</v>
      </c>
    </row>
    <row r="1520" spans="1:4" x14ac:dyDescent="0.3">
      <c r="A1520" s="1">
        <v>28165</v>
      </c>
      <c r="B1520">
        <v>95.989998</v>
      </c>
      <c r="C1520">
        <f t="shared" si="63"/>
        <v>-6.2118027212673182E-3</v>
      </c>
      <c r="D1520">
        <f t="shared" si="62"/>
        <v>-0.53409662652602596</v>
      </c>
    </row>
    <row r="1521" spans="1:4" x14ac:dyDescent="0.3">
      <c r="A1521" s="1">
        <v>28166</v>
      </c>
      <c r="B1521">
        <v>96.290001000000004</v>
      </c>
      <c r="C1521">
        <f t="shared" si="63"/>
        <v>3.1253568731192576E-3</v>
      </c>
      <c r="D1521">
        <f t="shared" si="62"/>
        <v>0.21283774639523101</v>
      </c>
    </row>
    <row r="1522" spans="1:4" x14ac:dyDescent="0.3">
      <c r="A1522" s="1">
        <v>28167</v>
      </c>
      <c r="B1522">
        <v>96.089995999999999</v>
      </c>
      <c r="C1522">
        <f t="shared" si="63"/>
        <v>-2.0771107895201334E-3</v>
      </c>
      <c r="D1522">
        <f t="shared" si="62"/>
        <v>-0.20333827394106524</v>
      </c>
    </row>
    <row r="1523" spans="1:4" x14ac:dyDescent="0.3">
      <c r="A1523" s="1">
        <v>28170</v>
      </c>
      <c r="B1523">
        <v>96.129997000000003</v>
      </c>
      <c r="C1523">
        <f t="shared" si="63"/>
        <v>4.1628683177386883E-4</v>
      </c>
      <c r="D1523">
        <f t="shared" si="62"/>
        <v>-3.8767171498273641E-3</v>
      </c>
    </row>
    <row r="1524" spans="1:4" x14ac:dyDescent="0.3">
      <c r="A1524" s="1">
        <v>28171</v>
      </c>
      <c r="B1524">
        <v>96.410004000000001</v>
      </c>
      <c r="C1524">
        <f t="shared" si="63"/>
        <v>2.9127952641046857E-3</v>
      </c>
      <c r="D1524">
        <f t="shared" si="62"/>
        <v>0.19583369173262424</v>
      </c>
    </row>
    <row r="1525" spans="1:4" x14ac:dyDescent="0.3">
      <c r="A1525" s="1">
        <v>28172</v>
      </c>
      <c r="B1525">
        <v>96.620002999999997</v>
      </c>
      <c r="C1525">
        <f t="shared" si="63"/>
        <v>2.1781868196997095E-3</v>
      </c>
      <c r="D1525">
        <f t="shared" si="62"/>
        <v>0.1370680369081991</v>
      </c>
    </row>
    <row r="1526" spans="1:4" x14ac:dyDescent="0.3">
      <c r="A1526" s="1">
        <v>28173</v>
      </c>
      <c r="B1526">
        <v>96.559997999999993</v>
      </c>
      <c r="C1526">
        <f t="shared" si="63"/>
        <v>-6.2104117301677031E-4</v>
      </c>
      <c r="D1526">
        <f t="shared" si="62"/>
        <v>-8.6858692014835315E-2</v>
      </c>
    </row>
    <row r="1527" spans="1:4" x14ac:dyDescent="0.3">
      <c r="A1527" s="1">
        <v>28174</v>
      </c>
      <c r="B1527">
        <v>96.379997000000003</v>
      </c>
      <c r="C1527">
        <f t="shared" si="63"/>
        <v>-1.8641363269289845E-3</v>
      </c>
      <c r="D1527">
        <f t="shared" si="62"/>
        <v>-0.18630119268999634</v>
      </c>
    </row>
    <row r="1528" spans="1:4" x14ac:dyDescent="0.3">
      <c r="A1528" s="1">
        <v>28178</v>
      </c>
      <c r="B1528">
        <v>96.139999000000003</v>
      </c>
      <c r="C1528">
        <f t="shared" si="63"/>
        <v>-2.4901225095493615E-3</v>
      </c>
      <c r="D1528">
        <f t="shared" si="62"/>
        <v>-0.23637751322906289</v>
      </c>
    </row>
    <row r="1529" spans="1:4" x14ac:dyDescent="0.3">
      <c r="A1529" s="1">
        <v>28179</v>
      </c>
      <c r="B1529">
        <v>95.760002</v>
      </c>
      <c r="C1529">
        <f t="shared" si="63"/>
        <v>-3.9525380065793744E-3</v>
      </c>
      <c r="D1529">
        <f t="shared" si="62"/>
        <v>-0.35336473950300812</v>
      </c>
    </row>
    <row r="1530" spans="1:4" x14ac:dyDescent="0.3">
      <c r="A1530" s="1">
        <v>28180</v>
      </c>
      <c r="B1530">
        <v>94.839995999999999</v>
      </c>
      <c r="C1530">
        <f t="shared" si="63"/>
        <v>-9.6074141686003801E-3</v>
      </c>
      <c r="D1530">
        <f t="shared" si="62"/>
        <v>-0.80573157947496821</v>
      </c>
    </row>
    <row r="1531" spans="1:4" x14ac:dyDescent="0.3">
      <c r="A1531" s="1">
        <v>28181</v>
      </c>
      <c r="B1531">
        <v>94.900002000000001</v>
      </c>
      <c r="C1531">
        <f t="shared" si="63"/>
        <v>6.3270774494762034E-4</v>
      </c>
      <c r="D1531">
        <f t="shared" si="62"/>
        <v>1.3436065975960256E-2</v>
      </c>
    </row>
    <row r="1532" spans="1:4" x14ac:dyDescent="0.3">
      <c r="A1532" s="1">
        <v>28184</v>
      </c>
      <c r="B1532">
        <v>94.57</v>
      </c>
      <c r="C1532">
        <f t="shared" si="63"/>
        <v>-3.4773655747658201E-3</v>
      </c>
      <c r="D1532">
        <f t="shared" si="62"/>
        <v>-0.31535289887863849</v>
      </c>
    </row>
    <row r="1533" spans="1:4" x14ac:dyDescent="0.3">
      <c r="A1533" s="1">
        <v>28185</v>
      </c>
      <c r="B1533">
        <v>95.139999000000003</v>
      </c>
      <c r="C1533">
        <f t="shared" si="63"/>
        <v>6.0272708046950401E-3</v>
      </c>
      <c r="D1533">
        <f t="shared" si="62"/>
        <v>0.44497892817990603</v>
      </c>
    </row>
    <row r="1534" spans="1:4" x14ac:dyDescent="0.3">
      <c r="A1534" s="1">
        <v>28186</v>
      </c>
      <c r="B1534">
        <v>95.190002000000007</v>
      </c>
      <c r="C1534">
        <f t="shared" si="63"/>
        <v>5.2557284554947069E-4</v>
      </c>
      <c r="D1534">
        <f t="shared" si="62"/>
        <v>4.8657145654469472E-3</v>
      </c>
    </row>
    <row r="1535" spans="1:4" x14ac:dyDescent="0.3">
      <c r="A1535" s="1">
        <v>28187</v>
      </c>
      <c r="B1535">
        <v>95.529999000000004</v>
      </c>
      <c r="C1535">
        <f t="shared" si="63"/>
        <v>3.5717721699385693E-3</v>
      </c>
      <c r="D1535">
        <f t="shared" si="62"/>
        <v>0.24854913447010685</v>
      </c>
    </row>
    <row r="1536" spans="1:4" x14ac:dyDescent="0.3">
      <c r="A1536" s="1">
        <v>28188</v>
      </c>
      <c r="B1536">
        <v>96.07</v>
      </c>
      <c r="C1536">
        <f t="shared" si="63"/>
        <v>5.652685079584158E-3</v>
      </c>
      <c r="D1536">
        <f t="shared" si="62"/>
        <v>0.41501361047674079</v>
      </c>
    </row>
    <row r="1537" spans="1:4" x14ac:dyDescent="0.3">
      <c r="A1537" s="1">
        <v>28191</v>
      </c>
      <c r="B1537">
        <v>96.169998000000007</v>
      </c>
      <c r="C1537">
        <f t="shared" si="63"/>
        <v>1.0408868533362504E-3</v>
      </c>
      <c r="D1537">
        <f t="shared" si="62"/>
        <v>4.6088716204527883E-2</v>
      </c>
    </row>
    <row r="1538" spans="1:4" x14ac:dyDescent="0.3">
      <c r="A1538" s="1">
        <v>28192</v>
      </c>
      <c r="B1538">
        <v>96.230002999999996</v>
      </c>
      <c r="C1538">
        <f t="shared" si="63"/>
        <v>6.239471898500991E-4</v>
      </c>
      <c r="D1538">
        <f t="shared" si="62"/>
        <v>1.2735257591776367E-2</v>
      </c>
    </row>
    <row r="1539" spans="1:4" x14ac:dyDescent="0.3">
      <c r="A1539" s="1">
        <v>28193</v>
      </c>
      <c r="B1539">
        <v>95.75</v>
      </c>
      <c r="C1539">
        <f t="shared" si="63"/>
        <v>-4.9880804846280258E-3</v>
      </c>
      <c r="D1539">
        <f t="shared" ref="D1539:D1602" si="64">(C1539-avrtn)/sdrtn</f>
        <v>-0.43620387957078688</v>
      </c>
    </row>
    <row r="1540" spans="1:4" x14ac:dyDescent="0.3">
      <c r="A1540" s="1">
        <v>28194</v>
      </c>
      <c r="B1540">
        <v>95.940002000000007</v>
      </c>
      <c r="C1540">
        <f t="shared" ref="C1540:C1603" si="65">(B1540-B1539)/B1539</f>
        <v>1.9843550913838841E-3</v>
      </c>
      <c r="D1540">
        <f t="shared" si="64"/>
        <v>0.12156229568376241</v>
      </c>
    </row>
    <row r="1541" spans="1:4" x14ac:dyDescent="0.3">
      <c r="A1541" s="1">
        <v>28195</v>
      </c>
      <c r="B1541">
        <v>96.07</v>
      </c>
      <c r="C1541">
        <f t="shared" si="65"/>
        <v>1.3549926755263805E-3</v>
      </c>
      <c r="D1541">
        <f t="shared" si="64"/>
        <v>7.1215890368879764E-2</v>
      </c>
    </row>
    <row r="1542" spans="1:4" x14ac:dyDescent="0.3">
      <c r="A1542" s="1">
        <v>28198</v>
      </c>
      <c r="B1542">
        <v>96.190002000000007</v>
      </c>
      <c r="C1542">
        <f t="shared" si="65"/>
        <v>1.2491100239410192E-3</v>
      </c>
      <c r="D1542">
        <f t="shared" si="64"/>
        <v>6.2745713634115755E-2</v>
      </c>
    </row>
    <row r="1543" spans="1:4" x14ac:dyDescent="0.3">
      <c r="A1543" s="1">
        <v>28199</v>
      </c>
      <c r="B1543">
        <v>96.389999000000003</v>
      </c>
      <c r="C1543">
        <f t="shared" si="65"/>
        <v>2.0791869824474708E-3</v>
      </c>
      <c r="D1543">
        <f t="shared" si="64"/>
        <v>0.12914845701778324</v>
      </c>
    </row>
    <row r="1544" spans="1:4" x14ac:dyDescent="0.3">
      <c r="A1544" s="1">
        <v>28200</v>
      </c>
      <c r="B1544">
        <v>96.580001999999993</v>
      </c>
      <c r="C1544">
        <f t="shared" si="65"/>
        <v>1.9711899779145154E-3</v>
      </c>
      <c r="D1544">
        <f t="shared" si="64"/>
        <v>0.12050914074148297</v>
      </c>
    </row>
    <row r="1545" spans="1:4" x14ac:dyDescent="0.3">
      <c r="A1545" s="1">
        <v>28201</v>
      </c>
      <c r="B1545">
        <v>96.419998000000007</v>
      </c>
      <c r="C1545">
        <f t="shared" si="65"/>
        <v>-1.6566990752390593E-3</v>
      </c>
      <c r="D1545">
        <f t="shared" si="64"/>
        <v>-0.16970706554187806</v>
      </c>
    </row>
    <row r="1546" spans="1:4" x14ac:dyDescent="0.3">
      <c r="A1546" s="1">
        <v>28202</v>
      </c>
      <c r="B1546">
        <v>96.440002000000007</v>
      </c>
      <c r="C1546">
        <f t="shared" si="65"/>
        <v>2.0746733473278158E-4</v>
      </c>
      <c r="D1546">
        <f t="shared" si="64"/>
        <v>-2.0581418242211748E-2</v>
      </c>
    </row>
    <row r="1547" spans="1:4" x14ac:dyDescent="0.3">
      <c r="A1547" s="1">
        <v>28205</v>
      </c>
      <c r="B1547">
        <v>96.260002</v>
      </c>
      <c r="C1547">
        <f t="shared" si="65"/>
        <v>-1.866445419609249E-3</v>
      </c>
      <c r="D1547">
        <f t="shared" si="64"/>
        <v>-0.18648591060937164</v>
      </c>
    </row>
    <row r="1548" spans="1:4" x14ac:dyDescent="0.3">
      <c r="A1548" s="1">
        <v>28206</v>
      </c>
      <c r="B1548">
        <v>96.050003000000004</v>
      </c>
      <c r="C1548">
        <f t="shared" si="65"/>
        <v>-2.1815810891007074E-3</v>
      </c>
      <c r="D1548">
        <f t="shared" si="64"/>
        <v>-0.2116954683230724</v>
      </c>
    </row>
    <row r="1549" spans="1:4" x14ac:dyDescent="0.3">
      <c r="A1549" s="1">
        <v>28207</v>
      </c>
      <c r="B1549">
        <v>95.760002</v>
      </c>
      <c r="C1549">
        <f t="shared" si="65"/>
        <v>-3.0192711186068752E-3</v>
      </c>
      <c r="D1549">
        <f t="shared" si="64"/>
        <v>-0.27870722608158222</v>
      </c>
    </row>
    <row r="1550" spans="1:4" x14ac:dyDescent="0.3">
      <c r="A1550" s="1">
        <v>28208</v>
      </c>
      <c r="B1550">
        <v>95.540001000000004</v>
      </c>
      <c r="C1550">
        <f t="shared" si="65"/>
        <v>-2.2974205869377108E-3</v>
      </c>
      <c r="D1550">
        <f t="shared" si="64"/>
        <v>-0.22096215181517137</v>
      </c>
    </row>
    <row r="1551" spans="1:4" x14ac:dyDescent="0.3">
      <c r="A1551" s="1">
        <v>28209</v>
      </c>
      <c r="B1551">
        <v>95.279999000000004</v>
      </c>
      <c r="C1551">
        <f t="shared" si="65"/>
        <v>-2.7213941519636372E-3</v>
      </c>
      <c r="D1551">
        <f t="shared" si="64"/>
        <v>-0.2548782936275289</v>
      </c>
    </row>
    <row r="1552" spans="1:4" x14ac:dyDescent="0.3">
      <c r="A1552" s="1">
        <v>28212</v>
      </c>
      <c r="B1552">
        <v>94.849997999999999</v>
      </c>
      <c r="C1552">
        <f t="shared" si="65"/>
        <v>-4.5130248164675594E-3</v>
      </c>
      <c r="D1552">
        <f t="shared" si="64"/>
        <v>-0.3982013795585293</v>
      </c>
    </row>
    <row r="1553" spans="1:4" x14ac:dyDescent="0.3">
      <c r="A1553" s="1">
        <v>28213</v>
      </c>
      <c r="B1553">
        <v>94.919998000000007</v>
      </c>
      <c r="C1553">
        <f t="shared" si="65"/>
        <v>7.3800739563544731E-4</v>
      </c>
      <c r="D1553">
        <f t="shared" si="64"/>
        <v>2.185960503623554E-2</v>
      </c>
    </row>
    <row r="1554" spans="1:4" x14ac:dyDescent="0.3">
      <c r="A1554" s="1">
        <v>28214</v>
      </c>
      <c r="B1554">
        <v>94.230002999999996</v>
      </c>
      <c r="C1554">
        <f t="shared" si="65"/>
        <v>-7.2692268704010118E-3</v>
      </c>
      <c r="D1554">
        <f t="shared" si="64"/>
        <v>-0.61868621030263904</v>
      </c>
    </row>
    <row r="1555" spans="1:4" x14ac:dyDescent="0.3">
      <c r="A1555" s="1">
        <v>28215</v>
      </c>
      <c r="B1555">
        <v>94.129997000000003</v>
      </c>
      <c r="C1555">
        <f t="shared" si="65"/>
        <v>-1.0612967931243023E-3</v>
      </c>
      <c r="D1555">
        <f t="shared" si="64"/>
        <v>-0.12207733128151077</v>
      </c>
    </row>
    <row r="1556" spans="1:4" x14ac:dyDescent="0.3">
      <c r="A1556" s="1">
        <v>28216</v>
      </c>
      <c r="B1556">
        <v>94.540001000000004</v>
      </c>
      <c r="C1556">
        <f t="shared" si="65"/>
        <v>4.3557209504638643E-3</v>
      </c>
      <c r="D1556">
        <f t="shared" si="64"/>
        <v>0.31126181329548308</v>
      </c>
    </row>
    <row r="1557" spans="1:4" x14ac:dyDescent="0.3">
      <c r="A1557" s="1">
        <v>28219</v>
      </c>
      <c r="B1557">
        <v>93.900002000000001</v>
      </c>
      <c r="C1557">
        <f t="shared" si="65"/>
        <v>-6.7696106751681025E-3</v>
      </c>
      <c r="D1557">
        <f t="shared" si="64"/>
        <v>-0.57871896911807674</v>
      </c>
    </row>
    <row r="1558" spans="1:4" x14ac:dyDescent="0.3">
      <c r="A1558" s="1">
        <v>28220</v>
      </c>
      <c r="B1558">
        <v>93.660004000000001</v>
      </c>
      <c r="C1558">
        <f t="shared" si="65"/>
        <v>-2.5558891894379293E-3</v>
      </c>
      <c r="D1558">
        <f t="shared" si="64"/>
        <v>-0.2416385771859447</v>
      </c>
    </row>
    <row r="1559" spans="1:4" x14ac:dyDescent="0.3">
      <c r="A1559" s="1">
        <v>28221</v>
      </c>
      <c r="B1559">
        <v>93.889999000000003</v>
      </c>
      <c r="C1559">
        <f t="shared" si="65"/>
        <v>2.4556373070409262E-3</v>
      </c>
      <c r="D1559">
        <f t="shared" si="64"/>
        <v>0.15926293501227543</v>
      </c>
    </row>
    <row r="1560" spans="1:4" x14ac:dyDescent="0.3">
      <c r="A1560" s="1">
        <v>28222</v>
      </c>
      <c r="B1560">
        <v>94.029999000000004</v>
      </c>
      <c r="C1560">
        <f t="shared" si="65"/>
        <v>1.491106630004337E-3</v>
      </c>
      <c r="D1560">
        <f t="shared" si="64"/>
        <v>8.2104447023191113E-2</v>
      </c>
    </row>
    <row r="1561" spans="1:4" x14ac:dyDescent="0.3">
      <c r="A1561" s="1">
        <v>28226</v>
      </c>
      <c r="B1561">
        <v>94.370002999999997</v>
      </c>
      <c r="C1561">
        <f t="shared" si="65"/>
        <v>3.6159098544709472E-3</v>
      </c>
      <c r="D1561">
        <f t="shared" si="64"/>
        <v>0.25207996773745384</v>
      </c>
    </row>
    <row r="1562" spans="1:4" x14ac:dyDescent="0.3">
      <c r="A1562" s="1">
        <v>28227</v>
      </c>
      <c r="B1562">
        <v>95.059997999999993</v>
      </c>
      <c r="C1562">
        <f t="shared" si="65"/>
        <v>7.3115924347273379E-3</v>
      </c>
      <c r="D1562">
        <f t="shared" si="64"/>
        <v>0.54771937742039101</v>
      </c>
    </row>
    <row r="1563" spans="1:4" x14ac:dyDescent="0.3">
      <c r="A1563" s="1">
        <v>28228</v>
      </c>
      <c r="B1563">
        <v>95.099997999999999</v>
      </c>
      <c r="C1563">
        <f t="shared" si="65"/>
        <v>4.2078688030275634E-4</v>
      </c>
      <c r="D1563">
        <f t="shared" si="64"/>
        <v>-3.516731771826482E-3</v>
      </c>
    </row>
    <row r="1564" spans="1:4" x14ac:dyDescent="0.3">
      <c r="A1564" s="1">
        <v>28229</v>
      </c>
      <c r="B1564">
        <v>96</v>
      </c>
      <c r="C1564">
        <f t="shared" si="65"/>
        <v>9.4637436269977698E-3</v>
      </c>
      <c r="D1564">
        <f t="shared" si="64"/>
        <v>0.71988262310344397</v>
      </c>
    </row>
    <row r="1565" spans="1:4" x14ac:dyDescent="0.3">
      <c r="A1565" s="1">
        <v>28230</v>
      </c>
      <c r="B1565">
        <v>96.260002</v>
      </c>
      <c r="C1565">
        <f t="shared" si="65"/>
        <v>2.7083541666666675E-3</v>
      </c>
      <c r="D1565">
        <f t="shared" si="64"/>
        <v>0.17947924460439862</v>
      </c>
    </row>
    <row r="1566" spans="1:4" x14ac:dyDescent="0.3">
      <c r="A1566" s="1">
        <v>28233</v>
      </c>
      <c r="B1566">
        <v>96.169998000000007</v>
      </c>
      <c r="C1566">
        <f t="shared" si="65"/>
        <v>-9.3500933025113914E-4</v>
      </c>
      <c r="D1566">
        <f t="shared" si="64"/>
        <v>-0.11197485354880798</v>
      </c>
    </row>
    <row r="1567" spans="1:4" x14ac:dyDescent="0.3">
      <c r="A1567" s="1">
        <v>28234</v>
      </c>
      <c r="B1567">
        <v>96.099997999999999</v>
      </c>
      <c r="C1567">
        <f t="shared" si="65"/>
        <v>-7.2787773168101117E-4</v>
      </c>
      <c r="D1567">
        <f t="shared" si="64"/>
        <v>-9.5405177393420346E-2</v>
      </c>
    </row>
    <row r="1568" spans="1:4" x14ac:dyDescent="0.3">
      <c r="A1568" s="1">
        <v>28235</v>
      </c>
      <c r="B1568">
        <v>96.360000999999997</v>
      </c>
      <c r="C1568">
        <f t="shared" si="65"/>
        <v>2.7055463622381922E-3</v>
      </c>
      <c r="D1568">
        <f t="shared" si="64"/>
        <v>0.17925463179588139</v>
      </c>
    </row>
    <row r="1569" spans="1:4" x14ac:dyDescent="0.3">
      <c r="A1569" s="1">
        <v>28236</v>
      </c>
      <c r="B1569">
        <v>95.82</v>
      </c>
      <c r="C1569">
        <f t="shared" si="65"/>
        <v>-5.6039953756331293E-3</v>
      </c>
      <c r="D1569">
        <f t="shared" si="64"/>
        <v>-0.48547453819403014</v>
      </c>
    </row>
    <row r="1570" spans="1:4" x14ac:dyDescent="0.3">
      <c r="A1570" s="1">
        <v>28237</v>
      </c>
      <c r="B1570">
        <v>95.120002999999997</v>
      </c>
      <c r="C1570">
        <f t="shared" si="65"/>
        <v>-7.3053329158839098E-3</v>
      </c>
      <c r="D1570">
        <f t="shared" si="64"/>
        <v>-0.62157454547232471</v>
      </c>
    </row>
    <row r="1571" spans="1:4" x14ac:dyDescent="0.3">
      <c r="A1571" s="1">
        <v>28240</v>
      </c>
      <c r="B1571">
        <v>94.260002</v>
      </c>
      <c r="C1571">
        <f t="shared" si="65"/>
        <v>-9.0412213296502623E-3</v>
      </c>
      <c r="D1571">
        <f t="shared" si="64"/>
        <v>-0.76043848055782404</v>
      </c>
    </row>
    <row r="1572" spans="1:4" x14ac:dyDescent="0.3">
      <c r="A1572" s="1">
        <v>28241</v>
      </c>
      <c r="B1572">
        <v>94.120002999999997</v>
      </c>
      <c r="C1572">
        <f t="shared" si="65"/>
        <v>-1.4852429135319039E-3</v>
      </c>
      <c r="D1572">
        <f t="shared" si="64"/>
        <v>-0.15599127763725529</v>
      </c>
    </row>
    <row r="1573" spans="1:4" x14ac:dyDescent="0.3">
      <c r="A1573" s="1">
        <v>28242</v>
      </c>
      <c r="B1573">
        <v>94.790001000000004</v>
      </c>
      <c r="C1573">
        <f t="shared" si="65"/>
        <v>7.1185505593322892E-3</v>
      </c>
      <c r="D1573">
        <f t="shared" si="64"/>
        <v>0.53227682118172182</v>
      </c>
    </row>
    <row r="1574" spans="1:4" x14ac:dyDescent="0.3">
      <c r="A1574" s="1">
        <v>28243</v>
      </c>
      <c r="B1574">
        <v>95.059997999999993</v>
      </c>
      <c r="C1574">
        <f t="shared" si="65"/>
        <v>2.8483700511828182E-3</v>
      </c>
      <c r="D1574">
        <f t="shared" si="64"/>
        <v>0.1906799396169333</v>
      </c>
    </row>
    <row r="1575" spans="1:4" x14ac:dyDescent="0.3">
      <c r="A1575" s="1">
        <v>28244</v>
      </c>
      <c r="B1575">
        <v>95.480002999999996</v>
      </c>
      <c r="C1575">
        <f t="shared" si="65"/>
        <v>4.418314841538323E-3</v>
      </c>
      <c r="D1575">
        <f t="shared" si="64"/>
        <v>0.3162690671938217</v>
      </c>
    </row>
    <row r="1576" spans="1:4" x14ac:dyDescent="0.3">
      <c r="A1576" s="1">
        <v>28247</v>
      </c>
      <c r="B1576">
        <v>95.830001999999993</v>
      </c>
      <c r="C1576">
        <f t="shared" si="65"/>
        <v>3.6656785609861875E-3</v>
      </c>
      <c r="D1576">
        <f t="shared" si="64"/>
        <v>0.25606125960852905</v>
      </c>
    </row>
    <row r="1577" spans="1:4" x14ac:dyDescent="0.3">
      <c r="A1577" s="1">
        <v>28248</v>
      </c>
      <c r="B1577">
        <v>96.209998999999996</v>
      </c>
      <c r="C1577">
        <f t="shared" si="65"/>
        <v>3.9653239285125244E-3</v>
      </c>
      <c r="D1577">
        <f t="shared" si="64"/>
        <v>0.28003165686152232</v>
      </c>
    </row>
    <row r="1578" spans="1:4" x14ac:dyDescent="0.3">
      <c r="A1578" s="1">
        <v>28249</v>
      </c>
      <c r="B1578">
        <v>96.629997000000003</v>
      </c>
      <c r="C1578">
        <f t="shared" si="65"/>
        <v>4.365429834377264E-3</v>
      </c>
      <c r="D1578">
        <f t="shared" si="64"/>
        <v>0.31203848408538587</v>
      </c>
    </row>
    <row r="1579" spans="1:4" x14ac:dyDescent="0.3">
      <c r="A1579" s="1">
        <v>28250</v>
      </c>
      <c r="B1579">
        <v>96.889999000000003</v>
      </c>
      <c r="C1579">
        <f t="shared" si="65"/>
        <v>2.6906965546112981E-3</v>
      </c>
      <c r="D1579">
        <f t="shared" si="64"/>
        <v>0.17806670824850368</v>
      </c>
    </row>
    <row r="1580" spans="1:4" x14ac:dyDescent="0.3">
      <c r="A1580" s="1">
        <v>28251</v>
      </c>
      <c r="B1580">
        <v>96.900002000000001</v>
      </c>
      <c r="C1580">
        <f t="shared" si="65"/>
        <v>1.0324078958858841E-4</v>
      </c>
      <c r="D1580">
        <f t="shared" si="64"/>
        <v>-2.8919113271632692E-2</v>
      </c>
    </row>
    <row r="1581" spans="1:4" x14ac:dyDescent="0.3">
      <c r="A1581" s="1">
        <v>28254</v>
      </c>
      <c r="B1581">
        <v>96.760002</v>
      </c>
      <c r="C1581">
        <f t="shared" si="65"/>
        <v>-1.4447884118722781E-3</v>
      </c>
      <c r="D1581">
        <f t="shared" si="64"/>
        <v>-0.15275508385439004</v>
      </c>
    </row>
    <row r="1582" spans="1:4" x14ac:dyDescent="0.3">
      <c r="A1582" s="1">
        <v>28255</v>
      </c>
      <c r="B1582">
        <v>97.160004000000001</v>
      </c>
      <c r="C1582">
        <f t="shared" si="65"/>
        <v>4.1339602287317088E-3</v>
      </c>
      <c r="D1582">
        <f t="shared" si="64"/>
        <v>0.29352186744244713</v>
      </c>
    </row>
    <row r="1583" spans="1:4" x14ac:dyDescent="0.3">
      <c r="A1583" s="1">
        <v>28256</v>
      </c>
      <c r="B1583">
        <v>96.919998000000007</v>
      </c>
      <c r="C1583">
        <f t="shared" si="65"/>
        <v>-2.4702139781714494E-3</v>
      </c>
      <c r="D1583">
        <f t="shared" si="64"/>
        <v>-0.23478491258320011</v>
      </c>
    </row>
    <row r="1584" spans="1:4" x14ac:dyDescent="0.3">
      <c r="A1584" s="1">
        <v>28257</v>
      </c>
      <c r="B1584">
        <v>96.959998999999996</v>
      </c>
      <c r="C1584">
        <f t="shared" si="65"/>
        <v>4.1272184095576966E-4</v>
      </c>
      <c r="D1584">
        <f t="shared" si="64"/>
        <v>-4.1619017559454616E-3</v>
      </c>
    </row>
    <row r="1585" spans="1:4" x14ac:dyDescent="0.3">
      <c r="A1585" s="1">
        <v>28258</v>
      </c>
      <c r="B1585">
        <v>97.410004000000001</v>
      </c>
      <c r="C1585">
        <f t="shared" si="65"/>
        <v>4.6411407244342532E-3</v>
      </c>
      <c r="D1585">
        <f t="shared" si="64"/>
        <v>0.33409422155999074</v>
      </c>
    </row>
    <row r="1586" spans="1:4" x14ac:dyDescent="0.3">
      <c r="A1586" s="1">
        <v>28261</v>
      </c>
      <c r="B1586">
        <v>97.790001000000004</v>
      </c>
      <c r="C1586">
        <f t="shared" si="65"/>
        <v>3.9010058966839076E-3</v>
      </c>
      <c r="D1586">
        <f t="shared" si="64"/>
        <v>0.27488647879256017</v>
      </c>
    </row>
    <row r="1587" spans="1:4" x14ac:dyDescent="0.3">
      <c r="A1587" s="1">
        <v>28262</v>
      </c>
      <c r="B1587">
        <v>97.900002000000001</v>
      </c>
      <c r="C1587">
        <f t="shared" si="65"/>
        <v>1.1248696070674639E-3</v>
      </c>
      <c r="D1587">
        <f t="shared" si="64"/>
        <v>5.2806991163878138E-2</v>
      </c>
    </row>
    <row r="1588" spans="1:4" x14ac:dyDescent="0.3">
      <c r="A1588" s="1">
        <v>28263</v>
      </c>
      <c r="B1588">
        <v>98.470000999999996</v>
      </c>
      <c r="C1588">
        <f t="shared" si="65"/>
        <v>5.8222572865728409E-3</v>
      </c>
      <c r="D1588">
        <f t="shared" si="64"/>
        <v>0.42857868975075386</v>
      </c>
    </row>
    <row r="1589" spans="1:4" x14ac:dyDescent="0.3">
      <c r="A1589" s="1">
        <v>28264</v>
      </c>
      <c r="B1589">
        <v>98.360000999999997</v>
      </c>
      <c r="C1589">
        <f t="shared" si="65"/>
        <v>-1.1170914886047319E-3</v>
      </c>
      <c r="D1589">
        <f t="shared" si="64"/>
        <v>-0.12654067749078643</v>
      </c>
    </row>
    <row r="1590" spans="1:4" x14ac:dyDescent="0.3">
      <c r="A1590" s="1">
        <v>28265</v>
      </c>
      <c r="B1590">
        <v>98</v>
      </c>
      <c r="C1590">
        <f t="shared" si="65"/>
        <v>-3.6600345296864821E-3</v>
      </c>
      <c r="D1590">
        <f t="shared" si="64"/>
        <v>-0.32996566413306061</v>
      </c>
    </row>
    <row r="1591" spans="1:4" x14ac:dyDescent="0.3">
      <c r="A1591" s="1">
        <v>28268</v>
      </c>
      <c r="B1591">
        <v>97.150002000000001</v>
      </c>
      <c r="C1591">
        <f t="shared" si="65"/>
        <v>-8.6734489795918298E-3</v>
      </c>
      <c r="D1591">
        <f t="shared" si="64"/>
        <v>-0.73101820484208924</v>
      </c>
    </row>
    <row r="1592" spans="1:4" x14ac:dyDescent="0.3">
      <c r="A1592" s="1">
        <v>28269</v>
      </c>
      <c r="B1592">
        <v>96.660004000000001</v>
      </c>
      <c r="C1592">
        <f t="shared" si="65"/>
        <v>-5.0437260927694051E-3</v>
      </c>
      <c r="D1592">
        <f t="shared" si="64"/>
        <v>-0.44065529940598935</v>
      </c>
    </row>
    <row r="1593" spans="1:4" x14ac:dyDescent="0.3">
      <c r="A1593" s="1">
        <v>28270</v>
      </c>
      <c r="B1593">
        <v>96.18</v>
      </c>
      <c r="C1593">
        <f t="shared" si="65"/>
        <v>-4.9659008911275638E-3</v>
      </c>
      <c r="D1593">
        <f t="shared" si="64"/>
        <v>-0.43442960329378338</v>
      </c>
    </row>
    <row r="1594" spans="1:4" x14ac:dyDescent="0.3">
      <c r="A1594" s="1">
        <v>28271</v>
      </c>
      <c r="B1594">
        <v>96.169998000000007</v>
      </c>
      <c r="C1594">
        <f t="shared" si="65"/>
        <v>-1.0399251403618284E-4</v>
      </c>
      <c r="D1594">
        <f t="shared" si="64"/>
        <v>-4.5496925413178096E-2</v>
      </c>
    </row>
    <row r="1595" spans="1:4" x14ac:dyDescent="0.3">
      <c r="A1595" s="1">
        <v>28272</v>
      </c>
      <c r="B1595">
        <v>95.900002000000001</v>
      </c>
      <c r="C1595">
        <f t="shared" si="65"/>
        <v>-2.8074868006132858E-3</v>
      </c>
      <c r="D1595">
        <f t="shared" si="64"/>
        <v>-0.26176535150441427</v>
      </c>
    </row>
    <row r="1596" spans="1:4" x14ac:dyDescent="0.3">
      <c r="A1596" s="1">
        <v>28276</v>
      </c>
      <c r="B1596">
        <v>95.589995999999999</v>
      </c>
      <c r="C1596">
        <f t="shared" si="65"/>
        <v>-3.2325963872242812E-3</v>
      </c>
      <c r="D1596">
        <f t="shared" si="64"/>
        <v>-0.29577237037222864</v>
      </c>
    </row>
    <row r="1597" spans="1:4" x14ac:dyDescent="0.3">
      <c r="A1597" s="1">
        <v>28277</v>
      </c>
      <c r="B1597">
        <v>95.860000999999997</v>
      </c>
      <c r="C1597">
        <f t="shared" si="65"/>
        <v>2.8246156637562535E-3</v>
      </c>
      <c r="D1597">
        <f t="shared" si="64"/>
        <v>0.18877968630143288</v>
      </c>
    </row>
    <row r="1598" spans="1:4" x14ac:dyDescent="0.3">
      <c r="A1598" s="1">
        <v>28278</v>
      </c>
      <c r="B1598">
        <v>95.800003000000004</v>
      </c>
      <c r="C1598">
        <f t="shared" si="65"/>
        <v>-6.258919191957145E-4</v>
      </c>
      <c r="D1598">
        <f t="shared" si="64"/>
        <v>-8.7246731762763374E-2</v>
      </c>
    </row>
    <row r="1599" spans="1:4" x14ac:dyDescent="0.3">
      <c r="A1599" s="1">
        <v>28279</v>
      </c>
      <c r="B1599">
        <v>96.190002000000007</v>
      </c>
      <c r="C1599">
        <f t="shared" si="65"/>
        <v>4.0709706449591973E-3</v>
      </c>
      <c r="D1599">
        <f t="shared" si="64"/>
        <v>0.28848295975536237</v>
      </c>
    </row>
    <row r="1600" spans="1:4" x14ac:dyDescent="0.3">
      <c r="A1600" s="1">
        <v>28282</v>
      </c>
      <c r="B1600">
        <v>96.110000999999997</v>
      </c>
      <c r="C1600">
        <f t="shared" si="65"/>
        <v>-8.316976643789858E-4</v>
      </c>
      <c r="D1600">
        <f t="shared" si="64"/>
        <v>-0.10371034509914417</v>
      </c>
    </row>
    <row r="1601" spans="1:4" x14ac:dyDescent="0.3">
      <c r="A1601" s="1">
        <v>28283</v>
      </c>
      <c r="B1601">
        <v>96.169998000000007</v>
      </c>
      <c r="C1601">
        <f t="shared" si="65"/>
        <v>6.2425345308247211E-4</v>
      </c>
      <c r="D1601">
        <f t="shared" si="64"/>
        <v>1.2759757391004271E-2</v>
      </c>
    </row>
    <row r="1602" spans="1:4" x14ac:dyDescent="0.3">
      <c r="A1602" s="1">
        <v>28284</v>
      </c>
      <c r="B1602">
        <v>96.589995999999999</v>
      </c>
      <c r="C1602">
        <f t="shared" si="65"/>
        <v>4.3672455935789096E-3</v>
      </c>
      <c r="D1602">
        <f t="shared" si="64"/>
        <v>0.31218373735507104</v>
      </c>
    </row>
    <row r="1603" spans="1:4" x14ac:dyDescent="0.3">
      <c r="A1603" s="1">
        <v>28285</v>
      </c>
      <c r="B1603">
        <v>96.629997000000003</v>
      </c>
      <c r="C1603">
        <f t="shared" si="65"/>
        <v>4.1413191486211189E-4</v>
      </c>
      <c r="D1603">
        <f t="shared" ref="D1603:D1666" si="66">(C1603-avrtn)/sdrtn</f>
        <v>-4.0491016416966319E-3</v>
      </c>
    </row>
    <row r="1604" spans="1:4" x14ac:dyDescent="0.3">
      <c r="A1604" s="1">
        <v>28286</v>
      </c>
      <c r="B1604">
        <v>97.07</v>
      </c>
      <c r="C1604">
        <f t="shared" ref="C1604:C1667" si="67">(B1604-B1603)/B1603</f>
        <v>4.5534824967446716E-3</v>
      </c>
      <c r="D1604">
        <f t="shared" si="66"/>
        <v>0.32708192379761031</v>
      </c>
    </row>
    <row r="1605" spans="1:4" x14ac:dyDescent="0.3">
      <c r="A1605" s="1">
        <v>28289</v>
      </c>
      <c r="B1605">
        <v>97.279999000000004</v>
      </c>
      <c r="C1605">
        <f t="shared" si="67"/>
        <v>2.1633769444731688E-3</v>
      </c>
      <c r="D1605">
        <f t="shared" si="66"/>
        <v>0.13588330778864666</v>
      </c>
    </row>
    <row r="1606" spans="1:4" x14ac:dyDescent="0.3">
      <c r="A1606" s="1">
        <v>28290</v>
      </c>
      <c r="B1606">
        <v>97.699996999999996</v>
      </c>
      <c r="C1606">
        <f t="shared" si="67"/>
        <v>4.3174136956970208E-3</v>
      </c>
      <c r="D1606">
        <f t="shared" si="66"/>
        <v>0.30819739043450839</v>
      </c>
    </row>
    <row r="1607" spans="1:4" x14ac:dyDescent="0.3">
      <c r="A1607" s="1">
        <v>28291</v>
      </c>
      <c r="B1607">
        <v>97.669998000000007</v>
      </c>
      <c r="C1607">
        <f t="shared" si="67"/>
        <v>-3.0705221004243688E-4</v>
      </c>
      <c r="D1607">
        <f t="shared" si="66"/>
        <v>-6.1740866107219204E-2</v>
      </c>
    </row>
    <row r="1608" spans="1:4" x14ac:dyDescent="0.3">
      <c r="A1608" s="1">
        <v>28292</v>
      </c>
      <c r="B1608">
        <v>98.220000999999996</v>
      </c>
      <c r="C1608">
        <f t="shared" si="67"/>
        <v>5.6312379570232973E-3</v>
      </c>
      <c r="D1608">
        <f t="shared" si="66"/>
        <v>0.4132979288629669</v>
      </c>
    </row>
    <row r="1609" spans="1:4" x14ac:dyDescent="0.3">
      <c r="A1609" s="1">
        <v>28293</v>
      </c>
      <c r="B1609">
        <v>98.610000999999997</v>
      </c>
      <c r="C1609">
        <f t="shared" si="67"/>
        <v>3.9706780292132204E-3</v>
      </c>
      <c r="D1609">
        <f t="shared" si="66"/>
        <v>0.28045996290138436</v>
      </c>
    </row>
    <row r="1610" spans="1:4" x14ac:dyDescent="0.3">
      <c r="A1610" s="1">
        <v>28296</v>
      </c>
      <c r="B1610">
        <v>98.720000999999996</v>
      </c>
      <c r="C1610">
        <f t="shared" si="67"/>
        <v>1.1155055155105357E-3</v>
      </c>
      <c r="D1610">
        <f t="shared" si="66"/>
        <v>5.205790234469844E-2</v>
      </c>
    </row>
    <row r="1611" spans="1:4" x14ac:dyDescent="0.3">
      <c r="A1611" s="1">
        <v>28297</v>
      </c>
      <c r="B1611">
        <v>98.830001999999993</v>
      </c>
      <c r="C1611">
        <f t="shared" si="67"/>
        <v>1.1142726791503669E-3</v>
      </c>
      <c r="D1611">
        <f t="shared" si="66"/>
        <v>5.1959280505338344E-2</v>
      </c>
    </row>
    <row r="1612" spans="1:4" x14ac:dyDescent="0.3">
      <c r="A1612" s="1">
        <v>28298</v>
      </c>
      <c r="B1612">
        <v>98.779999000000004</v>
      </c>
      <c r="C1612">
        <f t="shared" si="67"/>
        <v>-5.0594960020328226E-4</v>
      </c>
      <c r="D1612">
        <f t="shared" si="66"/>
        <v>-7.7651839449131524E-2</v>
      </c>
    </row>
    <row r="1613" spans="1:4" x14ac:dyDescent="0.3">
      <c r="A1613" s="1">
        <v>28299</v>
      </c>
      <c r="B1613">
        <v>99.169998000000007</v>
      </c>
      <c r="C1613">
        <f t="shared" si="67"/>
        <v>3.9481575617347706E-3</v>
      </c>
      <c r="D1613">
        <f t="shared" si="66"/>
        <v>0.27865841810782399</v>
      </c>
    </row>
    <row r="1614" spans="1:4" x14ac:dyDescent="0.3">
      <c r="A1614" s="1">
        <v>28300</v>
      </c>
      <c r="B1614">
        <v>99.660004000000001</v>
      </c>
      <c r="C1614">
        <f t="shared" si="67"/>
        <v>4.9410709880219408E-3</v>
      </c>
      <c r="D1614">
        <f t="shared" si="66"/>
        <v>0.35808740932639249</v>
      </c>
    </row>
    <row r="1615" spans="1:4" x14ac:dyDescent="0.3">
      <c r="A1615" s="1">
        <v>28303</v>
      </c>
      <c r="B1615">
        <v>99.629997000000003</v>
      </c>
      <c r="C1615">
        <f t="shared" si="67"/>
        <v>-3.0109370655852745E-4</v>
      </c>
      <c r="D1615">
        <f t="shared" si="66"/>
        <v>-6.1264210330019178E-2</v>
      </c>
    </row>
    <row r="1616" spans="1:4" x14ac:dyDescent="0.3">
      <c r="A1616" s="1">
        <v>28304</v>
      </c>
      <c r="B1616">
        <v>99.279999000000004</v>
      </c>
      <c r="C1616">
        <f t="shared" si="67"/>
        <v>-3.5129781244498015E-3</v>
      </c>
      <c r="D1616">
        <f t="shared" si="66"/>
        <v>-0.31820175641367771</v>
      </c>
    </row>
    <row r="1617" spans="1:4" x14ac:dyDescent="0.3">
      <c r="A1617" s="1">
        <v>28305</v>
      </c>
      <c r="B1617">
        <v>99.339995999999999</v>
      </c>
      <c r="C1617">
        <f t="shared" si="67"/>
        <v>6.043211180934403E-4</v>
      </c>
      <c r="D1617">
        <f t="shared" si="66"/>
        <v>1.1165252554132945E-2</v>
      </c>
    </row>
    <row r="1618" spans="1:4" x14ac:dyDescent="0.3">
      <c r="A1618" s="1">
        <v>28306</v>
      </c>
      <c r="B1618">
        <v>99.730002999999996</v>
      </c>
      <c r="C1618">
        <f t="shared" si="67"/>
        <v>3.9259816358357524E-3</v>
      </c>
      <c r="D1618">
        <f t="shared" si="66"/>
        <v>0.2768844352238547</v>
      </c>
    </row>
    <row r="1619" spans="1:4" x14ac:dyDescent="0.3">
      <c r="A1619" s="1">
        <v>28307</v>
      </c>
      <c r="B1619">
        <v>99.900002000000001</v>
      </c>
      <c r="C1619">
        <f t="shared" si="67"/>
        <v>1.7045923482024185E-3</v>
      </c>
      <c r="D1619">
        <f t="shared" si="66"/>
        <v>9.9182426620518988E-2</v>
      </c>
    </row>
    <row r="1620" spans="1:4" x14ac:dyDescent="0.3">
      <c r="A1620" s="1">
        <v>28311</v>
      </c>
      <c r="B1620">
        <v>100.120003</v>
      </c>
      <c r="C1620">
        <f t="shared" si="67"/>
        <v>2.2022121681238437E-3</v>
      </c>
      <c r="D1620">
        <f t="shared" si="66"/>
        <v>0.1389899659893068</v>
      </c>
    </row>
    <row r="1621" spans="1:4" x14ac:dyDescent="0.3">
      <c r="A1621" s="1">
        <v>28312</v>
      </c>
      <c r="B1621">
        <v>99.959998999999996</v>
      </c>
      <c r="C1621">
        <f t="shared" si="67"/>
        <v>-1.5981222054098491E-3</v>
      </c>
      <c r="D1621">
        <f t="shared" si="66"/>
        <v>-0.16502115682506924</v>
      </c>
    </row>
    <row r="1622" spans="1:4" x14ac:dyDescent="0.3">
      <c r="A1622" s="1">
        <v>28313</v>
      </c>
      <c r="B1622">
        <v>100.279999</v>
      </c>
      <c r="C1622">
        <f t="shared" si="67"/>
        <v>3.2012805442305716E-3</v>
      </c>
      <c r="D1622">
        <f t="shared" si="66"/>
        <v>0.21891132788413503</v>
      </c>
    </row>
    <row r="1623" spans="1:4" x14ac:dyDescent="0.3">
      <c r="A1623" s="1">
        <v>28314</v>
      </c>
      <c r="B1623">
        <v>100.80999799999999</v>
      </c>
      <c r="C1623">
        <f t="shared" si="67"/>
        <v>5.2851915166053148E-3</v>
      </c>
      <c r="D1623">
        <f t="shared" si="66"/>
        <v>0.38561563658099374</v>
      </c>
    </row>
    <row r="1624" spans="1:4" x14ac:dyDescent="0.3">
      <c r="A1624" s="1">
        <v>28317</v>
      </c>
      <c r="B1624">
        <v>100.849998</v>
      </c>
      <c r="C1624">
        <f t="shared" si="67"/>
        <v>3.9678604100365381E-4</v>
      </c>
      <c r="D1624">
        <f t="shared" si="66"/>
        <v>-5.4367002237137784E-3</v>
      </c>
    </row>
    <row r="1625" spans="1:4" x14ac:dyDescent="0.3">
      <c r="A1625" s="1">
        <v>28318</v>
      </c>
      <c r="B1625">
        <v>100.75</v>
      </c>
      <c r="C1625">
        <f t="shared" si="67"/>
        <v>-9.9155182928213213E-4</v>
      </c>
      <c r="D1625">
        <f t="shared" si="66"/>
        <v>-0.11649802096714214</v>
      </c>
    </row>
    <row r="1626" spans="1:4" x14ac:dyDescent="0.3">
      <c r="A1626" s="1">
        <v>28319</v>
      </c>
      <c r="B1626">
        <v>100.93</v>
      </c>
      <c r="C1626">
        <f t="shared" si="67"/>
        <v>1.7866004962779833E-3</v>
      </c>
      <c r="D1626">
        <f t="shared" si="66"/>
        <v>0.10574274124704432</v>
      </c>
    </row>
    <row r="1627" spans="1:4" x14ac:dyDescent="0.3">
      <c r="A1627" s="1">
        <v>28321</v>
      </c>
      <c r="B1627">
        <v>101.410004</v>
      </c>
      <c r="C1627">
        <f t="shared" si="67"/>
        <v>4.755810958089704E-3</v>
      </c>
      <c r="D1627">
        <f t="shared" si="66"/>
        <v>0.34326736872560853</v>
      </c>
    </row>
    <row r="1628" spans="1:4" x14ac:dyDescent="0.3">
      <c r="A1628" s="1">
        <v>28324</v>
      </c>
      <c r="B1628">
        <v>102.010002</v>
      </c>
      <c r="C1628">
        <f t="shared" si="67"/>
        <v>5.9165563192365061E-3</v>
      </c>
      <c r="D1628">
        <f t="shared" si="66"/>
        <v>0.43612222460390782</v>
      </c>
    </row>
    <row r="1629" spans="1:4" x14ac:dyDescent="0.3">
      <c r="A1629" s="1">
        <v>28325</v>
      </c>
      <c r="B1629">
        <v>102.379997</v>
      </c>
      <c r="C1629">
        <f t="shared" si="67"/>
        <v>3.627046296891583E-3</v>
      </c>
      <c r="D1629">
        <f t="shared" si="66"/>
        <v>0.25297083733777981</v>
      </c>
    </row>
    <row r="1630" spans="1:4" x14ac:dyDescent="0.3">
      <c r="A1630" s="1">
        <v>28326</v>
      </c>
      <c r="B1630">
        <v>102.43</v>
      </c>
      <c r="C1630">
        <f t="shared" si="67"/>
        <v>4.8840595297149493E-4</v>
      </c>
      <c r="D1630">
        <f t="shared" si="66"/>
        <v>1.8925159903843691E-3</v>
      </c>
    </row>
    <row r="1631" spans="1:4" x14ac:dyDescent="0.3">
      <c r="A1631" s="1">
        <v>28327</v>
      </c>
      <c r="B1631">
        <v>102.699997</v>
      </c>
      <c r="C1631">
        <f t="shared" si="67"/>
        <v>2.6359172117542649E-3</v>
      </c>
      <c r="D1631">
        <f t="shared" si="66"/>
        <v>0.17368458607394482</v>
      </c>
    </row>
    <row r="1632" spans="1:4" x14ac:dyDescent="0.3">
      <c r="A1632" s="1">
        <v>28328</v>
      </c>
      <c r="B1632">
        <v>103.110001</v>
      </c>
      <c r="C1632">
        <f t="shared" si="67"/>
        <v>3.9922493863364054E-3</v>
      </c>
      <c r="D1632">
        <f t="shared" si="66"/>
        <v>0.28218558276928868</v>
      </c>
    </row>
    <row r="1633" spans="1:4" x14ac:dyDescent="0.3">
      <c r="A1633" s="1">
        <v>28331</v>
      </c>
      <c r="B1633">
        <v>103.010002</v>
      </c>
      <c r="C1633">
        <f t="shared" si="67"/>
        <v>-9.6982832926164784E-4</v>
      </c>
      <c r="D1633">
        <f t="shared" si="66"/>
        <v>-0.11476023029306924</v>
      </c>
    </row>
    <row r="1634" spans="1:4" x14ac:dyDescent="0.3">
      <c r="A1634" s="1">
        <v>28332</v>
      </c>
      <c r="B1634">
        <v>102.400002</v>
      </c>
      <c r="C1634">
        <f t="shared" si="67"/>
        <v>-5.9217550544266515E-3</v>
      </c>
      <c r="D1634">
        <f t="shared" si="66"/>
        <v>-0.51089400586190525</v>
      </c>
    </row>
    <row r="1635" spans="1:4" x14ac:dyDescent="0.3">
      <c r="A1635" s="1">
        <v>28333</v>
      </c>
      <c r="B1635">
        <v>101.25</v>
      </c>
      <c r="C1635">
        <f t="shared" si="67"/>
        <v>-1.1230488061904536E-2</v>
      </c>
      <c r="D1635">
        <f t="shared" si="66"/>
        <v>-0.93557081681957188</v>
      </c>
    </row>
    <row r="1636" spans="1:4" x14ac:dyDescent="0.3">
      <c r="A1636" s="1">
        <v>28334</v>
      </c>
      <c r="B1636">
        <v>100.68</v>
      </c>
      <c r="C1636">
        <f t="shared" si="67"/>
        <v>-5.6296296296295626E-3</v>
      </c>
      <c r="D1636">
        <f t="shared" si="66"/>
        <v>-0.48752517310506255</v>
      </c>
    </row>
    <row r="1637" spans="1:4" x14ac:dyDescent="0.3">
      <c r="A1637" s="1">
        <v>28335</v>
      </c>
      <c r="B1637">
        <v>100.650002</v>
      </c>
      <c r="C1637">
        <f t="shared" si="67"/>
        <v>-2.9795391338901655E-4</v>
      </c>
      <c r="D1637">
        <f t="shared" si="66"/>
        <v>-6.101303978736497E-2</v>
      </c>
    </row>
    <row r="1638" spans="1:4" x14ac:dyDescent="0.3">
      <c r="A1638" s="1">
        <v>28338</v>
      </c>
      <c r="B1638">
        <v>100.760002</v>
      </c>
      <c r="C1638">
        <f t="shared" si="67"/>
        <v>1.0928961531466183E-3</v>
      </c>
      <c r="D1638">
        <f t="shared" si="66"/>
        <v>5.024924632583861E-2</v>
      </c>
    </row>
    <row r="1639" spans="1:4" x14ac:dyDescent="0.3">
      <c r="A1639" s="1">
        <v>28339</v>
      </c>
      <c r="B1639">
        <v>100.400002</v>
      </c>
      <c r="C1639">
        <f t="shared" si="67"/>
        <v>-3.572846296688238E-3</v>
      </c>
      <c r="D1639">
        <f t="shared" si="66"/>
        <v>-0.32299096401335742</v>
      </c>
    </row>
    <row r="1640" spans="1:4" x14ac:dyDescent="0.3">
      <c r="A1640" s="1">
        <v>28340</v>
      </c>
      <c r="B1640">
        <v>100.019997</v>
      </c>
      <c r="C1640">
        <f t="shared" si="67"/>
        <v>-3.7849102831690883E-3</v>
      </c>
      <c r="D1640">
        <f t="shared" si="66"/>
        <v>-0.33995521091950254</v>
      </c>
    </row>
    <row r="1641" spans="1:4" x14ac:dyDescent="0.3">
      <c r="A1641" s="1">
        <v>28341</v>
      </c>
      <c r="B1641">
        <v>100.389999</v>
      </c>
      <c r="C1641">
        <f t="shared" si="67"/>
        <v>3.699280254927417E-3</v>
      </c>
      <c r="D1641">
        <f t="shared" si="66"/>
        <v>0.25874925695283629</v>
      </c>
    </row>
    <row r="1642" spans="1:4" x14ac:dyDescent="0.3">
      <c r="A1642" s="1">
        <v>28342</v>
      </c>
      <c r="B1642">
        <v>100.860001</v>
      </c>
      <c r="C1642">
        <f t="shared" si="67"/>
        <v>4.6817611782224823E-3</v>
      </c>
      <c r="D1642">
        <f t="shared" si="66"/>
        <v>0.33734369083074506</v>
      </c>
    </row>
    <row r="1643" spans="1:4" x14ac:dyDescent="0.3">
      <c r="A1643" s="1">
        <v>28345</v>
      </c>
      <c r="B1643">
        <v>100.550003</v>
      </c>
      <c r="C1643">
        <f t="shared" si="67"/>
        <v>-3.0735474610990052E-3</v>
      </c>
      <c r="D1643">
        <f t="shared" si="66"/>
        <v>-0.28304911029529867</v>
      </c>
    </row>
    <row r="1644" spans="1:4" x14ac:dyDescent="0.3">
      <c r="A1644" s="1">
        <v>28346</v>
      </c>
      <c r="B1644">
        <v>100.519997</v>
      </c>
      <c r="C1644">
        <f t="shared" si="67"/>
        <v>-2.9841868826200035E-4</v>
      </c>
      <c r="D1644">
        <f t="shared" si="66"/>
        <v>-6.1050219866037973E-2</v>
      </c>
    </row>
    <row r="1645" spans="1:4" x14ac:dyDescent="0.3">
      <c r="A1645" s="1">
        <v>28347</v>
      </c>
      <c r="B1645">
        <v>100.80999799999999</v>
      </c>
      <c r="C1645">
        <f t="shared" si="67"/>
        <v>2.8850080447176047E-3</v>
      </c>
      <c r="D1645">
        <f t="shared" si="66"/>
        <v>0.19361082844338662</v>
      </c>
    </row>
    <row r="1646" spans="1:4" x14ac:dyDescent="0.3">
      <c r="A1646" s="1">
        <v>28348</v>
      </c>
      <c r="B1646">
        <v>100.94000200000001</v>
      </c>
      <c r="C1646">
        <f t="shared" si="67"/>
        <v>1.2895943118659103E-3</v>
      </c>
      <c r="D1646">
        <f t="shared" si="66"/>
        <v>6.5984290195720385E-2</v>
      </c>
    </row>
    <row r="1647" spans="1:4" x14ac:dyDescent="0.3">
      <c r="A1647" s="1">
        <v>28349</v>
      </c>
      <c r="B1647">
        <v>100.760002</v>
      </c>
      <c r="C1647">
        <f t="shared" si="67"/>
        <v>-1.7832375315388522E-3</v>
      </c>
      <c r="D1647">
        <f t="shared" si="66"/>
        <v>-0.17982962171662009</v>
      </c>
    </row>
    <row r="1648" spans="1:4" x14ac:dyDescent="0.3">
      <c r="A1648" s="1">
        <v>28352</v>
      </c>
      <c r="B1648">
        <v>100.889999</v>
      </c>
      <c r="C1648">
        <f t="shared" si="67"/>
        <v>1.2901647223072011E-3</v>
      </c>
      <c r="D1648">
        <f t="shared" si="66"/>
        <v>6.6029920685481899E-2</v>
      </c>
    </row>
    <row r="1649" spans="1:4" x14ac:dyDescent="0.3">
      <c r="A1649" s="1">
        <v>28353</v>
      </c>
      <c r="B1649">
        <v>100.650002</v>
      </c>
      <c r="C1649">
        <f t="shared" si="67"/>
        <v>-2.3787987152225311E-3</v>
      </c>
      <c r="D1649">
        <f t="shared" si="66"/>
        <v>-0.22747206744909398</v>
      </c>
    </row>
    <row r="1650" spans="1:4" x14ac:dyDescent="0.3">
      <c r="A1650" s="1">
        <v>28354</v>
      </c>
      <c r="B1650">
        <v>100.720001</v>
      </c>
      <c r="C1650">
        <f t="shared" si="67"/>
        <v>6.9546943476459845E-4</v>
      </c>
      <c r="D1650">
        <f t="shared" si="66"/>
        <v>1.8456743083707903E-2</v>
      </c>
    </row>
    <row r="1651" spans="1:4" x14ac:dyDescent="0.3">
      <c r="A1651" s="1">
        <v>28355</v>
      </c>
      <c r="B1651">
        <v>100.860001</v>
      </c>
      <c r="C1651">
        <f t="shared" si="67"/>
        <v>1.3899920433876939E-3</v>
      </c>
      <c r="D1651">
        <f t="shared" si="66"/>
        <v>7.4015695879524238E-2</v>
      </c>
    </row>
    <row r="1652" spans="1:4" x14ac:dyDescent="0.3">
      <c r="A1652" s="1">
        <v>28356</v>
      </c>
      <c r="B1652">
        <v>100.849998</v>
      </c>
      <c r="C1652">
        <f t="shared" si="67"/>
        <v>-9.9177076153286398E-5</v>
      </c>
      <c r="D1652">
        <f t="shared" si="66"/>
        <v>-4.5111710183745275E-2</v>
      </c>
    </row>
    <row r="1653" spans="1:4" x14ac:dyDescent="0.3">
      <c r="A1653" s="1">
        <v>28359</v>
      </c>
      <c r="B1653">
        <v>101.050003</v>
      </c>
      <c r="C1653">
        <f t="shared" si="67"/>
        <v>1.9831929000137852E-3</v>
      </c>
      <c r="D1653">
        <f t="shared" si="66"/>
        <v>0.12146932515311397</v>
      </c>
    </row>
    <row r="1654" spans="1:4" x14ac:dyDescent="0.3">
      <c r="A1654" s="1">
        <v>28360</v>
      </c>
      <c r="B1654">
        <v>100.94000200000001</v>
      </c>
      <c r="C1654">
        <f t="shared" si="67"/>
        <v>-1.0885798786170933E-3</v>
      </c>
      <c r="D1654">
        <f t="shared" si="66"/>
        <v>-0.12425986593221615</v>
      </c>
    </row>
    <row r="1655" spans="1:4" x14ac:dyDescent="0.3">
      <c r="A1655" s="1">
        <v>28361</v>
      </c>
      <c r="B1655">
        <v>100.75</v>
      </c>
      <c r="C1655">
        <f t="shared" si="67"/>
        <v>-1.8823260970413579E-3</v>
      </c>
      <c r="D1655">
        <f t="shared" si="66"/>
        <v>-0.18775629950220457</v>
      </c>
    </row>
    <row r="1656" spans="1:4" x14ac:dyDescent="0.3">
      <c r="A1656" s="1">
        <v>28362</v>
      </c>
      <c r="B1656">
        <v>100.139999</v>
      </c>
      <c r="C1656">
        <f t="shared" si="67"/>
        <v>-6.0546004962778845E-3</v>
      </c>
      <c r="D1656">
        <f t="shared" si="66"/>
        <v>-0.52152109494628296</v>
      </c>
    </row>
    <row r="1657" spans="1:4" x14ac:dyDescent="0.3">
      <c r="A1657" s="1">
        <v>28363</v>
      </c>
      <c r="B1657">
        <v>99.889999000000003</v>
      </c>
      <c r="C1657">
        <f t="shared" si="67"/>
        <v>-2.4965049180797373E-3</v>
      </c>
      <c r="D1657">
        <f t="shared" si="66"/>
        <v>-0.23688807966687225</v>
      </c>
    </row>
    <row r="1658" spans="1:4" x14ac:dyDescent="0.3">
      <c r="A1658" s="1">
        <v>28366</v>
      </c>
      <c r="B1658">
        <v>100.370003</v>
      </c>
      <c r="C1658">
        <f t="shared" si="67"/>
        <v>4.8053259065504034E-3</v>
      </c>
      <c r="D1658">
        <f t="shared" si="66"/>
        <v>0.34722836099577981</v>
      </c>
    </row>
    <row r="1659" spans="1:4" x14ac:dyDescent="0.3">
      <c r="A1659" s="1">
        <v>28367</v>
      </c>
      <c r="B1659">
        <v>100.110001</v>
      </c>
      <c r="C1659">
        <f t="shared" si="67"/>
        <v>-2.5904353116338961E-3</v>
      </c>
      <c r="D1659">
        <f t="shared" si="66"/>
        <v>-0.24440212490711877</v>
      </c>
    </row>
    <row r="1660" spans="1:4" x14ac:dyDescent="0.3">
      <c r="A1660" s="1">
        <v>28368</v>
      </c>
      <c r="B1660">
        <v>100.099998</v>
      </c>
      <c r="C1660">
        <f t="shared" si="67"/>
        <v>-9.992008690517886E-5</v>
      </c>
      <c r="D1660">
        <f t="shared" si="66"/>
        <v>-4.5171147988618203E-2</v>
      </c>
    </row>
    <row r="1661" spans="1:4" x14ac:dyDescent="0.3">
      <c r="A1661" s="1">
        <v>28369</v>
      </c>
      <c r="B1661">
        <v>100.400002</v>
      </c>
      <c r="C1661">
        <f t="shared" si="67"/>
        <v>2.9970430169239492E-3</v>
      </c>
      <c r="D1661">
        <f t="shared" si="66"/>
        <v>0.20257316552933571</v>
      </c>
    </row>
    <row r="1662" spans="1:4" x14ac:dyDescent="0.3">
      <c r="A1662" s="1">
        <v>28370</v>
      </c>
      <c r="B1662">
        <v>100.83000199999999</v>
      </c>
      <c r="C1662">
        <f t="shared" si="67"/>
        <v>4.2828684405802359E-3</v>
      </c>
      <c r="D1662">
        <f t="shared" si="66"/>
        <v>0.30543391207610343</v>
      </c>
    </row>
    <row r="1663" spans="1:4" x14ac:dyDescent="0.3">
      <c r="A1663" s="1">
        <v>28374</v>
      </c>
      <c r="B1663">
        <v>100.779999</v>
      </c>
      <c r="C1663">
        <f t="shared" si="67"/>
        <v>-4.9591390467283324E-4</v>
      </c>
      <c r="D1663">
        <f t="shared" si="66"/>
        <v>-7.684902507372221E-2</v>
      </c>
    </row>
    <row r="1664" spans="1:4" x14ac:dyDescent="0.3">
      <c r="A1664" s="1">
        <v>28375</v>
      </c>
      <c r="B1664">
        <v>101.160004</v>
      </c>
      <c r="C1664">
        <f t="shared" si="67"/>
        <v>3.7706390530922412E-3</v>
      </c>
      <c r="D1664">
        <f t="shared" si="66"/>
        <v>0.26445766737689086</v>
      </c>
    </row>
    <row r="1665" spans="1:4" x14ac:dyDescent="0.3">
      <c r="A1665" s="1">
        <v>28376</v>
      </c>
      <c r="B1665">
        <v>101.279999</v>
      </c>
      <c r="C1665">
        <f t="shared" si="67"/>
        <v>1.1861901468489756E-3</v>
      </c>
      <c r="D1665">
        <f t="shared" si="66"/>
        <v>5.771238219483283E-2</v>
      </c>
    </row>
    <row r="1666" spans="1:4" x14ac:dyDescent="0.3">
      <c r="A1666" s="1">
        <v>28377</v>
      </c>
      <c r="B1666">
        <v>100.910004</v>
      </c>
      <c r="C1666">
        <f t="shared" si="67"/>
        <v>-3.6531892145852305E-3</v>
      </c>
      <c r="D1666">
        <f t="shared" si="66"/>
        <v>-0.32941806707306437</v>
      </c>
    </row>
    <row r="1667" spans="1:4" x14ac:dyDescent="0.3">
      <c r="A1667" s="1">
        <v>28380</v>
      </c>
      <c r="B1667">
        <v>100.599998</v>
      </c>
      <c r="C1667">
        <f t="shared" si="67"/>
        <v>-3.0721037331442511E-3</v>
      </c>
      <c r="D1667">
        <f t="shared" ref="D1667:D1730" si="68">(C1667-avrtn)/sdrtn</f>
        <v>-0.28293361799556316</v>
      </c>
    </row>
    <row r="1668" spans="1:4" x14ac:dyDescent="0.3">
      <c r="A1668" s="1">
        <v>28381</v>
      </c>
      <c r="B1668">
        <v>100.459999</v>
      </c>
      <c r="C1668">
        <f t="shared" ref="C1668:C1731" si="69">(B1668-B1667)/B1667</f>
        <v>-1.3916401867125592E-3</v>
      </c>
      <c r="D1668">
        <f t="shared" si="68"/>
        <v>-0.14850344438842025</v>
      </c>
    </row>
    <row r="1669" spans="1:4" x14ac:dyDescent="0.3">
      <c r="A1669" s="1">
        <v>28382</v>
      </c>
      <c r="B1669">
        <v>100.610001</v>
      </c>
      <c r="C1669">
        <f t="shared" si="69"/>
        <v>1.4931515179489564E-3</v>
      </c>
      <c r="D1669">
        <f t="shared" si="68"/>
        <v>8.2268029650131191E-2</v>
      </c>
    </row>
    <row r="1670" spans="1:4" x14ac:dyDescent="0.3">
      <c r="A1670" s="1">
        <v>28383</v>
      </c>
      <c r="B1670">
        <v>100.970001</v>
      </c>
      <c r="C1670">
        <f t="shared" si="69"/>
        <v>3.5781731082578901E-3</v>
      </c>
      <c r="D1670">
        <f t="shared" si="68"/>
        <v>0.24906118321483689</v>
      </c>
    </row>
    <row r="1671" spans="1:4" x14ac:dyDescent="0.3">
      <c r="A1671" s="1">
        <v>28384</v>
      </c>
      <c r="B1671">
        <v>100.739998</v>
      </c>
      <c r="C1671">
        <f t="shared" si="69"/>
        <v>-2.2779340172532671E-3</v>
      </c>
      <c r="D1671">
        <f t="shared" si="68"/>
        <v>-0.2194033063696692</v>
      </c>
    </row>
    <row r="1672" spans="1:4" x14ac:dyDescent="0.3">
      <c r="A1672" s="1">
        <v>28387</v>
      </c>
      <c r="B1672">
        <v>100.349998</v>
      </c>
      <c r="C1672">
        <f t="shared" si="69"/>
        <v>-3.8713520720935549E-3</v>
      </c>
      <c r="D1672">
        <f t="shared" si="68"/>
        <v>-0.34687019858269991</v>
      </c>
    </row>
    <row r="1673" spans="1:4" x14ac:dyDescent="0.3">
      <c r="A1673" s="1">
        <v>28388</v>
      </c>
      <c r="B1673">
        <v>100.230003</v>
      </c>
      <c r="C1673">
        <f t="shared" si="69"/>
        <v>-1.195764846950998E-3</v>
      </c>
      <c r="D1673">
        <f t="shared" si="68"/>
        <v>-0.13283422265170516</v>
      </c>
    </row>
    <row r="1674" spans="1:4" x14ac:dyDescent="0.3">
      <c r="A1674" s="1">
        <v>28389</v>
      </c>
      <c r="B1674">
        <v>99.760002</v>
      </c>
      <c r="C1674">
        <f t="shared" si="69"/>
        <v>-4.6892246426451407E-3</v>
      </c>
      <c r="D1674">
        <f t="shared" si="68"/>
        <v>-0.41229664111472131</v>
      </c>
    </row>
    <row r="1675" spans="1:4" x14ac:dyDescent="0.3">
      <c r="A1675" s="1">
        <v>28390</v>
      </c>
      <c r="B1675">
        <v>99.470000999999996</v>
      </c>
      <c r="C1675">
        <f t="shared" si="69"/>
        <v>-2.906986709964217E-3</v>
      </c>
      <c r="D1675">
        <f t="shared" si="68"/>
        <v>-0.26972493510641676</v>
      </c>
    </row>
    <row r="1676" spans="1:4" x14ac:dyDescent="0.3">
      <c r="A1676" s="1">
        <v>28391</v>
      </c>
      <c r="B1676">
        <v>99.57</v>
      </c>
      <c r="C1676">
        <f t="shared" si="69"/>
        <v>1.0053181762810764E-3</v>
      </c>
      <c r="D1676">
        <f t="shared" si="68"/>
        <v>4.3243368299387942E-2</v>
      </c>
    </row>
    <row r="1677" spans="1:4" x14ac:dyDescent="0.3">
      <c r="A1677" s="1">
        <v>28394</v>
      </c>
      <c r="B1677">
        <v>99.739998</v>
      </c>
      <c r="C1677">
        <f t="shared" si="69"/>
        <v>1.7073214823742769E-3</v>
      </c>
      <c r="D1677">
        <f t="shared" si="68"/>
        <v>9.9400746132000894E-2</v>
      </c>
    </row>
    <row r="1678" spans="1:4" x14ac:dyDescent="0.3">
      <c r="A1678" s="1">
        <v>28395</v>
      </c>
      <c r="B1678">
        <v>99.739998</v>
      </c>
      <c r="C1678">
        <f t="shared" si="69"/>
        <v>0</v>
      </c>
      <c r="D1678">
        <f t="shared" si="68"/>
        <v>-3.7177951910056316E-2</v>
      </c>
    </row>
    <row r="1679" spans="1:4" x14ac:dyDescent="0.3">
      <c r="A1679" s="1">
        <v>28396</v>
      </c>
      <c r="B1679">
        <v>99.959998999999996</v>
      </c>
      <c r="C1679">
        <f t="shared" si="69"/>
        <v>2.2057449810656336E-3</v>
      </c>
      <c r="D1679">
        <f t="shared" si="68"/>
        <v>0.13927257649763639</v>
      </c>
    </row>
    <row r="1680" spans="1:4" x14ac:dyDescent="0.3">
      <c r="A1680" s="1">
        <v>28397</v>
      </c>
      <c r="B1680">
        <v>100.269997</v>
      </c>
      <c r="C1680">
        <f t="shared" si="69"/>
        <v>3.1012205192199665E-3</v>
      </c>
      <c r="D1680">
        <f t="shared" si="68"/>
        <v>0.21090693733256799</v>
      </c>
    </row>
    <row r="1681" spans="1:4" x14ac:dyDescent="0.3">
      <c r="A1681" s="1">
        <v>28398</v>
      </c>
      <c r="B1681">
        <v>100.849998</v>
      </c>
      <c r="C1681">
        <f t="shared" si="69"/>
        <v>5.7843923142831622E-3</v>
      </c>
      <c r="D1681">
        <f t="shared" si="68"/>
        <v>0.42554964766927594</v>
      </c>
    </row>
    <row r="1682" spans="1:4" x14ac:dyDescent="0.3">
      <c r="A1682" s="1">
        <v>28401</v>
      </c>
      <c r="B1682">
        <v>101.160004</v>
      </c>
      <c r="C1682">
        <f t="shared" si="69"/>
        <v>3.0739316425172497E-3</v>
      </c>
      <c r="D1682">
        <f t="shared" si="68"/>
        <v>0.20872393940888215</v>
      </c>
    </row>
    <row r="1683" spans="1:4" x14ac:dyDescent="0.3">
      <c r="A1683" s="1">
        <v>28402</v>
      </c>
      <c r="B1683">
        <v>100.80999799999999</v>
      </c>
      <c r="C1683">
        <f t="shared" si="69"/>
        <v>-3.4599247346807894E-3</v>
      </c>
      <c r="D1683">
        <f t="shared" si="68"/>
        <v>-0.31395770338899898</v>
      </c>
    </row>
    <row r="1684" spans="1:4" x14ac:dyDescent="0.3">
      <c r="A1684" s="1">
        <v>28403</v>
      </c>
      <c r="B1684">
        <v>100.82</v>
      </c>
      <c r="C1684">
        <f t="shared" si="69"/>
        <v>9.9216349552948781E-5</v>
      </c>
      <c r="D1684">
        <f t="shared" si="68"/>
        <v>-2.9241051925887555E-2</v>
      </c>
    </row>
    <row r="1685" spans="1:4" x14ac:dyDescent="0.3">
      <c r="A1685" s="1">
        <v>28404</v>
      </c>
      <c r="B1685">
        <v>101.30999799999999</v>
      </c>
      <c r="C1685">
        <f t="shared" si="69"/>
        <v>4.8601269589367184E-3</v>
      </c>
      <c r="D1685">
        <f t="shared" si="68"/>
        <v>0.35161221984341112</v>
      </c>
    </row>
    <row r="1686" spans="1:4" x14ac:dyDescent="0.3">
      <c r="A1686" s="1">
        <v>28405</v>
      </c>
      <c r="B1686">
        <v>101.620003</v>
      </c>
      <c r="C1686">
        <f t="shared" si="69"/>
        <v>3.0599645259099095E-3</v>
      </c>
      <c r="D1686">
        <f t="shared" si="68"/>
        <v>0.2076066275134216</v>
      </c>
    </row>
    <row r="1687" spans="1:4" x14ac:dyDescent="0.3">
      <c r="A1687" s="1">
        <v>28408</v>
      </c>
      <c r="B1687">
        <v>101.69000200000001</v>
      </c>
      <c r="C1687">
        <f t="shared" si="69"/>
        <v>6.8883091845618142E-4</v>
      </c>
      <c r="D1687">
        <f t="shared" si="68"/>
        <v>1.7925689076776712E-2</v>
      </c>
    </row>
    <row r="1688" spans="1:4" x14ac:dyDescent="0.3">
      <c r="A1688" s="1">
        <v>28409</v>
      </c>
      <c r="B1688">
        <v>101.230003</v>
      </c>
      <c r="C1688">
        <f t="shared" si="69"/>
        <v>-4.5235420489028065E-3</v>
      </c>
      <c r="D1688">
        <f t="shared" si="68"/>
        <v>-0.39904271490623089</v>
      </c>
    </row>
    <row r="1689" spans="1:4" x14ac:dyDescent="0.3">
      <c r="A1689" s="1">
        <v>28410</v>
      </c>
      <c r="B1689">
        <v>99.830001999999993</v>
      </c>
      <c r="C1689">
        <f t="shared" si="69"/>
        <v>-1.3829901793048481E-2</v>
      </c>
      <c r="D1689">
        <f t="shared" si="68"/>
        <v>-1.1435132264579566</v>
      </c>
    </row>
    <row r="1690" spans="1:4" x14ac:dyDescent="0.3">
      <c r="A1690" s="1">
        <v>28411</v>
      </c>
      <c r="B1690">
        <v>99.029999000000004</v>
      </c>
      <c r="C1690">
        <f t="shared" si="69"/>
        <v>-8.013653049911685E-3</v>
      </c>
      <c r="D1690">
        <f t="shared" si="68"/>
        <v>-0.67823724356475179</v>
      </c>
    </row>
    <row r="1691" spans="1:4" x14ac:dyDescent="0.3">
      <c r="A1691" s="1">
        <v>28412</v>
      </c>
      <c r="B1691">
        <v>99.050003000000004</v>
      </c>
      <c r="C1691">
        <f t="shared" si="69"/>
        <v>2.019993961627742E-4</v>
      </c>
      <c r="D1691">
        <f t="shared" si="68"/>
        <v>-2.101883084351459E-2</v>
      </c>
    </row>
    <row r="1692" spans="1:4" x14ac:dyDescent="0.3">
      <c r="A1692" s="1">
        <v>28415</v>
      </c>
      <c r="B1692">
        <v>99.139999000000003</v>
      </c>
      <c r="C1692">
        <f t="shared" si="69"/>
        <v>9.0859159287455342E-4</v>
      </c>
      <c r="D1692">
        <f t="shared" si="68"/>
        <v>3.5505639368953672E-2</v>
      </c>
    </row>
    <row r="1693" spans="1:4" x14ac:dyDescent="0.3">
      <c r="A1693" s="1">
        <v>28416</v>
      </c>
      <c r="B1693">
        <v>99.25</v>
      </c>
      <c r="C1693">
        <f t="shared" si="69"/>
        <v>1.1095521596686409E-3</v>
      </c>
      <c r="D1693">
        <f t="shared" si="68"/>
        <v>5.1581658357692357E-2</v>
      </c>
    </row>
    <row r="1694" spans="1:4" x14ac:dyDescent="0.3">
      <c r="A1694" s="1">
        <v>28417</v>
      </c>
      <c r="B1694">
        <v>98.449996999999996</v>
      </c>
      <c r="C1694">
        <f t="shared" si="69"/>
        <v>-8.0604836272040684E-3</v>
      </c>
      <c r="D1694">
        <f t="shared" si="68"/>
        <v>-0.681983497179658</v>
      </c>
    </row>
    <row r="1695" spans="1:4" x14ac:dyDescent="0.3">
      <c r="A1695" s="1">
        <v>28418</v>
      </c>
      <c r="B1695">
        <v>98.599997999999999</v>
      </c>
      <c r="C1695">
        <f t="shared" si="69"/>
        <v>1.5236262526244989E-3</v>
      </c>
      <c r="D1695">
        <f t="shared" si="68"/>
        <v>8.4705883111316826E-2</v>
      </c>
    </row>
    <row r="1696" spans="1:4" x14ac:dyDescent="0.3">
      <c r="A1696" s="1">
        <v>28419</v>
      </c>
      <c r="B1696">
        <v>98.540001000000004</v>
      </c>
      <c r="C1696">
        <f t="shared" si="69"/>
        <v>-6.0848885615591636E-4</v>
      </c>
      <c r="D1696">
        <f t="shared" si="68"/>
        <v>-8.5854558281402357E-2</v>
      </c>
    </row>
    <row r="1697" spans="1:4" x14ac:dyDescent="0.3">
      <c r="A1697" s="1">
        <v>28422</v>
      </c>
      <c r="B1697">
        <v>97.889999000000003</v>
      </c>
      <c r="C1697">
        <f t="shared" si="69"/>
        <v>-6.5963262979873583E-3</v>
      </c>
      <c r="D1697">
        <f t="shared" si="68"/>
        <v>-0.5648569314932339</v>
      </c>
    </row>
    <row r="1698" spans="1:4" x14ac:dyDescent="0.3">
      <c r="A1698" s="1">
        <v>28423</v>
      </c>
      <c r="B1698">
        <v>96.830001999999993</v>
      </c>
      <c r="C1698">
        <f t="shared" si="69"/>
        <v>-1.0828450411977324E-2</v>
      </c>
      <c r="D1698">
        <f t="shared" si="68"/>
        <v>-0.90340945801408967</v>
      </c>
    </row>
    <row r="1699" spans="1:4" x14ac:dyDescent="0.3">
      <c r="A1699" s="1">
        <v>28424</v>
      </c>
      <c r="B1699">
        <v>96.860000999999997</v>
      </c>
      <c r="C1699">
        <f t="shared" si="69"/>
        <v>3.0981100258578597E-4</v>
      </c>
      <c r="D1699">
        <f t="shared" si="68"/>
        <v>-1.2394345653648227E-2</v>
      </c>
    </row>
    <row r="1700" spans="1:4" x14ac:dyDescent="0.3">
      <c r="A1700" s="1">
        <v>28425</v>
      </c>
      <c r="B1700">
        <v>97.07</v>
      </c>
      <c r="C1700">
        <f t="shared" si="69"/>
        <v>2.1680672912650113E-3</v>
      </c>
      <c r="D1700">
        <f t="shared" si="68"/>
        <v>0.13625851624517282</v>
      </c>
    </row>
    <row r="1701" spans="1:4" x14ac:dyDescent="0.3">
      <c r="A1701" s="1">
        <v>28426</v>
      </c>
      <c r="B1701">
        <v>97.489998</v>
      </c>
      <c r="C1701">
        <f t="shared" si="69"/>
        <v>4.326753888946191E-3</v>
      </c>
      <c r="D1701">
        <f t="shared" si="68"/>
        <v>0.3089445674873379</v>
      </c>
    </row>
    <row r="1702" spans="1:4" x14ac:dyDescent="0.3">
      <c r="A1702" s="1">
        <v>28429</v>
      </c>
      <c r="B1702">
        <v>97.519997000000004</v>
      </c>
      <c r="C1702">
        <f t="shared" si="69"/>
        <v>3.0771361796523642E-4</v>
      </c>
      <c r="D1702">
        <f t="shared" si="68"/>
        <v>-1.2562127798795097E-2</v>
      </c>
    </row>
    <row r="1703" spans="1:4" x14ac:dyDescent="0.3">
      <c r="A1703" s="1">
        <v>28430</v>
      </c>
      <c r="B1703">
        <v>96.739998</v>
      </c>
      <c r="C1703">
        <f t="shared" si="69"/>
        <v>-7.9983493026563948E-3</v>
      </c>
      <c r="D1703">
        <f t="shared" si="68"/>
        <v>-0.67701300671371334</v>
      </c>
    </row>
    <row r="1704" spans="1:4" x14ac:dyDescent="0.3">
      <c r="A1704" s="1">
        <v>28431</v>
      </c>
      <c r="B1704">
        <v>96.510002</v>
      </c>
      <c r="C1704">
        <f t="shared" si="69"/>
        <v>-2.3774654202494386E-3</v>
      </c>
      <c r="D1704">
        <f t="shared" si="68"/>
        <v>-0.22736540933378827</v>
      </c>
    </row>
    <row r="1705" spans="1:4" x14ac:dyDescent="0.3">
      <c r="A1705" s="1">
        <v>28432</v>
      </c>
      <c r="B1705">
        <v>96.489998</v>
      </c>
      <c r="C1705">
        <f t="shared" si="69"/>
        <v>-2.0727385333594886E-4</v>
      </c>
      <c r="D1705">
        <f t="shared" si="68"/>
        <v>-5.3759007861754526E-2</v>
      </c>
    </row>
    <row r="1706" spans="1:4" x14ac:dyDescent="0.3">
      <c r="A1706" s="1">
        <v>28433</v>
      </c>
      <c r="B1706">
        <v>97.209998999999996</v>
      </c>
      <c r="C1706">
        <f t="shared" si="69"/>
        <v>7.4619236700574536E-3</v>
      </c>
      <c r="D1706">
        <f t="shared" si="68"/>
        <v>0.5597452580810669</v>
      </c>
    </row>
    <row r="1707" spans="1:4" x14ac:dyDescent="0.3">
      <c r="A1707" s="1">
        <v>28436</v>
      </c>
      <c r="B1707">
        <v>97.849997999999999</v>
      </c>
      <c r="C1707">
        <f t="shared" si="69"/>
        <v>6.5836745868087408E-3</v>
      </c>
      <c r="D1707">
        <f t="shared" si="68"/>
        <v>0.489488942802979</v>
      </c>
    </row>
    <row r="1708" spans="1:4" x14ac:dyDescent="0.3">
      <c r="A1708" s="1">
        <v>28437</v>
      </c>
      <c r="B1708">
        <v>98.209998999999996</v>
      </c>
      <c r="C1708">
        <f t="shared" si="69"/>
        <v>3.6791109592050979E-3</v>
      </c>
      <c r="D1708">
        <f t="shared" si="68"/>
        <v>0.25713579623169036</v>
      </c>
    </row>
    <row r="1709" spans="1:4" x14ac:dyDescent="0.3">
      <c r="A1709" s="1">
        <v>28438</v>
      </c>
      <c r="B1709">
        <v>98.699996999999996</v>
      </c>
      <c r="C1709">
        <f t="shared" si="69"/>
        <v>4.9892883106535816E-3</v>
      </c>
      <c r="D1709">
        <f t="shared" si="68"/>
        <v>0.36194459686610841</v>
      </c>
    </row>
    <row r="1710" spans="1:4" x14ac:dyDescent="0.3">
      <c r="A1710" s="1">
        <v>28439</v>
      </c>
      <c r="B1710">
        <v>99.980002999999996</v>
      </c>
      <c r="C1710">
        <f t="shared" si="69"/>
        <v>1.2968652876453483E-2</v>
      </c>
      <c r="D1710">
        <f t="shared" si="68"/>
        <v>1.0002609507869504</v>
      </c>
    </row>
    <row r="1711" spans="1:4" x14ac:dyDescent="0.3">
      <c r="A1711" s="1">
        <v>28440</v>
      </c>
      <c r="B1711">
        <v>100.94000200000001</v>
      </c>
      <c r="C1711">
        <f t="shared" si="69"/>
        <v>9.6019100939615954E-3</v>
      </c>
      <c r="D1711">
        <f t="shared" si="68"/>
        <v>0.73093537231664307</v>
      </c>
    </row>
    <row r="1712" spans="1:4" x14ac:dyDescent="0.3">
      <c r="A1712" s="1">
        <v>28443</v>
      </c>
      <c r="B1712">
        <v>100.980003</v>
      </c>
      <c r="C1712">
        <f t="shared" si="69"/>
        <v>3.9628491388369019E-4</v>
      </c>
      <c r="D1712">
        <f t="shared" si="68"/>
        <v>-5.4767883326638381E-3</v>
      </c>
    </row>
    <row r="1713" spans="1:4" x14ac:dyDescent="0.3">
      <c r="A1713" s="1">
        <v>28444</v>
      </c>
      <c r="B1713">
        <v>101.519997</v>
      </c>
      <c r="C1713">
        <f t="shared" si="69"/>
        <v>5.3475340063121922E-3</v>
      </c>
      <c r="D1713">
        <f t="shared" si="68"/>
        <v>0.39060277940369448</v>
      </c>
    </row>
    <row r="1714" spans="1:4" x14ac:dyDescent="0.3">
      <c r="A1714" s="1">
        <v>28445</v>
      </c>
      <c r="B1714">
        <v>101.55999799999999</v>
      </c>
      <c r="C1714">
        <f t="shared" si="69"/>
        <v>3.9402089422825256E-4</v>
      </c>
      <c r="D1714">
        <f t="shared" si="68"/>
        <v>-5.6579005953943974E-3</v>
      </c>
    </row>
    <row r="1715" spans="1:4" x14ac:dyDescent="0.3">
      <c r="A1715" s="1">
        <v>28446</v>
      </c>
      <c r="B1715">
        <v>101.860001</v>
      </c>
      <c r="C1715">
        <f t="shared" si="69"/>
        <v>2.9539484630553441E-3</v>
      </c>
      <c r="D1715">
        <f t="shared" si="68"/>
        <v>0.19912577842571166</v>
      </c>
    </row>
    <row r="1716" spans="1:4" x14ac:dyDescent="0.3">
      <c r="A1716" s="1">
        <v>28447</v>
      </c>
      <c r="B1716">
        <v>102.220001</v>
      </c>
      <c r="C1716">
        <f t="shared" si="69"/>
        <v>3.5342626788311092E-3</v>
      </c>
      <c r="D1716">
        <f t="shared" si="68"/>
        <v>0.24554852942145911</v>
      </c>
    </row>
    <row r="1717" spans="1:4" x14ac:dyDescent="0.3">
      <c r="A1717" s="1">
        <v>28450</v>
      </c>
      <c r="B1717">
        <v>102.349998</v>
      </c>
      <c r="C1717">
        <f t="shared" si="69"/>
        <v>1.2717374166333949E-3</v>
      </c>
      <c r="D1717">
        <f t="shared" si="68"/>
        <v>6.4555812005111096E-2</v>
      </c>
    </row>
    <row r="1718" spans="1:4" x14ac:dyDescent="0.3">
      <c r="A1718" s="1">
        <v>28451</v>
      </c>
      <c r="B1718">
        <v>102.93</v>
      </c>
      <c r="C1718">
        <f t="shared" si="69"/>
        <v>5.6668491581212095E-3</v>
      </c>
      <c r="D1718">
        <f t="shared" si="68"/>
        <v>0.41614667851666598</v>
      </c>
    </row>
    <row r="1719" spans="1:4" x14ac:dyDescent="0.3">
      <c r="A1719" s="1">
        <v>28452</v>
      </c>
      <c r="B1719">
        <v>103.739998</v>
      </c>
      <c r="C1719">
        <f t="shared" si="69"/>
        <v>7.869406392693996E-3</v>
      </c>
      <c r="D1719">
        <f t="shared" si="68"/>
        <v>0.59234220031302276</v>
      </c>
    </row>
    <row r="1720" spans="1:4" x14ac:dyDescent="0.3">
      <c r="A1720" s="1">
        <v>28454</v>
      </c>
      <c r="B1720">
        <v>104.33000199999999</v>
      </c>
      <c r="C1720">
        <f t="shared" si="69"/>
        <v>5.6873338285585214E-3</v>
      </c>
      <c r="D1720">
        <f t="shared" si="68"/>
        <v>0.41778536791818277</v>
      </c>
    </row>
    <row r="1721" spans="1:4" x14ac:dyDescent="0.3">
      <c r="A1721" s="1">
        <v>28457</v>
      </c>
      <c r="B1721">
        <v>104.05999799999999</v>
      </c>
      <c r="C1721">
        <f t="shared" si="69"/>
        <v>-2.5879803970482061E-3</v>
      </c>
      <c r="D1721">
        <f t="shared" si="68"/>
        <v>-0.24420574183493265</v>
      </c>
    </row>
    <row r="1722" spans="1:4" x14ac:dyDescent="0.3">
      <c r="A1722" s="1">
        <v>28458</v>
      </c>
      <c r="B1722">
        <v>103.199997</v>
      </c>
      <c r="C1722">
        <f t="shared" si="69"/>
        <v>-8.2644725785983291E-3</v>
      </c>
      <c r="D1722">
        <f t="shared" si="68"/>
        <v>-0.69830177448361874</v>
      </c>
    </row>
    <row r="1723" spans="1:4" x14ac:dyDescent="0.3">
      <c r="A1723" s="1">
        <v>28459</v>
      </c>
      <c r="B1723">
        <v>103.150002</v>
      </c>
      <c r="C1723">
        <f t="shared" si="69"/>
        <v>-4.8444768850134339E-4</v>
      </c>
      <c r="D1723">
        <f t="shared" si="68"/>
        <v>-7.5931774929365634E-2</v>
      </c>
    </row>
    <row r="1724" spans="1:4" x14ac:dyDescent="0.3">
      <c r="A1724" s="1">
        <v>28460</v>
      </c>
      <c r="B1724">
        <v>103.68</v>
      </c>
      <c r="C1724">
        <f t="shared" si="69"/>
        <v>5.1381288388148184E-3</v>
      </c>
      <c r="D1724">
        <f t="shared" si="68"/>
        <v>0.37385122708309848</v>
      </c>
    </row>
    <row r="1725" spans="1:4" x14ac:dyDescent="0.3">
      <c r="A1725" s="1">
        <v>28461</v>
      </c>
      <c r="B1725">
        <v>104.099998</v>
      </c>
      <c r="C1725">
        <f t="shared" si="69"/>
        <v>4.0509066358023968E-3</v>
      </c>
      <c r="D1725">
        <f t="shared" si="68"/>
        <v>0.28687792152651692</v>
      </c>
    </row>
    <row r="1726" spans="1:4" x14ac:dyDescent="0.3">
      <c r="A1726" s="1">
        <v>28464</v>
      </c>
      <c r="B1726">
        <v>104.150002</v>
      </c>
      <c r="C1726">
        <f t="shared" si="69"/>
        <v>4.8034583055420681E-4</v>
      </c>
      <c r="D1726">
        <f t="shared" si="68"/>
        <v>1.2477393404227396E-3</v>
      </c>
    </row>
    <row r="1727" spans="1:4" x14ac:dyDescent="0.3">
      <c r="A1727" s="1">
        <v>28465</v>
      </c>
      <c r="B1727">
        <v>102.970001</v>
      </c>
      <c r="C1727">
        <f t="shared" si="69"/>
        <v>-1.1329822154012098E-2</v>
      </c>
      <c r="D1727">
        <f t="shared" si="68"/>
        <v>-0.94351713572394946</v>
      </c>
    </row>
    <row r="1728" spans="1:4" x14ac:dyDescent="0.3">
      <c r="A1728" s="1">
        <v>28466</v>
      </c>
      <c r="B1728">
        <v>102.849998</v>
      </c>
      <c r="C1728">
        <f t="shared" si="69"/>
        <v>-1.165417100462075E-3</v>
      </c>
      <c r="D1728">
        <f t="shared" si="68"/>
        <v>-0.13040652772327055</v>
      </c>
    </row>
    <row r="1729" spans="1:4" x14ac:dyDescent="0.3">
      <c r="A1729" s="1">
        <v>28467</v>
      </c>
      <c r="B1729">
        <v>103.05999799999999</v>
      </c>
      <c r="C1729">
        <f t="shared" si="69"/>
        <v>2.0418084986252869E-3</v>
      </c>
      <c r="D1729">
        <f t="shared" si="68"/>
        <v>0.12615833201325241</v>
      </c>
    </row>
    <row r="1730" spans="1:4" x14ac:dyDescent="0.3">
      <c r="A1730" s="1">
        <v>28468</v>
      </c>
      <c r="B1730">
        <v>103.57</v>
      </c>
      <c r="C1730">
        <f t="shared" si="69"/>
        <v>4.9485931486239702E-3</v>
      </c>
      <c r="D1730">
        <f t="shared" si="68"/>
        <v>0.35868915124324563</v>
      </c>
    </row>
    <row r="1731" spans="1:4" x14ac:dyDescent="0.3">
      <c r="A1731" s="1">
        <v>28471</v>
      </c>
      <c r="B1731">
        <v>103.889999</v>
      </c>
      <c r="C1731">
        <f t="shared" si="69"/>
        <v>3.0896881336295251E-3</v>
      </c>
      <c r="D1731">
        <f t="shared" ref="D1731:D1794" si="70">(C1731-avrtn)/sdrtn</f>
        <v>0.20998439390678558</v>
      </c>
    </row>
    <row r="1732" spans="1:4" x14ac:dyDescent="0.3">
      <c r="A1732" s="1">
        <v>28472</v>
      </c>
      <c r="B1732">
        <v>104.099998</v>
      </c>
      <c r="C1732">
        <f t="shared" ref="C1732:C1795" si="71">(B1732-B1731)/B1731</f>
        <v>2.0213591493055674E-3</v>
      </c>
      <c r="D1732">
        <f t="shared" si="70"/>
        <v>0.12452246815590171</v>
      </c>
    </row>
    <row r="1733" spans="1:4" x14ac:dyDescent="0.3">
      <c r="A1733" s="1">
        <v>28473</v>
      </c>
      <c r="B1733">
        <v>103.959999</v>
      </c>
      <c r="C1733">
        <f t="shared" si="71"/>
        <v>-1.34485113054472E-3</v>
      </c>
      <c r="D1733">
        <f t="shared" si="70"/>
        <v>-0.1447605122927417</v>
      </c>
    </row>
    <row r="1734" spans="1:4" x14ac:dyDescent="0.3">
      <c r="A1734" s="1">
        <v>28474</v>
      </c>
      <c r="B1734">
        <v>103.889999</v>
      </c>
      <c r="C1734">
        <f t="shared" si="71"/>
        <v>-6.7333590489927937E-4</v>
      </c>
      <c r="D1734">
        <f t="shared" si="70"/>
        <v>-9.1042055528213636E-2</v>
      </c>
    </row>
    <row r="1735" spans="1:4" x14ac:dyDescent="0.3">
      <c r="A1735" s="1">
        <v>28475</v>
      </c>
      <c r="B1735">
        <v>104.050003</v>
      </c>
      <c r="C1735">
        <f t="shared" si="71"/>
        <v>1.5401289974023456E-3</v>
      </c>
      <c r="D1735">
        <f t="shared" si="70"/>
        <v>8.6026034833852558E-2</v>
      </c>
    </row>
    <row r="1736" spans="1:4" x14ac:dyDescent="0.3">
      <c r="A1736" s="1">
        <v>28478</v>
      </c>
      <c r="B1736">
        <v>103.300003</v>
      </c>
      <c r="C1736">
        <f t="shared" si="71"/>
        <v>-7.2080728339815612E-3</v>
      </c>
      <c r="D1736">
        <f t="shared" si="70"/>
        <v>-0.61379413885598322</v>
      </c>
    </row>
    <row r="1737" spans="1:4" x14ac:dyDescent="0.3">
      <c r="A1737" s="1">
        <v>28479</v>
      </c>
      <c r="B1737">
        <v>102.5</v>
      </c>
      <c r="C1737">
        <f t="shared" si="71"/>
        <v>-7.7444625050011257E-3</v>
      </c>
      <c r="D1737">
        <f t="shared" si="70"/>
        <v>-0.65670310689004197</v>
      </c>
    </row>
    <row r="1738" spans="1:4" x14ac:dyDescent="0.3">
      <c r="A1738" s="1">
        <v>28480</v>
      </c>
      <c r="B1738">
        <v>103.029999</v>
      </c>
      <c r="C1738">
        <f t="shared" si="71"/>
        <v>5.1707219512195481E-3</v>
      </c>
      <c r="D1738">
        <f t="shared" si="70"/>
        <v>0.37645854205179785</v>
      </c>
    </row>
    <row r="1739" spans="1:4" x14ac:dyDescent="0.3">
      <c r="A1739" s="1">
        <v>28481</v>
      </c>
      <c r="B1739">
        <v>103.410004</v>
      </c>
      <c r="C1739">
        <f t="shared" si="71"/>
        <v>3.6882947072531471E-3</v>
      </c>
      <c r="D1739">
        <f t="shared" si="70"/>
        <v>0.25787045831173666</v>
      </c>
    </row>
    <row r="1740" spans="1:4" x14ac:dyDescent="0.3">
      <c r="A1740" s="1">
        <v>28482</v>
      </c>
      <c r="B1740">
        <v>103.94000200000001</v>
      </c>
      <c r="C1740">
        <f t="shared" si="71"/>
        <v>5.1252101295732105E-3</v>
      </c>
      <c r="D1740">
        <f t="shared" si="70"/>
        <v>0.37281778346581967</v>
      </c>
    </row>
    <row r="1741" spans="1:4" x14ac:dyDescent="0.3">
      <c r="A1741" s="1">
        <v>28486</v>
      </c>
      <c r="B1741">
        <v>103.959999</v>
      </c>
      <c r="C1741">
        <f t="shared" si="71"/>
        <v>1.92389836590434E-4</v>
      </c>
      <c r="D1741">
        <f t="shared" si="70"/>
        <v>-2.1787556094556737E-2</v>
      </c>
    </row>
    <row r="1742" spans="1:4" x14ac:dyDescent="0.3">
      <c r="A1742" s="1">
        <v>28487</v>
      </c>
      <c r="B1742">
        <v>104.040001</v>
      </c>
      <c r="C1742">
        <f t="shared" si="71"/>
        <v>7.6954598662517745E-4</v>
      </c>
      <c r="D1742">
        <f t="shared" si="70"/>
        <v>2.4382562627952888E-2</v>
      </c>
    </row>
    <row r="1743" spans="1:4" x14ac:dyDescent="0.3">
      <c r="A1743" s="1">
        <v>28488</v>
      </c>
      <c r="B1743">
        <v>104.41999800000001</v>
      </c>
      <c r="C1743">
        <f t="shared" si="71"/>
        <v>3.6524124985350876E-3</v>
      </c>
      <c r="D1743">
        <f t="shared" si="70"/>
        <v>0.25500002916281578</v>
      </c>
    </row>
    <row r="1744" spans="1:4" x14ac:dyDescent="0.3">
      <c r="A1744" s="1">
        <v>28489</v>
      </c>
      <c r="B1744">
        <v>105.050003</v>
      </c>
      <c r="C1744">
        <f t="shared" si="71"/>
        <v>6.0333749479673134E-3</v>
      </c>
      <c r="D1744">
        <f t="shared" si="70"/>
        <v>0.44546723454130077</v>
      </c>
    </row>
    <row r="1745" spans="1:4" x14ac:dyDescent="0.3">
      <c r="A1745" s="1">
        <v>28493</v>
      </c>
      <c r="B1745">
        <v>104</v>
      </c>
      <c r="C1745">
        <f t="shared" si="71"/>
        <v>-9.9952686341189707E-3</v>
      </c>
      <c r="D1745">
        <f t="shared" si="70"/>
        <v>-0.83675834184936349</v>
      </c>
    </row>
    <row r="1746" spans="1:4" x14ac:dyDescent="0.3">
      <c r="A1746" s="1">
        <v>28494</v>
      </c>
      <c r="B1746">
        <v>103.660004</v>
      </c>
      <c r="C1746">
        <f t="shared" si="71"/>
        <v>-3.2691923076923011E-3</v>
      </c>
      <c r="D1746">
        <f t="shared" si="70"/>
        <v>-0.29869989352634613</v>
      </c>
    </row>
    <row r="1747" spans="1:4" x14ac:dyDescent="0.3">
      <c r="A1747" s="1">
        <v>28495</v>
      </c>
      <c r="B1747">
        <v>103.209999</v>
      </c>
      <c r="C1747">
        <f t="shared" si="71"/>
        <v>-4.3411632513539597E-3</v>
      </c>
      <c r="D1747">
        <f t="shared" si="70"/>
        <v>-0.38445316104841981</v>
      </c>
    </row>
    <row r="1748" spans="1:4" x14ac:dyDescent="0.3">
      <c r="A1748" s="1">
        <v>28496</v>
      </c>
      <c r="B1748">
        <v>101.660004</v>
      </c>
      <c r="C1748">
        <f t="shared" si="71"/>
        <v>-1.5017876320297181E-2</v>
      </c>
      <c r="D1748">
        <f t="shared" si="70"/>
        <v>-1.2385463036574076</v>
      </c>
    </row>
    <row r="1749" spans="1:4" x14ac:dyDescent="0.3">
      <c r="A1749" s="1">
        <v>28499</v>
      </c>
      <c r="B1749">
        <v>100.199997</v>
      </c>
      <c r="C1749">
        <f t="shared" si="71"/>
        <v>-1.4361665773690158E-2</v>
      </c>
      <c r="D1749">
        <f t="shared" si="70"/>
        <v>-1.1860521582827368</v>
      </c>
    </row>
    <row r="1750" spans="1:4" x14ac:dyDescent="0.3">
      <c r="A1750" s="1">
        <v>28500</v>
      </c>
      <c r="B1750">
        <v>99.580001999999993</v>
      </c>
      <c r="C1750">
        <f t="shared" si="71"/>
        <v>-6.187575035556169E-3</v>
      </c>
      <c r="D1750">
        <f t="shared" si="70"/>
        <v>-0.53215851129397296</v>
      </c>
    </row>
    <row r="1751" spans="1:4" x14ac:dyDescent="0.3">
      <c r="A1751" s="1">
        <v>28501</v>
      </c>
      <c r="B1751">
        <v>99.089995999999999</v>
      </c>
      <c r="C1751">
        <f t="shared" si="71"/>
        <v>-4.9207269547955424E-3</v>
      </c>
      <c r="D1751">
        <f t="shared" si="70"/>
        <v>-0.43081587414355776</v>
      </c>
    </row>
    <row r="1752" spans="1:4" x14ac:dyDescent="0.3">
      <c r="A1752" s="1">
        <v>28502</v>
      </c>
      <c r="B1752">
        <v>99.540001000000004</v>
      </c>
      <c r="C1752">
        <f t="shared" si="71"/>
        <v>4.5413767097135056E-3</v>
      </c>
      <c r="D1752">
        <f t="shared" si="70"/>
        <v>0.32611351061441074</v>
      </c>
    </row>
    <row r="1753" spans="1:4" x14ac:dyDescent="0.3">
      <c r="A1753" s="1">
        <v>28503</v>
      </c>
      <c r="B1753">
        <v>99.769997000000004</v>
      </c>
      <c r="C1753">
        <f t="shared" si="71"/>
        <v>2.3105886848443962E-3</v>
      </c>
      <c r="D1753">
        <f t="shared" si="70"/>
        <v>0.14765964168005141</v>
      </c>
    </row>
    <row r="1754" spans="1:4" x14ac:dyDescent="0.3">
      <c r="A1754" s="1">
        <v>28506</v>
      </c>
      <c r="B1754">
        <v>99.360000999999997</v>
      </c>
      <c r="C1754">
        <f t="shared" si="71"/>
        <v>-4.1094117703542347E-3</v>
      </c>
      <c r="D1754">
        <f t="shared" si="70"/>
        <v>-0.36591399553622589</v>
      </c>
    </row>
    <row r="1755" spans="1:4" x14ac:dyDescent="0.3">
      <c r="A1755" s="1">
        <v>28507</v>
      </c>
      <c r="B1755">
        <v>99.980002999999996</v>
      </c>
      <c r="C1755">
        <f t="shared" si="71"/>
        <v>6.2399556537846602E-3</v>
      </c>
      <c r="D1755">
        <f t="shared" si="70"/>
        <v>0.46199284154175047</v>
      </c>
    </row>
    <row r="1756" spans="1:4" x14ac:dyDescent="0.3">
      <c r="A1756" s="1">
        <v>28508</v>
      </c>
      <c r="B1756">
        <v>100.41999800000001</v>
      </c>
      <c r="C1756">
        <f t="shared" si="71"/>
        <v>4.4008300339819992E-3</v>
      </c>
      <c r="D1756">
        <f t="shared" si="70"/>
        <v>0.31487035448727407</v>
      </c>
    </row>
    <row r="1757" spans="1:4" x14ac:dyDescent="0.3">
      <c r="A1757" s="1">
        <v>28509</v>
      </c>
      <c r="B1757">
        <v>100.58000199999999</v>
      </c>
      <c r="C1757">
        <f t="shared" si="71"/>
        <v>1.5933479703911812E-3</v>
      </c>
      <c r="D1757">
        <f t="shared" si="70"/>
        <v>9.0283333835234875E-2</v>
      </c>
    </row>
    <row r="1758" spans="1:4" x14ac:dyDescent="0.3">
      <c r="A1758" s="1">
        <v>28510</v>
      </c>
      <c r="B1758">
        <v>100.629997</v>
      </c>
      <c r="C1758">
        <f t="shared" si="71"/>
        <v>4.9706700145034583E-4</v>
      </c>
      <c r="D1758">
        <f t="shared" si="70"/>
        <v>2.5853642542482914E-3</v>
      </c>
    </row>
    <row r="1759" spans="1:4" x14ac:dyDescent="0.3">
      <c r="A1759" s="1">
        <v>28513</v>
      </c>
      <c r="B1759">
        <v>100.339996</v>
      </c>
      <c r="C1759">
        <f t="shared" si="71"/>
        <v>-2.881854403712282E-3</v>
      </c>
      <c r="D1759">
        <f t="shared" si="70"/>
        <v>-0.26771445395092275</v>
      </c>
    </row>
    <row r="1760" spans="1:4" x14ac:dyDescent="0.3">
      <c r="A1760" s="1">
        <v>28514</v>
      </c>
      <c r="B1760">
        <v>100.540001</v>
      </c>
      <c r="C1760">
        <f t="shared" si="71"/>
        <v>1.9932729516951987E-3</v>
      </c>
      <c r="D1760">
        <f t="shared" si="70"/>
        <v>0.12227568783820687</v>
      </c>
    </row>
    <row r="1761" spans="1:4" x14ac:dyDescent="0.3">
      <c r="A1761" s="1">
        <v>28515</v>
      </c>
      <c r="B1761">
        <v>100.870003</v>
      </c>
      <c r="C1761">
        <f t="shared" si="71"/>
        <v>3.2822955710930741E-3</v>
      </c>
      <c r="D1761">
        <f t="shared" si="70"/>
        <v>0.22539219689735421</v>
      </c>
    </row>
    <row r="1762" spans="1:4" x14ac:dyDescent="0.3">
      <c r="A1762" s="1">
        <v>28516</v>
      </c>
      <c r="B1762">
        <v>100.529999</v>
      </c>
      <c r="C1762">
        <f t="shared" si="71"/>
        <v>-3.3707146811524664E-3</v>
      </c>
      <c r="D1762">
        <f t="shared" si="70"/>
        <v>-0.30682126594066522</v>
      </c>
    </row>
    <row r="1763" spans="1:4" x14ac:dyDescent="0.3">
      <c r="A1763" s="1">
        <v>28517</v>
      </c>
      <c r="B1763">
        <v>100.620003</v>
      </c>
      <c r="C1763">
        <f t="shared" si="71"/>
        <v>8.952949457404581E-4</v>
      </c>
      <c r="D1763">
        <f t="shared" si="70"/>
        <v>3.4441962274365766E-2</v>
      </c>
    </row>
    <row r="1764" spans="1:4" x14ac:dyDescent="0.3">
      <c r="A1764" s="1">
        <v>28520</v>
      </c>
      <c r="B1764">
        <v>100.970001</v>
      </c>
      <c r="C1764">
        <f t="shared" si="71"/>
        <v>3.4784137305183681E-3</v>
      </c>
      <c r="D1764">
        <f t="shared" si="70"/>
        <v>0.2410808432086875</v>
      </c>
    </row>
    <row r="1765" spans="1:4" x14ac:dyDescent="0.3">
      <c r="A1765" s="1">
        <v>28521</v>
      </c>
      <c r="B1765">
        <v>100.839996</v>
      </c>
      <c r="C1765">
        <f t="shared" si="71"/>
        <v>-1.2875606488307061E-3</v>
      </c>
      <c r="D1765">
        <f t="shared" si="70"/>
        <v>-0.14017750933548903</v>
      </c>
    </row>
    <row r="1766" spans="1:4" x14ac:dyDescent="0.3">
      <c r="A1766" s="1">
        <v>28522</v>
      </c>
      <c r="B1766">
        <v>101.540001</v>
      </c>
      <c r="C1766">
        <f t="shared" si="71"/>
        <v>6.9417396644879323E-3</v>
      </c>
      <c r="D1766">
        <f t="shared" si="70"/>
        <v>0.51813267664491713</v>
      </c>
    </row>
    <row r="1767" spans="1:4" x14ac:dyDescent="0.3">
      <c r="A1767" s="1">
        <v>28523</v>
      </c>
      <c r="B1767">
        <v>101.94000200000001</v>
      </c>
      <c r="C1767">
        <f t="shared" si="71"/>
        <v>3.939344062051005E-3</v>
      </c>
      <c r="D1767">
        <f t="shared" si="70"/>
        <v>0.27795337437445</v>
      </c>
    </row>
    <row r="1768" spans="1:4" x14ac:dyDescent="0.3">
      <c r="A1768" s="1">
        <v>28524</v>
      </c>
      <c r="B1768">
        <v>102.220001</v>
      </c>
      <c r="C1768">
        <f t="shared" si="71"/>
        <v>2.7467038896074325E-3</v>
      </c>
      <c r="D1768">
        <f t="shared" si="70"/>
        <v>0.18254706474465682</v>
      </c>
    </row>
    <row r="1769" spans="1:4" x14ac:dyDescent="0.3">
      <c r="A1769" s="1">
        <v>28527</v>
      </c>
      <c r="B1769">
        <v>102.269997</v>
      </c>
      <c r="C1769">
        <f t="shared" si="71"/>
        <v>4.8910193221390463E-4</v>
      </c>
      <c r="D1769">
        <f t="shared" si="70"/>
        <v>1.9481914678934E-3</v>
      </c>
    </row>
    <row r="1770" spans="1:4" x14ac:dyDescent="0.3">
      <c r="A1770" s="1">
        <v>28528</v>
      </c>
      <c r="B1770">
        <v>102.75</v>
      </c>
      <c r="C1770">
        <f t="shared" si="71"/>
        <v>4.693487964021319E-3</v>
      </c>
      <c r="D1770">
        <f t="shared" si="70"/>
        <v>0.33828178547382065</v>
      </c>
    </row>
    <row r="1771" spans="1:4" x14ac:dyDescent="0.3">
      <c r="A1771" s="1">
        <v>28529</v>
      </c>
      <c r="B1771">
        <v>103.18</v>
      </c>
      <c r="C1771">
        <f t="shared" si="71"/>
        <v>4.184914841849215E-3</v>
      </c>
      <c r="D1771">
        <f t="shared" si="70"/>
        <v>0.29759802696522653</v>
      </c>
    </row>
    <row r="1772" spans="1:4" x14ac:dyDescent="0.3">
      <c r="A1772" s="1">
        <v>28530</v>
      </c>
      <c r="B1772">
        <v>103.199997</v>
      </c>
      <c r="C1772">
        <f t="shared" si="71"/>
        <v>1.9380693932922449E-4</v>
      </c>
      <c r="D1772">
        <f t="shared" si="70"/>
        <v>-2.1674193702614777E-2</v>
      </c>
    </row>
    <row r="1773" spans="1:4" x14ac:dyDescent="0.3">
      <c r="A1773" s="1">
        <v>28531</v>
      </c>
      <c r="B1773">
        <v>103.58000199999999</v>
      </c>
      <c r="C1773">
        <f t="shared" si="71"/>
        <v>3.6822190992892865E-3</v>
      </c>
      <c r="D1773">
        <f t="shared" si="70"/>
        <v>0.25738443465767702</v>
      </c>
    </row>
    <row r="1774" spans="1:4" x14ac:dyDescent="0.3">
      <c r="A1774" s="1">
        <v>28534</v>
      </c>
      <c r="B1774">
        <v>103.339996</v>
      </c>
      <c r="C1774">
        <f t="shared" si="71"/>
        <v>-2.3171075049795227E-3</v>
      </c>
      <c r="D1774">
        <f t="shared" si="70"/>
        <v>-0.2225370243054256</v>
      </c>
    </row>
    <row r="1775" spans="1:4" x14ac:dyDescent="0.3">
      <c r="A1775" s="1">
        <v>28535</v>
      </c>
      <c r="B1775">
        <v>102.779999</v>
      </c>
      <c r="C1775">
        <f t="shared" si="71"/>
        <v>-5.418976404837442E-3</v>
      </c>
      <c r="D1775">
        <f t="shared" si="70"/>
        <v>-0.47067378133292903</v>
      </c>
    </row>
    <row r="1776" spans="1:4" x14ac:dyDescent="0.3">
      <c r="A1776" s="1">
        <v>28536</v>
      </c>
      <c r="B1776">
        <v>102.55999799999999</v>
      </c>
      <c r="C1776">
        <f t="shared" si="71"/>
        <v>-2.1405040099291162E-3</v>
      </c>
      <c r="D1776">
        <f t="shared" si="70"/>
        <v>-0.20840947089930395</v>
      </c>
    </row>
    <row r="1777" spans="1:4" x14ac:dyDescent="0.3">
      <c r="A1777" s="1">
        <v>28537</v>
      </c>
      <c r="B1777">
        <v>102.16999800000001</v>
      </c>
      <c r="C1777">
        <f t="shared" si="71"/>
        <v>-3.8026521802387945E-3</v>
      </c>
      <c r="D1777">
        <f t="shared" si="70"/>
        <v>-0.34137448972996237</v>
      </c>
    </row>
    <row r="1778" spans="1:4" x14ac:dyDescent="0.3">
      <c r="A1778" s="1">
        <v>28538</v>
      </c>
      <c r="B1778">
        <v>102.25</v>
      </c>
      <c r="C1778">
        <f t="shared" si="71"/>
        <v>7.8302830151756727E-4</v>
      </c>
      <c r="D1778">
        <f t="shared" si="70"/>
        <v>2.5461092379733971E-2</v>
      </c>
    </row>
    <row r="1779" spans="1:4" x14ac:dyDescent="0.3">
      <c r="A1779" s="1">
        <v>28542</v>
      </c>
      <c r="B1779">
        <v>101.989998</v>
      </c>
      <c r="C1779">
        <f t="shared" si="71"/>
        <v>-2.5428068459657708E-3</v>
      </c>
      <c r="D1779">
        <f t="shared" si="70"/>
        <v>-0.24059204350308983</v>
      </c>
    </row>
    <row r="1780" spans="1:4" x14ac:dyDescent="0.3">
      <c r="A1780" s="1">
        <v>28543</v>
      </c>
      <c r="B1780">
        <v>102.129997</v>
      </c>
      <c r="C1780">
        <f t="shared" si="71"/>
        <v>1.3726738184660333E-3</v>
      </c>
      <c r="D1780">
        <f t="shared" si="70"/>
        <v>7.2630309098757784E-2</v>
      </c>
    </row>
    <row r="1781" spans="1:4" x14ac:dyDescent="0.3">
      <c r="A1781" s="1">
        <v>28544</v>
      </c>
      <c r="B1781">
        <v>102.160004</v>
      </c>
      <c r="C1781">
        <f t="shared" si="71"/>
        <v>2.938118171098906E-4</v>
      </c>
      <c r="D1781">
        <f t="shared" si="70"/>
        <v>-1.3674214702676076E-2</v>
      </c>
    </row>
    <row r="1782" spans="1:4" x14ac:dyDescent="0.3">
      <c r="A1782" s="1">
        <v>28545</v>
      </c>
      <c r="B1782">
        <v>102.699997</v>
      </c>
      <c r="C1782">
        <f t="shared" si="71"/>
        <v>5.2857574281222177E-3</v>
      </c>
      <c r="D1782">
        <f t="shared" si="70"/>
        <v>0.38566090717530394</v>
      </c>
    </row>
    <row r="1783" spans="1:4" x14ac:dyDescent="0.3">
      <c r="A1783" s="1">
        <v>28548</v>
      </c>
      <c r="B1783">
        <v>102.220001</v>
      </c>
      <c r="C1783">
        <f t="shared" si="71"/>
        <v>-4.6737683935862227E-3</v>
      </c>
      <c r="D1783">
        <f t="shared" si="70"/>
        <v>-0.41106020474648375</v>
      </c>
    </row>
    <row r="1784" spans="1:4" x14ac:dyDescent="0.3">
      <c r="A1784" s="1">
        <v>28549</v>
      </c>
      <c r="B1784">
        <v>101.470001</v>
      </c>
      <c r="C1784">
        <f t="shared" si="71"/>
        <v>-7.337115952483703E-3</v>
      </c>
      <c r="D1784">
        <f t="shared" si="70"/>
        <v>-0.62411705770768067</v>
      </c>
    </row>
    <row r="1785" spans="1:4" x14ac:dyDescent="0.3">
      <c r="A1785" s="1">
        <v>28550</v>
      </c>
      <c r="B1785">
        <v>101.470001</v>
      </c>
      <c r="C1785">
        <f t="shared" si="71"/>
        <v>0</v>
      </c>
      <c r="D1785">
        <f t="shared" si="70"/>
        <v>-3.7177951910056316E-2</v>
      </c>
    </row>
    <row r="1786" spans="1:4" x14ac:dyDescent="0.3">
      <c r="A1786" s="1">
        <v>28551</v>
      </c>
      <c r="B1786">
        <v>101.709999</v>
      </c>
      <c r="C1786">
        <f t="shared" si="71"/>
        <v>2.3652113692203464E-3</v>
      </c>
      <c r="D1786">
        <f t="shared" si="70"/>
        <v>0.15202923182030717</v>
      </c>
    </row>
    <row r="1787" spans="1:4" x14ac:dyDescent="0.3">
      <c r="A1787" s="1">
        <v>28552</v>
      </c>
      <c r="B1787">
        <v>101.949997</v>
      </c>
      <c r="C1787">
        <f t="shared" si="71"/>
        <v>2.3596303447019004E-3</v>
      </c>
      <c r="D1787">
        <f t="shared" si="70"/>
        <v>0.15158277280814145</v>
      </c>
    </row>
    <row r="1788" spans="1:4" x14ac:dyDescent="0.3">
      <c r="A1788" s="1">
        <v>28555</v>
      </c>
      <c r="B1788">
        <v>101.739998</v>
      </c>
      <c r="C1788">
        <f t="shared" si="71"/>
        <v>-2.0598235034768688E-3</v>
      </c>
      <c r="D1788">
        <f t="shared" si="70"/>
        <v>-0.20195536214334903</v>
      </c>
    </row>
    <row r="1789" spans="1:4" x14ac:dyDescent="0.3">
      <c r="A1789" s="1">
        <v>28556</v>
      </c>
      <c r="B1789">
        <v>102.019997</v>
      </c>
      <c r="C1789">
        <f t="shared" si="71"/>
        <v>2.7521034549263866E-3</v>
      </c>
      <c r="D1789">
        <f t="shared" si="70"/>
        <v>0.18297900776702788</v>
      </c>
    </row>
    <row r="1790" spans="1:4" x14ac:dyDescent="0.3">
      <c r="A1790" s="1">
        <v>28557</v>
      </c>
      <c r="B1790">
        <v>102.410004</v>
      </c>
      <c r="C1790">
        <f t="shared" si="71"/>
        <v>3.8228485735007137E-3</v>
      </c>
      <c r="D1790">
        <f t="shared" si="70"/>
        <v>0.26863421432273793</v>
      </c>
    </row>
    <row r="1791" spans="1:4" x14ac:dyDescent="0.3">
      <c r="A1791" s="1">
        <v>28558</v>
      </c>
      <c r="B1791">
        <v>102.82</v>
      </c>
      <c r="C1791">
        <f t="shared" si="71"/>
        <v>4.003476066654508E-3</v>
      </c>
      <c r="D1791">
        <f t="shared" si="70"/>
        <v>0.28308367103035154</v>
      </c>
    </row>
    <row r="1792" spans="1:4" x14ac:dyDescent="0.3">
      <c r="A1792" s="1">
        <v>28559</v>
      </c>
      <c r="B1792">
        <v>103.41999800000001</v>
      </c>
      <c r="C1792">
        <f t="shared" si="71"/>
        <v>5.8354211242950165E-3</v>
      </c>
      <c r="D1792">
        <f t="shared" si="70"/>
        <v>0.42963174263850373</v>
      </c>
    </row>
    <row r="1793" spans="1:4" x14ac:dyDescent="0.3">
      <c r="A1793" s="1">
        <v>28562</v>
      </c>
      <c r="B1793">
        <v>103.529999</v>
      </c>
      <c r="C1793">
        <f t="shared" si="71"/>
        <v>1.0636337471211022E-3</v>
      </c>
      <c r="D1793">
        <f t="shared" si="70"/>
        <v>4.7908374171529884E-2</v>
      </c>
    </row>
    <row r="1794" spans="1:4" x14ac:dyDescent="0.3">
      <c r="A1794" s="1">
        <v>28563</v>
      </c>
      <c r="B1794">
        <v>103.660004</v>
      </c>
      <c r="C1794">
        <f t="shared" si="71"/>
        <v>1.255722990975756E-3</v>
      </c>
      <c r="D1794">
        <f t="shared" si="70"/>
        <v>6.3274723804211772E-2</v>
      </c>
    </row>
    <row r="1795" spans="1:4" x14ac:dyDescent="0.3">
      <c r="A1795" s="1">
        <v>28564</v>
      </c>
      <c r="B1795">
        <v>103.800003</v>
      </c>
      <c r="C1795">
        <f t="shared" si="71"/>
        <v>1.3505594693976964E-3</v>
      </c>
      <c r="D1795">
        <f t="shared" ref="D1795:D1858" si="72">(C1795-avrtn)/sdrtn</f>
        <v>7.0861252108037565E-2</v>
      </c>
    </row>
    <row r="1796" spans="1:4" x14ac:dyDescent="0.3">
      <c r="A1796" s="1">
        <v>28565</v>
      </c>
      <c r="B1796">
        <v>104.379997</v>
      </c>
      <c r="C1796">
        <f t="shared" ref="C1796:C1859" si="73">(B1796-B1795)/B1795</f>
        <v>5.5876106284890878E-3</v>
      </c>
      <c r="D1796">
        <f t="shared" si="72"/>
        <v>0.40980792197687699</v>
      </c>
    </row>
    <row r="1797" spans="1:4" x14ac:dyDescent="0.3">
      <c r="A1797" s="1">
        <v>28566</v>
      </c>
      <c r="B1797">
        <v>104.94000200000001</v>
      </c>
      <c r="C1797">
        <f t="shared" si="73"/>
        <v>5.3650605105880949E-3</v>
      </c>
      <c r="D1797">
        <f t="shared" si="72"/>
        <v>0.39200482767635048</v>
      </c>
    </row>
    <row r="1798" spans="1:4" x14ac:dyDescent="0.3">
      <c r="A1798" s="1">
        <v>28569</v>
      </c>
      <c r="B1798">
        <v>105.360001</v>
      </c>
      <c r="C1798">
        <f t="shared" si="73"/>
        <v>4.0022774156225956E-3</v>
      </c>
      <c r="D1798">
        <f t="shared" si="72"/>
        <v>0.28298778387668105</v>
      </c>
    </row>
    <row r="1799" spans="1:4" x14ac:dyDescent="0.3">
      <c r="A1799" s="1">
        <v>28570</v>
      </c>
      <c r="B1799">
        <v>105.019997</v>
      </c>
      <c r="C1799">
        <f t="shared" si="73"/>
        <v>-3.2270690658022425E-3</v>
      </c>
      <c r="D1799">
        <f t="shared" si="72"/>
        <v>-0.29533020738694704</v>
      </c>
    </row>
    <row r="1800" spans="1:4" x14ac:dyDescent="0.3">
      <c r="A1800" s="1">
        <v>28571</v>
      </c>
      <c r="B1800">
        <v>105.160004</v>
      </c>
      <c r="C1800">
        <f t="shared" si="73"/>
        <v>1.3331461054983376E-3</v>
      </c>
      <c r="D1800">
        <f t="shared" si="72"/>
        <v>6.9468254600269064E-2</v>
      </c>
    </row>
    <row r="1801" spans="1:4" x14ac:dyDescent="0.3">
      <c r="A1801" s="1">
        <v>28572</v>
      </c>
      <c r="B1801">
        <v>105.389999</v>
      </c>
      <c r="C1801">
        <f t="shared" si="73"/>
        <v>2.1870957707457142E-3</v>
      </c>
      <c r="D1801">
        <f t="shared" si="72"/>
        <v>0.13778071635805389</v>
      </c>
    </row>
    <row r="1802" spans="1:4" x14ac:dyDescent="0.3">
      <c r="A1802" s="1">
        <v>28576</v>
      </c>
      <c r="B1802">
        <v>105.300003</v>
      </c>
      <c r="C1802">
        <f t="shared" si="73"/>
        <v>-8.5393301882467324E-4</v>
      </c>
      <c r="D1802">
        <f t="shared" si="72"/>
        <v>-0.10548908202247537</v>
      </c>
    </row>
    <row r="1803" spans="1:4" x14ac:dyDescent="0.3">
      <c r="A1803" s="1">
        <v>28577</v>
      </c>
      <c r="B1803">
        <v>105.68</v>
      </c>
      <c r="C1803">
        <f t="shared" si="73"/>
        <v>3.6087083492296105E-3</v>
      </c>
      <c r="D1803">
        <f t="shared" si="72"/>
        <v>0.25150387693091336</v>
      </c>
    </row>
    <row r="1804" spans="1:4" x14ac:dyDescent="0.3">
      <c r="A1804" s="1">
        <v>28578</v>
      </c>
      <c r="B1804">
        <v>106.08000199999999</v>
      </c>
      <c r="C1804">
        <f t="shared" si="73"/>
        <v>3.7850302800907115E-3</v>
      </c>
      <c r="D1804">
        <f t="shared" si="72"/>
        <v>0.26560890635968948</v>
      </c>
    </row>
    <row r="1805" spans="1:4" x14ac:dyDescent="0.3">
      <c r="A1805" s="1">
        <v>28579</v>
      </c>
      <c r="B1805">
        <v>106.18</v>
      </c>
      <c r="C1805">
        <f t="shared" si="73"/>
        <v>9.4266589474624614E-4</v>
      </c>
      <c r="D1805">
        <f t="shared" si="72"/>
        <v>3.8231443404322579E-2</v>
      </c>
    </row>
    <row r="1806" spans="1:4" x14ac:dyDescent="0.3">
      <c r="A1806" s="1">
        <v>28580</v>
      </c>
      <c r="B1806">
        <v>106.199997</v>
      </c>
      <c r="C1806">
        <f t="shared" si="73"/>
        <v>1.8833113580702E-4</v>
      </c>
      <c r="D1806">
        <f t="shared" si="72"/>
        <v>-2.2112235467752511E-2</v>
      </c>
    </row>
    <row r="1807" spans="1:4" x14ac:dyDescent="0.3">
      <c r="A1807" s="1">
        <v>28583</v>
      </c>
      <c r="B1807">
        <v>105.889999</v>
      </c>
      <c r="C1807">
        <f t="shared" si="73"/>
        <v>-2.9190019656967891E-3</v>
      </c>
      <c r="D1807">
        <f t="shared" si="72"/>
        <v>-0.27068610615799571</v>
      </c>
    </row>
    <row r="1808" spans="1:4" x14ac:dyDescent="0.3">
      <c r="A1808" s="1">
        <v>28584</v>
      </c>
      <c r="B1808">
        <v>106.199997</v>
      </c>
      <c r="C1808">
        <f t="shared" si="73"/>
        <v>2.9275474825530322E-3</v>
      </c>
      <c r="D1808">
        <f t="shared" si="72"/>
        <v>0.19701380854700723</v>
      </c>
    </row>
    <row r="1809" spans="1:4" x14ac:dyDescent="0.3">
      <c r="A1809" s="1">
        <v>28585</v>
      </c>
      <c r="B1809">
        <v>106.949997</v>
      </c>
      <c r="C1809">
        <f t="shared" si="73"/>
        <v>7.0621470921510485E-3</v>
      </c>
      <c r="D1809">
        <f t="shared" si="72"/>
        <v>0.5277647757396654</v>
      </c>
    </row>
    <row r="1810" spans="1:4" x14ac:dyDescent="0.3">
      <c r="A1810" s="1">
        <v>28586</v>
      </c>
      <c r="B1810">
        <v>107.470001</v>
      </c>
      <c r="C1810">
        <f t="shared" si="73"/>
        <v>4.8621226235284528E-3</v>
      </c>
      <c r="D1810">
        <f t="shared" si="72"/>
        <v>0.35177186480452804</v>
      </c>
    </row>
    <row r="1811" spans="1:4" x14ac:dyDescent="0.3">
      <c r="A1811" s="1">
        <v>28587</v>
      </c>
      <c r="B1811">
        <v>108.230003</v>
      </c>
      <c r="C1811">
        <f t="shared" si="73"/>
        <v>7.0717594950054953E-3</v>
      </c>
      <c r="D1811">
        <f t="shared" si="72"/>
        <v>0.52853372844158442</v>
      </c>
    </row>
    <row r="1812" spans="1:4" x14ac:dyDescent="0.3">
      <c r="A1812" s="1">
        <v>28590</v>
      </c>
      <c r="B1812">
        <v>108.529999</v>
      </c>
      <c r="C1812">
        <f t="shared" si="73"/>
        <v>2.7718376761017671E-3</v>
      </c>
      <c r="D1812">
        <f t="shared" si="72"/>
        <v>0.18455766431345599</v>
      </c>
    </row>
    <row r="1813" spans="1:4" x14ac:dyDescent="0.3">
      <c r="A1813" s="1">
        <v>28591</v>
      </c>
      <c r="B1813">
        <v>108.44000200000001</v>
      </c>
      <c r="C1813">
        <f t="shared" si="73"/>
        <v>-8.2923616354218133E-4</v>
      </c>
      <c r="D1813">
        <f t="shared" si="72"/>
        <v>-0.10351343515395175</v>
      </c>
    </row>
    <row r="1814" spans="1:4" x14ac:dyDescent="0.3">
      <c r="A1814" s="1">
        <v>28592</v>
      </c>
      <c r="B1814">
        <v>108.870003</v>
      </c>
      <c r="C1814">
        <f t="shared" si="73"/>
        <v>3.9653355963603729E-3</v>
      </c>
      <c r="D1814">
        <f t="shared" si="72"/>
        <v>0.28003259024137173</v>
      </c>
    </row>
    <row r="1815" spans="1:4" x14ac:dyDescent="0.3">
      <c r="A1815" s="1">
        <v>28593</v>
      </c>
      <c r="B1815">
        <v>109.989998</v>
      </c>
      <c r="C1815">
        <f t="shared" si="73"/>
        <v>1.0287452642028521E-2</v>
      </c>
      <c r="D1815">
        <f t="shared" si="72"/>
        <v>0.78577595719419546</v>
      </c>
    </row>
    <row r="1816" spans="1:4" x14ac:dyDescent="0.3">
      <c r="A1816" s="1">
        <v>28594</v>
      </c>
      <c r="B1816">
        <v>111.290001</v>
      </c>
      <c r="C1816">
        <f t="shared" si="73"/>
        <v>1.181928378614939E-2</v>
      </c>
      <c r="D1816">
        <f t="shared" si="72"/>
        <v>0.90831614979656283</v>
      </c>
    </row>
    <row r="1817" spans="1:4" x14ac:dyDescent="0.3">
      <c r="A1817" s="1">
        <v>28597</v>
      </c>
      <c r="B1817">
        <v>111.910004</v>
      </c>
      <c r="C1817">
        <f t="shared" si="73"/>
        <v>5.5710575472094478E-3</v>
      </c>
      <c r="D1817">
        <f t="shared" si="72"/>
        <v>0.40848374354118272</v>
      </c>
    </row>
    <row r="1818" spans="1:4" x14ac:dyDescent="0.3">
      <c r="A1818" s="1">
        <v>28598</v>
      </c>
      <c r="B1818">
        <v>111.43</v>
      </c>
      <c r="C1818">
        <f t="shared" si="73"/>
        <v>-4.2891965225914375E-3</v>
      </c>
      <c r="D1818">
        <f t="shared" si="72"/>
        <v>-0.3802960364358835</v>
      </c>
    </row>
    <row r="1819" spans="1:4" x14ac:dyDescent="0.3">
      <c r="A1819" s="1">
        <v>28599</v>
      </c>
      <c r="B1819">
        <v>111.639999</v>
      </c>
      <c r="C1819">
        <f t="shared" si="73"/>
        <v>1.8845822489454928E-3</v>
      </c>
      <c r="D1819">
        <f t="shared" si="72"/>
        <v>0.11358087855707066</v>
      </c>
    </row>
    <row r="1820" spans="1:4" x14ac:dyDescent="0.3">
      <c r="A1820" s="1">
        <v>28600</v>
      </c>
      <c r="B1820">
        <v>112.860001</v>
      </c>
      <c r="C1820">
        <f t="shared" si="73"/>
        <v>1.092800081447505E-2</v>
      </c>
      <c r="D1820">
        <f t="shared" si="72"/>
        <v>0.83701717704009415</v>
      </c>
    </row>
    <row r="1821" spans="1:4" x14ac:dyDescent="0.3">
      <c r="A1821" s="1">
        <v>28601</v>
      </c>
      <c r="B1821">
        <v>113.32</v>
      </c>
      <c r="C1821">
        <f t="shared" si="73"/>
        <v>4.0758372844600299E-3</v>
      </c>
      <c r="D1821">
        <f t="shared" si="72"/>
        <v>0.28887227090368778</v>
      </c>
    </row>
    <row r="1822" spans="1:4" x14ac:dyDescent="0.3">
      <c r="A1822" s="1">
        <v>28604</v>
      </c>
      <c r="B1822">
        <v>113.599998</v>
      </c>
      <c r="C1822">
        <f t="shared" si="73"/>
        <v>2.4708612777974426E-3</v>
      </c>
      <c r="D1822">
        <f t="shared" si="72"/>
        <v>0.16048079007145494</v>
      </c>
    </row>
    <row r="1823" spans="1:4" x14ac:dyDescent="0.3">
      <c r="A1823" s="1">
        <v>28605</v>
      </c>
      <c r="B1823">
        <v>114.279999</v>
      </c>
      <c r="C1823">
        <f t="shared" si="73"/>
        <v>5.9859244011606786E-3</v>
      </c>
      <c r="D1823">
        <f t="shared" si="72"/>
        <v>0.44167138591458432</v>
      </c>
    </row>
    <row r="1824" spans="1:4" x14ac:dyDescent="0.3">
      <c r="A1824" s="1">
        <v>28606</v>
      </c>
      <c r="B1824">
        <v>114.699997</v>
      </c>
      <c r="C1824">
        <f t="shared" si="73"/>
        <v>3.6751662904721634E-3</v>
      </c>
      <c r="D1824">
        <f t="shared" si="72"/>
        <v>0.25682023895363032</v>
      </c>
    </row>
    <row r="1825" spans="1:4" x14ac:dyDescent="0.3">
      <c r="A1825" s="1">
        <v>28607</v>
      </c>
      <c r="B1825">
        <v>114.589996</v>
      </c>
      <c r="C1825">
        <f t="shared" si="73"/>
        <v>-9.5903228314815831E-4</v>
      </c>
      <c r="D1825">
        <f t="shared" si="72"/>
        <v>-0.11389659099759696</v>
      </c>
    </row>
    <row r="1826" spans="1:4" x14ac:dyDescent="0.3">
      <c r="A1826" s="1">
        <v>28608</v>
      </c>
      <c r="B1826">
        <v>115.18</v>
      </c>
      <c r="C1826">
        <f t="shared" si="73"/>
        <v>5.1488264298395429E-3</v>
      </c>
      <c r="D1826">
        <f t="shared" si="72"/>
        <v>0.37470699037631933</v>
      </c>
    </row>
    <row r="1827" spans="1:4" x14ac:dyDescent="0.3">
      <c r="A1827" s="1">
        <v>28611</v>
      </c>
      <c r="B1827">
        <v>115.959999</v>
      </c>
      <c r="C1827">
        <f t="shared" si="73"/>
        <v>6.7720003472824227E-3</v>
      </c>
      <c r="D1827">
        <f t="shared" si="72"/>
        <v>0.50455422924071924</v>
      </c>
    </row>
    <row r="1828" spans="1:4" x14ac:dyDescent="0.3">
      <c r="A1828" s="1">
        <v>28612</v>
      </c>
      <c r="B1828">
        <v>116.120003</v>
      </c>
      <c r="C1828">
        <f t="shared" si="73"/>
        <v>1.3798206397018053E-3</v>
      </c>
      <c r="D1828">
        <f t="shared" si="72"/>
        <v>7.320202540971503E-2</v>
      </c>
    </row>
    <row r="1829" spans="1:4" x14ac:dyDescent="0.3">
      <c r="A1829" s="1">
        <v>28613</v>
      </c>
      <c r="B1829">
        <v>116.209999</v>
      </c>
      <c r="C1829">
        <f t="shared" si="73"/>
        <v>7.7502581531968529E-4</v>
      </c>
      <c r="D1829">
        <f t="shared" si="72"/>
        <v>2.4820926390323281E-2</v>
      </c>
    </row>
    <row r="1830" spans="1:4" x14ac:dyDescent="0.3">
      <c r="A1830" s="1">
        <v>28614</v>
      </c>
      <c r="B1830">
        <v>116.480003</v>
      </c>
      <c r="C1830">
        <f t="shared" si="73"/>
        <v>2.3234145282111235E-3</v>
      </c>
      <c r="D1830">
        <f t="shared" si="72"/>
        <v>0.14868565640920653</v>
      </c>
    </row>
    <row r="1831" spans="1:4" x14ac:dyDescent="0.3">
      <c r="A1831" s="1">
        <v>28615</v>
      </c>
      <c r="B1831">
        <v>117.269997</v>
      </c>
      <c r="C1831">
        <f t="shared" si="73"/>
        <v>6.7822285341116208E-3</v>
      </c>
      <c r="D1831">
        <f t="shared" si="72"/>
        <v>0.50537244212849952</v>
      </c>
    </row>
    <row r="1832" spans="1:4" x14ac:dyDescent="0.3">
      <c r="A1832" s="1">
        <v>28618</v>
      </c>
      <c r="B1832">
        <v>117.139999</v>
      </c>
      <c r="C1832">
        <f t="shared" si="73"/>
        <v>-1.1085358857815994E-3</v>
      </c>
      <c r="D1832">
        <f t="shared" si="72"/>
        <v>-0.12585626444578485</v>
      </c>
    </row>
    <row r="1833" spans="1:4" x14ac:dyDescent="0.3">
      <c r="A1833" s="1">
        <v>28619</v>
      </c>
      <c r="B1833">
        <v>117.050003</v>
      </c>
      <c r="C1833">
        <f t="shared" si="73"/>
        <v>-7.6827728161410773E-4</v>
      </c>
      <c r="D1833">
        <f t="shared" si="72"/>
        <v>-9.8636975264126125E-2</v>
      </c>
    </row>
    <row r="1834" spans="1:4" x14ac:dyDescent="0.3">
      <c r="A1834" s="1">
        <v>28620</v>
      </c>
      <c r="B1834">
        <v>117.550003</v>
      </c>
      <c r="C1834">
        <f t="shared" si="73"/>
        <v>4.2716786602730802E-3</v>
      </c>
      <c r="D1834">
        <f t="shared" si="72"/>
        <v>0.30453877566418258</v>
      </c>
    </row>
    <row r="1835" spans="1:4" x14ac:dyDescent="0.3">
      <c r="A1835" s="1">
        <v>28621</v>
      </c>
      <c r="B1835">
        <v>118.25</v>
      </c>
      <c r="C1835">
        <f t="shared" si="73"/>
        <v>5.9548871300326225E-3</v>
      </c>
      <c r="D1835">
        <f t="shared" si="72"/>
        <v>0.43918853185036133</v>
      </c>
    </row>
    <row r="1836" spans="1:4" x14ac:dyDescent="0.3">
      <c r="A1836" s="1">
        <v>28622</v>
      </c>
      <c r="B1836">
        <v>119.400002</v>
      </c>
      <c r="C1836">
        <f t="shared" si="73"/>
        <v>9.7251754756871086E-3</v>
      </c>
      <c r="D1836">
        <f t="shared" si="72"/>
        <v>0.74079609598440577</v>
      </c>
    </row>
    <row r="1837" spans="1:4" x14ac:dyDescent="0.3">
      <c r="A1837" s="1">
        <v>28625</v>
      </c>
      <c r="B1837">
        <v>119.800003</v>
      </c>
      <c r="C1837">
        <f t="shared" si="73"/>
        <v>3.3500920711877638E-3</v>
      </c>
      <c r="D1837">
        <f t="shared" si="72"/>
        <v>0.23081563812405523</v>
      </c>
    </row>
    <row r="1838" spans="1:4" x14ac:dyDescent="0.3">
      <c r="A1838" s="1">
        <v>28626</v>
      </c>
      <c r="B1838">
        <v>120.779999</v>
      </c>
      <c r="C1838">
        <f t="shared" si="73"/>
        <v>8.1802669070050009E-3</v>
      </c>
      <c r="D1838">
        <f t="shared" si="72"/>
        <v>0.61720976319183041</v>
      </c>
    </row>
    <row r="1839" spans="1:4" x14ac:dyDescent="0.3">
      <c r="A1839" s="1">
        <v>28627</v>
      </c>
      <c r="B1839">
        <v>121.839996</v>
      </c>
      <c r="C1839">
        <f t="shared" si="73"/>
        <v>8.7762626989258009E-3</v>
      </c>
      <c r="D1839">
        <f t="shared" si="72"/>
        <v>0.6648869757961543</v>
      </c>
    </row>
    <row r="1840" spans="1:4" x14ac:dyDescent="0.3">
      <c r="A1840" s="1">
        <v>28628</v>
      </c>
      <c r="B1840">
        <v>121.660004</v>
      </c>
      <c r="C1840">
        <f t="shared" si="73"/>
        <v>-1.4772817293920348E-3</v>
      </c>
      <c r="D1840">
        <f t="shared" si="72"/>
        <v>-0.15535441564265057</v>
      </c>
    </row>
    <row r="1841" spans="1:4" x14ac:dyDescent="0.3">
      <c r="A1841" s="1">
        <v>28629</v>
      </c>
      <c r="B1841">
        <v>121.57</v>
      </c>
      <c r="C1841">
        <f t="shared" si="73"/>
        <v>-7.3979941674182027E-4</v>
      </c>
      <c r="D1841">
        <f t="shared" si="72"/>
        <v>-9.6358863176023185E-2</v>
      </c>
    </row>
    <row r="1842" spans="1:4" x14ac:dyDescent="0.3">
      <c r="A1842" s="1">
        <v>28632</v>
      </c>
      <c r="B1842">
        <v>121.93</v>
      </c>
      <c r="C1842">
        <f t="shared" si="73"/>
        <v>2.9612568890352363E-3</v>
      </c>
      <c r="D1842">
        <f t="shared" si="72"/>
        <v>0.19971042245167583</v>
      </c>
    </row>
    <row r="1843" spans="1:4" x14ac:dyDescent="0.3">
      <c r="A1843" s="1">
        <v>28633</v>
      </c>
      <c r="B1843">
        <v>120.970001</v>
      </c>
      <c r="C1843">
        <f t="shared" si="73"/>
        <v>-7.8733617649471861E-3</v>
      </c>
      <c r="D1843">
        <f t="shared" si="72"/>
        <v>-0.66701451764880271</v>
      </c>
    </row>
    <row r="1844" spans="1:4" x14ac:dyDescent="0.3">
      <c r="A1844" s="1">
        <v>28634</v>
      </c>
      <c r="B1844">
        <v>119.800003</v>
      </c>
      <c r="C1844">
        <f t="shared" si="73"/>
        <v>-9.6718028463932352E-3</v>
      </c>
      <c r="D1844">
        <f t="shared" si="72"/>
        <v>-0.81088240893057151</v>
      </c>
    </row>
    <row r="1845" spans="1:4" x14ac:dyDescent="0.3">
      <c r="A1845" s="1">
        <v>28635</v>
      </c>
      <c r="B1845">
        <v>119.82</v>
      </c>
      <c r="C1845">
        <f t="shared" si="73"/>
        <v>1.6691986226402168E-4</v>
      </c>
      <c r="D1845">
        <f t="shared" si="72"/>
        <v>-2.3825049307509484E-2</v>
      </c>
    </row>
    <row r="1846" spans="1:4" x14ac:dyDescent="0.3">
      <c r="A1846" s="1">
        <v>28636</v>
      </c>
      <c r="B1846">
        <v>119.860001</v>
      </c>
      <c r="C1846">
        <f t="shared" si="73"/>
        <v>3.3384243031216599E-4</v>
      </c>
      <c r="D1846">
        <f t="shared" si="72"/>
        <v>-1.0471930253359097E-2</v>
      </c>
    </row>
    <row r="1847" spans="1:4" x14ac:dyDescent="0.3">
      <c r="A1847" s="1">
        <v>28640</v>
      </c>
      <c r="B1847">
        <v>120</v>
      </c>
      <c r="C1847">
        <f t="shared" si="73"/>
        <v>1.1680210147837651E-3</v>
      </c>
      <c r="D1847">
        <f t="shared" si="72"/>
        <v>5.6258926341533462E-2</v>
      </c>
    </row>
    <row r="1848" spans="1:4" x14ac:dyDescent="0.3">
      <c r="A1848" s="1">
        <v>28641</v>
      </c>
      <c r="B1848">
        <v>120.239998</v>
      </c>
      <c r="C1848">
        <f t="shared" si="73"/>
        <v>1.9999833333333326E-3</v>
      </c>
      <c r="D1848">
        <f t="shared" si="72"/>
        <v>0.12281249077600341</v>
      </c>
    </row>
    <row r="1849" spans="1:4" x14ac:dyDescent="0.3">
      <c r="A1849" s="1">
        <v>28642</v>
      </c>
      <c r="B1849">
        <v>120.339996</v>
      </c>
      <c r="C1849">
        <f t="shared" si="73"/>
        <v>8.3165337377999091E-4</v>
      </c>
      <c r="D1849">
        <f t="shared" si="72"/>
        <v>2.9350898213235985E-2</v>
      </c>
    </row>
    <row r="1850" spans="1:4" x14ac:dyDescent="0.3">
      <c r="A1850" s="1">
        <v>28643</v>
      </c>
      <c r="B1850">
        <v>121.029999</v>
      </c>
      <c r="C1850">
        <f t="shared" si="73"/>
        <v>5.7337794825920085E-3</v>
      </c>
      <c r="D1850">
        <f t="shared" si="72"/>
        <v>0.42150082925519117</v>
      </c>
    </row>
    <row r="1851" spans="1:4" x14ac:dyDescent="0.3">
      <c r="A1851" s="1">
        <v>28646</v>
      </c>
      <c r="B1851">
        <v>122.099998</v>
      </c>
      <c r="C1851">
        <f t="shared" si="73"/>
        <v>8.8407750875053349E-3</v>
      </c>
      <c r="D1851">
        <f t="shared" si="72"/>
        <v>0.67004770160599003</v>
      </c>
    </row>
    <row r="1852" spans="1:4" x14ac:dyDescent="0.3">
      <c r="A1852" s="1">
        <v>28647</v>
      </c>
      <c r="B1852">
        <v>122.849998</v>
      </c>
      <c r="C1852">
        <f t="shared" si="73"/>
        <v>6.1425062431204958E-3</v>
      </c>
      <c r="D1852">
        <f t="shared" si="72"/>
        <v>0.45419728940298831</v>
      </c>
    </row>
    <row r="1853" spans="1:4" x14ac:dyDescent="0.3">
      <c r="A1853" s="1">
        <v>28648</v>
      </c>
      <c r="B1853">
        <v>123.099998</v>
      </c>
      <c r="C1853">
        <f t="shared" si="73"/>
        <v>2.0350020681319018E-3</v>
      </c>
      <c r="D1853">
        <f t="shared" si="72"/>
        <v>0.12561384556199104</v>
      </c>
    </row>
    <row r="1854" spans="1:4" x14ac:dyDescent="0.3">
      <c r="A1854" s="1">
        <v>28649</v>
      </c>
      <c r="B1854">
        <v>123.989998</v>
      </c>
      <c r="C1854">
        <f t="shared" si="73"/>
        <v>7.2298945122647408E-3</v>
      </c>
      <c r="D1854">
        <f t="shared" si="72"/>
        <v>0.54118387956724767</v>
      </c>
    </row>
    <row r="1855" spans="1:4" x14ac:dyDescent="0.3">
      <c r="A1855" s="1">
        <v>28650</v>
      </c>
      <c r="B1855">
        <v>124.410004</v>
      </c>
      <c r="C1855">
        <f t="shared" si="73"/>
        <v>3.3874183948289179E-3</v>
      </c>
      <c r="D1855">
        <f t="shared" si="72"/>
        <v>0.23380159052858762</v>
      </c>
    </row>
    <row r="1856" spans="1:4" x14ac:dyDescent="0.3">
      <c r="A1856" s="1">
        <v>28653</v>
      </c>
      <c r="B1856">
        <v>124.290001</v>
      </c>
      <c r="C1856">
        <f t="shared" si="73"/>
        <v>-9.6457677149497541E-4</v>
      </c>
      <c r="D1856">
        <f t="shared" si="72"/>
        <v>-0.11434012726627001</v>
      </c>
    </row>
    <row r="1857" spans="1:4" x14ac:dyDescent="0.3">
      <c r="A1857" s="1">
        <v>28654</v>
      </c>
      <c r="B1857">
        <v>124.239998</v>
      </c>
      <c r="C1857">
        <f t="shared" si="73"/>
        <v>-4.0230911254078913E-4</v>
      </c>
      <c r="D1857">
        <f t="shared" si="72"/>
        <v>-6.9361026608363824E-2</v>
      </c>
    </row>
    <row r="1858" spans="1:4" x14ac:dyDescent="0.3">
      <c r="A1858" s="1">
        <v>28655</v>
      </c>
      <c r="B1858">
        <v>124.510002</v>
      </c>
      <c r="C1858">
        <f t="shared" si="73"/>
        <v>2.1732453666008602E-3</v>
      </c>
      <c r="D1858">
        <f t="shared" si="72"/>
        <v>0.13667274097966772</v>
      </c>
    </row>
    <row r="1859" spans="1:4" x14ac:dyDescent="0.3">
      <c r="A1859" s="1">
        <v>28656</v>
      </c>
      <c r="B1859">
        <v>124.19000200000001</v>
      </c>
      <c r="C1859">
        <f t="shared" si="73"/>
        <v>-2.5700746515126809E-3</v>
      </c>
      <c r="D1859">
        <f t="shared" ref="D1859:D1922" si="74">(C1859-avrtn)/sdrtn</f>
        <v>-0.24277335582095624</v>
      </c>
    </row>
    <row r="1860" spans="1:4" x14ac:dyDescent="0.3">
      <c r="A1860" s="1">
        <v>28657</v>
      </c>
      <c r="B1860">
        <v>123.69000200000001</v>
      </c>
      <c r="C1860">
        <f t="shared" ref="C1860:C1923" si="75">(B1860-B1859)/B1859</f>
        <v>-4.0260889922523711E-3</v>
      </c>
      <c r="D1860">
        <f t="shared" si="74"/>
        <v>-0.35924851591338758</v>
      </c>
    </row>
    <row r="1861" spans="1:4" x14ac:dyDescent="0.3">
      <c r="A1861" s="1">
        <v>28660</v>
      </c>
      <c r="B1861">
        <v>122.91999800000001</v>
      </c>
      <c r="C1861">
        <f t="shared" si="75"/>
        <v>-6.2252727589090029E-3</v>
      </c>
      <c r="D1861">
        <f t="shared" si="74"/>
        <v>-0.53517417414823498</v>
      </c>
    </row>
    <row r="1862" spans="1:4" x14ac:dyDescent="0.3">
      <c r="A1862" s="1">
        <v>28661</v>
      </c>
      <c r="B1862">
        <v>122.029999</v>
      </c>
      <c r="C1862">
        <f t="shared" si="75"/>
        <v>-7.2404735964932496E-3</v>
      </c>
      <c r="D1862">
        <f t="shared" si="74"/>
        <v>-0.61638606662418682</v>
      </c>
    </row>
    <row r="1863" spans="1:4" x14ac:dyDescent="0.3">
      <c r="A1863" s="1">
        <v>28662</v>
      </c>
      <c r="B1863">
        <v>120.629997</v>
      </c>
      <c r="C1863">
        <f t="shared" si="75"/>
        <v>-1.1472605191121903E-2</v>
      </c>
      <c r="D1863">
        <f t="shared" si="74"/>
        <v>-0.9549391915653771</v>
      </c>
    </row>
    <row r="1864" spans="1:4" x14ac:dyDescent="0.3">
      <c r="A1864" s="1">
        <v>28663</v>
      </c>
      <c r="B1864">
        <v>120.68</v>
      </c>
      <c r="C1864">
        <f t="shared" si="75"/>
        <v>4.1451547080784384E-4</v>
      </c>
      <c r="D1864">
        <f t="shared" si="74"/>
        <v>-4.0184187432295484E-3</v>
      </c>
    </row>
    <row r="1865" spans="1:4" x14ac:dyDescent="0.3">
      <c r="A1865" s="1">
        <v>28664</v>
      </c>
      <c r="B1865">
        <v>120.739998</v>
      </c>
      <c r="C1865">
        <f t="shared" si="75"/>
        <v>4.9716605899894858E-4</v>
      </c>
      <c r="D1865">
        <f t="shared" si="74"/>
        <v>2.593288450809438E-3</v>
      </c>
    </row>
    <row r="1866" spans="1:4" x14ac:dyDescent="0.3">
      <c r="A1866" s="1">
        <v>28667</v>
      </c>
      <c r="B1866">
        <v>119.540001</v>
      </c>
      <c r="C1866">
        <f t="shared" si="75"/>
        <v>-9.9386865982886326E-3</v>
      </c>
      <c r="D1866">
        <f t="shared" si="74"/>
        <v>-0.83223201164965799</v>
      </c>
    </row>
    <row r="1867" spans="1:4" x14ac:dyDescent="0.3">
      <c r="A1867" s="1">
        <v>28668</v>
      </c>
      <c r="B1867">
        <v>119.18</v>
      </c>
      <c r="C1867">
        <f t="shared" si="75"/>
        <v>-3.0115525931775499E-3</v>
      </c>
      <c r="D1867">
        <f t="shared" si="74"/>
        <v>-0.27808977578600236</v>
      </c>
    </row>
    <row r="1868" spans="1:4" x14ac:dyDescent="0.3">
      <c r="A1868" s="1">
        <v>28669</v>
      </c>
      <c r="B1868">
        <v>119.519997</v>
      </c>
      <c r="C1868">
        <f t="shared" si="75"/>
        <v>2.852802483638167E-3</v>
      </c>
      <c r="D1868">
        <f t="shared" si="74"/>
        <v>0.19103451598709006</v>
      </c>
    </row>
    <row r="1869" spans="1:4" x14ac:dyDescent="0.3">
      <c r="A1869" s="1">
        <v>28670</v>
      </c>
      <c r="B1869">
        <v>119.980003</v>
      </c>
      <c r="C1869">
        <f t="shared" si="75"/>
        <v>3.8487785437276473E-3</v>
      </c>
      <c r="D1869">
        <f t="shared" si="74"/>
        <v>0.27070850531621793</v>
      </c>
    </row>
    <row r="1870" spans="1:4" x14ac:dyDescent="0.3">
      <c r="A1870" s="1">
        <v>28671</v>
      </c>
      <c r="B1870">
        <v>120.300003</v>
      </c>
      <c r="C1870">
        <f t="shared" si="75"/>
        <v>2.6671111185087018E-3</v>
      </c>
      <c r="D1870">
        <f t="shared" si="74"/>
        <v>0.17617997034418875</v>
      </c>
    </row>
    <row r="1871" spans="1:4" x14ac:dyDescent="0.3">
      <c r="A1871" s="1">
        <v>28674</v>
      </c>
      <c r="B1871">
        <v>120.150002</v>
      </c>
      <c r="C1871">
        <f t="shared" si="75"/>
        <v>-1.2468910744748956E-3</v>
      </c>
      <c r="D1871">
        <f t="shared" si="74"/>
        <v>-0.13692411062131321</v>
      </c>
    </row>
    <row r="1872" spans="1:4" x14ac:dyDescent="0.3">
      <c r="A1872" s="1">
        <v>28676</v>
      </c>
      <c r="B1872">
        <v>119.220001</v>
      </c>
      <c r="C1872">
        <f t="shared" si="75"/>
        <v>-7.7403327883423948E-3</v>
      </c>
      <c r="D1872">
        <f t="shared" si="74"/>
        <v>-0.65637274653883981</v>
      </c>
    </row>
    <row r="1873" spans="1:4" x14ac:dyDescent="0.3">
      <c r="A1873" s="1">
        <v>28677</v>
      </c>
      <c r="B1873">
        <v>118.82</v>
      </c>
      <c r="C1873">
        <f t="shared" si="75"/>
        <v>-3.3551501144510405E-3</v>
      </c>
      <c r="D1873">
        <f t="shared" si="74"/>
        <v>-0.30557616460643183</v>
      </c>
    </row>
    <row r="1874" spans="1:4" x14ac:dyDescent="0.3">
      <c r="A1874" s="1">
        <v>28678</v>
      </c>
      <c r="B1874">
        <v>119.160004</v>
      </c>
      <c r="C1874">
        <f t="shared" si="75"/>
        <v>2.8615047971722565E-3</v>
      </c>
      <c r="D1874">
        <f t="shared" si="74"/>
        <v>0.19173066528569013</v>
      </c>
    </row>
    <row r="1875" spans="1:4" x14ac:dyDescent="0.3">
      <c r="A1875" s="1">
        <v>28681</v>
      </c>
      <c r="B1875">
        <v>119.379997</v>
      </c>
      <c r="C1875">
        <f t="shared" si="75"/>
        <v>1.8461983267473064E-3</v>
      </c>
      <c r="D1875">
        <f t="shared" si="74"/>
        <v>0.11051032261684693</v>
      </c>
    </row>
    <row r="1876" spans="1:4" x14ac:dyDescent="0.3">
      <c r="A1876" s="1">
        <v>28682</v>
      </c>
      <c r="B1876">
        <v>119.83000199999999</v>
      </c>
      <c r="C1876">
        <f t="shared" si="75"/>
        <v>3.7695176018474035E-3</v>
      </c>
      <c r="D1876">
        <f t="shared" si="74"/>
        <v>0.2643679558887389</v>
      </c>
    </row>
    <row r="1877" spans="1:4" x14ac:dyDescent="0.3">
      <c r="A1877" s="1">
        <v>28683</v>
      </c>
      <c r="B1877">
        <v>120.279999</v>
      </c>
      <c r="C1877">
        <f t="shared" si="75"/>
        <v>3.7552949385748192E-3</v>
      </c>
      <c r="D1877">
        <f t="shared" si="74"/>
        <v>0.26323020131087299</v>
      </c>
    </row>
    <row r="1878" spans="1:4" x14ac:dyDescent="0.3">
      <c r="A1878" s="1">
        <v>28684</v>
      </c>
      <c r="B1878">
        <v>120.43</v>
      </c>
      <c r="C1878">
        <f t="shared" si="75"/>
        <v>1.2470984473486996E-3</v>
      </c>
      <c r="D1878">
        <f t="shared" si="74"/>
        <v>6.2584795778382551E-2</v>
      </c>
    </row>
    <row r="1879" spans="1:4" x14ac:dyDescent="0.3">
      <c r="A1879" s="1">
        <v>28685</v>
      </c>
      <c r="B1879">
        <v>121.58000199999999</v>
      </c>
      <c r="C1879">
        <f t="shared" si="75"/>
        <v>9.549132276010848E-3</v>
      </c>
      <c r="D1879">
        <f t="shared" si="74"/>
        <v>0.72671336390426744</v>
      </c>
    </row>
    <row r="1880" spans="1:4" x14ac:dyDescent="0.3">
      <c r="A1880" s="1">
        <v>28688</v>
      </c>
      <c r="B1880">
        <v>122.360001</v>
      </c>
      <c r="C1880">
        <f t="shared" si="75"/>
        <v>6.4155205393071442E-3</v>
      </c>
      <c r="D1880">
        <f t="shared" si="74"/>
        <v>0.47603731045642622</v>
      </c>
    </row>
    <row r="1881" spans="1:4" x14ac:dyDescent="0.3">
      <c r="A1881" s="1">
        <v>28689</v>
      </c>
      <c r="B1881">
        <v>122.089996</v>
      </c>
      <c r="C1881">
        <f t="shared" si="75"/>
        <v>-2.2066443101777813E-3</v>
      </c>
      <c r="D1881">
        <f t="shared" si="74"/>
        <v>-0.21370042294865743</v>
      </c>
    </row>
    <row r="1882" spans="1:4" x14ac:dyDescent="0.3">
      <c r="A1882" s="1">
        <v>28690</v>
      </c>
      <c r="B1882">
        <v>122.800003</v>
      </c>
      <c r="C1882">
        <f t="shared" si="75"/>
        <v>5.8154396204583752E-3</v>
      </c>
      <c r="D1882">
        <f t="shared" si="74"/>
        <v>0.42803330449600718</v>
      </c>
    </row>
    <row r="1883" spans="1:4" x14ac:dyDescent="0.3">
      <c r="A1883" s="1">
        <v>28691</v>
      </c>
      <c r="B1883">
        <v>123.75</v>
      </c>
      <c r="C1883">
        <f t="shared" si="75"/>
        <v>7.7361317328306272E-3</v>
      </c>
      <c r="D1883">
        <f t="shared" si="74"/>
        <v>0.5816807755526292</v>
      </c>
    </row>
    <row r="1884" spans="1:4" x14ac:dyDescent="0.3">
      <c r="A1884" s="1">
        <v>28692</v>
      </c>
      <c r="B1884">
        <v>123.599998</v>
      </c>
      <c r="C1884">
        <f t="shared" si="75"/>
        <v>-1.2121373737373788E-3</v>
      </c>
      <c r="D1884">
        <f t="shared" si="74"/>
        <v>-0.13414395747038321</v>
      </c>
    </row>
    <row r="1885" spans="1:4" x14ac:dyDescent="0.3">
      <c r="A1885" s="1">
        <v>28695</v>
      </c>
      <c r="B1885">
        <v>123.589996</v>
      </c>
      <c r="C1885">
        <f t="shared" si="75"/>
        <v>-8.092233140651075E-5</v>
      </c>
      <c r="D1885">
        <f t="shared" si="74"/>
        <v>-4.3651405667962148E-2</v>
      </c>
    </row>
    <row r="1886" spans="1:4" x14ac:dyDescent="0.3">
      <c r="A1886" s="1">
        <v>28696</v>
      </c>
      <c r="B1886">
        <v>123.790001</v>
      </c>
      <c r="C1886">
        <f t="shared" si="75"/>
        <v>1.6182944127614053E-3</v>
      </c>
      <c r="D1886">
        <f t="shared" si="74"/>
        <v>9.2278946644468826E-2</v>
      </c>
    </row>
    <row r="1887" spans="1:4" x14ac:dyDescent="0.3">
      <c r="A1887" s="1">
        <v>28697</v>
      </c>
      <c r="B1887">
        <v>124.480003</v>
      </c>
      <c r="C1887">
        <f t="shared" si="75"/>
        <v>5.5739720044108623E-3</v>
      </c>
      <c r="D1887">
        <f t="shared" si="74"/>
        <v>0.40871688813297624</v>
      </c>
    </row>
    <row r="1888" spans="1:4" x14ac:dyDescent="0.3">
      <c r="A1888" s="1">
        <v>28698</v>
      </c>
      <c r="B1888">
        <v>125.129997</v>
      </c>
      <c r="C1888">
        <f t="shared" si="75"/>
        <v>5.2216740386807885E-3</v>
      </c>
      <c r="D1888">
        <f t="shared" si="74"/>
        <v>0.38053449953246155</v>
      </c>
    </row>
    <row r="1889" spans="1:4" x14ac:dyDescent="0.3">
      <c r="A1889" s="1">
        <v>28699</v>
      </c>
      <c r="B1889">
        <v>125.620003</v>
      </c>
      <c r="C1889">
        <f t="shared" si="75"/>
        <v>3.9159754794846988E-3</v>
      </c>
      <c r="D1889">
        <f t="shared" si="74"/>
        <v>0.27608398386133121</v>
      </c>
    </row>
    <row r="1890" spans="1:4" x14ac:dyDescent="0.3">
      <c r="A1890" s="1">
        <v>28702</v>
      </c>
      <c r="B1890">
        <v>126.32</v>
      </c>
      <c r="C1890">
        <f t="shared" si="75"/>
        <v>5.5723370743749803E-3</v>
      </c>
      <c r="D1890">
        <f t="shared" si="74"/>
        <v>0.40858610045297816</v>
      </c>
    </row>
    <row r="1891" spans="1:4" x14ac:dyDescent="0.3">
      <c r="A1891" s="1">
        <v>28703</v>
      </c>
      <c r="B1891">
        <v>126.80999799999999</v>
      </c>
      <c r="C1891">
        <f t="shared" si="75"/>
        <v>3.8790215326155791E-3</v>
      </c>
      <c r="D1891">
        <f t="shared" si="74"/>
        <v>0.2731278200673391</v>
      </c>
    </row>
    <row r="1892" spans="1:4" x14ac:dyDescent="0.3">
      <c r="A1892" s="1">
        <v>28704</v>
      </c>
      <c r="B1892">
        <v>128.16000399999999</v>
      </c>
      <c r="C1892">
        <f t="shared" si="75"/>
        <v>1.0645895602017071E-2</v>
      </c>
      <c r="D1892">
        <f t="shared" si="74"/>
        <v>0.81444992006702088</v>
      </c>
    </row>
    <row r="1893" spans="1:4" x14ac:dyDescent="0.3">
      <c r="A1893" s="1">
        <v>28705</v>
      </c>
      <c r="B1893">
        <v>129.020004</v>
      </c>
      <c r="C1893">
        <f t="shared" si="75"/>
        <v>6.7103618380037955E-3</v>
      </c>
      <c r="D1893">
        <f t="shared" si="74"/>
        <v>0.49962340195749372</v>
      </c>
    </row>
    <row r="1894" spans="1:4" x14ac:dyDescent="0.3">
      <c r="A1894" s="1">
        <v>28706</v>
      </c>
      <c r="B1894">
        <v>129.71000699999999</v>
      </c>
      <c r="C1894">
        <f t="shared" si="75"/>
        <v>5.348031147169939E-3</v>
      </c>
      <c r="D1894">
        <f t="shared" si="74"/>
        <v>0.39064254862805881</v>
      </c>
    </row>
    <row r="1895" spans="1:4" x14ac:dyDescent="0.3">
      <c r="A1895" s="1">
        <v>28709</v>
      </c>
      <c r="B1895">
        <v>130.21000699999999</v>
      </c>
      <c r="C1895">
        <f t="shared" si="75"/>
        <v>3.8547527023107789E-3</v>
      </c>
      <c r="D1895">
        <f t="shared" si="74"/>
        <v>0.27118641343698158</v>
      </c>
    </row>
    <row r="1896" spans="1:4" x14ac:dyDescent="0.3">
      <c r="A1896" s="1">
        <v>28710</v>
      </c>
      <c r="B1896">
        <v>130.490005</v>
      </c>
      <c r="C1896">
        <f t="shared" si="75"/>
        <v>2.1503569998272574E-3</v>
      </c>
      <c r="D1896">
        <f t="shared" si="74"/>
        <v>0.13484176575530604</v>
      </c>
    </row>
    <row r="1897" spans="1:4" x14ac:dyDescent="0.3">
      <c r="A1897" s="1">
        <v>28711</v>
      </c>
      <c r="B1897">
        <v>131.63999899999999</v>
      </c>
      <c r="C1897">
        <f t="shared" si="75"/>
        <v>8.8128895389343615E-3</v>
      </c>
      <c r="D1897">
        <f t="shared" si="74"/>
        <v>0.66781697238637305</v>
      </c>
    </row>
    <row r="1898" spans="1:4" x14ac:dyDescent="0.3">
      <c r="A1898" s="1">
        <v>28712</v>
      </c>
      <c r="B1898">
        <v>131.58000200000001</v>
      </c>
      <c r="C1898">
        <f t="shared" si="75"/>
        <v>-4.5576572816580945E-4</v>
      </c>
      <c r="D1898">
        <f t="shared" si="74"/>
        <v>-7.3637336043448548E-2</v>
      </c>
    </row>
    <row r="1899" spans="1:4" x14ac:dyDescent="0.3">
      <c r="A1899" s="1">
        <v>28713</v>
      </c>
      <c r="B1899">
        <v>132</v>
      </c>
      <c r="C1899">
        <f t="shared" si="75"/>
        <v>3.1919592158084365E-3</v>
      </c>
      <c r="D1899">
        <f t="shared" si="74"/>
        <v>0.21816565993989573</v>
      </c>
    </row>
    <row r="1900" spans="1:4" x14ac:dyDescent="0.3">
      <c r="A1900" s="1">
        <v>28716</v>
      </c>
      <c r="B1900">
        <v>132.11000100000001</v>
      </c>
      <c r="C1900">
        <f t="shared" si="75"/>
        <v>8.3334090909099336E-4</v>
      </c>
      <c r="D1900">
        <f t="shared" si="74"/>
        <v>2.9485894098929519E-2</v>
      </c>
    </row>
    <row r="1901" spans="1:4" x14ac:dyDescent="0.3">
      <c r="A1901" s="1">
        <v>28717</v>
      </c>
      <c r="B1901">
        <v>131.949997</v>
      </c>
      <c r="C1901">
        <f t="shared" si="75"/>
        <v>-1.2111422207923147E-3</v>
      </c>
      <c r="D1901">
        <f t="shared" si="74"/>
        <v>-0.13406434932687145</v>
      </c>
    </row>
    <row r="1902" spans="1:4" x14ac:dyDescent="0.3">
      <c r="A1902" s="1">
        <v>28718</v>
      </c>
      <c r="B1902">
        <v>132.770004</v>
      </c>
      <c r="C1902">
        <f t="shared" si="75"/>
        <v>6.2145283716831309E-3</v>
      </c>
      <c r="D1902">
        <f t="shared" si="74"/>
        <v>0.45995876353123688</v>
      </c>
    </row>
    <row r="1903" spans="1:4" x14ac:dyDescent="0.3">
      <c r="A1903" s="1">
        <v>28719</v>
      </c>
      <c r="B1903">
        <v>134.13999899999999</v>
      </c>
      <c r="C1903">
        <f t="shared" si="75"/>
        <v>1.031855809840895E-2</v>
      </c>
      <c r="D1903">
        <f t="shared" si="74"/>
        <v>0.78826426579822884</v>
      </c>
    </row>
    <row r="1904" spans="1:4" x14ac:dyDescent="0.3">
      <c r="A1904" s="1">
        <v>28720</v>
      </c>
      <c r="B1904">
        <v>134.71000699999999</v>
      </c>
      <c r="C1904">
        <f t="shared" si="75"/>
        <v>4.2493514555639843E-3</v>
      </c>
      <c r="D1904">
        <f t="shared" si="74"/>
        <v>0.30275269109746922</v>
      </c>
    </row>
    <row r="1905" spans="1:4" x14ac:dyDescent="0.3">
      <c r="A1905" s="1">
        <v>28723</v>
      </c>
      <c r="B1905">
        <v>133.770004</v>
      </c>
      <c r="C1905">
        <f t="shared" si="75"/>
        <v>-6.9779745464640221E-3</v>
      </c>
      <c r="D1905">
        <f t="shared" si="74"/>
        <v>-0.59538722202439198</v>
      </c>
    </row>
    <row r="1906" spans="1:4" x14ac:dyDescent="0.3">
      <c r="A1906" s="1">
        <v>28724</v>
      </c>
      <c r="B1906">
        <v>133.86999499999999</v>
      </c>
      <c r="C1906">
        <f t="shared" si="75"/>
        <v>7.4748446594939634E-4</v>
      </c>
      <c r="D1906">
        <f t="shared" si="74"/>
        <v>2.2617731691405477E-2</v>
      </c>
    </row>
    <row r="1907" spans="1:4" x14ac:dyDescent="0.3">
      <c r="A1907" s="1">
        <v>28725</v>
      </c>
      <c r="B1907">
        <v>134.729996</v>
      </c>
      <c r="C1907">
        <f t="shared" si="75"/>
        <v>6.4241505350023445E-3</v>
      </c>
      <c r="D1907">
        <f t="shared" si="74"/>
        <v>0.47672767462528792</v>
      </c>
    </row>
    <row r="1908" spans="1:4" x14ac:dyDescent="0.3">
      <c r="A1908" s="1">
        <v>28726</v>
      </c>
      <c r="B1908">
        <v>135.279999</v>
      </c>
      <c r="C1908">
        <f t="shared" si="75"/>
        <v>4.0822609391304651E-3</v>
      </c>
      <c r="D1908">
        <f t="shared" si="74"/>
        <v>0.28938613686309672</v>
      </c>
    </row>
    <row r="1909" spans="1:4" x14ac:dyDescent="0.3">
      <c r="A1909" s="1">
        <v>28727</v>
      </c>
      <c r="B1909">
        <v>135.83999600000001</v>
      </c>
      <c r="C1909">
        <f t="shared" si="75"/>
        <v>4.1395402434916476E-3</v>
      </c>
      <c r="D1909">
        <f t="shared" si="74"/>
        <v>0.29396824567808444</v>
      </c>
    </row>
    <row r="1910" spans="1:4" x14ac:dyDescent="0.3">
      <c r="A1910" s="1">
        <v>28730</v>
      </c>
      <c r="B1910">
        <v>135.240005</v>
      </c>
      <c r="C1910">
        <f t="shared" si="75"/>
        <v>-4.4168950063869037E-3</v>
      </c>
      <c r="D1910">
        <f t="shared" si="74"/>
        <v>-0.39051139004021784</v>
      </c>
    </row>
    <row r="1911" spans="1:4" x14ac:dyDescent="0.3">
      <c r="A1911" s="1">
        <v>28731</v>
      </c>
      <c r="B1911">
        <v>134.63000500000001</v>
      </c>
      <c r="C1911">
        <f t="shared" si="75"/>
        <v>-4.5104996853555668E-3</v>
      </c>
      <c r="D1911">
        <f t="shared" si="74"/>
        <v>-0.39799937945297109</v>
      </c>
    </row>
    <row r="1912" spans="1:4" x14ac:dyDescent="0.3">
      <c r="A1912" s="1">
        <v>28732</v>
      </c>
      <c r="B1912">
        <v>134.75</v>
      </c>
      <c r="C1912">
        <f t="shared" si="75"/>
        <v>8.9129462633525671E-4</v>
      </c>
      <c r="D1912">
        <f t="shared" si="74"/>
        <v>3.4121953171361338E-2</v>
      </c>
    </row>
    <row r="1913" spans="1:4" x14ac:dyDescent="0.3">
      <c r="A1913" s="1">
        <v>28733</v>
      </c>
      <c r="B1913">
        <v>135.009995</v>
      </c>
      <c r="C1913">
        <f t="shared" si="75"/>
        <v>1.9294619666048499E-3</v>
      </c>
      <c r="D1913">
        <f t="shared" si="74"/>
        <v>0.11717107142331751</v>
      </c>
    </row>
    <row r="1914" spans="1:4" x14ac:dyDescent="0.3">
      <c r="A1914" s="1">
        <v>28734</v>
      </c>
      <c r="B1914">
        <v>135.35000600000001</v>
      </c>
      <c r="C1914">
        <f t="shared" si="75"/>
        <v>2.5184135441231894E-3</v>
      </c>
      <c r="D1914">
        <f t="shared" si="74"/>
        <v>0.16428477584142717</v>
      </c>
    </row>
    <row r="1915" spans="1:4" x14ac:dyDescent="0.3">
      <c r="A1915" s="1">
        <v>28738</v>
      </c>
      <c r="B1915">
        <v>135.46000699999999</v>
      </c>
      <c r="C1915">
        <f t="shared" si="75"/>
        <v>8.1271514683185677E-4</v>
      </c>
      <c r="D1915">
        <f t="shared" si="74"/>
        <v>2.7835917931839784E-2</v>
      </c>
    </row>
    <row r="1916" spans="1:4" x14ac:dyDescent="0.3">
      <c r="A1916" s="1">
        <v>28739</v>
      </c>
      <c r="B1916">
        <v>136.479996</v>
      </c>
      <c r="C1916">
        <f t="shared" si="75"/>
        <v>7.5298165310150149E-3</v>
      </c>
      <c r="D1916">
        <f t="shared" si="74"/>
        <v>0.56517640778055933</v>
      </c>
    </row>
    <row r="1917" spans="1:4" x14ac:dyDescent="0.3">
      <c r="A1917" s="1">
        <v>28740</v>
      </c>
      <c r="B1917">
        <v>137.08999600000001</v>
      </c>
      <c r="C1917">
        <f t="shared" si="75"/>
        <v>4.4695194744877754E-3</v>
      </c>
      <c r="D1917">
        <f t="shared" si="74"/>
        <v>0.32036522727506911</v>
      </c>
    </row>
    <row r="1918" spans="1:4" x14ac:dyDescent="0.3">
      <c r="A1918" s="1">
        <v>28741</v>
      </c>
      <c r="B1918">
        <v>138.36000100000001</v>
      </c>
      <c r="C1918">
        <f t="shared" si="75"/>
        <v>9.2640239044138387E-3</v>
      </c>
      <c r="D1918">
        <f t="shared" si="74"/>
        <v>0.70390586654913589</v>
      </c>
    </row>
    <row r="1919" spans="1:4" x14ac:dyDescent="0.3">
      <c r="A1919" s="1">
        <v>28744</v>
      </c>
      <c r="B1919">
        <v>138.949997</v>
      </c>
      <c r="C1919">
        <f t="shared" si="75"/>
        <v>4.2642092782290818E-3</v>
      </c>
      <c r="D1919">
        <f t="shared" si="74"/>
        <v>0.30394125581494519</v>
      </c>
    </row>
    <row r="1920" spans="1:4" x14ac:dyDescent="0.3">
      <c r="A1920" s="1">
        <v>28745</v>
      </c>
      <c r="B1920">
        <v>139.240005</v>
      </c>
      <c r="C1920">
        <f t="shared" si="75"/>
        <v>2.0871393037885438E-3</v>
      </c>
      <c r="D1920">
        <f t="shared" si="74"/>
        <v>0.12978461002492833</v>
      </c>
    </row>
    <row r="1921" spans="1:4" x14ac:dyDescent="0.3">
      <c r="A1921" s="1">
        <v>28746</v>
      </c>
      <c r="B1921">
        <v>139.25</v>
      </c>
      <c r="C1921">
        <f t="shared" si="75"/>
        <v>7.178253117703874E-5</v>
      </c>
      <c r="D1921">
        <f t="shared" si="74"/>
        <v>-3.1435644587425135E-2</v>
      </c>
    </row>
    <row r="1922" spans="1:4" x14ac:dyDescent="0.3">
      <c r="A1922" s="1">
        <v>28747</v>
      </c>
      <c r="B1922">
        <v>138.33999600000001</v>
      </c>
      <c r="C1922">
        <f t="shared" si="75"/>
        <v>-6.5350377019747687E-3</v>
      </c>
      <c r="D1922">
        <f t="shared" si="74"/>
        <v>-0.55995409583243938</v>
      </c>
    </row>
    <row r="1923" spans="1:4" x14ac:dyDescent="0.3">
      <c r="A1923" s="1">
        <v>28748</v>
      </c>
      <c r="B1923">
        <v>137.36000100000001</v>
      </c>
      <c r="C1923">
        <f t="shared" si="75"/>
        <v>-7.0839600139933666E-3</v>
      </c>
      <c r="D1923">
        <f t="shared" ref="D1923:D1986" si="76">(C1923-avrtn)/sdrtn</f>
        <v>-0.603865623611893</v>
      </c>
    </row>
    <row r="1924" spans="1:4" x14ac:dyDescent="0.3">
      <c r="A1924" s="1">
        <v>28751</v>
      </c>
      <c r="B1924">
        <v>135.64999399999999</v>
      </c>
      <c r="C1924">
        <f t="shared" ref="C1924:C1987" si="77">(B1924-B1923)/B1923</f>
        <v>-1.2449089891896685E-2</v>
      </c>
      <c r="D1924">
        <f t="shared" si="76"/>
        <v>-1.0330539522982776</v>
      </c>
    </row>
    <row r="1925" spans="1:4" x14ac:dyDescent="0.3">
      <c r="A1925" s="1">
        <v>28752</v>
      </c>
      <c r="B1925">
        <v>134.05999800000001</v>
      </c>
      <c r="C1925">
        <f t="shared" si="77"/>
        <v>-1.1721312718966911E-2</v>
      </c>
      <c r="D1925">
        <f t="shared" si="76"/>
        <v>-0.9748347711015124</v>
      </c>
    </row>
    <row r="1926" spans="1:4" x14ac:dyDescent="0.3">
      <c r="A1926" s="1">
        <v>28753</v>
      </c>
      <c r="B1926">
        <v>132.66000399999999</v>
      </c>
      <c r="C1926">
        <f t="shared" si="77"/>
        <v>-1.0443040585455034E-2</v>
      </c>
      <c r="D1926">
        <f t="shared" si="76"/>
        <v>-0.87257825670698275</v>
      </c>
    </row>
    <row r="1927" spans="1:4" x14ac:dyDescent="0.3">
      <c r="A1927" s="1">
        <v>28754</v>
      </c>
      <c r="B1927">
        <v>132.10000600000001</v>
      </c>
      <c r="C1927">
        <f t="shared" si="77"/>
        <v>-4.2213024507369908E-3</v>
      </c>
      <c r="D1927">
        <f t="shared" si="76"/>
        <v>-0.37486478986961941</v>
      </c>
    </row>
    <row r="1928" spans="1:4" x14ac:dyDescent="0.3">
      <c r="A1928" s="1">
        <v>28755</v>
      </c>
      <c r="B1928">
        <v>132.300003</v>
      </c>
      <c r="C1928">
        <f t="shared" si="77"/>
        <v>1.5139817631802091E-3</v>
      </c>
      <c r="D1928">
        <f t="shared" si="76"/>
        <v>8.3934363614151214E-2</v>
      </c>
    </row>
    <row r="1929" spans="1:4" x14ac:dyDescent="0.3">
      <c r="A1929" s="1">
        <v>28758</v>
      </c>
      <c r="B1929">
        <v>132.11000100000001</v>
      </c>
      <c r="C1929">
        <f t="shared" si="77"/>
        <v>-1.4361450921508495E-3</v>
      </c>
      <c r="D1929">
        <f t="shared" si="76"/>
        <v>-0.15206365381821882</v>
      </c>
    </row>
    <row r="1930" spans="1:4" x14ac:dyDescent="0.3">
      <c r="A1930" s="1">
        <v>28759</v>
      </c>
      <c r="B1930">
        <v>132.91999799999999</v>
      </c>
      <c r="C1930">
        <f t="shared" si="77"/>
        <v>6.1312315030561644E-3</v>
      </c>
      <c r="D1930">
        <f t="shared" si="76"/>
        <v>0.45329535655984998</v>
      </c>
    </row>
    <row r="1931" spans="1:4" x14ac:dyDescent="0.3">
      <c r="A1931" s="1">
        <v>28760</v>
      </c>
      <c r="B1931">
        <v>132.009995</v>
      </c>
      <c r="C1931">
        <f t="shared" si="77"/>
        <v>-6.846245965185683E-3</v>
      </c>
      <c r="D1931">
        <f t="shared" si="76"/>
        <v>-0.58484947719328773</v>
      </c>
    </row>
    <row r="1932" spans="1:4" x14ac:dyDescent="0.3">
      <c r="A1932" s="1">
        <v>28761</v>
      </c>
      <c r="B1932">
        <v>132.11000100000001</v>
      </c>
      <c r="C1932">
        <f t="shared" si="77"/>
        <v>7.5756384961614149E-4</v>
      </c>
      <c r="D1932">
        <f t="shared" si="76"/>
        <v>2.3424040938071797E-2</v>
      </c>
    </row>
    <row r="1933" spans="1:4" x14ac:dyDescent="0.3">
      <c r="A1933" s="1">
        <v>28762</v>
      </c>
      <c r="B1933">
        <v>132.88999899999999</v>
      </c>
      <c r="C1933">
        <f t="shared" si="77"/>
        <v>5.9041555831944748E-3</v>
      </c>
      <c r="D1933">
        <f t="shared" si="76"/>
        <v>0.4351302167126766</v>
      </c>
    </row>
    <row r="1934" spans="1:4" x14ac:dyDescent="0.3">
      <c r="A1934" s="1">
        <v>28765</v>
      </c>
      <c r="B1934">
        <v>133.300003</v>
      </c>
      <c r="C1934">
        <f t="shared" si="77"/>
        <v>3.0852886077605804E-3</v>
      </c>
      <c r="D1934">
        <f t="shared" si="76"/>
        <v>0.20963244992822846</v>
      </c>
    </row>
    <row r="1935" spans="1:4" x14ac:dyDescent="0.3">
      <c r="A1935" s="1">
        <v>28766</v>
      </c>
      <c r="B1935">
        <v>133.11000100000001</v>
      </c>
      <c r="C1935">
        <f t="shared" si="77"/>
        <v>-1.4253713107567798E-3</v>
      </c>
      <c r="D1935">
        <f t="shared" si="76"/>
        <v>-0.15120179560874705</v>
      </c>
    </row>
    <row r="1936" spans="1:4" x14ac:dyDescent="0.3">
      <c r="A1936" s="1">
        <v>28767</v>
      </c>
      <c r="B1936">
        <v>133.10000600000001</v>
      </c>
      <c r="C1936">
        <f t="shared" si="77"/>
        <v>-7.5088272292955121E-5</v>
      </c>
      <c r="D1936">
        <f t="shared" si="76"/>
        <v>-4.3184704928672116E-2</v>
      </c>
    </row>
    <row r="1937" spans="1:4" x14ac:dyDescent="0.3">
      <c r="A1937" s="1">
        <v>28768</v>
      </c>
      <c r="B1937">
        <v>133.53999300000001</v>
      </c>
      <c r="C1937">
        <f t="shared" si="77"/>
        <v>3.3056873040261327E-3</v>
      </c>
      <c r="D1937">
        <f t="shared" si="76"/>
        <v>0.22726343934461835</v>
      </c>
    </row>
    <row r="1938" spans="1:4" x14ac:dyDescent="0.3">
      <c r="A1938" s="1">
        <v>28769</v>
      </c>
      <c r="B1938">
        <v>134</v>
      </c>
      <c r="C1938">
        <f t="shared" si="77"/>
        <v>3.4447133751159494E-3</v>
      </c>
      <c r="D1938">
        <f t="shared" si="76"/>
        <v>0.23838495335318347</v>
      </c>
    </row>
    <row r="1939" spans="1:4" x14ac:dyDescent="0.3">
      <c r="A1939" s="1">
        <v>28772</v>
      </c>
      <c r="B1939">
        <v>134.63999899999999</v>
      </c>
      <c r="C1939">
        <f t="shared" si="77"/>
        <v>4.7761119402984246E-3</v>
      </c>
      <c r="D1939">
        <f t="shared" si="76"/>
        <v>0.34489136382416857</v>
      </c>
    </row>
    <row r="1940" spans="1:4" x14ac:dyDescent="0.3">
      <c r="A1940" s="1">
        <v>28773</v>
      </c>
      <c r="B1940">
        <v>134.929993</v>
      </c>
      <c r="C1940">
        <f t="shared" si="77"/>
        <v>2.1538473124914923E-3</v>
      </c>
      <c r="D1940">
        <f t="shared" si="76"/>
        <v>0.13512097641619339</v>
      </c>
    </row>
    <row r="1941" spans="1:4" x14ac:dyDescent="0.3">
      <c r="A1941" s="1">
        <v>28774</v>
      </c>
      <c r="B1941">
        <v>135.270004</v>
      </c>
      <c r="C1941">
        <f t="shared" si="77"/>
        <v>2.5199067489761456E-3</v>
      </c>
      <c r="D1941">
        <f t="shared" si="76"/>
        <v>0.16440422608956862</v>
      </c>
    </row>
    <row r="1942" spans="1:4" x14ac:dyDescent="0.3">
      <c r="A1942" s="1">
        <v>28775</v>
      </c>
      <c r="B1942">
        <v>135.570007</v>
      </c>
      <c r="C1942">
        <f t="shared" si="77"/>
        <v>2.2178087612092019E-3</v>
      </c>
      <c r="D1942">
        <f t="shared" si="76"/>
        <v>0.14023762930256148</v>
      </c>
    </row>
    <row r="1943" spans="1:4" x14ac:dyDescent="0.3">
      <c r="A1943" s="1">
        <v>28776</v>
      </c>
      <c r="B1943">
        <v>135.58000200000001</v>
      </c>
      <c r="C1943">
        <f t="shared" si="77"/>
        <v>7.3725746728061522E-5</v>
      </c>
      <c r="D1943">
        <f t="shared" si="76"/>
        <v>-3.128019533389341E-2</v>
      </c>
    </row>
    <row r="1944" spans="1:4" x14ac:dyDescent="0.3">
      <c r="A1944" s="1">
        <v>28779</v>
      </c>
      <c r="B1944">
        <v>133.94000199999999</v>
      </c>
      <c r="C1944">
        <f t="shared" si="77"/>
        <v>-1.2096179199053373E-2</v>
      </c>
      <c r="D1944">
        <f t="shared" si="76"/>
        <v>-1.0048225480482527</v>
      </c>
    </row>
    <row r="1945" spans="1:4" x14ac:dyDescent="0.3">
      <c r="A1945" s="1">
        <v>28780</v>
      </c>
      <c r="B1945">
        <v>130.96000699999999</v>
      </c>
      <c r="C1945">
        <f t="shared" si="77"/>
        <v>-2.2248730442754529E-2</v>
      </c>
      <c r="D1945">
        <f t="shared" si="76"/>
        <v>-1.8169849000041798</v>
      </c>
    </row>
    <row r="1946" spans="1:4" x14ac:dyDescent="0.3">
      <c r="A1946" s="1">
        <v>28781</v>
      </c>
      <c r="B1946">
        <v>128.91999799999999</v>
      </c>
      <c r="C1946">
        <f t="shared" si="77"/>
        <v>-1.5577343394613578E-2</v>
      </c>
      <c r="D1946">
        <f t="shared" si="76"/>
        <v>-1.2833013690603639</v>
      </c>
    </row>
    <row r="1947" spans="1:4" x14ac:dyDescent="0.3">
      <c r="A1947" s="1">
        <v>28782</v>
      </c>
      <c r="B1947">
        <v>127.220001</v>
      </c>
      <c r="C1947">
        <f t="shared" si="77"/>
        <v>-1.3186449165163625E-2</v>
      </c>
      <c r="D1947">
        <f t="shared" si="76"/>
        <v>-1.092039662120184</v>
      </c>
    </row>
    <row r="1948" spans="1:4" x14ac:dyDescent="0.3">
      <c r="A1948" s="1">
        <v>28783</v>
      </c>
      <c r="B1948">
        <v>123.82</v>
      </c>
      <c r="C1948">
        <f t="shared" si="77"/>
        <v>-2.6725365298495819E-2</v>
      </c>
      <c r="D1948">
        <f t="shared" si="76"/>
        <v>-2.1750972804309638</v>
      </c>
    </row>
    <row r="1949" spans="1:4" x14ac:dyDescent="0.3">
      <c r="A1949" s="1">
        <v>28786</v>
      </c>
      <c r="B1949">
        <v>121.94000200000001</v>
      </c>
      <c r="C1949">
        <f t="shared" si="77"/>
        <v>-1.5183314488773917E-2</v>
      </c>
      <c r="D1949">
        <f t="shared" si="76"/>
        <v>-1.251780676849733</v>
      </c>
    </row>
    <row r="1950" spans="1:4" x14ac:dyDescent="0.3">
      <c r="A1950" s="1">
        <v>28787</v>
      </c>
      <c r="B1950">
        <v>121.139999</v>
      </c>
      <c r="C1950">
        <f t="shared" si="77"/>
        <v>-6.5606280701881875E-3</v>
      </c>
      <c r="D1950">
        <f t="shared" si="76"/>
        <v>-0.56200122006129005</v>
      </c>
    </row>
    <row r="1951" spans="1:4" x14ac:dyDescent="0.3">
      <c r="A1951" s="1">
        <v>28788</v>
      </c>
      <c r="B1951">
        <v>121.160004</v>
      </c>
      <c r="C1951">
        <f t="shared" si="77"/>
        <v>1.6513950937045664E-4</v>
      </c>
      <c r="D1951">
        <f t="shared" si="76"/>
        <v>-2.3967470218139848E-2</v>
      </c>
    </row>
    <row r="1952" spans="1:4" x14ac:dyDescent="0.3">
      <c r="A1952" s="1">
        <v>28789</v>
      </c>
      <c r="B1952">
        <v>118</v>
      </c>
      <c r="C1952">
        <f t="shared" si="77"/>
        <v>-2.6081247075561344E-2</v>
      </c>
      <c r="D1952">
        <f t="shared" si="76"/>
        <v>-2.1235704712261647</v>
      </c>
    </row>
    <row r="1953" spans="1:4" x14ac:dyDescent="0.3">
      <c r="A1953" s="1">
        <v>28790</v>
      </c>
      <c r="B1953">
        <v>115.25</v>
      </c>
      <c r="C1953">
        <f t="shared" si="77"/>
        <v>-2.3305084745762712E-2</v>
      </c>
      <c r="D1953">
        <f t="shared" si="76"/>
        <v>-1.9014889004899855</v>
      </c>
    </row>
    <row r="1954" spans="1:4" x14ac:dyDescent="0.3">
      <c r="A1954" s="1">
        <v>28793</v>
      </c>
      <c r="B1954">
        <v>112.400002</v>
      </c>
      <c r="C1954">
        <f t="shared" si="77"/>
        <v>-2.4728832971800428E-2</v>
      </c>
      <c r="D1954">
        <f t="shared" si="76"/>
        <v>-2.0153829040853153</v>
      </c>
    </row>
    <row r="1955" spans="1:4" x14ac:dyDescent="0.3">
      <c r="A1955" s="1">
        <v>28794</v>
      </c>
      <c r="B1955">
        <v>111.120003</v>
      </c>
      <c r="C1955">
        <f t="shared" si="77"/>
        <v>-1.1387891256443249E-2</v>
      </c>
      <c r="D1955">
        <f t="shared" si="76"/>
        <v>-0.94816242513686566</v>
      </c>
    </row>
    <row r="1956" spans="1:4" x14ac:dyDescent="0.3">
      <c r="A1956" s="1">
        <v>28795</v>
      </c>
      <c r="B1956">
        <v>114.650002</v>
      </c>
      <c r="C1956">
        <f t="shared" si="77"/>
        <v>3.1767448746379205E-2</v>
      </c>
      <c r="D1956">
        <f t="shared" si="76"/>
        <v>2.5040873192704991</v>
      </c>
    </row>
    <row r="1957" spans="1:4" x14ac:dyDescent="0.3">
      <c r="A1957" s="1">
        <v>28796</v>
      </c>
      <c r="B1957">
        <v>114.629997</v>
      </c>
      <c r="C1957">
        <f t="shared" si="77"/>
        <v>-1.7448756782400762E-4</v>
      </c>
      <c r="D1957">
        <f t="shared" si="76"/>
        <v>-5.1136239838810826E-2</v>
      </c>
    </row>
    <row r="1958" spans="1:4" x14ac:dyDescent="0.3">
      <c r="A1958" s="1">
        <v>28797</v>
      </c>
      <c r="B1958">
        <v>115.489998</v>
      </c>
      <c r="C1958">
        <f t="shared" si="77"/>
        <v>7.5024079430098638E-3</v>
      </c>
      <c r="D1958">
        <f t="shared" si="76"/>
        <v>0.56298383344493463</v>
      </c>
    </row>
    <row r="1959" spans="1:4" x14ac:dyDescent="0.3">
      <c r="A1959" s="1">
        <v>28800</v>
      </c>
      <c r="B1959">
        <v>115.08000199999999</v>
      </c>
      <c r="C1959">
        <f t="shared" si="77"/>
        <v>-3.5500563434073891E-3</v>
      </c>
      <c r="D1959">
        <f t="shared" si="76"/>
        <v>-0.32116786146373733</v>
      </c>
    </row>
    <row r="1960" spans="1:4" x14ac:dyDescent="0.3">
      <c r="A1960" s="1">
        <v>28801</v>
      </c>
      <c r="B1960">
        <v>112.83000199999999</v>
      </c>
      <c r="C1960">
        <f t="shared" si="77"/>
        <v>-1.9551615927153009E-2</v>
      </c>
      <c r="D1960">
        <f t="shared" si="76"/>
        <v>-1.6012268293572152</v>
      </c>
    </row>
    <row r="1961" spans="1:4" x14ac:dyDescent="0.3">
      <c r="A1961" s="1">
        <v>28802</v>
      </c>
      <c r="B1961">
        <v>112.989998</v>
      </c>
      <c r="C1961">
        <f t="shared" si="77"/>
        <v>1.4180270953111098E-3</v>
      </c>
      <c r="D1961">
        <f t="shared" si="76"/>
        <v>7.6258384752575181E-2</v>
      </c>
    </row>
    <row r="1962" spans="1:4" x14ac:dyDescent="0.3">
      <c r="A1962" s="1">
        <v>28803</v>
      </c>
      <c r="B1962">
        <v>113.879997</v>
      </c>
      <c r="C1962">
        <f t="shared" si="77"/>
        <v>7.8767945460093119E-3</v>
      </c>
      <c r="D1962">
        <f t="shared" si="76"/>
        <v>0.59293322219798006</v>
      </c>
    </row>
    <row r="1963" spans="1:4" x14ac:dyDescent="0.3">
      <c r="A1963" s="1">
        <v>28804</v>
      </c>
      <c r="B1963">
        <v>114.839996</v>
      </c>
      <c r="C1963">
        <f t="shared" si="77"/>
        <v>8.4299176790459188E-3</v>
      </c>
      <c r="D1963">
        <f t="shared" si="76"/>
        <v>0.63718079838499531</v>
      </c>
    </row>
    <row r="1964" spans="1:4" x14ac:dyDescent="0.3">
      <c r="A1964" s="1">
        <v>28807</v>
      </c>
      <c r="B1964">
        <v>113</v>
      </c>
      <c r="C1964">
        <f t="shared" si="77"/>
        <v>-1.6022257611363895E-2</v>
      </c>
      <c r="D1964">
        <f t="shared" si="76"/>
        <v>-1.3188926769021982</v>
      </c>
    </row>
    <row r="1965" spans="1:4" x14ac:dyDescent="0.3">
      <c r="A1965" s="1">
        <v>28808</v>
      </c>
      <c r="B1965">
        <v>110.879997</v>
      </c>
      <c r="C1965">
        <f t="shared" si="77"/>
        <v>-1.8761088495575194E-2</v>
      </c>
      <c r="D1965">
        <f t="shared" si="76"/>
        <v>-1.5379878854992122</v>
      </c>
    </row>
    <row r="1966" spans="1:4" x14ac:dyDescent="0.3">
      <c r="A1966" s="1">
        <v>28809</v>
      </c>
      <c r="B1966">
        <v>111.44000200000001</v>
      </c>
      <c r="C1966">
        <f t="shared" si="77"/>
        <v>5.0505502809492665E-3</v>
      </c>
      <c r="D1966">
        <f t="shared" si="76"/>
        <v>0.36684530257903614</v>
      </c>
    </row>
    <row r="1967" spans="1:4" x14ac:dyDescent="0.3">
      <c r="A1967" s="1">
        <v>28810</v>
      </c>
      <c r="B1967">
        <v>112.209999</v>
      </c>
      <c r="C1967">
        <f t="shared" si="77"/>
        <v>6.9095206943731871E-3</v>
      </c>
      <c r="D1967">
        <f t="shared" si="76"/>
        <v>0.51555529152093427</v>
      </c>
    </row>
    <row r="1968" spans="1:4" x14ac:dyDescent="0.3">
      <c r="A1968" s="1">
        <v>28811</v>
      </c>
      <c r="B1968">
        <v>113.69000200000001</v>
      </c>
      <c r="C1968">
        <f t="shared" si="77"/>
        <v>1.3189582151230663E-2</v>
      </c>
      <c r="D1968">
        <f t="shared" si="76"/>
        <v>1.0179343843025188</v>
      </c>
    </row>
    <row r="1969" spans="1:4" x14ac:dyDescent="0.3">
      <c r="A1969" s="1">
        <v>28814</v>
      </c>
      <c r="B1969">
        <v>114.510002</v>
      </c>
      <c r="C1969">
        <f t="shared" si="77"/>
        <v>7.212595527969057E-3</v>
      </c>
      <c r="D1969">
        <f t="shared" si="76"/>
        <v>0.53980003195744142</v>
      </c>
    </row>
    <row r="1970" spans="1:4" x14ac:dyDescent="0.3">
      <c r="A1970" s="1">
        <v>28815</v>
      </c>
      <c r="B1970">
        <v>114.55999799999999</v>
      </c>
      <c r="C1970">
        <f t="shared" si="77"/>
        <v>4.366081488671448E-4</v>
      </c>
      <c r="D1970">
        <f t="shared" si="76"/>
        <v>-2.2510953441204759E-3</v>
      </c>
    </row>
    <row r="1971" spans="1:4" x14ac:dyDescent="0.3">
      <c r="A1971" s="1">
        <v>28816</v>
      </c>
      <c r="B1971">
        <v>115.370003</v>
      </c>
      <c r="C1971">
        <f t="shared" si="77"/>
        <v>7.0705744949472148E-3</v>
      </c>
      <c r="D1971">
        <f t="shared" si="76"/>
        <v>0.5284389333096714</v>
      </c>
    </row>
    <row r="1972" spans="1:4" x14ac:dyDescent="0.3">
      <c r="A1972" s="1">
        <v>28818</v>
      </c>
      <c r="B1972">
        <v>116.16999800000001</v>
      </c>
      <c r="C1972">
        <f t="shared" si="77"/>
        <v>6.9341681476770859E-3</v>
      </c>
      <c r="D1972">
        <f t="shared" si="76"/>
        <v>0.51752698643431261</v>
      </c>
    </row>
    <row r="1973" spans="1:4" x14ac:dyDescent="0.3">
      <c r="A1973" s="1">
        <v>28821</v>
      </c>
      <c r="B1973">
        <v>115.970001</v>
      </c>
      <c r="C1973">
        <f t="shared" si="77"/>
        <v>-1.7215890801686197E-3</v>
      </c>
      <c r="D1973">
        <f t="shared" si="76"/>
        <v>-0.17489799910694825</v>
      </c>
    </row>
    <row r="1974" spans="1:4" x14ac:dyDescent="0.3">
      <c r="A1974" s="1">
        <v>28822</v>
      </c>
      <c r="B1974">
        <v>115.599998</v>
      </c>
      <c r="C1974">
        <f t="shared" si="77"/>
        <v>-3.190506137876096E-3</v>
      </c>
      <c r="D1974">
        <f t="shared" si="76"/>
        <v>-0.29240532350051335</v>
      </c>
    </row>
    <row r="1975" spans="1:4" x14ac:dyDescent="0.3">
      <c r="A1975" s="1">
        <v>28823</v>
      </c>
      <c r="B1975">
        <v>114.089996</v>
      </c>
      <c r="C1975">
        <f t="shared" si="77"/>
        <v>-1.3062301264053656E-2</v>
      </c>
      <c r="D1975">
        <f t="shared" si="76"/>
        <v>-1.082108340530606</v>
      </c>
    </row>
    <row r="1976" spans="1:4" x14ac:dyDescent="0.3">
      <c r="A1976" s="1">
        <v>28824</v>
      </c>
      <c r="B1976">
        <v>114.69000200000001</v>
      </c>
      <c r="C1976">
        <f t="shared" si="77"/>
        <v>5.2590588223003143E-3</v>
      </c>
      <c r="D1976">
        <f t="shared" si="76"/>
        <v>0.3835251284948748</v>
      </c>
    </row>
    <row r="1977" spans="1:4" x14ac:dyDescent="0.3">
      <c r="A1977" s="1">
        <v>28825</v>
      </c>
      <c r="B1977">
        <v>116.19000200000001</v>
      </c>
      <c r="C1977">
        <f t="shared" si="77"/>
        <v>1.3078733750479837E-2</v>
      </c>
      <c r="D1977">
        <f t="shared" si="76"/>
        <v>1.0090669680538</v>
      </c>
    </row>
    <row r="1978" spans="1:4" x14ac:dyDescent="0.3">
      <c r="A1978" s="1">
        <v>28828</v>
      </c>
      <c r="B1978">
        <v>116.57</v>
      </c>
      <c r="C1978">
        <f t="shared" si="77"/>
        <v>3.27048793750762E-3</v>
      </c>
      <c r="D1978">
        <f t="shared" si="76"/>
        <v>0.22444763476379731</v>
      </c>
    </row>
    <row r="1979" spans="1:4" x14ac:dyDescent="0.3">
      <c r="A1979" s="1">
        <v>28829</v>
      </c>
      <c r="B1979">
        <v>117.66999800000001</v>
      </c>
      <c r="C1979">
        <f t="shared" si="77"/>
        <v>9.4363729947672097E-3</v>
      </c>
      <c r="D1979">
        <f t="shared" si="76"/>
        <v>0.71769308507371132</v>
      </c>
    </row>
    <row r="1980" spans="1:4" x14ac:dyDescent="0.3">
      <c r="A1980" s="1">
        <v>28830</v>
      </c>
      <c r="B1980">
        <v>118.449997</v>
      </c>
      <c r="C1980">
        <f t="shared" si="77"/>
        <v>6.6286990163795991E-3</v>
      </c>
      <c r="D1980">
        <f t="shared" si="76"/>
        <v>0.49309071202708704</v>
      </c>
    </row>
    <row r="1981" spans="1:4" x14ac:dyDescent="0.3">
      <c r="A1981" s="1">
        <v>28831</v>
      </c>
      <c r="B1981">
        <v>118.550003</v>
      </c>
      <c r="C1981">
        <f t="shared" si="77"/>
        <v>8.4428875080518235E-4</v>
      </c>
      <c r="D1981">
        <f t="shared" si="76"/>
        <v>3.036167641827052E-2</v>
      </c>
    </row>
    <row r="1982" spans="1:4" x14ac:dyDescent="0.3">
      <c r="A1982" s="1">
        <v>28832</v>
      </c>
      <c r="B1982">
        <v>118.769997</v>
      </c>
      <c r="C1982">
        <f t="shared" si="77"/>
        <v>1.8557064060133325E-3</v>
      </c>
      <c r="D1982">
        <f t="shared" si="76"/>
        <v>0.11127092986067347</v>
      </c>
    </row>
    <row r="1983" spans="1:4" x14ac:dyDescent="0.3">
      <c r="A1983" s="1">
        <v>28835</v>
      </c>
      <c r="B1983">
        <v>119.150002</v>
      </c>
      <c r="C1983">
        <f t="shared" si="77"/>
        <v>3.1995033223752379E-3</v>
      </c>
      <c r="D1983">
        <f t="shared" si="76"/>
        <v>0.21876915744368827</v>
      </c>
    </row>
    <row r="1984" spans="1:4" x14ac:dyDescent="0.3">
      <c r="A1984" s="1">
        <v>28836</v>
      </c>
      <c r="B1984">
        <v>118.5</v>
      </c>
      <c r="C1984">
        <f t="shared" si="77"/>
        <v>-5.4553251287398265E-3</v>
      </c>
      <c r="D1984">
        <f t="shared" si="76"/>
        <v>-0.473581529778274</v>
      </c>
    </row>
    <row r="1985" spans="1:4" x14ac:dyDescent="0.3">
      <c r="A1985" s="1">
        <v>28837</v>
      </c>
      <c r="B1985">
        <v>118.129997</v>
      </c>
      <c r="C1985">
        <f t="shared" si="77"/>
        <v>-3.1223881856539829E-3</v>
      </c>
      <c r="D1985">
        <f t="shared" si="76"/>
        <v>-0.2869561674254375</v>
      </c>
    </row>
    <row r="1986" spans="1:4" x14ac:dyDescent="0.3">
      <c r="A1986" s="1">
        <v>28838</v>
      </c>
      <c r="B1986">
        <v>118.150002</v>
      </c>
      <c r="C1986">
        <f t="shared" si="77"/>
        <v>1.6934733351426062E-4</v>
      </c>
      <c r="D1986">
        <f t="shared" si="76"/>
        <v>-2.3630861589311797E-2</v>
      </c>
    </row>
    <row r="1987" spans="1:4" x14ac:dyDescent="0.3">
      <c r="A1987" s="1">
        <v>28839</v>
      </c>
      <c r="B1987">
        <v>117.410004</v>
      </c>
      <c r="C1987">
        <f t="shared" si="77"/>
        <v>-6.2632076806905168E-3</v>
      </c>
      <c r="D1987">
        <f t="shared" ref="D1987:D2050" si="78">(C1987-avrtn)/sdrtn</f>
        <v>-0.53820881190142567</v>
      </c>
    </row>
    <row r="1988" spans="1:4" x14ac:dyDescent="0.3">
      <c r="A1988" s="1">
        <v>28842</v>
      </c>
      <c r="B1988">
        <v>114.33000199999999</v>
      </c>
      <c r="C1988">
        <f t="shared" ref="C1988:C2051" si="79">(B1988-B1987)/B1987</f>
        <v>-2.6232875351916412E-2</v>
      </c>
      <c r="D1988">
        <f t="shared" si="78"/>
        <v>-2.1357001098353723</v>
      </c>
    </row>
    <row r="1989" spans="1:4" x14ac:dyDescent="0.3">
      <c r="A1989" s="1">
        <v>28843</v>
      </c>
      <c r="B1989">
        <v>114.730003</v>
      </c>
      <c r="C1989">
        <f t="shared" si="79"/>
        <v>3.4986529607513098E-3</v>
      </c>
      <c r="D1989">
        <f t="shared" si="78"/>
        <v>0.24269989840311085</v>
      </c>
    </row>
    <row r="1990" spans="1:4" x14ac:dyDescent="0.3">
      <c r="A1990" s="1">
        <v>28844</v>
      </c>
      <c r="B1990">
        <v>115.300003</v>
      </c>
      <c r="C1990">
        <f t="shared" si="79"/>
        <v>4.9681860463300729E-3</v>
      </c>
      <c r="D1990">
        <f t="shared" si="78"/>
        <v>0.36025650249325708</v>
      </c>
    </row>
    <row r="1991" spans="1:4" x14ac:dyDescent="0.3">
      <c r="A1991" s="1">
        <v>28845</v>
      </c>
      <c r="B1991">
        <v>115.849998</v>
      </c>
      <c r="C1991">
        <f t="shared" si="79"/>
        <v>4.7701212982622001E-3</v>
      </c>
      <c r="D1991">
        <f t="shared" si="78"/>
        <v>0.34441213709493784</v>
      </c>
    </row>
    <row r="1992" spans="1:4" x14ac:dyDescent="0.3">
      <c r="A1992" s="1">
        <v>28846</v>
      </c>
      <c r="B1992">
        <v>116.93</v>
      </c>
      <c r="C1992">
        <f t="shared" si="79"/>
        <v>9.3224170793685078E-3</v>
      </c>
      <c r="D1992">
        <f t="shared" si="78"/>
        <v>0.70857708043133927</v>
      </c>
    </row>
    <row r="1993" spans="1:4" x14ac:dyDescent="0.3">
      <c r="A1993" s="1">
        <v>28850</v>
      </c>
      <c r="B1993">
        <v>117.68</v>
      </c>
      <c r="C1993">
        <f t="shared" si="79"/>
        <v>6.4140939023347296E-3</v>
      </c>
      <c r="D1993">
        <f t="shared" si="78"/>
        <v>0.47592318536499933</v>
      </c>
    </row>
    <row r="1994" spans="1:4" x14ac:dyDescent="0.3">
      <c r="A1994" s="1">
        <v>28851</v>
      </c>
      <c r="B1994">
        <v>117.33000199999999</v>
      </c>
      <c r="C1994">
        <f t="shared" si="79"/>
        <v>-2.9741502379334937E-3</v>
      </c>
      <c r="D1994">
        <f t="shared" si="78"/>
        <v>-0.27509774116588165</v>
      </c>
    </row>
    <row r="1995" spans="1:4" x14ac:dyDescent="0.3">
      <c r="A1995" s="1">
        <v>28852</v>
      </c>
      <c r="B1995">
        <v>117.300003</v>
      </c>
      <c r="C1995">
        <f t="shared" si="79"/>
        <v>-2.5568055474838784E-4</v>
      </c>
      <c r="D1995">
        <f t="shared" si="78"/>
        <v>-5.7631344925204074E-2</v>
      </c>
    </row>
    <row r="1996" spans="1:4" x14ac:dyDescent="0.3">
      <c r="A1996" s="1">
        <v>28853</v>
      </c>
      <c r="B1996">
        <v>117.980003</v>
      </c>
      <c r="C1996">
        <f t="shared" si="79"/>
        <v>5.7971013010118385E-3</v>
      </c>
      <c r="D1996">
        <f t="shared" si="78"/>
        <v>0.42656631434790437</v>
      </c>
    </row>
    <row r="1997" spans="1:4" x14ac:dyDescent="0.3">
      <c r="A1997" s="1">
        <v>28857</v>
      </c>
      <c r="B1997">
        <v>117.839996</v>
      </c>
      <c r="C1997">
        <f t="shared" si="79"/>
        <v>-1.1867011056102203E-3</v>
      </c>
      <c r="D1997">
        <f t="shared" si="78"/>
        <v>-0.13210916061477004</v>
      </c>
    </row>
    <row r="1998" spans="1:4" x14ac:dyDescent="0.3">
      <c r="A1998" s="1">
        <v>28858</v>
      </c>
      <c r="B1998">
        <v>119.110001</v>
      </c>
      <c r="C1998">
        <f t="shared" si="79"/>
        <v>1.0777367982938471E-2</v>
      </c>
      <c r="D1998">
        <f t="shared" si="78"/>
        <v>0.82496716992307229</v>
      </c>
    </row>
    <row r="1999" spans="1:4" x14ac:dyDescent="0.3">
      <c r="A1999" s="1">
        <v>28859</v>
      </c>
      <c r="B1999">
        <v>120.660004</v>
      </c>
      <c r="C1999">
        <f t="shared" si="79"/>
        <v>1.3013206170655676E-2</v>
      </c>
      <c r="D1999">
        <f t="shared" si="78"/>
        <v>1.0038250311188854</v>
      </c>
    </row>
    <row r="2000" spans="1:4" x14ac:dyDescent="0.3">
      <c r="A2000" s="1">
        <v>28860</v>
      </c>
      <c r="B2000">
        <v>122.050003</v>
      </c>
      <c r="C2000">
        <f t="shared" si="79"/>
        <v>1.151996480954868E-2</v>
      </c>
      <c r="D2000">
        <f t="shared" si="78"/>
        <v>0.88437186247549215</v>
      </c>
    </row>
    <row r="2001" spans="1:4" x14ac:dyDescent="0.3">
      <c r="A2001" s="1">
        <v>28863</v>
      </c>
      <c r="B2001">
        <v>121.91999800000001</v>
      </c>
      <c r="C2001">
        <f t="shared" si="79"/>
        <v>-1.0651781794712208E-3</v>
      </c>
      <c r="D2001">
        <f t="shared" si="78"/>
        <v>-0.12238782622890823</v>
      </c>
    </row>
    <row r="2002" spans="1:4" x14ac:dyDescent="0.3">
      <c r="A2002" s="1">
        <v>28864</v>
      </c>
      <c r="B2002">
        <v>122.660004</v>
      </c>
      <c r="C2002">
        <f t="shared" si="79"/>
        <v>6.0696031179396336E-3</v>
      </c>
      <c r="D2002">
        <f t="shared" si="78"/>
        <v>0.44836533916796134</v>
      </c>
    </row>
    <row r="2003" spans="1:4" x14ac:dyDescent="0.3">
      <c r="A2003" s="1">
        <v>28865</v>
      </c>
      <c r="B2003">
        <v>122.279999</v>
      </c>
      <c r="C2003">
        <f t="shared" si="79"/>
        <v>-3.0980351182769979E-3</v>
      </c>
      <c r="D2003">
        <f t="shared" si="78"/>
        <v>-0.2850080221756901</v>
      </c>
    </row>
    <row r="2004" spans="1:4" x14ac:dyDescent="0.3">
      <c r="A2004" s="1">
        <v>28866</v>
      </c>
      <c r="B2004">
        <v>122.760002</v>
      </c>
      <c r="C2004">
        <f t="shared" si="79"/>
        <v>3.9254416415230456E-3</v>
      </c>
      <c r="D2004">
        <f t="shared" si="78"/>
        <v>0.27684123789930803</v>
      </c>
    </row>
    <row r="2005" spans="1:4" x14ac:dyDescent="0.3">
      <c r="A2005" s="1">
        <v>28867</v>
      </c>
      <c r="B2005">
        <v>123.739998</v>
      </c>
      <c r="C2005">
        <f t="shared" si="79"/>
        <v>7.9830236561905556E-3</v>
      </c>
      <c r="D2005">
        <f t="shared" si="78"/>
        <v>0.60143111419576845</v>
      </c>
    </row>
    <row r="2006" spans="1:4" x14ac:dyDescent="0.3">
      <c r="A2006" s="1">
        <v>28870</v>
      </c>
      <c r="B2006">
        <v>124.470001</v>
      </c>
      <c r="C2006">
        <f t="shared" si="79"/>
        <v>5.8994909633019099E-3</v>
      </c>
      <c r="D2006">
        <f t="shared" si="78"/>
        <v>0.43475706630230299</v>
      </c>
    </row>
    <row r="2007" spans="1:4" x14ac:dyDescent="0.3">
      <c r="A2007" s="1">
        <v>28871</v>
      </c>
      <c r="B2007">
        <v>123.739998</v>
      </c>
      <c r="C2007">
        <f t="shared" si="79"/>
        <v>-5.8648910913079886E-3</v>
      </c>
      <c r="D2007">
        <f t="shared" si="78"/>
        <v>-0.50634512263842579</v>
      </c>
    </row>
    <row r="2008" spans="1:4" x14ac:dyDescent="0.3">
      <c r="A2008" s="1">
        <v>28872</v>
      </c>
      <c r="B2008">
        <v>123.589996</v>
      </c>
      <c r="C2008">
        <f t="shared" si="79"/>
        <v>-1.2122353517413232E-3</v>
      </c>
      <c r="D2008">
        <f t="shared" si="78"/>
        <v>-0.13415179530781079</v>
      </c>
    </row>
    <row r="2009" spans="1:4" x14ac:dyDescent="0.3">
      <c r="A2009" s="1">
        <v>28873</v>
      </c>
      <c r="B2009">
        <v>124.30999799999999</v>
      </c>
      <c r="C2009">
        <f t="shared" si="79"/>
        <v>5.8257304256243668E-3</v>
      </c>
      <c r="D2009">
        <f t="shared" si="78"/>
        <v>0.4288565265932428</v>
      </c>
    </row>
    <row r="2010" spans="1:4" x14ac:dyDescent="0.3">
      <c r="A2010" s="1">
        <v>28874</v>
      </c>
      <c r="B2010">
        <v>124.650002</v>
      </c>
      <c r="C2010">
        <f t="shared" si="79"/>
        <v>2.7351299611476747E-3</v>
      </c>
      <c r="D2010">
        <f t="shared" si="78"/>
        <v>0.18162119806015439</v>
      </c>
    </row>
    <row r="2011" spans="1:4" x14ac:dyDescent="0.3">
      <c r="A2011" s="1">
        <v>28877</v>
      </c>
      <c r="B2011">
        <v>124.660004</v>
      </c>
      <c r="C2011">
        <f t="shared" si="79"/>
        <v>8.024067259942817E-5</v>
      </c>
      <c r="D2011">
        <f t="shared" si="78"/>
        <v>-3.0759028053719332E-2</v>
      </c>
    </row>
    <row r="2012" spans="1:4" x14ac:dyDescent="0.3">
      <c r="A2012" s="1">
        <v>28878</v>
      </c>
      <c r="B2012">
        <v>125.459999</v>
      </c>
      <c r="C2012">
        <f t="shared" si="79"/>
        <v>6.4174151638884559E-3</v>
      </c>
      <c r="D2012">
        <f t="shared" si="78"/>
        <v>0.47618887263218834</v>
      </c>
    </row>
    <row r="2013" spans="1:4" x14ac:dyDescent="0.3">
      <c r="A2013" s="1">
        <v>28879</v>
      </c>
      <c r="B2013">
        <v>125.339996</v>
      </c>
      <c r="C2013">
        <f t="shared" si="79"/>
        <v>-9.5650407266460269E-4</v>
      </c>
      <c r="D2013">
        <f t="shared" si="78"/>
        <v>-0.11369434455497614</v>
      </c>
    </row>
    <row r="2014" spans="1:4" x14ac:dyDescent="0.3">
      <c r="A2014" s="1">
        <v>28880</v>
      </c>
      <c r="B2014">
        <v>126.41999800000001</v>
      </c>
      <c r="C2014">
        <f t="shared" si="79"/>
        <v>8.6165791803600143E-3</v>
      </c>
      <c r="D2014">
        <f t="shared" si="78"/>
        <v>0.65211295093344313</v>
      </c>
    </row>
    <row r="2015" spans="1:4" x14ac:dyDescent="0.3">
      <c r="A2015" s="1">
        <v>28881</v>
      </c>
      <c r="B2015">
        <v>127.040001</v>
      </c>
      <c r="C2015">
        <f t="shared" si="79"/>
        <v>4.904311104323834E-3</v>
      </c>
      <c r="D2015">
        <f t="shared" si="78"/>
        <v>0.35514676978808896</v>
      </c>
    </row>
    <row r="2016" spans="1:4" x14ac:dyDescent="0.3">
      <c r="A2016" s="1">
        <v>28884</v>
      </c>
      <c r="B2016">
        <v>126.769997</v>
      </c>
      <c r="C2016">
        <f t="shared" si="79"/>
        <v>-2.1253463308773127E-3</v>
      </c>
      <c r="D2016">
        <f t="shared" si="78"/>
        <v>-0.20719691890390834</v>
      </c>
    </row>
    <row r="2017" spans="1:4" x14ac:dyDescent="0.3">
      <c r="A2017" s="1">
        <v>28885</v>
      </c>
      <c r="B2017">
        <v>126.510002</v>
      </c>
      <c r="C2017">
        <f t="shared" si="79"/>
        <v>-2.0509190356769002E-3</v>
      </c>
      <c r="D2017">
        <f t="shared" si="78"/>
        <v>-0.20124304133474191</v>
      </c>
    </row>
    <row r="2018" spans="1:4" x14ac:dyDescent="0.3">
      <c r="A2018" s="1">
        <v>28886</v>
      </c>
      <c r="B2018">
        <v>125.82</v>
      </c>
      <c r="C2018">
        <f t="shared" si="79"/>
        <v>-5.4541300220674006E-3</v>
      </c>
      <c r="D2018">
        <f t="shared" si="78"/>
        <v>-0.47348592615878793</v>
      </c>
    </row>
    <row r="2019" spans="1:4" x14ac:dyDescent="0.3">
      <c r="A2019" s="1">
        <v>28887</v>
      </c>
      <c r="B2019">
        <v>125.760002</v>
      </c>
      <c r="C2019">
        <f t="shared" si="79"/>
        <v>-4.7685582578280969E-4</v>
      </c>
      <c r="D2019">
        <f t="shared" si="78"/>
        <v>-7.532445712980898E-2</v>
      </c>
    </row>
    <row r="2020" spans="1:4" x14ac:dyDescent="0.3">
      <c r="A2020" s="1">
        <v>28888</v>
      </c>
      <c r="B2020">
        <v>125.82</v>
      </c>
      <c r="C2020">
        <f t="shared" si="79"/>
        <v>4.7708332574607557E-4</v>
      </c>
      <c r="D2020">
        <f t="shared" si="78"/>
        <v>9.8675237127217167E-4</v>
      </c>
    </row>
    <row r="2021" spans="1:4" x14ac:dyDescent="0.3">
      <c r="A2021" s="1">
        <v>28891</v>
      </c>
      <c r="B2021">
        <v>124.339996</v>
      </c>
      <c r="C2021">
        <f t="shared" si="79"/>
        <v>-1.1762867588618614E-2</v>
      </c>
      <c r="D2021">
        <f t="shared" si="78"/>
        <v>-0.97815898979900362</v>
      </c>
    </row>
    <row r="2022" spans="1:4" x14ac:dyDescent="0.3">
      <c r="A2022" s="1">
        <v>28892</v>
      </c>
      <c r="B2022">
        <v>124.30999799999999</v>
      </c>
      <c r="C2022">
        <f t="shared" si="79"/>
        <v>-2.4125784916388597E-4</v>
      </c>
      <c r="D2022">
        <f t="shared" si="78"/>
        <v>-5.6477587784963652E-2</v>
      </c>
    </row>
    <row r="2023" spans="1:4" x14ac:dyDescent="0.3">
      <c r="A2023" s="1">
        <v>28893</v>
      </c>
      <c r="B2023">
        <v>122.800003</v>
      </c>
      <c r="C2023">
        <f t="shared" si="79"/>
        <v>-1.2147011698930198E-2</v>
      </c>
      <c r="D2023">
        <f t="shared" si="78"/>
        <v>-1.0088889390139102</v>
      </c>
    </row>
    <row r="2024" spans="1:4" x14ac:dyDescent="0.3">
      <c r="A2024" s="1">
        <v>28894</v>
      </c>
      <c r="B2024">
        <v>123.410004</v>
      </c>
      <c r="C2024">
        <f t="shared" si="79"/>
        <v>4.9674347320659016E-3</v>
      </c>
      <c r="D2024">
        <f t="shared" si="78"/>
        <v>0.36019640044154611</v>
      </c>
    </row>
    <row r="2025" spans="1:4" x14ac:dyDescent="0.3">
      <c r="A2025" s="1">
        <v>28895</v>
      </c>
      <c r="B2025">
        <v>123.760002</v>
      </c>
      <c r="C2025">
        <f t="shared" si="79"/>
        <v>2.8360585743113609E-3</v>
      </c>
      <c r="D2025">
        <f t="shared" si="78"/>
        <v>0.18969507209231212</v>
      </c>
    </row>
    <row r="2026" spans="1:4" x14ac:dyDescent="0.3">
      <c r="A2026" s="1">
        <v>28898</v>
      </c>
      <c r="B2026">
        <v>124.050003</v>
      </c>
      <c r="C2026">
        <f t="shared" si="79"/>
        <v>2.3432530325912869E-3</v>
      </c>
      <c r="D2026">
        <f t="shared" si="78"/>
        <v>0.15027265518320215</v>
      </c>
    </row>
    <row r="2027" spans="1:4" x14ac:dyDescent="0.3">
      <c r="A2027" s="1">
        <v>28899</v>
      </c>
      <c r="B2027">
        <v>124.889999</v>
      </c>
      <c r="C2027">
        <f t="shared" si="79"/>
        <v>6.7714307108884091E-3</v>
      </c>
      <c r="D2027">
        <f t="shared" si="78"/>
        <v>0.50450866067155709</v>
      </c>
    </row>
    <row r="2028" spans="1:4" x14ac:dyDescent="0.3">
      <c r="A2028" s="1">
        <v>28900</v>
      </c>
      <c r="B2028">
        <v>124.610001</v>
      </c>
      <c r="C2028">
        <f t="shared" si="79"/>
        <v>-2.2419569400429426E-3</v>
      </c>
      <c r="D2028">
        <f t="shared" si="78"/>
        <v>-0.21652528813146871</v>
      </c>
    </row>
    <row r="2029" spans="1:4" x14ac:dyDescent="0.3">
      <c r="A2029" s="1">
        <v>28901</v>
      </c>
      <c r="B2029">
        <v>124.93</v>
      </c>
      <c r="C2029">
        <f t="shared" si="79"/>
        <v>2.5680041524115704E-3</v>
      </c>
      <c r="D2029">
        <f t="shared" si="78"/>
        <v>0.16825182058669791</v>
      </c>
    </row>
    <row r="2030" spans="1:4" x14ac:dyDescent="0.3">
      <c r="A2030" s="1">
        <v>28902</v>
      </c>
      <c r="B2030">
        <v>125.57</v>
      </c>
      <c r="C2030">
        <f t="shared" si="79"/>
        <v>5.1228688065315482E-3</v>
      </c>
      <c r="D2030">
        <f t="shared" si="78"/>
        <v>0.37263048725006459</v>
      </c>
    </row>
    <row r="2031" spans="1:4" x14ac:dyDescent="0.3">
      <c r="A2031" s="1">
        <v>28906</v>
      </c>
      <c r="B2031">
        <v>125.83000199999999</v>
      </c>
      <c r="C2031">
        <f t="shared" si="79"/>
        <v>2.0705741817313057E-3</v>
      </c>
      <c r="D2031">
        <f t="shared" si="78"/>
        <v>0.12845946837653821</v>
      </c>
    </row>
    <row r="2032" spans="1:4" x14ac:dyDescent="0.3">
      <c r="A2032" s="1">
        <v>28907</v>
      </c>
      <c r="B2032">
        <v>125.760002</v>
      </c>
      <c r="C2032">
        <f t="shared" si="79"/>
        <v>-5.5630611847239087E-4</v>
      </c>
      <c r="D2032">
        <f t="shared" si="78"/>
        <v>-8.1680153843419812E-2</v>
      </c>
    </row>
    <row r="2033" spans="1:4" x14ac:dyDescent="0.3">
      <c r="A2033" s="1">
        <v>28908</v>
      </c>
      <c r="B2033">
        <v>125.449997</v>
      </c>
      <c r="C2033">
        <f t="shared" si="79"/>
        <v>-2.4650524417135734E-3</v>
      </c>
      <c r="D2033">
        <f t="shared" si="78"/>
        <v>-0.23437201089093476</v>
      </c>
    </row>
    <row r="2034" spans="1:4" x14ac:dyDescent="0.3">
      <c r="A2034" s="1">
        <v>28909</v>
      </c>
      <c r="B2034">
        <v>125.040001</v>
      </c>
      <c r="C2034">
        <f t="shared" si="79"/>
        <v>-3.2682025492594669E-3</v>
      </c>
      <c r="D2034">
        <f t="shared" si="78"/>
        <v>-0.29862071692163034</v>
      </c>
    </row>
    <row r="2035" spans="1:4" x14ac:dyDescent="0.3">
      <c r="A2035" s="1">
        <v>28912</v>
      </c>
      <c r="B2035">
        <v>124.900002</v>
      </c>
      <c r="C2035">
        <f t="shared" si="79"/>
        <v>-1.1196337082563131E-3</v>
      </c>
      <c r="D2035">
        <f t="shared" si="78"/>
        <v>-0.12674404460924327</v>
      </c>
    </row>
    <row r="2036" spans="1:4" x14ac:dyDescent="0.3">
      <c r="A2036" s="1">
        <v>28913</v>
      </c>
      <c r="B2036">
        <v>122.639999</v>
      </c>
      <c r="C2036">
        <f t="shared" si="79"/>
        <v>-1.8094499309935941E-2</v>
      </c>
      <c r="D2036">
        <f t="shared" si="78"/>
        <v>-1.4846634916791817</v>
      </c>
    </row>
    <row r="2037" spans="1:4" x14ac:dyDescent="0.3">
      <c r="A2037" s="1">
        <v>28914</v>
      </c>
      <c r="B2037">
        <v>122.55999799999999</v>
      </c>
      <c r="C2037">
        <f t="shared" si="79"/>
        <v>-6.5232388007447695E-4</v>
      </c>
      <c r="D2037">
        <f t="shared" si="78"/>
        <v>-8.9361179944191807E-2</v>
      </c>
    </row>
    <row r="2038" spans="1:4" x14ac:dyDescent="0.3">
      <c r="A2038" s="1">
        <v>28915</v>
      </c>
      <c r="B2038">
        <v>123.33000199999999</v>
      </c>
      <c r="C2038">
        <f t="shared" si="79"/>
        <v>6.2826698153177207E-3</v>
      </c>
      <c r="D2038">
        <f t="shared" si="78"/>
        <v>0.46540979882271355</v>
      </c>
    </row>
    <row r="2039" spans="1:4" x14ac:dyDescent="0.3">
      <c r="A2039" s="1">
        <v>28916</v>
      </c>
      <c r="B2039">
        <v>123.66999800000001</v>
      </c>
      <c r="C2039">
        <f t="shared" si="79"/>
        <v>2.7567987876949318E-3</v>
      </c>
      <c r="D2039">
        <f t="shared" si="78"/>
        <v>0.18335461508118781</v>
      </c>
    </row>
    <row r="2040" spans="1:4" x14ac:dyDescent="0.3">
      <c r="A2040" s="1">
        <v>28919</v>
      </c>
      <c r="B2040">
        <v>124.720001</v>
      </c>
      <c r="C2040">
        <f t="shared" si="79"/>
        <v>8.4903615830897762E-3</v>
      </c>
      <c r="D2040">
        <f t="shared" si="78"/>
        <v>0.64201606216168527</v>
      </c>
    </row>
    <row r="2041" spans="1:4" x14ac:dyDescent="0.3">
      <c r="A2041" s="1">
        <v>28920</v>
      </c>
      <c r="B2041">
        <v>124.43</v>
      </c>
      <c r="C2041">
        <f t="shared" si="79"/>
        <v>-2.3252164662826576E-3</v>
      </c>
      <c r="D2041">
        <f t="shared" si="78"/>
        <v>-0.2231857078654283</v>
      </c>
    </row>
    <row r="2042" spans="1:4" x14ac:dyDescent="0.3">
      <c r="A2042" s="1">
        <v>28921</v>
      </c>
      <c r="B2042">
        <v>125.610001</v>
      </c>
      <c r="C2042">
        <f t="shared" si="79"/>
        <v>9.4832516274209605E-3</v>
      </c>
      <c r="D2042">
        <f t="shared" si="78"/>
        <v>0.72144318291992215</v>
      </c>
    </row>
    <row r="2043" spans="1:4" x14ac:dyDescent="0.3">
      <c r="A2043" s="1">
        <v>28922</v>
      </c>
      <c r="B2043">
        <v>127.050003</v>
      </c>
      <c r="C2043">
        <f t="shared" si="79"/>
        <v>1.1464071240633195E-2</v>
      </c>
      <c r="D2043">
        <f t="shared" si="78"/>
        <v>0.87990060679798199</v>
      </c>
    </row>
    <row r="2044" spans="1:4" x14ac:dyDescent="0.3">
      <c r="A2044" s="1">
        <v>28923</v>
      </c>
      <c r="B2044">
        <v>127.25</v>
      </c>
      <c r="C2044">
        <f t="shared" si="79"/>
        <v>1.5741597424440534E-3</v>
      </c>
      <c r="D2044">
        <f t="shared" si="78"/>
        <v>8.874835450192943E-2</v>
      </c>
    </row>
    <row r="2045" spans="1:4" x14ac:dyDescent="0.3">
      <c r="A2045" s="1">
        <v>28926</v>
      </c>
      <c r="B2045">
        <v>127.19000200000001</v>
      </c>
      <c r="C2045">
        <f t="shared" si="79"/>
        <v>-4.714970530451325E-4</v>
      </c>
      <c r="D2045">
        <f t="shared" si="78"/>
        <v>-7.4895777346199954E-2</v>
      </c>
    </row>
    <row r="2046" spans="1:4" x14ac:dyDescent="0.3">
      <c r="A2046" s="1">
        <v>28927</v>
      </c>
      <c r="B2046">
        <v>127.69000200000001</v>
      </c>
      <c r="C2046">
        <f t="shared" si="79"/>
        <v>3.9311265990859875E-3</v>
      </c>
      <c r="D2046">
        <f t="shared" si="78"/>
        <v>0.27729601112765823</v>
      </c>
    </row>
    <row r="2047" spans="1:4" x14ac:dyDescent="0.3">
      <c r="A2047" s="1">
        <v>28928</v>
      </c>
      <c r="B2047">
        <v>127.589996</v>
      </c>
      <c r="C2047">
        <f t="shared" si="79"/>
        <v>-7.8319365990774743E-4</v>
      </c>
      <c r="D2047">
        <f t="shared" si="78"/>
        <v>-9.9830224191103267E-2</v>
      </c>
    </row>
    <row r="2048" spans="1:4" x14ac:dyDescent="0.3">
      <c r="A2048" s="1">
        <v>28929</v>
      </c>
      <c r="B2048">
        <v>127.849998</v>
      </c>
      <c r="C2048">
        <f t="shared" si="79"/>
        <v>2.0377929943661104E-3</v>
      </c>
      <c r="D2048">
        <f t="shared" si="78"/>
        <v>0.12583710818437047</v>
      </c>
    </row>
    <row r="2049" spans="1:4" x14ac:dyDescent="0.3">
      <c r="A2049" s="1">
        <v>28930</v>
      </c>
      <c r="B2049">
        <v>128.550003</v>
      </c>
      <c r="C2049">
        <f t="shared" si="79"/>
        <v>5.4752054043833804E-3</v>
      </c>
      <c r="D2049">
        <f t="shared" si="78"/>
        <v>0.40081596626146376</v>
      </c>
    </row>
    <row r="2050" spans="1:4" x14ac:dyDescent="0.3">
      <c r="A2050" s="1">
        <v>28933</v>
      </c>
      <c r="B2050">
        <v>129.13999899999999</v>
      </c>
      <c r="C2050">
        <f t="shared" si="79"/>
        <v>4.5896226077877652E-3</v>
      </c>
      <c r="D2050">
        <f t="shared" si="78"/>
        <v>0.32997298407203318</v>
      </c>
    </row>
    <row r="2051" spans="1:4" x14ac:dyDescent="0.3">
      <c r="A2051" s="1">
        <v>28934</v>
      </c>
      <c r="B2051">
        <v>128.78999300000001</v>
      </c>
      <c r="C2051">
        <f t="shared" si="79"/>
        <v>-2.7102834343368642E-3</v>
      </c>
      <c r="D2051">
        <f t="shared" ref="D2051:D2114" si="80">(C2051-avrtn)/sdrtn</f>
        <v>-0.25398948190493098</v>
      </c>
    </row>
    <row r="2052" spans="1:4" x14ac:dyDescent="0.3">
      <c r="A2052" s="1">
        <v>28935</v>
      </c>
      <c r="B2052">
        <v>129.44000199999999</v>
      </c>
      <c r="C2052">
        <f t="shared" ref="C2052:C2115" si="81">(B2052-B2051)/B2051</f>
        <v>5.0470458523899676E-3</v>
      </c>
      <c r="D2052">
        <f t="shared" si="80"/>
        <v>0.36656496270458855</v>
      </c>
    </row>
    <row r="2053" spans="1:4" x14ac:dyDescent="0.3">
      <c r="A2053" s="1">
        <v>28936</v>
      </c>
      <c r="B2053">
        <v>130.08000200000001</v>
      </c>
      <c r="C2053">
        <f t="shared" si="81"/>
        <v>4.9443756961624185E-3</v>
      </c>
      <c r="D2053">
        <f t="shared" si="80"/>
        <v>0.35835177238858967</v>
      </c>
    </row>
    <row r="2054" spans="1:4" x14ac:dyDescent="0.3">
      <c r="A2054" s="1">
        <v>28937</v>
      </c>
      <c r="B2054">
        <v>130.58000200000001</v>
      </c>
      <c r="C2054">
        <f t="shared" si="81"/>
        <v>3.8437883787855415E-3</v>
      </c>
      <c r="D2054">
        <f t="shared" si="80"/>
        <v>0.27030931264053032</v>
      </c>
    </row>
    <row r="2055" spans="1:4" x14ac:dyDescent="0.3">
      <c r="A2055" s="1">
        <v>28940</v>
      </c>
      <c r="B2055">
        <v>130.11000100000001</v>
      </c>
      <c r="C2055">
        <f t="shared" si="81"/>
        <v>-3.5993336866390639E-3</v>
      </c>
      <c r="D2055">
        <f t="shared" si="80"/>
        <v>-0.32510984629262524</v>
      </c>
    </row>
    <row r="2056" spans="1:4" x14ac:dyDescent="0.3">
      <c r="A2056" s="1">
        <v>28941</v>
      </c>
      <c r="B2056">
        <v>130.779999</v>
      </c>
      <c r="C2056">
        <f t="shared" si="81"/>
        <v>5.1494734828262164E-3</v>
      </c>
      <c r="D2056">
        <f t="shared" si="80"/>
        <v>0.37475875195455544</v>
      </c>
    </row>
    <row r="2057" spans="1:4" x14ac:dyDescent="0.3">
      <c r="A2057" s="1">
        <v>28942</v>
      </c>
      <c r="B2057">
        <v>130.86999499999999</v>
      </c>
      <c r="C2057">
        <f t="shared" si="81"/>
        <v>6.8814804012947795E-4</v>
      </c>
      <c r="D2057">
        <f t="shared" si="80"/>
        <v>1.787106161865289E-2</v>
      </c>
    </row>
    <row r="2058" spans="1:4" x14ac:dyDescent="0.3">
      <c r="A2058" s="1">
        <v>28943</v>
      </c>
      <c r="B2058">
        <v>131.28999300000001</v>
      </c>
      <c r="C2058">
        <f t="shared" si="81"/>
        <v>3.2092765037548981E-3</v>
      </c>
      <c r="D2058">
        <f t="shared" si="80"/>
        <v>0.21955097176649915</v>
      </c>
    </row>
    <row r="2059" spans="1:4" x14ac:dyDescent="0.3">
      <c r="A2059" s="1">
        <v>28944</v>
      </c>
      <c r="B2059">
        <v>131.759995</v>
      </c>
      <c r="C2059">
        <f t="shared" si="81"/>
        <v>3.5798767999019833E-3</v>
      </c>
      <c r="D2059">
        <f t="shared" si="80"/>
        <v>0.24919747154074243</v>
      </c>
    </row>
    <row r="2060" spans="1:4" x14ac:dyDescent="0.3">
      <c r="A2060" s="1">
        <v>28947</v>
      </c>
      <c r="B2060">
        <v>131.36000100000001</v>
      </c>
      <c r="C2060">
        <f t="shared" si="81"/>
        <v>-3.0357772858141986E-3</v>
      </c>
      <c r="D2060">
        <f t="shared" si="80"/>
        <v>-0.28002765158440296</v>
      </c>
    </row>
    <row r="2061" spans="1:4" x14ac:dyDescent="0.3">
      <c r="A2061" s="1">
        <v>28948</v>
      </c>
      <c r="B2061">
        <v>132.33000200000001</v>
      </c>
      <c r="C2061">
        <f t="shared" si="81"/>
        <v>7.3842950107772627E-3</v>
      </c>
      <c r="D2061">
        <f t="shared" si="80"/>
        <v>0.55353528454960588</v>
      </c>
    </row>
    <row r="2062" spans="1:4" x14ac:dyDescent="0.3">
      <c r="A2062" s="1">
        <v>28949</v>
      </c>
      <c r="B2062">
        <v>132.75</v>
      </c>
      <c r="C2062">
        <f t="shared" si="81"/>
        <v>3.173868311435471E-3</v>
      </c>
      <c r="D2062">
        <f t="shared" si="80"/>
        <v>0.21671846198030179</v>
      </c>
    </row>
    <row r="2063" spans="1:4" x14ac:dyDescent="0.3">
      <c r="A2063" s="1">
        <v>28950</v>
      </c>
      <c r="B2063">
        <v>133.36999499999999</v>
      </c>
      <c r="C2063">
        <f t="shared" si="81"/>
        <v>4.6703954802259041E-3</v>
      </c>
      <c r="D2063">
        <f t="shared" si="80"/>
        <v>0.33643448172704821</v>
      </c>
    </row>
    <row r="2064" spans="1:4" x14ac:dyDescent="0.3">
      <c r="A2064" s="1">
        <v>28951</v>
      </c>
      <c r="B2064">
        <v>133.75</v>
      </c>
      <c r="C2064">
        <f t="shared" si="81"/>
        <v>2.8492540619800676E-3</v>
      </c>
      <c r="D2064">
        <f t="shared" si="80"/>
        <v>0.19075065684563916</v>
      </c>
    </row>
    <row r="2065" spans="1:4" x14ac:dyDescent="0.3">
      <c r="A2065" s="1">
        <v>28954</v>
      </c>
      <c r="B2065">
        <v>133.740005</v>
      </c>
      <c r="C2065">
        <f t="shared" si="81"/>
        <v>-7.4728971962643203E-5</v>
      </c>
      <c r="D2065">
        <f t="shared" si="80"/>
        <v>-4.3155962379698945E-2</v>
      </c>
    </row>
    <row r="2066" spans="1:4" x14ac:dyDescent="0.3">
      <c r="A2066" s="1">
        <v>28955</v>
      </c>
      <c r="B2066">
        <v>134.220001</v>
      </c>
      <c r="C2066">
        <f t="shared" si="81"/>
        <v>3.5890233442117778E-3</v>
      </c>
      <c r="D2066">
        <f t="shared" si="80"/>
        <v>0.24992915747471106</v>
      </c>
    </row>
    <row r="2067" spans="1:4" x14ac:dyDescent="0.3">
      <c r="A2067" s="1">
        <v>28956</v>
      </c>
      <c r="B2067">
        <v>133.570007</v>
      </c>
      <c r="C2067">
        <f t="shared" si="81"/>
        <v>-4.842750671712426E-3</v>
      </c>
      <c r="D2067">
        <f t="shared" si="80"/>
        <v>-0.42457809213730041</v>
      </c>
    </row>
    <row r="2068" spans="1:4" x14ac:dyDescent="0.3">
      <c r="A2068" s="1">
        <v>28957</v>
      </c>
      <c r="B2068">
        <v>133.53999300000001</v>
      </c>
      <c r="C2068">
        <f t="shared" si="81"/>
        <v>-2.2470613481359039E-4</v>
      </c>
      <c r="D2068">
        <f t="shared" si="80"/>
        <v>-5.5153518697996097E-2</v>
      </c>
    </row>
    <row r="2069" spans="1:4" x14ac:dyDescent="0.3">
      <c r="A2069" s="1">
        <v>28961</v>
      </c>
      <c r="B2069">
        <v>132.479996</v>
      </c>
      <c r="C2069">
        <f t="shared" si="81"/>
        <v>-7.9376745212200953E-3</v>
      </c>
      <c r="D2069">
        <f t="shared" si="80"/>
        <v>-0.6721592736950015</v>
      </c>
    </row>
    <row r="2070" spans="1:4" x14ac:dyDescent="0.3">
      <c r="A2070" s="1">
        <v>28962</v>
      </c>
      <c r="B2070">
        <v>132.259995</v>
      </c>
      <c r="C2070">
        <f t="shared" si="81"/>
        <v>-1.6606356177727869E-3</v>
      </c>
      <c r="D2070">
        <f t="shared" si="80"/>
        <v>-0.17002197275741665</v>
      </c>
    </row>
    <row r="2071" spans="1:4" x14ac:dyDescent="0.3">
      <c r="A2071" s="1">
        <v>28963</v>
      </c>
      <c r="B2071">
        <v>132.91000399999999</v>
      </c>
      <c r="C2071">
        <f t="shared" si="81"/>
        <v>4.9146304594974693E-3</v>
      </c>
      <c r="D2071">
        <f t="shared" si="80"/>
        <v>0.35597227576853774</v>
      </c>
    </row>
    <row r="2072" spans="1:4" x14ac:dyDescent="0.3">
      <c r="A2072" s="1">
        <v>28964</v>
      </c>
      <c r="B2072">
        <v>133.179993</v>
      </c>
      <c r="C2072">
        <f t="shared" si="81"/>
        <v>2.0313670293773344E-3</v>
      </c>
      <c r="D2072">
        <f t="shared" si="80"/>
        <v>0.1253230574089943</v>
      </c>
    </row>
    <row r="2073" spans="1:4" x14ac:dyDescent="0.3">
      <c r="A2073" s="1">
        <v>28965</v>
      </c>
      <c r="B2073">
        <v>133.66999799999999</v>
      </c>
      <c r="C2073">
        <f t="shared" si="81"/>
        <v>3.6792688523417817E-3</v>
      </c>
      <c r="D2073">
        <f t="shared" si="80"/>
        <v>0.2571484270333646</v>
      </c>
    </row>
    <row r="2074" spans="1:4" x14ac:dyDescent="0.3">
      <c r="A2074" s="1">
        <v>28968</v>
      </c>
      <c r="B2074">
        <v>133.86999499999999</v>
      </c>
      <c r="C2074">
        <f t="shared" si="81"/>
        <v>1.4961996184064896E-3</v>
      </c>
      <c r="D2074">
        <f t="shared" si="80"/>
        <v>8.2511865152869873E-2</v>
      </c>
    </row>
    <row r="2075" spans="1:4" x14ac:dyDescent="0.3">
      <c r="A2075" s="1">
        <v>28969</v>
      </c>
      <c r="B2075">
        <v>134.28999300000001</v>
      </c>
      <c r="C2075">
        <f t="shared" si="81"/>
        <v>3.1373572547008836E-3</v>
      </c>
      <c r="D2075">
        <f t="shared" si="80"/>
        <v>0.21379772757589716</v>
      </c>
    </row>
    <row r="2076" spans="1:4" x14ac:dyDescent="0.3">
      <c r="A2076" s="1">
        <v>28970</v>
      </c>
      <c r="B2076">
        <v>134.779999</v>
      </c>
      <c r="C2076">
        <f t="shared" si="81"/>
        <v>3.6488645881454021E-3</v>
      </c>
      <c r="D2076">
        <f t="shared" si="80"/>
        <v>0.25471621092073565</v>
      </c>
    </row>
    <row r="2077" spans="1:4" x14ac:dyDescent="0.3">
      <c r="A2077" s="1">
        <v>28971</v>
      </c>
      <c r="B2077">
        <v>134.64999399999999</v>
      </c>
      <c r="C2077">
        <f t="shared" si="81"/>
        <v>-9.6457190209662527E-4</v>
      </c>
      <c r="D2077">
        <f t="shared" si="80"/>
        <v>-0.11433973773442507</v>
      </c>
    </row>
    <row r="2078" spans="1:4" x14ac:dyDescent="0.3">
      <c r="A2078" s="1">
        <v>28972</v>
      </c>
      <c r="B2078">
        <v>134.36999499999999</v>
      </c>
      <c r="C2078">
        <f t="shared" si="81"/>
        <v>-2.0794579463553758E-3</v>
      </c>
      <c r="D2078">
        <f t="shared" si="80"/>
        <v>-0.20352603683631804</v>
      </c>
    </row>
    <row r="2079" spans="1:4" x14ac:dyDescent="0.3">
      <c r="A2079" s="1">
        <v>28975</v>
      </c>
      <c r="B2079">
        <v>133.820007</v>
      </c>
      <c r="C2079">
        <f t="shared" si="81"/>
        <v>-4.0930864066786995E-3</v>
      </c>
      <c r="D2079">
        <f t="shared" si="80"/>
        <v>-0.36460803357247962</v>
      </c>
    </row>
    <row r="2080" spans="1:4" x14ac:dyDescent="0.3">
      <c r="A2080" s="1">
        <v>28976</v>
      </c>
      <c r="B2080">
        <v>133.78999300000001</v>
      </c>
      <c r="C2080">
        <f t="shared" si="81"/>
        <v>-2.2428634307270818E-4</v>
      </c>
      <c r="D2080">
        <f t="shared" si="80"/>
        <v>-5.5119937084919468E-2</v>
      </c>
    </row>
    <row r="2081" spans="1:4" x14ac:dyDescent="0.3">
      <c r="A2081" s="1">
        <v>28977</v>
      </c>
      <c r="B2081">
        <v>133.990005</v>
      </c>
      <c r="C2081">
        <f t="shared" si="81"/>
        <v>1.4949698068971926E-3</v>
      </c>
      <c r="D2081">
        <f t="shared" si="80"/>
        <v>8.2413485289141247E-2</v>
      </c>
    </row>
    <row r="2082" spans="1:4" x14ac:dyDescent="0.3">
      <c r="A2082" s="1">
        <v>28978</v>
      </c>
      <c r="B2082">
        <v>134.199997</v>
      </c>
      <c r="C2082">
        <f t="shared" si="81"/>
        <v>1.5672213759526299E-3</v>
      </c>
      <c r="D2082">
        <f t="shared" si="80"/>
        <v>8.8193313713349028E-2</v>
      </c>
    </row>
    <row r="2083" spans="1:4" x14ac:dyDescent="0.3">
      <c r="A2083" s="1">
        <v>28979</v>
      </c>
      <c r="B2083">
        <v>133.720001</v>
      </c>
      <c r="C2083">
        <f t="shared" si="81"/>
        <v>-3.5767213914319231E-3</v>
      </c>
      <c r="D2083">
        <f t="shared" si="80"/>
        <v>-0.32330095565836742</v>
      </c>
    </row>
    <row r="2084" spans="1:4" x14ac:dyDescent="0.3">
      <c r="A2084" s="1">
        <v>28982</v>
      </c>
      <c r="B2084">
        <v>130.60000600000001</v>
      </c>
      <c r="C2084">
        <f t="shared" si="81"/>
        <v>-2.3332298658896876E-2</v>
      </c>
      <c r="D2084">
        <f t="shared" si="80"/>
        <v>-1.9036659016364392</v>
      </c>
    </row>
    <row r="2085" spans="1:4" x14ac:dyDescent="0.3">
      <c r="A2085" s="1">
        <v>28983</v>
      </c>
      <c r="B2085">
        <v>129.60000600000001</v>
      </c>
      <c r="C2085">
        <f t="shared" si="81"/>
        <v>-7.6569674889601456E-3</v>
      </c>
      <c r="D2085">
        <f t="shared" si="80"/>
        <v>-0.64970386538841918</v>
      </c>
    </row>
    <row r="2086" spans="1:4" x14ac:dyDescent="0.3">
      <c r="A2086" s="1">
        <v>28984</v>
      </c>
      <c r="B2086">
        <v>130.33999600000001</v>
      </c>
      <c r="C2086">
        <f t="shared" si="81"/>
        <v>5.7097991183735434E-3</v>
      </c>
      <c r="D2086">
        <f t="shared" si="80"/>
        <v>0.4195824987255608</v>
      </c>
    </row>
    <row r="2087" spans="1:4" x14ac:dyDescent="0.3">
      <c r="A2087" s="1">
        <v>28985</v>
      </c>
      <c r="B2087">
        <v>129.71000699999999</v>
      </c>
      <c r="C2087">
        <f t="shared" si="81"/>
        <v>-4.83342810598232E-3</v>
      </c>
      <c r="D2087">
        <f t="shared" si="80"/>
        <v>-0.42383232521351127</v>
      </c>
    </row>
    <row r="2088" spans="1:4" x14ac:dyDescent="0.3">
      <c r="A2088" s="1">
        <v>28986</v>
      </c>
      <c r="B2088">
        <v>129.69000199999999</v>
      </c>
      <c r="C2088">
        <f t="shared" si="81"/>
        <v>-1.5422865561943582E-4</v>
      </c>
      <c r="D2088">
        <f t="shared" si="80"/>
        <v>-4.9515610167589832E-2</v>
      </c>
    </row>
    <row r="2089" spans="1:4" x14ac:dyDescent="0.3">
      <c r="A2089" s="1">
        <v>28989</v>
      </c>
      <c r="B2089">
        <v>128.990005</v>
      </c>
      <c r="C2089">
        <f t="shared" si="81"/>
        <v>-5.3974630981962375E-3</v>
      </c>
      <c r="D2089">
        <f t="shared" si="80"/>
        <v>-0.4689528052648782</v>
      </c>
    </row>
    <row r="2090" spans="1:4" x14ac:dyDescent="0.3">
      <c r="A2090" s="1">
        <v>28990</v>
      </c>
      <c r="B2090">
        <v>129.009995</v>
      </c>
      <c r="C2090">
        <f t="shared" si="81"/>
        <v>1.5497324773347407E-4</v>
      </c>
      <c r="D2090">
        <f t="shared" si="80"/>
        <v>-2.4780729345180812E-2</v>
      </c>
    </row>
    <row r="2091" spans="1:4" x14ac:dyDescent="0.3">
      <c r="A2091" s="1">
        <v>28991</v>
      </c>
      <c r="B2091">
        <v>129.35000600000001</v>
      </c>
      <c r="C2091">
        <f t="shared" si="81"/>
        <v>2.6355399827742341E-3</v>
      </c>
      <c r="D2091">
        <f t="shared" si="80"/>
        <v>0.17365440930671719</v>
      </c>
    </row>
    <row r="2092" spans="1:4" x14ac:dyDescent="0.3">
      <c r="A2092" s="1">
        <v>28992</v>
      </c>
      <c r="B2092">
        <v>130.44000199999999</v>
      </c>
      <c r="C2092">
        <f t="shared" si="81"/>
        <v>8.426717815536746E-3</v>
      </c>
      <c r="D2092">
        <f t="shared" si="80"/>
        <v>0.63692482246217885</v>
      </c>
    </row>
    <row r="2093" spans="1:4" x14ac:dyDescent="0.3">
      <c r="A2093" s="1">
        <v>28993</v>
      </c>
      <c r="B2093">
        <v>131.009995</v>
      </c>
      <c r="C2093">
        <f t="shared" si="81"/>
        <v>4.369771475471235E-3</v>
      </c>
      <c r="D2093">
        <f t="shared" si="80"/>
        <v>0.31238579751996864</v>
      </c>
    </row>
    <row r="2094" spans="1:4" x14ac:dyDescent="0.3">
      <c r="A2094" s="1">
        <v>28996</v>
      </c>
      <c r="B2094">
        <v>131.16000399999999</v>
      </c>
      <c r="C2094">
        <f t="shared" si="81"/>
        <v>1.1450195078626098E-3</v>
      </c>
      <c r="D2094">
        <f t="shared" si="80"/>
        <v>5.4418900370602645E-2</v>
      </c>
    </row>
    <row r="2095" spans="1:4" x14ac:dyDescent="0.3">
      <c r="A2095" s="1">
        <v>28997</v>
      </c>
      <c r="B2095">
        <v>131.89999399999999</v>
      </c>
      <c r="C2095">
        <f t="shared" si="81"/>
        <v>5.6418875986006065E-3</v>
      </c>
      <c r="D2095">
        <f t="shared" si="80"/>
        <v>0.4141498563975638</v>
      </c>
    </row>
    <row r="2096" spans="1:4" x14ac:dyDescent="0.3">
      <c r="A2096" s="1">
        <v>28998</v>
      </c>
      <c r="B2096">
        <v>132.11999499999999</v>
      </c>
      <c r="C2096">
        <f t="shared" si="81"/>
        <v>1.6679379075634859E-3</v>
      </c>
      <c r="D2096">
        <f t="shared" si="80"/>
        <v>9.6250222093364896E-2</v>
      </c>
    </row>
    <row r="2097" spans="1:4" x14ac:dyDescent="0.3">
      <c r="A2097" s="1">
        <v>28999</v>
      </c>
      <c r="B2097">
        <v>132.10000600000001</v>
      </c>
      <c r="C2097">
        <f t="shared" si="81"/>
        <v>-1.5129428365465169E-4</v>
      </c>
      <c r="D2097">
        <f t="shared" si="80"/>
        <v>-4.9280872476616722E-2</v>
      </c>
    </row>
    <row r="2098" spans="1:4" x14ac:dyDescent="0.3">
      <c r="A2098" s="1">
        <v>29000</v>
      </c>
      <c r="B2098">
        <v>132.679993</v>
      </c>
      <c r="C2098">
        <f t="shared" si="81"/>
        <v>4.3905145621264277E-3</v>
      </c>
      <c r="D2098">
        <f t="shared" si="80"/>
        <v>0.3140451591563021</v>
      </c>
    </row>
    <row r="2099" spans="1:4" x14ac:dyDescent="0.3">
      <c r="A2099" s="1">
        <v>29004</v>
      </c>
      <c r="B2099">
        <v>132.46000699999999</v>
      </c>
      <c r="C2099">
        <f t="shared" si="81"/>
        <v>-1.6580193820179489E-3</v>
      </c>
      <c r="D2099">
        <f t="shared" si="80"/>
        <v>-0.16981268465505531</v>
      </c>
    </row>
    <row r="2100" spans="1:4" x14ac:dyDescent="0.3">
      <c r="A2100" s="1">
        <v>29005</v>
      </c>
      <c r="B2100">
        <v>131.38999899999999</v>
      </c>
      <c r="C2100">
        <f t="shared" si="81"/>
        <v>-8.0779702812487503E-3</v>
      </c>
      <c r="D2100">
        <f t="shared" si="80"/>
        <v>-0.68338235759768151</v>
      </c>
    </row>
    <row r="2101" spans="1:4" x14ac:dyDescent="0.3">
      <c r="A2101" s="1">
        <v>29006</v>
      </c>
      <c r="B2101">
        <v>131.41999799999999</v>
      </c>
      <c r="C2101">
        <f t="shared" si="81"/>
        <v>2.2832026964246849E-4</v>
      </c>
      <c r="D2101">
        <f t="shared" si="80"/>
        <v>-1.891326919721751E-2</v>
      </c>
    </row>
    <row r="2102" spans="1:4" x14ac:dyDescent="0.3">
      <c r="A2102" s="1">
        <v>29007</v>
      </c>
      <c r="B2102">
        <v>131.759995</v>
      </c>
      <c r="C2102">
        <f t="shared" si="81"/>
        <v>2.5871024590946273E-3</v>
      </c>
      <c r="D2102">
        <f t="shared" si="80"/>
        <v>0.16977960658863614</v>
      </c>
    </row>
    <row r="2103" spans="1:4" x14ac:dyDescent="0.3">
      <c r="A2103" s="1">
        <v>29010</v>
      </c>
      <c r="B2103">
        <v>131.949997</v>
      </c>
      <c r="C2103">
        <f t="shared" si="81"/>
        <v>1.442031020113447E-3</v>
      </c>
      <c r="D2103">
        <f t="shared" si="80"/>
        <v>7.8178600032033585E-2</v>
      </c>
    </row>
    <row r="2104" spans="1:4" x14ac:dyDescent="0.3">
      <c r="A2104" s="1">
        <v>29011</v>
      </c>
      <c r="B2104">
        <v>133.020004</v>
      </c>
      <c r="C2104">
        <f t="shared" si="81"/>
        <v>8.1091854818306965E-3</v>
      </c>
      <c r="D2104">
        <f t="shared" si="80"/>
        <v>0.61152354146645282</v>
      </c>
    </row>
    <row r="2105" spans="1:4" x14ac:dyDescent="0.3">
      <c r="A2105" s="1">
        <v>29012</v>
      </c>
      <c r="B2105">
        <v>133.61999499999999</v>
      </c>
      <c r="C2105">
        <f t="shared" si="81"/>
        <v>4.5105321151545641E-3</v>
      </c>
      <c r="D2105">
        <f t="shared" si="80"/>
        <v>0.32364606988342609</v>
      </c>
    </row>
    <row r="2106" spans="1:4" x14ac:dyDescent="0.3">
      <c r="A2106" s="1">
        <v>29013</v>
      </c>
      <c r="B2106">
        <v>134.550003</v>
      </c>
      <c r="C2106">
        <f t="shared" si="81"/>
        <v>6.9600960544865696E-3</v>
      </c>
      <c r="D2106">
        <f t="shared" si="80"/>
        <v>0.51960111236288142</v>
      </c>
    </row>
    <row r="2107" spans="1:4" x14ac:dyDescent="0.3">
      <c r="A2107" s="1">
        <v>29014</v>
      </c>
      <c r="B2107">
        <v>134.96000699999999</v>
      </c>
      <c r="C2107">
        <f t="shared" si="81"/>
        <v>3.0472240123248936E-3</v>
      </c>
      <c r="D2107">
        <f t="shared" si="80"/>
        <v>0.20658743881592523</v>
      </c>
    </row>
    <row r="2108" spans="1:4" x14ac:dyDescent="0.3">
      <c r="A2108" s="1">
        <v>29017</v>
      </c>
      <c r="B2108">
        <v>135.03999300000001</v>
      </c>
      <c r="C2108">
        <f t="shared" si="81"/>
        <v>5.9266446244345139E-4</v>
      </c>
      <c r="D2108">
        <f t="shared" si="80"/>
        <v>1.0232768034588273E-2</v>
      </c>
    </row>
    <row r="2109" spans="1:4" x14ac:dyDescent="0.3">
      <c r="A2109" s="1">
        <v>29018</v>
      </c>
      <c r="B2109">
        <v>135.91999799999999</v>
      </c>
      <c r="C2109">
        <f t="shared" si="81"/>
        <v>6.5166250415903291E-3</v>
      </c>
      <c r="D2109">
        <f t="shared" si="80"/>
        <v>0.48412525489488345</v>
      </c>
    </row>
    <row r="2110" spans="1:4" x14ac:dyDescent="0.3">
      <c r="A2110" s="1">
        <v>29019</v>
      </c>
      <c r="B2110">
        <v>136.009995</v>
      </c>
      <c r="C2110">
        <f t="shared" si="81"/>
        <v>6.6213214629396171E-4</v>
      </c>
      <c r="D2110">
        <f t="shared" si="80"/>
        <v>1.5789897089806264E-2</v>
      </c>
    </row>
    <row r="2111" spans="1:4" x14ac:dyDescent="0.3">
      <c r="A2111" s="1">
        <v>29020</v>
      </c>
      <c r="B2111">
        <v>136.020004</v>
      </c>
      <c r="C2111">
        <f t="shared" si="81"/>
        <v>7.3590179898150892E-5</v>
      </c>
      <c r="D2111">
        <f t="shared" si="80"/>
        <v>-3.1291040122832119E-2</v>
      </c>
    </row>
    <row r="2112" spans="1:4" x14ac:dyDescent="0.3">
      <c r="A2112" s="1">
        <v>29021</v>
      </c>
      <c r="B2112">
        <v>136.25</v>
      </c>
      <c r="C2112">
        <f t="shared" si="81"/>
        <v>1.6908983475695228E-3</v>
      </c>
      <c r="D2112">
        <f t="shared" si="80"/>
        <v>9.8086962879954401E-2</v>
      </c>
    </row>
    <row r="2113" spans="1:4" x14ac:dyDescent="0.3">
      <c r="A2113" s="1">
        <v>29024</v>
      </c>
      <c r="B2113">
        <v>135.85000600000001</v>
      </c>
      <c r="C2113">
        <f t="shared" si="81"/>
        <v>-2.935735779816458E-3</v>
      </c>
      <c r="D2113">
        <f t="shared" si="80"/>
        <v>-0.27202474247771441</v>
      </c>
    </row>
    <row r="2114" spans="1:4" x14ac:dyDescent="0.3">
      <c r="A2114" s="1">
        <v>29025</v>
      </c>
      <c r="B2114">
        <v>136.050003</v>
      </c>
      <c r="C2114">
        <f t="shared" si="81"/>
        <v>1.4721898503265152E-3</v>
      </c>
      <c r="D2114">
        <f t="shared" si="80"/>
        <v>8.0591182435228184E-2</v>
      </c>
    </row>
    <row r="2115" spans="1:4" x14ac:dyDescent="0.3">
      <c r="A2115" s="1">
        <v>29026</v>
      </c>
      <c r="B2115">
        <v>136.449997</v>
      </c>
      <c r="C2115">
        <f t="shared" si="81"/>
        <v>2.9400513868418836E-3</v>
      </c>
      <c r="D2115">
        <f t="shared" ref="D2115:D2178" si="82">(C2115-avrtn)/sdrtn</f>
        <v>0.19801406947375366</v>
      </c>
    </row>
    <row r="2116" spans="1:4" x14ac:dyDescent="0.3">
      <c r="A2116" s="1">
        <v>29027</v>
      </c>
      <c r="B2116">
        <v>136.71000699999999</v>
      </c>
      <c r="C2116">
        <f t="shared" ref="C2116:C2179" si="83">(B2116-B2115)/B2115</f>
        <v>1.9055332042256774E-3</v>
      </c>
      <c r="D2116">
        <f t="shared" si="82"/>
        <v>0.11525686882864256</v>
      </c>
    </row>
    <row r="2117" spans="1:4" x14ac:dyDescent="0.3">
      <c r="A2117" s="1">
        <v>29028</v>
      </c>
      <c r="B2117">
        <v>137.240005</v>
      </c>
      <c r="C2117">
        <f t="shared" si="83"/>
        <v>3.8768047170095327E-3</v>
      </c>
      <c r="D2117">
        <f t="shared" si="82"/>
        <v>0.27295048393445565</v>
      </c>
    </row>
    <row r="2118" spans="1:4" x14ac:dyDescent="0.3">
      <c r="A2118" s="1">
        <v>29031</v>
      </c>
      <c r="B2118">
        <v>136.88999899999999</v>
      </c>
      <c r="C2118">
        <f t="shared" si="83"/>
        <v>-2.550320513322683E-3</v>
      </c>
      <c r="D2118">
        <f t="shared" si="82"/>
        <v>-0.24119310599525801</v>
      </c>
    </row>
    <row r="2119" spans="1:4" x14ac:dyDescent="0.3">
      <c r="A2119" s="1">
        <v>29032</v>
      </c>
      <c r="B2119">
        <v>136.529999</v>
      </c>
      <c r="C2119">
        <f t="shared" si="83"/>
        <v>-2.6298488029062317E-3</v>
      </c>
      <c r="D2119">
        <f t="shared" si="82"/>
        <v>-0.24755504213966109</v>
      </c>
    </row>
    <row r="2120" spans="1:4" x14ac:dyDescent="0.3">
      <c r="A2120" s="1">
        <v>29033</v>
      </c>
      <c r="B2120">
        <v>137.39999399999999</v>
      </c>
      <c r="C2120">
        <f t="shared" si="83"/>
        <v>6.3721893091055306E-3</v>
      </c>
      <c r="D2120">
        <f t="shared" si="82"/>
        <v>0.47257099021938037</v>
      </c>
    </row>
    <row r="2121" spans="1:4" x14ac:dyDescent="0.3">
      <c r="A2121" s="1">
        <v>29034</v>
      </c>
      <c r="B2121">
        <v>138.08000200000001</v>
      </c>
      <c r="C2121">
        <f t="shared" si="83"/>
        <v>4.9491122976323791E-3</v>
      </c>
      <c r="D2121">
        <f t="shared" si="82"/>
        <v>0.35873068102916489</v>
      </c>
    </row>
    <row r="2122" spans="1:4" x14ac:dyDescent="0.3">
      <c r="A2122" s="1">
        <v>29035</v>
      </c>
      <c r="B2122">
        <v>138.13000500000001</v>
      </c>
      <c r="C2122">
        <f t="shared" si="83"/>
        <v>3.6213064365398683E-4</v>
      </c>
      <c r="D2122">
        <f t="shared" si="82"/>
        <v>-8.2089895078417408E-3</v>
      </c>
    </row>
    <row r="2123" spans="1:4" x14ac:dyDescent="0.3">
      <c r="A2123" s="1">
        <v>29038</v>
      </c>
      <c r="B2123">
        <v>137.029999</v>
      </c>
      <c r="C2123">
        <f t="shared" si="83"/>
        <v>-7.9635557821054696E-3</v>
      </c>
      <c r="D2123">
        <f t="shared" si="82"/>
        <v>-0.67422966814145069</v>
      </c>
    </row>
    <row r="2124" spans="1:4" x14ac:dyDescent="0.3">
      <c r="A2124" s="1">
        <v>29039</v>
      </c>
      <c r="B2124">
        <v>137.029999</v>
      </c>
      <c r="C2124">
        <f t="shared" si="83"/>
        <v>0</v>
      </c>
      <c r="D2124">
        <f t="shared" si="82"/>
        <v>-3.7177951910056316E-2</v>
      </c>
    </row>
    <row r="2125" spans="1:4" x14ac:dyDescent="0.3">
      <c r="A2125" s="1">
        <v>29041</v>
      </c>
      <c r="B2125">
        <v>137.78999300000001</v>
      </c>
      <c r="C2125">
        <f t="shared" si="83"/>
        <v>5.5461870068320299E-3</v>
      </c>
      <c r="D2125">
        <f t="shared" si="82"/>
        <v>0.40649420257926239</v>
      </c>
    </row>
    <row r="2126" spans="1:4" x14ac:dyDescent="0.3">
      <c r="A2126" s="1">
        <v>29042</v>
      </c>
      <c r="B2126">
        <v>138.63999899999999</v>
      </c>
      <c r="C2126">
        <f t="shared" si="83"/>
        <v>6.1688514636906843E-3</v>
      </c>
      <c r="D2126">
        <f t="shared" si="82"/>
        <v>0.45630479871640911</v>
      </c>
    </row>
    <row r="2127" spans="1:4" x14ac:dyDescent="0.3">
      <c r="A2127" s="1">
        <v>29045</v>
      </c>
      <c r="B2127">
        <v>139.14999399999999</v>
      </c>
      <c r="C2127">
        <f t="shared" si="83"/>
        <v>3.6785559988355421E-3</v>
      </c>
      <c r="D2127">
        <f t="shared" si="82"/>
        <v>0.25709140168413652</v>
      </c>
    </row>
    <row r="2128" spans="1:4" x14ac:dyDescent="0.3">
      <c r="A2128" s="1">
        <v>29046</v>
      </c>
      <c r="B2128">
        <v>138.970001</v>
      </c>
      <c r="C2128">
        <f t="shared" si="83"/>
        <v>-1.2935178423363503E-3</v>
      </c>
      <c r="D2128">
        <f t="shared" si="82"/>
        <v>-0.14065406031981451</v>
      </c>
    </row>
    <row r="2129" spans="1:4" x14ac:dyDescent="0.3">
      <c r="A2129" s="1">
        <v>29047</v>
      </c>
      <c r="B2129">
        <v>138.85000600000001</v>
      </c>
      <c r="C2129">
        <f t="shared" si="83"/>
        <v>-8.6345973329876244E-4</v>
      </c>
      <c r="D2129">
        <f t="shared" si="82"/>
        <v>-0.1062511800063185</v>
      </c>
    </row>
    <row r="2130" spans="1:4" x14ac:dyDescent="0.3">
      <c r="A2130" s="1">
        <v>29048</v>
      </c>
      <c r="B2130">
        <v>138.679993</v>
      </c>
      <c r="C2130">
        <f t="shared" si="83"/>
        <v>-1.224436389293433E-3</v>
      </c>
      <c r="D2130">
        <f t="shared" si="82"/>
        <v>-0.1351278281410134</v>
      </c>
    </row>
    <row r="2131" spans="1:4" x14ac:dyDescent="0.3">
      <c r="A2131" s="1">
        <v>29049</v>
      </c>
      <c r="B2131">
        <v>138.520004</v>
      </c>
      <c r="C2131">
        <f t="shared" si="83"/>
        <v>-1.1536559567031125E-3</v>
      </c>
      <c r="D2131">
        <f t="shared" si="82"/>
        <v>-0.12946568458466567</v>
      </c>
    </row>
    <row r="2132" spans="1:4" x14ac:dyDescent="0.3">
      <c r="A2132" s="1">
        <v>29052</v>
      </c>
      <c r="B2132">
        <v>138.88999899999999</v>
      </c>
      <c r="C2132">
        <f t="shared" si="83"/>
        <v>2.6710582537955224E-3</v>
      </c>
      <c r="D2132">
        <f t="shared" si="82"/>
        <v>0.1764957249364171</v>
      </c>
    </row>
    <row r="2133" spans="1:4" x14ac:dyDescent="0.3">
      <c r="A2133" s="1">
        <v>29053</v>
      </c>
      <c r="B2133">
        <v>137.86000100000001</v>
      </c>
      <c r="C2133">
        <f t="shared" si="83"/>
        <v>-7.415926325983902E-3</v>
      </c>
      <c r="D2133">
        <f t="shared" si="82"/>
        <v>-0.63042156351750445</v>
      </c>
    </row>
    <row r="2134" spans="1:4" x14ac:dyDescent="0.3">
      <c r="A2134" s="1">
        <v>29054</v>
      </c>
      <c r="B2134">
        <v>137.259995</v>
      </c>
      <c r="C2134">
        <f t="shared" si="83"/>
        <v>-4.3522848951670001E-3</v>
      </c>
      <c r="D2134">
        <f t="shared" si="82"/>
        <v>-0.3853428468209904</v>
      </c>
    </row>
    <row r="2135" spans="1:4" x14ac:dyDescent="0.3">
      <c r="A2135" s="1">
        <v>29055</v>
      </c>
      <c r="B2135">
        <v>137.570007</v>
      </c>
      <c r="C2135">
        <f t="shared" si="83"/>
        <v>2.258575049489113E-3</v>
      </c>
      <c r="D2135">
        <f t="shared" si="82"/>
        <v>0.14349876473297532</v>
      </c>
    </row>
    <row r="2136" spans="1:4" x14ac:dyDescent="0.3">
      <c r="A2136" s="1">
        <v>29056</v>
      </c>
      <c r="B2136">
        <v>137.979996</v>
      </c>
      <c r="C2136">
        <f t="shared" si="83"/>
        <v>2.9802208267678282E-3</v>
      </c>
      <c r="D2136">
        <f t="shared" si="82"/>
        <v>0.20122745949010529</v>
      </c>
    </row>
    <row r="2137" spans="1:4" x14ac:dyDescent="0.3">
      <c r="A2137" s="1">
        <v>29059</v>
      </c>
      <c r="B2137">
        <v>137.570007</v>
      </c>
      <c r="C2137">
        <f t="shared" si="83"/>
        <v>-2.9713655014165672E-3</v>
      </c>
      <c r="D2137">
        <f t="shared" si="82"/>
        <v>-0.27487497369543251</v>
      </c>
    </row>
    <row r="2138" spans="1:4" x14ac:dyDescent="0.3">
      <c r="A2138" s="1">
        <v>29060</v>
      </c>
      <c r="B2138">
        <v>138.020004</v>
      </c>
      <c r="C2138">
        <f t="shared" si="83"/>
        <v>3.2710400312765571E-3</v>
      </c>
      <c r="D2138">
        <f t="shared" si="82"/>
        <v>0.22449179999508914</v>
      </c>
    </row>
    <row r="2139" spans="1:4" x14ac:dyDescent="0.3">
      <c r="A2139" s="1">
        <v>29061</v>
      </c>
      <c r="B2139">
        <v>138.970001</v>
      </c>
      <c r="C2139">
        <f t="shared" si="83"/>
        <v>6.8830384905654417E-3</v>
      </c>
      <c r="D2139">
        <f t="shared" si="82"/>
        <v>0.51343682411178737</v>
      </c>
    </row>
    <row r="2140" spans="1:4" x14ac:dyDescent="0.3">
      <c r="A2140" s="1">
        <v>29062</v>
      </c>
      <c r="B2140">
        <v>139.520004</v>
      </c>
      <c r="C2140">
        <f t="shared" si="83"/>
        <v>3.957710268707588E-3</v>
      </c>
      <c r="D2140">
        <f t="shared" si="82"/>
        <v>0.27942259538468361</v>
      </c>
    </row>
    <row r="2141" spans="1:4" x14ac:dyDescent="0.3">
      <c r="A2141" s="1">
        <v>29063</v>
      </c>
      <c r="B2141">
        <v>140.020004</v>
      </c>
      <c r="C2141">
        <f t="shared" si="83"/>
        <v>3.5837154935861384E-3</v>
      </c>
      <c r="D2141">
        <f t="shared" si="82"/>
        <v>0.24950455125067211</v>
      </c>
    </row>
    <row r="2142" spans="1:4" x14ac:dyDescent="0.3">
      <c r="A2142" s="1">
        <v>29066</v>
      </c>
      <c r="B2142">
        <v>140.53999300000001</v>
      </c>
      <c r="C2142">
        <f t="shared" si="83"/>
        <v>3.7136765115362343E-3</v>
      </c>
      <c r="D2142">
        <f t="shared" si="82"/>
        <v>0.25990089828378077</v>
      </c>
    </row>
    <row r="2143" spans="1:4" x14ac:dyDescent="0.3">
      <c r="A2143" s="1">
        <v>29067</v>
      </c>
      <c r="B2143">
        <v>141.33000200000001</v>
      </c>
      <c r="C2143">
        <f t="shared" si="83"/>
        <v>5.621239784749368E-3</v>
      </c>
      <c r="D2143">
        <f t="shared" si="82"/>
        <v>0.41249811619378257</v>
      </c>
    </row>
    <row r="2144" spans="1:4" x14ac:dyDescent="0.3">
      <c r="A2144" s="1">
        <v>29068</v>
      </c>
      <c r="B2144">
        <v>141.89999399999999</v>
      </c>
      <c r="C2144">
        <f t="shared" si="83"/>
        <v>4.0330573263558361E-3</v>
      </c>
      <c r="D2144">
        <f t="shared" si="82"/>
        <v>0.28545005016759106</v>
      </c>
    </row>
    <row r="2145" spans="1:4" x14ac:dyDescent="0.3">
      <c r="A2145" s="1">
        <v>29069</v>
      </c>
      <c r="B2145">
        <v>142.53999300000001</v>
      </c>
      <c r="C2145">
        <f t="shared" si="83"/>
        <v>4.5102116071972301E-3</v>
      </c>
      <c r="D2145">
        <f t="shared" si="82"/>
        <v>0.32362043056477596</v>
      </c>
    </row>
    <row r="2146" spans="1:4" x14ac:dyDescent="0.3">
      <c r="A2146" s="1">
        <v>29070</v>
      </c>
      <c r="B2146">
        <v>142.63000500000001</v>
      </c>
      <c r="C2146">
        <f t="shared" si="83"/>
        <v>6.3148592970677033E-4</v>
      </c>
      <c r="D2146">
        <f t="shared" si="82"/>
        <v>1.3338325780826546E-2</v>
      </c>
    </row>
    <row r="2147" spans="1:4" x14ac:dyDescent="0.3">
      <c r="A2147" s="1">
        <v>29073</v>
      </c>
      <c r="B2147">
        <v>142.41000399999999</v>
      </c>
      <c r="C2147">
        <f t="shared" si="83"/>
        <v>-1.5424594565500067E-3</v>
      </c>
      <c r="D2147">
        <f t="shared" si="82"/>
        <v>-0.16056836580287281</v>
      </c>
    </row>
    <row r="2148" spans="1:4" x14ac:dyDescent="0.3">
      <c r="A2148" s="1">
        <v>29074</v>
      </c>
      <c r="B2148">
        <v>143.300003</v>
      </c>
      <c r="C2148">
        <f t="shared" si="83"/>
        <v>6.2495539288097866E-3</v>
      </c>
      <c r="D2148">
        <f t="shared" si="82"/>
        <v>0.46276066407541783</v>
      </c>
    </row>
    <row r="2149" spans="1:4" x14ac:dyDescent="0.3">
      <c r="A2149" s="1">
        <v>29075</v>
      </c>
      <c r="B2149">
        <v>144.05999800000001</v>
      </c>
      <c r="C2149">
        <f t="shared" si="83"/>
        <v>5.3035239643365777E-3</v>
      </c>
      <c r="D2149">
        <f t="shared" si="82"/>
        <v>0.38708215701601928</v>
      </c>
    </row>
    <row r="2150" spans="1:4" x14ac:dyDescent="0.3">
      <c r="A2150" s="1">
        <v>29076</v>
      </c>
      <c r="B2150">
        <v>144.270004</v>
      </c>
      <c r="C2150">
        <f t="shared" si="83"/>
        <v>1.457767617072942E-3</v>
      </c>
      <c r="D2150">
        <f t="shared" si="82"/>
        <v>7.9437463079519835E-2</v>
      </c>
    </row>
    <row r="2151" spans="1:4" x14ac:dyDescent="0.3">
      <c r="A2151" s="1">
        <v>29077</v>
      </c>
      <c r="B2151">
        <v>145.070007</v>
      </c>
      <c r="C2151">
        <f t="shared" si="83"/>
        <v>5.5451790241858165E-3</v>
      </c>
      <c r="D2151">
        <f t="shared" si="82"/>
        <v>0.40641356811241475</v>
      </c>
    </row>
    <row r="2152" spans="1:4" x14ac:dyDescent="0.3">
      <c r="A2152" s="1">
        <v>29080</v>
      </c>
      <c r="B2152">
        <v>146.070007</v>
      </c>
      <c r="C2152">
        <f t="shared" si="83"/>
        <v>6.8932236282307473E-3</v>
      </c>
      <c r="D2152">
        <f t="shared" si="82"/>
        <v>0.51425159324347547</v>
      </c>
    </row>
    <row r="2153" spans="1:4" x14ac:dyDescent="0.3">
      <c r="A2153" s="1">
        <v>29081</v>
      </c>
      <c r="B2153">
        <v>146.300003</v>
      </c>
      <c r="C2153">
        <f t="shared" si="83"/>
        <v>1.5745600669410515E-3</v>
      </c>
      <c r="D2153">
        <f t="shared" si="82"/>
        <v>8.8780378815545111E-2</v>
      </c>
    </row>
    <row r="2154" spans="1:4" x14ac:dyDescent="0.3">
      <c r="A2154" s="1">
        <v>29082</v>
      </c>
      <c r="B2154">
        <v>147.13999899999999</v>
      </c>
      <c r="C2154">
        <f t="shared" si="83"/>
        <v>5.7415993354421532E-3</v>
      </c>
      <c r="D2154">
        <f t="shared" si="82"/>
        <v>0.42212638532777569</v>
      </c>
    </row>
    <row r="2155" spans="1:4" x14ac:dyDescent="0.3">
      <c r="A2155" s="1">
        <v>29083</v>
      </c>
      <c r="B2155">
        <v>147.44000199999999</v>
      </c>
      <c r="C2155">
        <f t="shared" si="83"/>
        <v>2.0388949438555032E-3</v>
      </c>
      <c r="D2155">
        <f t="shared" si="82"/>
        <v>0.12592525961227852</v>
      </c>
    </row>
    <row r="2156" spans="1:4" x14ac:dyDescent="0.3">
      <c r="A2156" s="1">
        <v>29084</v>
      </c>
      <c r="B2156">
        <v>147.83999600000001</v>
      </c>
      <c r="C2156">
        <f t="shared" si="83"/>
        <v>2.7129272556576664E-3</v>
      </c>
      <c r="D2156">
        <f t="shared" si="82"/>
        <v>0.17984507291902424</v>
      </c>
    </row>
    <row r="2157" spans="1:4" x14ac:dyDescent="0.3">
      <c r="A2157" s="1">
        <v>29087</v>
      </c>
      <c r="B2157">
        <v>147.949997</v>
      </c>
      <c r="C2157">
        <f t="shared" si="83"/>
        <v>7.4405440324810804E-4</v>
      </c>
      <c r="D2157">
        <f t="shared" si="82"/>
        <v>2.2343340779804519E-2</v>
      </c>
    </row>
    <row r="2158" spans="1:4" x14ac:dyDescent="0.3">
      <c r="A2158" s="1">
        <v>29088</v>
      </c>
      <c r="B2158">
        <v>147.990005</v>
      </c>
      <c r="C2158">
        <f t="shared" si="83"/>
        <v>2.704156864565551E-4</v>
      </c>
      <c r="D2158">
        <f t="shared" si="82"/>
        <v>-1.5545808949478818E-2</v>
      </c>
    </row>
    <row r="2159" spans="1:4" x14ac:dyDescent="0.3">
      <c r="A2159" s="1">
        <v>29089</v>
      </c>
      <c r="B2159">
        <v>148.740005</v>
      </c>
      <c r="C2159">
        <f t="shared" si="83"/>
        <v>5.0679098226937688E-3</v>
      </c>
      <c r="D2159">
        <f t="shared" si="82"/>
        <v>0.36823399453573413</v>
      </c>
    </row>
    <row r="2160" spans="1:4" x14ac:dyDescent="0.3">
      <c r="A2160" s="1">
        <v>29090</v>
      </c>
      <c r="B2160">
        <v>149.13000500000001</v>
      </c>
      <c r="C2160">
        <f t="shared" si="83"/>
        <v>2.6220249219435941E-3</v>
      </c>
      <c r="D2160">
        <f t="shared" si="82"/>
        <v>0.17257326001452819</v>
      </c>
    </row>
    <row r="2161" spans="1:4" x14ac:dyDescent="0.3">
      <c r="A2161" s="1">
        <v>29091</v>
      </c>
      <c r="B2161">
        <v>149.39999399999999</v>
      </c>
      <c r="C2161">
        <f t="shared" si="83"/>
        <v>1.8104270834027071E-3</v>
      </c>
      <c r="D2161">
        <f t="shared" si="82"/>
        <v>0.10764877024151054</v>
      </c>
    </row>
    <row r="2162" spans="1:4" x14ac:dyDescent="0.3">
      <c r="A2162" s="1">
        <v>29094</v>
      </c>
      <c r="B2162">
        <v>149.509995</v>
      </c>
      <c r="C2162">
        <f t="shared" si="83"/>
        <v>7.36285170132009E-4</v>
      </c>
      <c r="D2162">
        <f t="shared" si="82"/>
        <v>2.1721834077794062E-2</v>
      </c>
    </row>
    <row r="2163" spans="1:4" x14ac:dyDescent="0.3">
      <c r="A2163" s="1">
        <v>29095</v>
      </c>
      <c r="B2163">
        <v>149.53999300000001</v>
      </c>
      <c r="C2163">
        <f t="shared" si="83"/>
        <v>2.0064210422859145E-4</v>
      </c>
      <c r="D2163">
        <f t="shared" si="82"/>
        <v>-2.1127408617031433E-2</v>
      </c>
    </row>
    <row r="2164" spans="1:4" x14ac:dyDescent="0.3">
      <c r="A2164" s="1">
        <v>29096</v>
      </c>
      <c r="B2164">
        <v>150.03999300000001</v>
      </c>
      <c r="C2164">
        <f t="shared" si="83"/>
        <v>3.3435871566477871E-3</v>
      </c>
      <c r="D2164">
        <f t="shared" si="82"/>
        <v>0.23029527170922551</v>
      </c>
    </row>
    <row r="2165" spans="1:4" x14ac:dyDescent="0.3">
      <c r="A2165" s="1">
        <v>29097</v>
      </c>
      <c r="B2165">
        <v>150.05999800000001</v>
      </c>
      <c r="C2165">
        <f t="shared" si="83"/>
        <v>1.3333111792398982E-4</v>
      </c>
      <c r="D2165">
        <f t="shared" si="82"/>
        <v>-2.6512010736970022E-2</v>
      </c>
    </row>
    <row r="2166" spans="1:4" x14ac:dyDescent="0.3">
      <c r="A2166" s="1">
        <v>29098</v>
      </c>
      <c r="B2166">
        <v>150.44000199999999</v>
      </c>
      <c r="C2166">
        <f t="shared" si="83"/>
        <v>2.5323470949265596E-3</v>
      </c>
      <c r="D2166">
        <f t="shared" si="82"/>
        <v>0.16539940261059352</v>
      </c>
    </row>
    <row r="2167" spans="1:4" x14ac:dyDescent="0.3">
      <c r="A2167" s="1">
        <v>29102</v>
      </c>
      <c r="B2167">
        <v>148.490005</v>
      </c>
      <c r="C2167">
        <f t="shared" si="83"/>
        <v>-1.2961958083462378E-2</v>
      </c>
      <c r="D2167">
        <f t="shared" si="82"/>
        <v>-1.0740812986969279</v>
      </c>
    </row>
    <row r="2168" spans="1:4" x14ac:dyDescent="0.3">
      <c r="A2168" s="1">
        <v>29103</v>
      </c>
      <c r="B2168">
        <v>146.029999</v>
      </c>
      <c r="C2168">
        <f t="shared" si="83"/>
        <v>-1.6566812022128983E-2</v>
      </c>
      <c r="D2168">
        <f t="shared" si="82"/>
        <v>-1.3624547905422884</v>
      </c>
    </row>
    <row r="2169" spans="1:4" x14ac:dyDescent="0.3">
      <c r="A2169" s="1">
        <v>29104</v>
      </c>
      <c r="B2169">
        <v>146.86999499999999</v>
      </c>
      <c r="C2169">
        <f t="shared" si="83"/>
        <v>5.7522153376169307E-3</v>
      </c>
      <c r="D2169">
        <f t="shared" si="82"/>
        <v>0.42297562184849608</v>
      </c>
    </row>
    <row r="2170" spans="1:4" x14ac:dyDescent="0.3">
      <c r="A2170" s="1">
        <v>29105</v>
      </c>
      <c r="B2170">
        <v>148.070007</v>
      </c>
      <c r="C2170">
        <f t="shared" si="83"/>
        <v>8.1705728933947012E-3</v>
      </c>
      <c r="D2170">
        <f t="shared" si="82"/>
        <v>0.61643428196502859</v>
      </c>
    </row>
    <row r="2171" spans="1:4" x14ac:dyDescent="0.3">
      <c r="A2171" s="1">
        <v>29108</v>
      </c>
      <c r="B2171">
        <v>148.91000399999999</v>
      </c>
      <c r="C2171">
        <f t="shared" si="83"/>
        <v>5.6729719746685938E-3</v>
      </c>
      <c r="D2171">
        <f t="shared" si="82"/>
        <v>0.41663647866328463</v>
      </c>
    </row>
    <row r="2172" spans="1:4" x14ac:dyDescent="0.3">
      <c r="A2172" s="1">
        <v>29109</v>
      </c>
      <c r="B2172">
        <v>148.38999899999999</v>
      </c>
      <c r="C2172">
        <f t="shared" si="83"/>
        <v>-3.4920756566496208E-3</v>
      </c>
      <c r="D2172">
        <f t="shared" si="82"/>
        <v>-0.31652964494112446</v>
      </c>
    </row>
    <row r="2173" spans="1:4" x14ac:dyDescent="0.3">
      <c r="A2173" s="1">
        <v>29110</v>
      </c>
      <c r="B2173">
        <v>148.66000399999999</v>
      </c>
      <c r="C2173">
        <f t="shared" si="83"/>
        <v>1.8195633251537229E-3</v>
      </c>
      <c r="D2173">
        <f t="shared" si="82"/>
        <v>0.10837963201314124</v>
      </c>
    </row>
    <row r="2174" spans="1:4" x14ac:dyDescent="0.3">
      <c r="A2174" s="1">
        <v>29111</v>
      </c>
      <c r="B2174">
        <v>149.33000200000001</v>
      </c>
      <c r="C2174">
        <f t="shared" si="83"/>
        <v>4.5069149870332371E-3</v>
      </c>
      <c r="D2174">
        <f t="shared" si="82"/>
        <v>0.32335671450743964</v>
      </c>
    </row>
    <row r="2175" spans="1:4" x14ac:dyDescent="0.3">
      <c r="A2175" s="1">
        <v>29112</v>
      </c>
      <c r="B2175">
        <v>150.55999800000001</v>
      </c>
      <c r="C2175">
        <f t="shared" si="83"/>
        <v>8.2367641031706393E-3</v>
      </c>
      <c r="D2175">
        <f t="shared" si="82"/>
        <v>0.62172930656722269</v>
      </c>
    </row>
    <row r="2176" spans="1:4" x14ac:dyDescent="0.3">
      <c r="A2176" s="1">
        <v>29115</v>
      </c>
      <c r="B2176">
        <v>150.46000699999999</v>
      </c>
      <c r="C2176">
        <f t="shared" si="83"/>
        <v>-6.6412726705812673E-4</v>
      </c>
      <c r="D2176">
        <f t="shared" si="82"/>
        <v>-9.0305402367066495E-2</v>
      </c>
    </row>
    <row r="2177" spans="1:4" x14ac:dyDescent="0.3">
      <c r="A2177" s="1">
        <v>29116</v>
      </c>
      <c r="B2177">
        <v>149.19000199999999</v>
      </c>
      <c r="C2177">
        <f t="shared" si="83"/>
        <v>-8.4408144418071027E-3</v>
      </c>
      <c r="D2177">
        <f t="shared" si="82"/>
        <v>-0.71240839841824632</v>
      </c>
    </row>
    <row r="2178" spans="1:4" x14ac:dyDescent="0.3">
      <c r="A2178" s="1">
        <v>29117</v>
      </c>
      <c r="B2178">
        <v>149.44000199999999</v>
      </c>
      <c r="C2178">
        <f t="shared" si="83"/>
        <v>1.675715508067357E-3</v>
      </c>
      <c r="D2178">
        <f t="shared" si="82"/>
        <v>9.6872398151990211E-2</v>
      </c>
    </row>
    <row r="2179" spans="1:4" x14ac:dyDescent="0.3">
      <c r="A2179" s="1">
        <v>29118</v>
      </c>
      <c r="B2179">
        <v>150.199997</v>
      </c>
      <c r="C2179">
        <f t="shared" si="83"/>
        <v>5.0856195786186057E-3</v>
      </c>
      <c r="D2179">
        <f t="shared" ref="D2179:D2242" si="84">(C2179-avrtn)/sdrtn</f>
        <v>0.3696507021867696</v>
      </c>
    </row>
    <row r="2180" spans="1:4" x14ac:dyDescent="0.3">
      <c r="A2180" s="1">
        <v>29119</v>
      </c>
      <c r="B2180">
        <v>150.64999399999999</v>
      </c>
      <c r="C2180">
        <f t="shared" ref="C2180:C2243" si="85">(B2180-B2179)/B2179</f>
        <v>2.9959854127027462E-3</v>
      </c>
      <c r="D2180">
        <f t="shared" si="84"/>
        <v>0.20248856154053402</v>
      </c>
    </row>
    <row r="2181" spans="1:4" x14ac:dyDescent="0.3">
      <c r="A2181" s="1">
        <v>29122</v>
      </c>
      <c r="B2181">
        <v>150.11999499999999</v>
      </c>
      <c r="C2181">
        <f t="shared" si="85"/>
        <v>-3.518081786315927E-3</v>
      </c>
      <c r="D2181">
        <f t="shared" si="84"/>
        <v>-0.31861002837658475</v>
      </c>
    </row>
    <row r="2182" spans="1:4" x14ac:dyDescent="0.3">
      <c r="A2182" s="1">
        <v>29123</v>
      </c>
      <c r="B2182">
        <v>149.270004</v>
      </c>
      <c r="C2182">
        <f t="shared" si="85"/>
        <v>-5.6620771936475795E-3</v>
      </c>
      <c r="D2182">
        <f t="shared" si="84"/>
        <v>-0.4901208448013234</v>
      </c>
    </row>
    <row r="2183" spans="1:4" x14ac:dyDescent="0.3">
      <c r="A2183" s="1">
        <v>29124</v>
      </c>
      <c r="B2183">
        <v>149.88000500000001</v>
      </c>
      <c r="C2183">
        <f t="shared" si="85"/>
        <v>4.0865611553143064E-3</v>
      </c>
      <c r="D2183">
        <f t="shared" si="84"/>
        <v>0.28973013647520945</v>
      </c>
    </row>
    <row r="2184" spans="1:4" x14ac:dyDescent="0.3">
      <c r="A2184" s="1">
        <v>29125</v>
      </c>
      <c r="B2184">
        <v>150.36999499999999</v>
      </c>
      <c r="C2184">
        <f t="shared" si="85"/>
        <v>3.2692152632365968E-3</v>
      </c>
      <c r="D2184">
        <f t="shared" si="84"/>
        <v>0.22434582605538333</v>
      </c>
    </row>
    <row r="2185" spans="1:4" x14ac:dyDescent="0.3">
      <c r="A2185" s="1">
        <v>29126</v>
      </c>
      <c r="B2185">
        <v>149.979996</v>
      </c>
      <c r="C2185">
        <f t="shared" si="85"/>
        <v>-2.5935958832743787E-3</v>
      </c>
      <c r="D2185">
        <f t="shared" si="84"/>
        <v>-0.24465495764200915</v>
      </c>
    </row>
    <row r="2186" spans="1:4" x14ac:dyDescent="0.3">
      <c r="A2186" s="1">
        <v>29129</v>
      </c>
      <c r="B2186">
        <v>149.58999600000001</v>
      </c>
      <c r="C2186">
        <f t="shared" si="85"/>
        <v>-2.6003467822467894E-3</v>
      </c>
      <c r="D2186">
        <f t="shared" si="84"/>
        <v>-0.24519500179993955</v>
      </c>
    </row>
    <row r="2187" spans="1:4" x14ac:dyDescent="0.3">
      <c r="A2187" s="1">
        <v>29130</v>
      </c>
      <c r="B2187">
        <v>150.009995</v>
      </c>
      <c r="C2187">
        <f t="shared" si="85"/>
        <v>2.8076676999175131E-3</v>
      </c>
      <c r="D2187">
        <f t="shared" si="84"/>
        <v>0.18742391888477739</v>
      </c>
    </row>
    <row r="2188" spans="1:4" x14ac:dyDescent="0.3">
      <c r="A2188" s="1">
        <v>29131</v>
      </c>
      <c r="B2188">
        <v>150.509995</v>
      </c>
      <c r="C2188">
        <f t="shared" si="85"/>
        <v>3.3331112370212396E-3</v>
      </c>
      <c r="D2188">
        <f t="shared" si="84"/>
        <v>0.22945724121634062</v>
      </c>
    </row>
    <row r="2189" spans="1:4" x14ac:dyDescent="0.3">
      <c r="A2189" s="1">
        <v>29132</v>
      </c>
      <c r="B2189">
        <v>151.41999799999999</v>
      </c>
      <c r="C2189">
        <f t="shared" si="85"/>
        <v>6.0461300261154685E-3</v>
      </c>
      <c r="D2189">
        <f t="shared" si="84"/>
        <v>0.44648758834395846</v>
      </c>
    </row>
    <row r="2190" spans="1:4" x14ac:dyDescent="0.3">
      <c r="A2190" s="1">
        <v>29133</v>
      </c>
      <c r="B2190">
        <v>152.28999300000001</v>
      </c>
      <c r="C2190">
        <f t="shared" si="85"/>
        <v>5.7455752971283039E-3</v>
      </c>
      <c r="D2190">
        <f t="shared" si="84"/>
        <v>0.42244444591341557</v>
      </c>
    </row>
    <row r="2191" spans="1:4" x14ac:dyDescent="0.3">
      <c r="A2191" s="1">
        <v>29136</v>
      </c>
      <c r="B2191">
        <v>150.979996</v>
      </c>
      <c r="C2191">
        <f t="shared" si="85"/>
        <v>-8.6019900204474357E-3</v>
      </c>
      <c r="D2191">
        <f t="shared" si="84"/>
        <v>-0.72530178195153339</v>
      </c>
    </row>
    <row r="2192" spans="1:4" x14ac:dyDescent="0.3">
      <c r="A2192" s="1">
        <v>29137</v>
      </c>
      <c r="B2192">
        <v>145.199997</v>
      </c>
      <c r="C2192">
        <f t="shared" si="85"/>
        <v>-3.8283210710907713E-2</v>
      </c>
      <c r="D2192">
        <f t="shared" si="84"/>
        <v>-3.0996773872795993</v>
      </c>
    </row>
    <row r="2193" spans="1:4" x14ac:dyDescent="0.3">
      <c r="A2193" s="1">
        <v>29138</v>
      </c>
      <c r="B2193">
        <v>139.30999800000001</v>
      </c>
      <c r="C2193">
        <f t="shared" si="85"/>
        <v>-4.0564732243072901E-2</v>
      </c>
      <c r="D2193">
        <f t="shared" si="84"/>
        <v>-3.2821897281802164</v>
      </c>
    </row>
    <row r="2194" spans="1:4" x14ac:dyDescent="0.3">
      <c r="A2194" s="1">
        <v>29139</v>
      </c>
      <c r="B2194">
        <v>140.08999600000001</v>
      </c>
      <c r="C2194">
        <f t="shared" si="85"/>
        <v>5.5990094838706851E-3</v>
      </c>
      <c r="D2194">
        <f t="shared" si="84"/>
        <v>0.41071978353503136</v>
      </c>
    </row>
    <row r="2195" spans="1:4" x14ac:dyDescent="0.3">
      <c r="A2195" s="1">
        <v>29140</v>
      </c>
      <c r="B2195">
        <v>140.71000699999999</v>
      </c>
      <c r="C2195">
        <f t="shared" si="85"/>
        <v>4.4258049661160441E-3</v>
      </c>
      <c r="D2195">
        <f t="shared" si="84"/>
        <v>0.31686824636046312</v>
      </c>
    </row>
    <row r="2196" spans="1:4" x14ac:dyDescent="0.3">
      <c r="A2196" s="1">
        <v>29143</v>
      </c>
      <c r="B2196">
        <v>138.38999899999999</v>
      </c>
      <c r="C2196">
        <f t="shared" si="85"/>
        <v>-1.6487867845817118E-2</v>
      </c>
      <c r="D2196">
        <f t="shared" si="84"/>
        <v>-1.3561395810577317</v>
      </c>
    </row>
    <row r="2197" spans="1:4" x14ac:dyDescent="0.3">
      <c r="A2197" s="1">
        <v>29144</v>
      </c>
      <c r="B2197">
        <v>138.33999600000001</v>
      </c>
      <c r="C2197">
        <f t="shared" si="85"/>
        <v>-3.6131946210921914E-4</v>
      </c>
      <c r="D2197">
        <f t="shared" si="84"/>
        <v>-6.6082023124287917E-2</v>
      </c>
    </row>
    <row r="2198" spans="1:4" x14ac:dyDescent="0.3">
      <c r="A2198" s="1">
        <v>29145</v>
      </c>
      <c r="B2198">
        <v>139.03999300000001</v>
      </c>
      <c r="C2198">
        <f t="shared" si="85"/>
        <v>5.059975569176655E-3</v>
      </c>
      <c r="D2198">
        <f t="shared" si="84"/>
        <v>0.36759928688021043</v>
      </c>
    </row>
    <row r="2199" spans="1:4" x14ac:dyDescent="0.3">
      <c r="A2199" s="1">
        <v>29146</v>
      </c>
      <c r="B2199">
        <v>139.46000699999999</v>
      </c>
      <c r="C2199">
        <f t="shared" si="85"/>
        <v>3.0208143062836644E-3</v>
      </c>
      <c r="D2199">
        <f t="shared" si="84"/>
        <v>0.20447477092998703</v>
      </c>
    </row>
    <row r="2200" spans="1:4" x14ac:dyDescent="0.3">
      <c r="A2200" s="1">
        <v>29147</v>
      </c>
      <c r="B2200">
        <v>136.58999600000001</v>
      </c>
      <c r="C2200">
        <f t="shared" si="85"/>
        <v>-2.0579455442017704E-2</v>
      </c>
      <c r="D2200">
        <f t="shared" si="84"/>
        <v>-1.6834497640450514</v>
      </c>
    </row>
    <row r="2201" spans="1:4" x14ac:dyDescent="0.3">
      <c r="A2201" s="1">
        <v>29150</v>
      </c>
      <c r="B2201">
        <v>133.16000399999999</v>
      </c>
      <c r="C2201">
        <f t="shared" si="85"/>
        <v>-2.5111590163601927E-2</v>
      </c>
      <c r="D2201">
        <f t="shared" si="84"/>
        <v>-2.0460019055224583</v>
      </c>
    </row>
    <row r="2202" spans="1:4" x14ac:dyDescent="0.3">
      <c r="A2202" s="1">
        <v>29151</v>
      </c>
      <c r="B2202">
        <v>132.61000100000001</v>
      </c>
      <c r="C2202">
        <f t="shared" si="85"/>
        <v>-4.1303918855392606E-3</v>
      </c>
      <c r="D2202">
        <f t="shared" si="84"/>
        <v>-0.36759231848027879</v>
      </c>
    </row>
    <row r="2203" spans="1:4" x14ac:dyDescent="0.3">
      <c r="A2203" s="1">
        <v>29152</v>
      </c>
      <c r="B2203">
        <v>133.020004</v>
      </c>
      <c r="C2203">
        <f t="shared" si="85"/>
        <v>3.091795467221126E-3</v>
      </c>
      <c r="D2203">
        <f t="shared" si="84"/>
        <v>0.21015297192870613</v>
      </c>
    </row>
    <row r="2204" spans="1:4" x14ac:dyDescent="0.3">
      <c r="A2204" s="1">
        <v>29153</v>
      </c>
      <c r="B2204">
        <v>132.720001</v>
      </c>
      <c r="C2204">
        <f t="shared" si="85"/>
        <v>-2.2553224400745303E-3</v>
      </c>
      <c r="D2204">
        <f t="shared" si="84"/>
        <v>-0.21759447317473118</v>
      </c>
    </row>
    <row r="2205" spans="1:4" x14ac:dyDescent="0.3">
      <c r="A2205" s="1">
        <v>29154</v>
      </c>
      <c r="B2205">
        <v>133.75</v>
      </c>
      <c r="C2205">
        <f t="shared" si="85"/>
        <v>7.760691623261845E-3</v>
      </c>
      <c r="D2205">
        <f t="shared" si="84"/>
        <v>0.58364546579625376</v>
      </c>
    </row>
    <row r="2206" spans="1:4" x14ac:dyDescent="0.3">
      <c r="A2206" s="1">
        <v>29157</v>
      </c>
      <c r="B2206">
        <v>133.91000399999999</v>
      </c>
      <c r="C2206">
        <f t="shared" si="85"/>
        <v>1.1962915887849456E-3</v>
      </c>
      <c r="D2206">
        <f t="shared" si="84"/>
        <v>5.8520456012332994E-2</v>
      </c>
    </row>
    <row r="2207" spans="1:4" x14ac:dyDescent="0.3">
      <c r="A2207" s="1">
        <v>29158</v>
      </c>
      <c r="B2207">
        <v>135.479996</v>
      </c>
      <c r="C2207">
        <f t="shared" si="85"/>
        <v>1.1724232343387979E-2</v>
      </c>
      <c r="D2207">
        <f t="shared" si="84"/>
        <v>0.900712425229518</v>
      </c>
    </row>
    <row r="2208" spans="1:4" x14ac:dyDescent="0.3">
      <c r="A2208" s="1">
        <v>29159</v>
      </c>
      <c r="B2208">
        <v>135.529999</v>
      </c>
      <c r="C2208">
        <f t="shared" si="85"/>
        <v>3.6908031795338843E-4</v>
      </c>
      <c r="D2208">
        <f t="shared" si="84"/>
        <v>-7.6530441411210882E-3</v>
      </c>
    </row>
    <row r="2209" spans="1:4" x14ac:dyDescent="0.3">
      <c r="A2209" s="1">
        <v>29160</v>
      </c>
      <c r="B2209">
        <v>136.41999799999999</v>
      </c>
      <c r="C2209">
        <f t="shared" si="85"/>
        <v>6.5668044460030495E-3</v>
      </c>
      <c r="D2209">
        <f t="shared" si="84"/>
        <v>0.48813940090895719</v>
      </c>
    </row>
    <row r="2210" spans="1:4" x14ac:dyDescent="0.3">
      <c r="A2210" s="1">
        <v>29161</v>
      </c>
      <c r="B2210">
        <v>136.88000500000001</v>
      </c>
      <c r="C2210">
        <f t="shared" si="85"/>
        <v>3.3719909598592629E-3</v>
      </c>
      <c r="D2210">
        <f t="shared" si="84"/>
        <v>0.23256745916900687</v>
      </c>
    </row>
    <row r="2211" spans="1:4" x14ac:dyDescent="0.3">
      <c r="A2211" s="1">
        <v>29164</v>
      </c>
      <c r="B2211">
        <v>136.11000100000001</v>
      </c>
      <c r="C2211">
        <f t="shared" si="85"/>
        <v>-5.6253943006504131E-3</v>
      </c>
      <c r="D2211">
        <f t="shared" si="84"/>
        <v>-0.48718636420250738</v>
      </c>
    </row>
    <row r="2212" spans="1:4" x14ac:dyDescent="0.3">
      <c r="A2212" s="1">
        <v>29165</v>
      </c>
      <c r="B2212">
        <v>135.66000399999999</v>
      </c>
      <c r="C2212">
        <f t="shared" si="85"/>
        <v>-3.3061273726684094E-3</v>
      </c>
      <c r="D2212">
        <f t="shared" si="84"/>
        <v>-0.30165454684654008</v>
      </c>
    </row>
    <row r="2213" spans="1:4" x14ac:dyDescent="0.3">
      <c r="A2213" s="1">
        <v>29166</v>
      </c>
      <c r="B2213">
        <v>134.13999899999999</v>
      </c>
      <c r="C2213">
        <f t="shared" si="85"/>
        <v>-1.120451831919449E-2</v>
      </c>
      <c r="D2213">
        <f t="shared" si="84"/>
        <v>-0.93349334419098839</v>
      </c>
    </row>
    <row r="2214" spans="1:4" x14ac:dyDescent="0.3">
      <c r="A2214" s="1">
        <v>29167</v>
      </c>
      <c r="B2214">
        <v>134.770004</v>
      </c>
      <c r="C2214">
        <f t="shared" si="85"/>
        <v>4.6966229662787707E-3</v>
      </c>
      <c r="D2214">
        <f t="shared" si="84"/>
        <v>0.33853257276321047</v>
      </c>
    </row>
    <row r="2215" spans="1:4" x14ac:dyDescent="0.3">
      <c r="A2215" s="1">
        <v>29168</v>
      </c>
      <c r="B2215">
        <v>135.86000100000001</v>
      </c>
      <c r="C2215">
        <f t="shared" si="85"/>
        <v>8.087830879637067E-3</v>
      </c>
      <c r="D2215">
        <f t="shared" si="84"/>
        <v>0.60981526110161144</v>
      </c>
    </row>
    <row r="2216" spans="1:4" x14ac:dyDescent="0.3">
      <c r="A2216" s="1">
        <v>29171</v>
      </c>
      <c r="B2216">
        <v>137.050003</v>
      </c>
      <c r="C2216">
        <f t="shared" si="85"/>
        <v>8.759031291336386E-3</v>
      </c>
      <c r="D2216">
        <f t="shared" si="84"/>
        <v>0.66350853404497245</v>
      </c>
    </row>
    <row r="2217" spans="1:4" x14ac:dyDescent="0.3">
      <c r="A2217" s="1">
        <v>29172</v>
      </c>
      <c r="B2217">
        <v>137.13999899999999</v>
      </c>
      <c r="C2217">
        <f t="shared" si="85"/>
        <v>6.5666543619108918E-4</v>
      </c>
      <c r="D2217">
        <f t="shared" si="84"/>
        <v>1.5352582760822721E-2</v>
      </c>
    </row>
    <row r="2218" spans="1:4" x14ac:dyDescent="0.3">
      <c r="A2218" s="1">
        <v>29173</v>
      </c>
      <c r="B2218">
        <v>137.759995</v>
      </c>
      <c r="C2218">
        <f t="shared" si="85"/>
        <v>4.5208983850146787E-3</v>
      </c>
      <c r="D2218">
        <f t="shared" si="84"/>
        <v>0.32447532884587887</v>
      </c>
    </row>
    <row r="2219" spans="1:4" x14ac:dyDescent="0.3">
      <c r="A2219" s="1">
        <v>29174</v>
      </c>
      <c r="B2219">
        <v>138.91999799999999</v>
      </c>
      <c r="C2219">
        <f t="shared" si="85"/>
        <v>8.4204634298947895E-3</v>
      </c>
      <c r="D2219">
        <f t="shared" si="84"/>
        <v>0.63642449732900974</v>
      </c>
    </row>
    <row r="2220" spans="1:4" x14ac:dyDescent="0.3">
      <c r="A2220" s="1">
        <v>29175</v>
      </c>
      <c r="B2220">
        <v>139.070007</v>
      </c>
      <c r="C2220">
        <f t="shared" si="85"/>
        <v>1.0798229352120448E-3</v>
      </c>
      <c r="D2220">
        <f t="shared" si="84"/>
        <v>4.9203442648466086E-2</v>
      </c>
    </row>
    <row r="2221" spans="1:4" x14ac:dyDescent="0.3">
      <c r="A2221" s="1">
        <v>29178</v>
      </c>
      <c r="B2221">
        <v>139.979996</v>
      </c>
      <c r="C2221">
        <f t="shared" si="85"/>
        <v>6.5433878924015289E-3</v>
      </c>
      <c r="D2221">
        <f t="shared" si="84"/>
        <v>0.48626617291027935</v>
      </c>
    </row>
    <row r="2222" spans="1:4" x14ac:dyDescent="0.3">
      <c r="A2222" s="1">
        <v>29179</v>
      </c>
      <c r="B2222">
        <v>139.5</v>
      </c>
      <c r="C2222">
        <f t="shared" si="85"/>
        <v>-3.4290328169462145E-3</v>
      </c>
      <c r="D2222">
        <f t="shared" si="84"/>
        <v>-0.3114864769985578</v>
      </c>
    </row>
    <row r="2223" spans="1:4" x14ac:dyDescent="0.3">
      <c r="A2223" s="1">
        <v>29180</v>
      </c>
      <c r="B2223">
        <v>138.88000500000001</v>
      </c>
      <c r="C2223">
        <f t="shared" si="85"/>
        <v>-4.4444086021504566E-3</v>
      </c>
      <c r="D2223">
        <f t="shared" si="84"/>
        <v>-0.39271236456472031</v>
      </c>
    </row>
    <row r="2224" spans="1:4" x14ac:dyDescent="0.3">
      <c r="A2224" s="1">
        <v>29182</v>
      </c>
      <c r="B2224">
        <v>139.85000600000001</v>
      </c>
      <c r="C2224">
        <f t="shared" si="85"/>
        <v>6.9844539536126618E-3</v>
      </c>
      <c r="D2224">
        <f t="shared" si="84"/>
        <v>0.52154964413268912</v>
      </c>
    </row>
    <row r="2225" spans="1:4" x14ac:dyDescent="0.3">
      <c r="A2225" s="1">
        <v>29185</v>
      </c>
      <c r="B2225">
        <v>141.949997</v>
      </c>
      <c r="C2225">
        <f t="shared" si="85"/>
        <v>1.5016023667528399E-2</v>
      </c>
      <c r="D2225">
        <f t="shared" si="84"/>
        <v>1.1640421952339464</v>
      </c>
    </row>
    <row r="2226" spans="1:4" x14ac:dyDescent="0.3">
      <c r="A2226" s="1">
        <v>29186</v>
      </c>
      <c r="B2226">
        <v>142.550003</v>
      </c>
      <c r="C2226">
        <f t="shared" si="85"/>
        <v>4.2268827945097284E-3</v>
      </c>
      <c r="D2226">
        <f t="shared" si="84"/>
        <v>0.30095529060481507</v>
      </c>
    </row>
    <row r="2227" spans="1:4" x14ac:dyDescent="0.3">
      <c r="A2227" s="1">
        <v>29187</v>
      </c>
      <c r="B2227">
        <v>143.529999</v>
      </c>
      <c r="C2227">
        <f t="shared" si="85"/>
        <v>6.8747525736635711E-3</v>
      </c>
      <c r="D2227">
        <f t="shared" si="84"/>
        <v>0.51277398483153158</v>
      </c>
    </row>
    <row r="2228" spans="1:4" x14ac:dyDescent="0.3">
      <c r="A2228" s="1">
        <v>29188</v>
      </c>
      <c r="B2228">
        <v>144.16000399999999</v>
      </c>
      <c r="C2228">
        <f t="shared" si="85"/>
        <v>4.3893611397571516E-3</v>
      </c>
      <c r="D2228">
        <f t="shared" si="84"/>
        <v>0.31395289010966115</v>
      </c>
    </row>
    <row r="2229" spans="1:4" x14ac:dyDescent="0.3">
      <c r="A2229" s="1">
        <v>29189</v>
      </c>
      <c r="B2229">
        <v>144.259995</v>
      </c>
      <c r="C2229">
        <f t="shared" si="85"/>
        <v>6.936112460153445E-4</v>
      </c>
      <c r="D2229">
        <f t="shared" si="84"/>
        <v>1.830809562468538E-2</v>
      </c>
    </row>
    <row r="2230" spans="1:4" x14ac:dyDescent="0.3">
      <c r="A2230" s="1">
        <v>29192</v>
      </c>
      <c r="B2230">
        <v>143.86000100000001</v>
      </c>
      <c r="C2230">
        <f t="shared" si="85"/>
        <v>-2.7727298895303051E-3</v>
      </c>
      <c r="D2230">
        <f t="shared" si="84"/>
        <v>-0.25898494153904816</v>
      </c>
    </row>
    <row r="2231" spans="1:4" x14ac:dyDescent="0.3">
      <c r="A2231" s="1">
        <v>29193</v>
      </c>
      <c r="B2231">
        <v>144.800003</v>
      </c>
      <c r="C2231">
        <f t="shared" si="85"/>
        <v>6.5341442615448929E-3</v>
      </c>
      <c r="D2231">
        <f t="shared" si="84"/>
        <v>0.48552672045178563</v>
      </c>
    </row>
    <row r="2232" spans="1:4" x14ac:dyDescent="0.3">
      <c r="A2232" s="1">
        <v>29194</v>
      </c>
      <c r="B2232">
        <v>145.91999799999999</v>
      </c>
      <c r="C2232">
        <f t="shared" si="85"/>
        <v>7.7347719391966359E-3</v>
      </c>
      <c r="D2232">
        <f t="shared" si="84"/>
        <v>0.58157199765341483</v>
      </c>
    </row>
    <row r="2233" spans="1:4" x14ac:dyDescent="0.3">
      <c r="A2233" s="1">
        <v>29195</v>
      </c>
      <c r="B2233">
        <v>147.03999300000001</v>
      </c>
      <c r="C2233">
        <f t="shared" si="85"/>
        <v>7.6754044363406392E-3</v>
      </c>
      <c r="D2233">
        <f t="shared" si="84"/>
        <v>0.57682284154556551</v>
      </c>
    </row>
    <row r="2234" spans="1:4" x14ac:dyDescent="0.3">
      <c r="A2234" s="1">
        <v>29196</v>
      </c>
      <c r="B2234">
        <v>147.490005</v>
      </c>
      <c r="C2234">
        <f t="shared" si="85"/>
        <v>3.060473486284692E-3</v>
      </c>
      <c r="D2234">
        <f t="shared" si="84"/>
        <v>0.20764734225054662</v>
      </c>
    </row>
    <row r="2235" spans="1:4" x14ac:dyDescent="0.3">
      <c r="A2235" s="1">
        <v>29199</v>
      </c>
      <c r="B2235">
        <v>147.970001</v>
      </c>
      <c r="C2235">
        <f t="shared" si="85"/>
        <v>3.2544306985412327E-3</v>
      </c>
      <c r="D2235">
        <f t="shared" si="84"/>
        <v>0.22316312167424748</v>
      </c>
    </row>
    <row r="2236" spans="1:4" x14ac:dyDescent="0.3">
      <c r="A2236" s="1">
        <v>29200</v>
      </c>
      <c r="B2236">
        <v>147.83000200000001</v>
      </c>
      <c r="C2236">
        <f t="shared" si="85"/>
        <v>-9.4613096610027649E-4</v>
      </c>
      <c r="D2236">
        <f t="shared" si="84"/>
        <v>-0.11286453868429909</v>
      </c>
    </row>
    <row r="2237" spans="1:4" x14ac:dyDescent="0.3">
      <c r="A2237" s="1">
        <v>29201</v>
      </c>
      <c r="B2237">
        <v>148.509995</v>
      </c>
      <c r="C2237">
        <f t="shared" si="85"/>
        <v>4.5998308245980817E-3</v>
      </c>
      <c r="D2237">
        <f t="shared" si="84"/>
        <v>0.33078959944042019</v>
      </c>
    </row>
    <row r="2238" spans="1:4" x14ac:dyDescent="0.3">
      <c r="A2238" s="1">
        <v>29202</v>
      </c>
      <c r="B2238">
        <v>148.970001</v>
      </c>
      <c r="C2238">
        <f t="shared" si="85"/>
        <v>3.0974750217989894E-3</v>
      </c>
      <c r="D2238">
        <f t="shared" si="84"/>
        <v>0.21060731294046725</v>
      </c>
    </row>
    <row r="2239" spans="1:4" x14ac:dyDescent="0.3">
      <c r="A2239" s="1">
        <v>29203</v>
      </c>
      <c r="B2239">
        <v>150.029999</v>
      </c>
      <c r="C2239">
        <f t="shared" si="85"/>
        <v>7.1155131428105945E-3</v>
      </c>
      <c r="D2239">
        <f t="shared" si="84"/>
        <v>0.53203384034991763</v>
      </c>
    </row>
    <row r="2240" spans="1:4" x14ac:dyDescent="0.3">
      <c r="A2240" s="1">
        <v>29206</v>
      </c>
      <c r="B2240">
        <v>150.55999800000001</v>
      </c>
      <c r="C2240">
        <f t="shared" si="85"/>
        <v>3.5326201661842554E-3</v>
      </c>
      <c r="D2240">
        <f t="shared" si="84"/>
        <v>0.24541713516376315</v>
      </c>
    </row>
    <row r="2241" spans="1:4" x14ac:dyDescent="0.3">
      <c r="A2241" s="1">
        <v>29207</v>
      </c>
      <c r="B2241">
        <v>149.720001</v>
      </c>
      <c r="C2241">
        <f t="shared" si="85"/>
        <v>-5.5791512430812531E-3</v>
      </c>
      <c r="D2241">
        <f t="shared" si="84"/>
        <v>-0.48348710974956355</v>
      </c>
    </row>
    <row r="2242" spans="1:4" x14ac:dyDescent="0.3">
      <c r="A2242" s="1">
        <v>29208</v>
      </c>
      <c r="B2242">
        <v>149.64999399999999</v>
      </c>
      <c r="C2242">
        <f t="shared" si="85"/>
        <v>-4.675861577105114E-4</v>
      </c>
      <c r="D2242">
        <f t="shared" si="84"/>
        <v>-7.458292180112798E-2</v>
      </c>
    </row>
    <row r="2243" spans="1:4" x14ac:dyDescent="0.3">
      <c r="A2243" s="1">
        <v>29209</v>
      </c>
      <c r="B2243">
        <v>150.270004</v>
      </c>
      <c r="C2243">
        <f t="shared" si="85"/>
        <v>4.1430673228092995E-3</v>
      </c>
      <c r="D2243">
        <f t="shared" ref="D2243:D2306" si="86">(C2243-avrtn)/sdrtn</f>
        <v>0.29425039752005977</v>
      </c>
    </row>
    <row r="2244" spans="1:4" x14ac:dyDescent="0.3">
      <c r="A2244" s="1">
        <v>29210</v>
      </c>
      <c r="B2244">
        <v>150.16999799999999</v>
      </c>
      <c r="C2244">
        <f t="shared" ref="C2244:C2307" si="87">(B2244-B2243)/B2243</f>
        <v>-6.6550873320005762E-4</v>
      </c>
      <c r="D2244">
        <f t="shared" si="86"/>
        <v>-9.041591397779826E-2</v>
      </c>
    </row>
    <row r="2245" spans="1:4" x14ac:dyDescent="0.3">
      <c r="A2245" s="1">
        <v>29213</v>
      </c>
      <c r="B2245">
        <v>149.970001</v>
      </c>
      <c r="C2245">
        <f t="shared" si="87"/>
        <v>-1.3318039732543394E-3</v>
      </c>
      <c r="D2245">
        <f t="shared" si="86"/>
        <v>-0.14371679335974261</v>
      </c>
    </row>
    <row r="2246" spans="1:4" x14ac:dyDescent="0.3">
      <c r="A2246" s="1">
        <v>29215</v>
      </c>
      <c r="B2246">
        <v>150.009995</v>
      </c>
      <c r="C2246">
        <f t="shared" si="87"/>
        <v>2.6668000088902577E-4</v>
      </c>
      <c r="D2246">
        <f t="shared" si="86"/>
        <v>-1.5844648433650323E-2</v>
      </c>
    </row>
    <row r="2247" spans="1:4" x14ac:dyDescent="0.3">
      <c r="A2247" s="1">
        <v>29216</v>
      </c>
      <c r="B2247">
        <v>150.229996</v>
      </c>
      <c r="C2247">
        <f t="shared" si="87"/>
        <v>1.4665756105117951E-3</v>
      </c>
      <c r="D2247">
        <f t="shared" si="86"/>
        <v>8.0142066335942647E-2</v>
      </c>
    </row>
    <row r="2248" spans="1:4" x14ac:dyDescent="0.3">
      <c r="A2248" s="1">
        <v>29217</v>
      </c>
      <c r="B2248">
        <v>150.83000200000001</v>
      </c>
      <c r="C2248">
        <f t="shared" si="87"/>
        <v>3.9939161018150305E-3</v>
      </c>
      <c r="D2248">
        <f t="shared" si="86"/>
        <v>0.28231891315400365</v>
      </c>
    </row>
    <row r="2249" spans="1:4" x14ac:dyDescent="0.3">
      <c r="A2249" s="1">
        <v>29220</v>
      </c>
      <c r="B2249">
        <v>151.13999899999999</v>
      </c>
      <c r="C2249">
        <f t="shared" si="87"/>
        <v>2.0552741224519866E-3</v>
      </c>
      <c r="D2249">
        <f t="shared" si="86"/>
        <v>0.12723552654841236</v>
      </c>
    </row>
    <row r="2250" spans="1:4" x14ac:dyDescent="0.3">
      <c r="A2250" s="1">
        <v>29222</v>
      </c>
      <c r="B2250">
        <v>148.16999799999999</v>
      </c>
      <c r="C2250">
        <f t="shared" si="87"/>
        <v>-1.9650661768232488E-2</v>
      </c>
      <c r="D2250">
        <f t="shared" si="86"/>
        <v>-1.6091500893646415</v>
      </c>
    </row>
    <row r="2251" spans="1:4" x14ac:dyDescent="0.3">
      <c r="A2251" s="1">
        <v>29223</v>
      </c>
      <c r="B2251">
        <v>145.970001</v>
      </c>
      <c r="C2251">
        <f t="shared" si="87"/>
        <v>-1.4847789901434677E-2</v>
      </c>
      <c r="D2251">
        <f t="shared" si="86"/>
        <v>-1.2249400895479408</v>
      </c>
    </row>
    <row r="2252" spans="1:4" x14ac:dyDescent="0.3">
      <c r="A2252" s="1">
        <v>29224</v>
      </c>
      <c r="B2252">
        <v>148.020004</v>
      </c>
      <c r="C2252">
        <f t="shared" si="87"/>
        <v>1.4044002096019742E-2</v>
      </c>
      <c r="D2252">
        <f t="shared" si="86"/>
        <v>1.0862844664898388</v>
      </c>
    </row>
    <row r="2253" spans="1:4" x14ac:dyDescent="0.3">
      <c r="A2253" s="1">
        <v>29227</v>
      </c>
      <c r="B2253">
        <v>148.61999499999999</v>
      </c>
      <c r="C2253">
        <f t="shared" si="87"/>
        <v>4.0534453708026422E-3</v>
      </c>
      <c r="D2253">
        <f t="shared" si="86"/>
        <v>0.28708100988719587</v>
      </c>
    </row>
    <row r="2254" spans="1:4" x14ac:dyDescent="0.3">
      <c r="A2254" s="1">
        <v>29228</v>
      </c>
      <c r="B2254">
        <v>150.679993</v>
      </c>
      <c r="C2254">
        <f t="shared" si="87"/>
        <v>1.3860840191792548E-2</v>
      </c>
      <c r="D2254">
        <f t="shared" si="86"/>
        <v>1.0716322673179137</v>
      </c>
    </row>
    <row r="2255" spans="1:4" x14ac:dyDescent="0.3">
      <c r="A2255" s="1">
        <v>29229</v>
      </c>
      <c r="B2255">
        <v>151.60000600000001</v>
      </c>
      <c r="C2255">
        <f t="shared" si="87"/>
        <v>6.1057409260698034E-3</v>
      </c>
      <c r="D2255">
        <f t="shared" si="86"/>
        <v>0.45125621521881998</v>
      </c>
    </row>
    <row r="2256" spans="1:4" x14ac:dyDescent="0.3">
      <c r="A2256" s="1">
        <v>29230</v>
      </c>
      <c r="B2256">
        <v>153.11999499999999</v>
      </c>
      <c r="C2256">
        <f t="shared" si="87"/>
        <v>1.002631226808778E-2</v>
      </c>
      <c r="D2256">
        <f t="shared" si="86"/>
        <v>0.76488580109457016</v>
      </c>
    </row>
    <row r="2257" spans="1:4" x14ac:dyDescent="0.3">
      <c r="A2257" s="1">
        <v>29231</v>
      </c>
      <c r="B2257">
        <v>153.86999499999999</v>
      </c>
      <c r="C2257">
        <f t="shared" si="87"/>
        <v>4.8981192822008654E-3</v>
      </c>
      <c r="D2257">
        <f t="shared" si="86"/>
        <v>0.35465144947917615</v>
      </c>
    </row>
    <row r="2258" spans="1:4" x14ac:dyDescent="0.3">
      <c r="A2258" s="1">
        <v>29234</v>
      </c>
      <c r="B2258">
        <v>154.39999399999999</v>
      </c>
      <c r="C2258">
        <f t="shared" si="87"/>
        <v>3.4444597206882582E-3</v>
      </c>
      <c r="D2258">
        <f t="shared" si="86"/>
        <v>0.23836466204200138</v>
      </c>
    </row>
    <row r="2259" spans="1:4" x14ac:dyDescent="0.3">
      <c r="A2259" s="1">
        <v>29235</v>
      </c>
      <c r="B2259">
        <v>154.96000699999999</v>
      </c>
      <c r="C2259">
        <f t="shared" si="87"/>
        <v>3.6270273430191835E-3</v>
      </c>
      <c r="D2259">
        <f t="shared" si="86"/>
        <v>0.25296932110592663</v>
      </c>
    </row>
    <row r="2260" spans="1:4" x14ac:dyDescent="0.3">
      <c r="A2260" s="1">
        <v>29236</v>
      </c>
      <c r="B2260">
        <v>155.990005</v>
      </c>
      <c r="C2260">
        <f t="shared" si="87"/>
        <v>6.6468634065046618E-3</v>
      </c>
      <c r="D2260">
        <f t="shared" si="86"/>
        <v>0.49454378854467351</v>
      </c>
    </row>
    <row r="2261" spans="1:4" x14ac:dyDescent="0.3">
      <c r="A2261" s="1">
        <v>29237</v>
      </c>
      <c r="B2261">
        <v>155.80999800000001</v>
      </c>
      <c r="C2261">
        <f t="shared" si="87"/>
        <v>-1.1539649607677693E-3</v>
      </c>
      <c r="D2261">
        <f t="shared" si="86"/>
        <v>-0.12949040363920589</v>
      </c>
    </row>
    <row r="2262" spans="1:4" x14ac:dyDescent="0.3">
      <c r="A2262" s="1">
        <v>29238</v>
      </c>
      <c r="B2262">
        <v>156.13999899999999</v>
      </c>
      <c r="C2262">
        <f t="shared" si="87"/>
        <v>2.1179706324107746E-3</v>
      </c>
      <c r="D2262">
        <f t="shared" si="86"/>
        <v>0.13225098953552597</v>
      </c>
    </row>
    <row r="2263" spans="1:4" x14ac:dyDescent="0.3">
      <c r="A2263" s="1">
        <v>29241</v>
      </c>
      <c r="B2263">
        <v>157.35000600000001</v>
      </c>
      <c r="C2263">
        <f t="shared" si="87"/>
        <v>7.7495004979474787E-3</v>
      </c>
      <c r="D2263">
        <f t="shared" si="86"/>
        <v>0.5827502217892867</v>
      </c>
    </row>
    <row r="2264" spans="1:4" x14ac:dyDescent="0.3">
      <c r="A2264" s="1">
        <v>29242</v>
      </c>
      <c r="B2264">
        <v>156.91999799999999</v>
      </c>
      <c r="C2264">
        <f t="shared" si="87"/>
        <v>-2.7328120978909591E-3</v>
      </c>
      <c r="D2264">
        <f t="shared" si="86"/>
        <v>-0.25579168235084049</v>
      </c>
    </row>
    <row r="2265" spans="1:4" x14ac:dyDescent="0.3">
      <c r="A2265" s="1">
        <v>29243</v>
      </c>
      <c r="B2265">
        <v>158.5</v>
      </c>
      <c r="C2265">
        <f t="shared" si="87"/>
        <v>1.0068837752598031E-2</v>
      </c>
      <c r="D2265">
        <f t="shared" si="86"/>
        <v>0.76828766498955303</v>
      </c>
    </row>
    <row r="2266" spans="1:4" x14ac:dyDescent="0.3">
      <c r="A2266" s="1">
        <v>29244</v>
      </c>
      <c r="B2266">
        <v>159.240005</v>
      </c>
      <c r="C2266">
        <f t="shared" si="87"/>
        <v>4.6688012618296311E-3</v>
      </c>
      <c r="D2266">
        <f t="shared" si="86"/>
        <v>0.33630695081081158</v>
      </c>
    </row>
    <row r="2267" spans="1:4" x14ac:dyDescent="0.3">
      <c r="A2267" s="1">
        <v>29245</v>
      </c>
      <c r="B2267">
        <v>159.699997</v>
      </c>
      <c r="C2267">
        <f t="shared" si="87"/>
        <v>2.8886710974418755E-3</v>
      </c>
      <c r="D2267">
        <f t="shared" si="86"/>
        <v>0.19390385759876547</v>
      </c>
    </row>
    <row r="2268" spans="1:4" x14ac:dyDescent="0.3">
      <c r="A2268" s="1">
        <v>29248</v>
      </c>
      <c r="B2268">
        <v>160.699997</v>
      </c>
      <c r="C2268">
        <f t="shared" si="87"/>
        <v>6.2617408815605676E-3</v>
      </c>
      <c r="D2268">
        <f t="shared" si="86"/>
        <v>0.46373557018243117</v>
      </c>
    </row>
    <row r="2269" spans="1:4" x14ac:dyDescent="0.3">
      <c r="A2269" s="1">
        <v>29249</v>
      </c>
      <c r="B2269">
        <v>160.28999300000001</v>
      </c>
      <c r="C2269">
        <f t="shared" si="87"/>
        <v>-2.5513628354329495E-3</v>
      </c>
      <c r="D2269">
        <f t="shared" si="86"/>
        <v>-0.24127648747802521</v>
      </c>
    </row>
    <row r="2270" spans="1:4" x14ac:dyDescent="0.3">
      <c r="A2270" s="1">
        <v>29250</v>
      </c>
      <c r="B2270">
        <v>161.300003</v>
      </c>
      <c r="C2270">
        <f t="shared" si="87"/>
        <v>6.3011419558798906E-3</v>
      </c>
      <c r="D2270">
        <f t="shared" si="86"/>
        <v>0.4668874941097913</v>
      </c>
    </row>
    <row r="2271" spans="1:4" x14ac:dyDescent="0.3">
      <c r="A2271" s="1">
        <v>29251</v>
      </c>
      <c r="B2271">
        <v>161.75</v>
      </c>
      <c r="C2271">
        <f t="shared" si="87"/>
        <v>2.7898139592718806E-3</v>
      </c>
      <c r="D2271">
        <f t="shared" si="86"/>
        <v>0.18599569304814698</v>
      </c>
    </row>
    <row r="2272" spans="1:4" x14ac:dyDescent="0.3">
      <c r="A2272" s="1">
        <v>29252</v>
      </c>
      <c r="B2272">
        <v>162.300003</v>
      </c>
      <c r="C2272">
        <f t="shared" si="87"/>
        <v>3.4003276661514919E-3</v>
      </c>
      <c r="D2272">
        <f t="shared" si="86"/>
        <v>0.23483427915115268</v>
      </c>
    </row>
    <row r="2273" spans="1:4" x14ac:dyDescent="0.3">
      <c r="A2273" s="1">
        <v>29255</v>
      </c>
      <c r="B2273">
        <v>162.020004</v>
      </c>
      <c r="C2273">
        <f t="shared" si="87"/>
        <v>-1.7251940531387646E-3</v>
      </c>
      <c r="D2273">
        <f t="shared" si="86"/>
        <v>-0.17518638212082241</v>
      </c>
    </row>
    <row r="2274" spans="1:4" x14ac:dyDescent="0.3">
      <c r="A2274" s="1">
        <v>29256</v>
      </c>
      <c r="B2274">
        <v>162.199997</v>
      </c>
      <c r="C2274">
        <f t="shared" si="87"/>
        <v>1.1109307218631847E-3</v>
      </c>
      <c r="D2274">
        <f t="shared" si="86"/>
        <v>5.1691937664574243E-2</v>
      </c>
    </row>
    <row r="2275" spans="1:4" x14ac:dyDescent="0.3">
      <c r="A2275" s="1">
        <v>29257</v>
      </c>
      <c r="B2275">
        <v>162.990005</v>
      </c>
      <c r="C2275">
        <f t="shared" si="87"/>
        <v>4.8705796215273685E-3</v>
      </c>
      <c r="D2275">
        <f t="shared" si="86"/>
        <v>0.35244838986905774</v>
      </c>
    </row>
    <row r="2276" spans="1:4" x14ac:dyDescent="0.3">
      <c r="A2276" s="1">
        <v>29258</v>
      </c>
      <c r="B2276">
        <v>163.770004</v>
      </c>
      <c r="C2276">
        <f t="shared" si="87"/>
        <v>4.7855633846995939E-3</v>
      </c>
      <c r="D2276">
        <f t="shared" si="86"/>
        <v>0.3456474405116905</v>
      </c>
    </row>
    <row r="2277" spans="1:4" x14ac:dyDescent="0.3">
      <c r="A2277" s="1">
        <v>29259</v>
      </c>
      <c r="B2277">
        <v>165.25</v>
      </c>
      <c r="C2277">
        <f t="shared" si="87"/>
        <v>9.0370395301449698E-3</v>
      </c>
      <c r="D2277">
        <f t="shared" si="86"/>
        <v>0.68574804997295047</v>
      </c>
    </row>
    <row r="2278" spans="1:4" x14ac:dyDescent="0.3">
      <c r="A2278" s="1">
        <v>29262</v>
      </c>
      <c r="B2278">
        <v>164.46000699999999</v>
      </c>
      <c r="C2278">
        <f t="shared" si="87"/>
        <v>-4.7805930408472601E-3</v>
      </c>
      <c r="D2278">
        <f t="shared" si="86"/>
        <v>-0.41960573726179251</v>
      </c>
    </row>
    <row r="2279" spans="1:4" x14ac:dyDescent="0.3">
      <c r="A2279" s="1">
        <v>29263</v>
      </c>
      <c r="B2279">
        <v>164.570007</v>
      </c>
      <c r="C2279">
        <f t="shared" si="87"/>
        <v>6.6885562032119848E-4</v>
      </c>
      <c r="D2279">
        <f t="shared" si="86"/>
        <v>1.6327747364894805E-2</v>
      </c>
    </row>
    <row r="2280" spans="1:4" x14ac:dyDescent="0.3">
      <c r="A2280" s="1">
        <v>29264</v>
      </c>
      <c r="B2280">
        <v>164.979996</v>
      </c>
      <c r="C2280">
        <f t="shared" si="87"/>
        <v>2.4912741238444251E-3</v>
      </c>
      <c r="D2280">
        <f t="shared" si="86"/>
        <v>0.16211373381708905</v>
      </c>
    </row>
    <row r="2281" spans="1:4" x14ac:dyDescent="0.3">
      <c r="A2281" s="1">
        <v>29265</v>
      </c>
      <c r="B2281">
        <v>163.53999300000001</v>
      </c>
      <c r="C2281">
        <f t="shared" si="87"/>
        <v>-8.728349102396572E-3</v>
      </c>
      <c r="D2281">
        <f t="shared" si="86"/>
        <v>-0.73540998891581466</v>
      </c>
    </row>
    <row r="2282" spans="1:4" x14ac:dyDescent="0.3">
      <c r="A2282" s="1">
        <v>29266</v>
      </c>
      <c r="B2282">
        <v>162.55999800000001</v>
      </c>
      <c r="C2282">
        <f t="shared" si="87"/>
        <v>-5.9923874400557324E-3</v>
      </c>
      <c r="D2282">
        <f t="shared" si="86"/>
        <v>-0.5165443062701266</v>
      </c>
    </row>
    <row r="2283" spans="1:4" x14ac:dyDescent="0.3">
      <c r="A2283" s="1">
        <v>29270</v>
      </c>
      <c r="B2283">
        <v>161.05999800000001</v>
      </c>
      <c r="C2283">
        <f t="shared" si="87"/>
        <v>-9.2273623182500281E-3</v>
      </c>
      <c r="D2283">
        <f t="shared" si="86"/>
        <v>-0.77532899422948665</v>
      </c>
    </row>
    <row r="2284" spans="1:4" x14ac:dyDescent="0.3">
      <c r="A2284" s="1">
        <v>29271</v>
      </c>
      <c r="B2284">
        <v>162.10000600000001</v>
      </c>
      <c r="C2284">
        <f t="shared" si="87"/>
        <v>6.4572706625763169E-3</v>
      </c>
      <c r="D2284">
        <f t="shared" si="86"/>
        <v>0.47937714864042735</v>
      </c>
    </row>
    <row r="2285" spans="1:4" x14ac:dyDescent="0.3">
      <c r="A2285" s="1">
        <v>29272</v>
      </c>
      <c r="B2285">
        <v>161.30999800000001</v>
      </c>
      <c r="C2285">
        <f t="shared" si="87"/>
        <v>-4.8735840268876998E-3</v>
      </c>
      <c r="D2285">
        <f t="shared" si="86"/>
        <v>-0.42704463376380825</v>
      </c>
    </row>
    <row r="2286" spans="1:4" x14ac:dyDescent="0.3">
      <c r="A2286" s="1">
        <v>29273</v>
      </c>
      <c r="B2286">
        <v>160.08000200000001</v>
      </c>
      <c r="C2286">
        <f t="shared" si="87"/>
        <v>-7.6250450390557929E-3</v>
      </c>
      <c r="D2286">
        <f t="shared" si="86"/>
        <v>-0.64715020066196938</v>
      </c>
    </row>
    <row r="2287" spans="1:4" x14ac:dyDescent="0.3">
      <c r="A2287" s="1">
        <v>29276</v>
      </c>
      <c r="B2287">
        <v>157.970001</v>
      </c>
      <c r="C2287">
        <f t="shared" si="87"/>
        <v>-1.318091562742491E-2</v>
      </c>
      <c r="D2287">
        <f t="shared" si="86"/>
        <v>-1.0915970018551298</v>
      </c>
    </row>
    <row r="2288" spans="1:4" x14ac:dyDescent="0.3">
      <c r="A2288" s="1">
        <v>29277</v>
      </c>
      <c r="B2288">
        <v>158.5</v>
      </c>
      <c r="C2288">
        <f t="shared" si="87"/>
        <v>3.3550610663096955E-3</v>
      </c>
      <c r="D2288">
        <f t="shared" si="86"/>
        <v>0.23121313730117973</v>
      </c>
    </row>
    <row r="2289" spans="1:4" x14ac:dyDescent="0.3">
      <c r="A2289" s="1">
        <v>29278</v>
      </c>
      <c r="B2289">
        <v>157.729996</v>
      </c>
      <c r="C2289">
        <f t="shared" si="87"/>
        <v>-4.858069400630916E-3</v>
      </c>
      <c r="D2289">
        <f t="shared" si="86"/>
        <v>-0.42580352745978994</v>
      </c>
    </row>
    <row r="2290" spans="1:4" x14ac:dyDescent="0.3">
      <c r="A2290" s="1">
        <v>29279</v>
      </c>
      <c r="B2290">
        <v>157.46000699999999</v>
      </c>
      <c r="C2290">
        <f t="shared" si="87"/>
        <v>-1.7117162673357931E-3</v>
      </c>
      <c r="D2290">
        <f t="shared" si="86"/>
        <v>-0.17410821467757109</v>
      </c>
    </row>
    <row r="2291" spans="1:4" x14ac:dyDescent="0.3">
      <c r="A2291" s="1">
        <v>29280</v>
      </c>
      <c r="B2291">
        <v>158.029999</v>
      </c>
      <c r="C2291">
        <f t="shared" si="87"/>
        <v>3.619916008259884E-3</v>
      </c>
      <c r="D2291">
        <f t="shared" si="86"/>
        <v>0.25240044356716596</v>
      </c>
    </row>
    <row r="2292" spans="1:4" x14ac:dyDescent="0.3">
      <c r="A2292" s="1">
        <v>29283</v>
      </c>
      <c r="B2292">
        <v>156.86999499999999</v>
      </c>
      <c r="C2292">
        <f t="shared" si="87"/>
        <v>-7.3404037672620305E-3</v>
      </c>
      <c r="D2292">
        <f t="shared" si="86"/>
        <v>-0.62438006937037172</v>
      </c>
    </row>
    <row r="2293" spans="1:4" x14ac:dyDescent="0.3">
      <c r="A2293" s="1">
        <v>29284</v>
      </c>
      <c r="B2293">
        <v>155.38999899999999</v>
      </c>
      <c r="C2293">
        <f t="shared" si="87"/>
        <v>-9.4345384533224465E-3</v>
      </c>
      <c r="D2293">
        <f t="shared" si="86"/>
        <v>-0.79190223312192232</v>
      </c>
    </row>
    <row r="2294" spans="1:4" x14ac:dyDescent="0.3">
      <c r="A2294" s="1">
        <v>29285</v>
      </c>
      <c r="B2294">
        <v>152.94000199999999</v>
      </c>
      <c r="C2294">
        <f t="shared" si="87"/>
        <v>-1.5766761154300517E-2</v>
      </c>
      <c r="D2294">
        <f t="shared" si="86"/>
        <v>-1.298454010944837</v>
      </c>
    </row>
    <row r="2295" spans="1:4" x14ac:dyDescent="0.3">
      <c r="A2295" s="1">
        <v>29286</v>
      </c>
      <c r="B2295">
        <v>148.63999899999999</v>
      </c>
      <c r="C2295">
        <f t="shared" si="87"/>
        <v>-2.8115620137104509E-2</v>
      </c>
      <c r="D2295">
        <f t="shared" si="86"/>
        <v>-2.2863119507576037</v>
      </c>
    </row>
    <row r="2296" spans="1:4" x14ac:dyDescent="0.3">
      <c r="A2296" s="1">
        <v>29287</v>
      </c>
      <c r="B2296">
        <v>146.19000199999999</v>
      </c>
      <c r="C2296">
        <f t="shared" si="87"/>
        <v>-1.6482757107661151E-2</v>
      </c>
      <c r="D2296">
        <f t="shared" si="86"/>
        <v>-1.3557307430207353</v>
      </c>
    </row>
    <row r="2297" spans="1:4" x14ac:dyDescent="0.3">
      <c r="A2297" s="1">
        <v>29290</v>
      </c>
      <c r="B2297">
        <v>143.75</v>
      </c>
      <c r="C2297">
        <f t="shared" si="87"/>
        <v>-1.6690621565214787E-2</v>
      </c>
      <c r="D2297">
        <f t="shared" si="86"/>
        <v>-1.3723590448812695</v>
      </c>
    </row>
    <row r="2298" spans="1:4" x14ac:dyDescent="0.3">
      <c r="A2298" s="1">
        <v>29291</v>
      </c>
      <c r="B2298">
        <v>144.55999800000001</v>
      </c>
      <c r="C2298">
        <f t="shared" si="87"/>
        <v>5.6347686956522251E-3</v>
      </c>
      <c r="D2298">
        <f t="shared" si="86"/>
        <v>0.41358037343479709</v>
      </c>
    </row>
    <row r="2299" spans="1:4" x14ac:dyDescent="0.3">
      <c r="A2299" s="1">
        <v>29292</v>
      </c>
      <c r="B2299">
        <v>144.63000500000001</v>
      </c>
      <c r="C2299">
        <f t="shared" si="87"/>
        <v>4.8427643171386822E-4</v>
      </c>
      <c r="D2299">
        <f t="shared" si="86"/>
        <v>1.5621712704671079E-3</v>
      </c>
    </row>
    <row r="2300" spans="1:4" x14ac:dyDescent="0.3">
      <c r="A2300" s="1">
        <v>29293</v>
      </c>
      <c r="B2300">
        <v>144.979996</v>
      </c>
      <c r="C2300">
        <f t="shared" si="87"/>
        <v>2.4199058832915657E-3</v>
      </c>
      <c r="D2300">
        <f t="shared" si="86"/>
        <v>0.15640456804081898</v>
      </c>
    </row>
    <row r="2301" spans="1:4" x14ac:dyDescent="0.3">
      <c r="A2301" s="1">
        <v>29294</v>
      </c>
      <c r="B2301">
        <v>144.44000199999999</v>
      </c>
      <c r="C2301">
        <f t="shared" si="87"/>
        <v>-3.7246103938367277E-3</v>
      </c>
      <c r="D2301">
        <f t="shared" si="86"/>
        <v>-0.33513146772754027</v>
      </c>
    </row>
    <row r="2302" spans="1:4" x14ac:dyDescent="0.3">
      <c r="A2302" s="1">
        <v>29297</v>
      </c>
      <c r="B2302">
        <v>139.699997</v>
      </c>
      <c r="C2302">
        <f t="shared" si="87"/>
        <v>-3.281642851264982E-2</v>
      </c>
      <c r="D2302">
        <f t="shared" si="86"/>
        <v>-2.6623572909616877</v>
      </c>
    </row>
    <row r="2303" spans="1:4" x14ac:dyDescent="0.3">
      <c r="A2303" s="1">
        <v>29298</v>
      </c>
      <c r="B2303">
        <v>138.91999799999999</v>
      </c>
      <c r="C2303">
        <f t="shared" si="87"/>
        <v>-5.5833859466725951E-3</v>
      </c>
      <c r="D2303">
        <f t="shared" si="86"/>
        <v>-0.48382586862366567</v>
      </c>
    </row>
    <row r="2304" spans="1:4" x14ac:dyDescent="0.3">
      <c r="A2304" s="1">
        <v>29299</v>
      </c>
      <c r="B2304">
        <v>139.970001</v>
      </c>
      <c r="C2304">
        <f t="shared" si="87"/>
        <v>7.5583286432238782E-3</v>
      </c>
      <c r="D2304">
        <f t="shared" si="86"/>
        <v>0.56745725951476245</v>
      </c>
    </row>
    <row r="2305" spans="1:4" x14ac:dyDescent="0.3">
      <c r="A2305" s="1">
        <v>29300</v>
      </c>
      <c r="B2305">
        <v>139.63999899999999</v>
      </c>
      <c r="C2305">
        <f t="shared" si="87"/>
        <v>-2.3576623393751885E-3</v>
      </c>
      <c r="D2305">
        <f t="shared" si="86"/>
        <v>-0.22578124429460339</v>
      </c>
    </row>
    <row r="2306" spans="1:4" x14ac:dyDescent="0.3">
      <c r="A2306" s="1">
        <v>29301</v>
      </c>
      <c r="B2306">
        <v>138.800003</v>
      </c>
      <c r="C2306">
        <f t="shared" si="87"/>
        <v>-6.0154397451691842E-3</v>
      </c>
      <c r="D2306">
        <f t="shared" si="86"/>
        <v>-0.5183883958875577</v>
      </c>
    </row>
    <row r="2307" spans="1:4" x14ac:dyDescent="0.3">
      <c r="A2307" s="1">
        <v>29304</v>
      </c>
      <c r="B2307">
        <v>134.61000100000001</v>
      </c>
      <c r="C2307">
        <f t="shared" si="87"/>
        <v>-3.0187333641484088E-2</v>
      </c>
      <c r="D2307">
        <f t="shared" ref="D2307:D2370" si="88">(C2307-avrtn)/sdrtn</f>
        <v>-2.4520405121711373</v>
      </c>
    </row>
    <row r="2308" spans="1:4" x14ac:dyDescent="0.3">
      <c r="A2308" s="1">
        <v>29305</v>
      </c>
      <c r="B2308">
        <v>132.520004</v>
      </c>
      <c r="C2308">
        <f t="shared" ref="C2308:C2371" si="89">(B2308-B2307)/B2307</f>
        <v>-1.5526312937179243E-2</v>
      </c>
      <c r="D2308">
        <f t="shared" si="88"/>
        <v>-1.2792191423041115</v>
      </c>
    </row>
    <row r="2309" spans="1:4" x14ac:dyDescent="0.3">
      <c r="A2309" s="1">
        <v>29306</v>
      </c>
      <c r="B2309">
        <v>132.220001</v>
      </c>
      <c r="C2309">
        <f t="shared" si="89"/>
        <v>-2.2638318061022982E-3</v>
      </c>
      <c r="D2309">
        <f t="shared" si="88"/>
        <v>-0.21827518746623042</v>
      </c>
    </row>
    <row r="2310" spans="1:4" x14ac:dyDescent="0.3">
      <c r="A2310" s="1">
        <v>29307</v>
      </c>
      <c r="B2310">
        <v>124.089996</v>
      </c>
      <c r="C2310">
        <f t="shared" si="89"/>
        <v>-6.1488465727662471E-2</v>
      </c>
      <c r="D2310">
        <f t="shared" si="88"/>
        <v>-4.9560023680411911</v>
      </c>
    </row>
    <row r="2311" spans="1:4" x14ac:dyDescent="0.3">
      <c r="A2311" s="1">
        <v>29308</v>
      </c>
      <c r="B2311">
        <v>129.25</v>
      </c>
      <c r="C2311">
        <f t="shared" si="89"/>
        <v>4.158275579281992E-2</v>
      </c>
      <c r="D2311">
        <f t="shared" si="88"/>
        <v>3.2892715222020161</v>
      </c>
    </row>
    <row r="2312" spans="1:4" x14ac:dyDescent="0.3">
      <c r="A2312" s="1">
        <v>29311</v>
      </c>
      <c r="B2312">
        <v>131</v>
      </c>
      <c r="C2312">
        <f t="shared" si="89"/>
        <v>1.3539651837524178E-2</v>
      </c>
      <c r="D2312">
        <f t="shared" si="88"/>
        <v>1.0459385197108486</v>
      </c>
    </row>
    <row r="2313" spans="1:4" x14ac:dyDescent="0.3">
      <c r="A2313" s="1">
        <v>29312</v>
      </c>
      <c r="B2313">
        <v>133.13999899999999</v>
      </c>
      <c r="C2313">
        <f t="shared" si="89"/>
        <v>1.6335870229007548E-2</v>
      </c>
      <c r="D2313">
        <f t="shared" si="88"/>
        <v>1.2696244929107883</v>
      </c>
    </row>
    <row r="2314" spans="1:4" x14ac:dyDescent="0.3">
      <c r="A2314" s="1">
        <v>29313</v>
      </c>
      <c r="B2314">
        <v>135.800003</v>
      </c>
      <c r="C2314">
        <f t="shared" si="89"/>
        <v>1.9978999699406752E-2</v>
      </c>
      <c r="D2314">
        <f t="shared" si="88"/>
        <v>1.5610598699048295</v>
      </c>
    </row>
    <row r="2315" spans="1:4" x14ac:dyDescent="0.3">
      <c r="A2315" s="1">
        <v>29314</v>
      </c>
      <c r="B2315">
        <v>136.009995</v>
      </c>
      <c r="C2315">
        <f t="shared" si="89"/>
        <v>1.5463328082547961E-3</v>
      </c>
      <c r="D2315">
        <f t="shared" si="88"/>
        <v>8.6522314191825947E-2</v>
      </c>
    </row>
    <row r="2316" spans="1:4" x14ac:dyDescent="0.3">
      <c r="A2316" s="1">
        <v>29318</v>
      </c>
      <c r="B2316">
        <v>133.39999399999999</v>
      </c>
      <c r="C2316">
        <f t="shared" si="89"/>
        <v>-1.9189773516277323E-2</v>
      </c>
      <c r="D2316">
        <f t="shared" si="88"/>
        <v>-1.5722809243920446</v>
      </c>
    </row>
    <row r="2317" spans="1:4" x14ac:dyDescent="0.3">
      <c r="A2317" s="1">
        <v>29319</v>
      </c>
      <c r="B2317">
        <v>134.36999499999999</v>
      </c>
      <c r="C2317">
        <f t="shared" si="89"/>
        <v>7.271372141141149E-3</v>
      </c>
      <c r="D2317">
        <f t="shared" si="88"/>
        <v>0.54450191932033132</v>
      </c>
    </row>
    <row r="2318" spans="1:4" x14ac:dyDescent="0.3">
      <c r="A2318" s="1">
        <v>29320</v>
      </c>
      <c r="B2318">
        <v>136.03999300000001</v>
      </c>
      <c r="C2318">
        <f t="shared" si="89"/>
        <v>1.2428355005892656E-2</v>
      </c>
      <c r="D2318">
        <f t="shared" si="88"/>
        <v>0.95703934286020342</v>
      </c>
    </row>
    <row r="2319" spans="1:4" x14ac:dyDescent="0.3">
      <c r="A2319" s="1">
        <v>29321</v>
      </c>
      <c r="B2319">
        <v>137.279999</v>
      </c>
      <c r="C2319">
        <f t="shared" si="89"/>
        <v>9.1150107601078306E-3</v>
      </c>
      <c r="D2319">
        <f t="shared" si="88"/>
        <v>0.69198542775036598</v>
      </c>
    </row>
    <row r="2320" spans="1:4" x14ac:dyDescent="0.3">
      <c r="A2320" s="1">
        <v>29322</v>
      </c>
      <c r="B2320">
        <v>137.75</v>
      </c>
      <c r="C2320">
        <f t="shared" si="89"/>
        <v>3.4236669829812304E-3</v>
      </c>
      <c r="D2320">
        <f t="shared" si="88"/>
        <v>0.23670132852568751</v>
      </c>
    </row>
    <row r="2321" spans="1:4" x14ac:dyDescent="0.3">
      <c r="A2321" s="1">
        <v>29325</v>
      </c>
      <c r="B2321">
        <v>136.66999799999999</v>
      </c>
      <c r="C2321">
        <f t="shared" si="89"/>
        <v>-7.8403049001815415E-3</v>
      </c>
      <c r="D2321">
        <f t="shared" si="88"/>
        <v>-0.66437010439819122</v>
      </c>
    </row>
    <row r="2322" spans="1:4" x14ac:dyDescent="0.3">
      <c r="A2322" s="1">
        <v>29326</v>
      </c>
      <c r="B2322">
        <v>136.38999899999999</v>
      </c>
      <c r="C2322">
        <f t="shared" si="89"/>
        <v>-2.0487232318537364E-3</v>
      </c>
      <c r="D2322">
        <f t="shared" si="88"/>
        <v>-0.20106738605808808</v>
      </c>
    </row>
    <row r="2323" spans="1:4" x14ac:dyDescent="0.3">
      <c r="A2323" s="1">
        <v>29327</v>
      </c>
      <c r="B2323">
        <v>135.759995</v>
      </c>
      <c r="C2323">
        <f t="shared" si="89"/>
        <v>-4.6191363341822845E-3</v>
      </c>
      <c r="D2323">
        <f t="shared" si="88"/>
        <v>-0.40668986464253931</v>
      </c>
    </row>
    <row r="2324" spans="1:4" x14ac:dyDescent="0.3">
      <c r="A2324" s="1">
        <v>29328</v>
      </c>
      <c r="B2324">
        <v>134.550003</v>
      </c>
      <c r="C2324">
        <f t="shared" si="89"/>
        <v>-8.9127286723898278E-3</v>
      </c>
      <c r="D2324">
        <f t="shared" si="88"/>
        <v>-0.75015959634195306</v>
      </c>
    </row>
    <row r="2325" spans="1:4" x14ac:dyDescent="0.3">
      <c r="A2325" s="1">
        <v>29329</v>
      </c>
      <c r="B2325">
        <v>134.66000399999999</v>
      </c>
      <c r="C2325">
        <f t="shared" si="89"/>
        <v>8.1754736192746647E-4</v>
      </c>
      <c r="D2325">
        <f t="shared" si="88"/>
        <v>2.8222475269301356E-2</v>
      </c>
    </row>
    <row r="2326" spans="1:4" x14ac:dyDescent="0.3">
      <c r="A2326" s="1">
        <v>29332</v>
      </c>
      <c r="B2326">
        <v>133.08000200000001</v>
      </c>
      <c r="C2326">
        <f t="shared" si="89"/>
        <v>-1.1733268625181231E-2</v>
      </c>
      <c r="D2326">
        <f t="shared" si="88"/>
        <v>-0.97579119443567786</v>
      </c>
    </row>
    <row r="2327" spans="1:4" x14ac:dyDescent="0.3">
      <c r="A2327" s="1">
        <v>29333</v>
      </c>
      <c r="B2327">
        <v>135.71000699999999</v>
      </c>
      <c r="C2327">
        <f t="shared" si="89"/>
        <v>1.9762586117183727E-2</v>
      </c>
      <c r="D2327">
        <f t="shared" si="88"/>
        <v>1.5437476732249549</v>
      </c>
    </row>
    <row r="2328" spans="1:4" x14ac:dyDescent="0.3">
      <c r="A2328" s="1">
        <v>29334</v>
      </c>
      <c r="B2328">
        <v>136.91999799999999</v>
      </c>
      <c r="C2328">
        <f t="shared" si="89"/>
        <v>8.9160042560457783E-3</v>
      </c>
      <c r="D2328">
        <f t="shared" si="88"/>
        <v>0.67606572574503609</v>
      </c>
    </row>
    <row r="2329" spans="1:4" x14ac:dyDescent="0.3">
      <c r="A2329" s="1">
        <v>29335</v>
      </c>
      <c r="B2329">
        <v>138.69000199999999</v>
      </c>
      <c r="C2329">
        <f t="shared" si="89"/>
        <v>1.2927286195256885E-2</v>
      </c>
      <c r="D2329">
        <f t="shared" si="88"/>
        <v>0.99695178639203219</v>
      </c>
    </row>
    <row r="2330" spans="1:4" x14ac:dyDescent="0.3">
      <c r="A2330" s="1">
        <v>29336</v>
      </c>
      <c r="B2330">
        <v>137.91999799999999</v>
      </c>
      <c r="C2330">
        <f t="shared" si="89"/>
        <v>-5.551979154200316E-3</v>
      </c>
      <c r="D2330">
        <f t="shared" si="88"/>
        <v>-0.48131345437138567</v>
      </c>
    </row>
    <row r="2331" spans="1:4" x14ac:dyDescent="0.3">
      <c r="A2331" s="1">
        <v>29339</v>
      </c>
      <c r="B2331">
        <v>138.53999300000001</v>
      </c>
      <c r="C2331">
        <f t="shared" si="89"/>
        <v>4.4953234410575992E-3</v>
      </c>
      <c r="D2331">
        <f t="shared" si="88"/>
        <v>0.32242943849411043</v>
      </c>
    </row>
    <row r="2332" spans="1:4" x14ac:dyDescent="0.3">
      <c r="A2332" s="1">
        <v>29340</v>
      </c>
      <c r="B2332">
        <v>139.35000600000001</v>
      </c>
      <c r="C2332">
        <f t="shared" si="89"/>
        <v>5.8467810085712779E-3</v>
      </c>
      <c r="D2332">
        <f t="shared" si="88"/>
        <v>0.43054048666848138</v>
      </c>
    </row>
    <row r="2333" spans="1:4" x14ac:dyDescent="0.3">
      <c r="A2333" s="1">
        <v>29341</v>
      </c>
      <c r="B2333">
        <v>139.990005</v>
      </c>
      <c r="C2333">
        <f t="shared" si="89"/>
        <v>4.5927446892251216E-3</v>
      </c>
      <c r="D2333">
        <f t="shared" si="88"/>
        <v>0.33022273774894612</v>
      </c>
    </row>
    <row r="2334" spans="1:4" x14ac:dyDescent="0.3">
      <c r="A2334" s="1">
        <v>29342</v>
      </c>
      <c r="B2334">
        <v>139.679993</v>
      </c>
      <c r="C2334">
        <f t="shared" si="89"/>
        <v>-2.214529530161817E-3</v>
      </c>
      <c r="D2334">
        <f t="shared" si="88"/>
        <v>-0.21433120812316198</v>
      </c>
    </row>
    <row r="2335" spans="1:4" x14ac:dyDescent="0.3">
      <c r="A2335" s="1">
        <v>29343</v>
      </c>
      <c r="B2335">
        <v>140.25</v>
      </c>
      <c r="C2335">
        <f t="shared" si="89"/>
        <v>4.0808063328010326E-3</v>
      </c>
      <c r="D2335">
        <f t="shared" si="88"/>
        <v>0.28926977433811912</v>
      </c>
    </row>
    <row r="2336" spans="1:4" x14ac:dyDescent="0.3">
      <c r="A2336" s="1">
        <v>29346</v>
      </c>
      <c r="B2336">
        <v>141.03999300000001</v>
      </c>
      <c r="C2336">
        <f t="shared" si="89"/>
        <v>5.6327486631016733E-3</v>
      </c>
      <c r="D2336">
        <f t="shared" si="88"/>
        <v>0.41341877913717645</v>
      </c>
    </row>
    <row r="2337" spans="1:4" x14ac:dyDescent="0.3">
      <c r="A2337" s="1">
        <v>29347</v>
      </c>
      <c r="B2337">
        <v>142.229996</v>
      </c>
      <c r="C2337">
        <f t="shared" si="89"/>
        <v>8.437344434638408E-3</v>
      </c>
      <c r="D2337">
        <f t="shared" si="88"/>
        <v>0.63777490829339289</v>
      </c>
    </row>
    <row r="2338" spans="1:4" x14ac:dyDescent="0.3">
      <c r="A2338" s="1">
        <v>29348</v>
      </c>
      <c r="B2338">
        <v>143.58000200000001</v>
      </c>
      <c r="C2338">
        <f t="shared" si="89"/>
        <v>9.4917108765158621E-3</v>
      </c>
      <c r="D2338">
        <f t="shared" si="88"/>
        <v>0.72211988806287419</v>
      </c>
    </row>
    <row r="2339" spans="1:4" x14ac:dyDescent="0.3">
      <c r="A2339" s="1">
        <v>29349</v>
      </c>
      <c r="B2339">
        <v>143.259995</v>
      </c>
      <c r="C2339">
        <f t="shared" si="89"/>
        <v>-2.228771385586162E-3</v>
      </c>
      <c r="D2339">
        <f t="shared" si="88"/>
        <v>-0.21547049799425014</v>
      </c>
    </row>
    <row r="2340" spans="1:4" x14ac:dyDescent="0.3">
      <c r="A2340" s="1">
        <v>29350</v>
      </c>
      <c r="B2340">
        <v>143.05999800000001</v>
      </c>
      <c r="C2340">
        <f t="shared" si="89"/>
        <v>-1.396042209829731E-3</v>
      </c>
      <c r="D2340">
        <f t="shared" si="88"/>
        <v>-0.14885558813656677</v>
      </c>
    </row>
    <row r="2341" spans="1:4" x14ac:dyDescent="0.3">
      <c r="A2341" s="1">
        <v>29353</v>
      </c>
      <c r="B2341">
        <v>142.96000699999999</v>
      </c>
      <c r="C2341">
        <f t="shared" si="89"/>
        <v>-6.9894450858315428E-4</v>
      </c>
      <c r="D2341">
        <f t="shared" si="88"/>
        <v>-9.3090638519716079E-2</v>
      </c>
    </row>
    <row r="2342" spans="1:4" x14ac:dyDescent="0.3">
      <c r="A2342" s="1">
        <v>29354</v>
      </c>
      <c r="B2342">
        <v>144.10000600000001</v>
      </c>
      <c r="C2342">
        <f t="shared" si="89"/>
        <v>7.9742511484349431E-3</v>
      </c>
      <c r="D2342">
        <f t="shared" si="88"/>
        <v>0.60072934964808689</v>
      </c>
    </row>
    <row r="2343" spans="1:4" x14ac:dyDescent="0.3">
      <c r="A2343" s="1">
        <v>29355</v>
      </c>
      <c r="B2343">
        <v>145.66000399999999</v>
      </c>
      <c r="C2343">
        <f t="shared" si="89"/>
        <v>1.0825801075955394E-2</v>
      </c>
      <c r="D2343">
        <f t="shared" si="88"/>
        <v>0.8288416182063576</v>
      </c>
    </row>
    <row r="2344" spans="1:4" x14ac:dyDescent="0.3">
      <c r="A2344" s="1">
        <v>29356</v>
      </c>
      <c r="B2344">
        <v>146.61999499999999</v>
      </c>
      <c r="C2344">
        <f t="shared" si="89"/>
        <v>6.5906286807461733E-3</v>
      </c>
      <c r="D2344">
        <f t="shared" si="88"/>
        <v>0.49004524172256847</v>
      </c>
    </row>
    <row r="2345" spans="1:4" x14ac:dyDescent="0.3">
      <c r="A2345" s="1">
        <v>29357</v>
      </c>
      <c r="B2345">
        <v>147.240005</v>
      </c>
      <c r="C2345">
        <f t="shared" si="89"/>
        <v>4.2286865444239562E-3</v>
      </c>
      <c r="D2345">
        <f t="shared" si="88"/>
        <v>0.30109958318088931</v>
      </c>
    </row>
    <row r="2346" spans="1:4" x14ac:dyDescent="0.3">
      <c r="A2346" s="1">
        <v>29360</v>
      </c>
      <c r="B2346">
        <v>147.240005</v>
      </c>
      <c r="C2346">
        <f t="shared" si="89"/>
        <v>0</v>
      </c>
      <c r="D2346">
        <f t="shared" si="88"/>
        <v>-3.7177951910056316E-2</v>
      </c>
    </row>
    <row r="2347" spans="1:4" x14ac:dyDescent="0.3">
      <c r="A2347" s="1">
        <v>29361</v>
      </c>
      <c r="B2347">
        <v>146.929993</v>
      </c>
      <c r="C2347">
        <f t="shared" si="89"/>
        <v>-2.105487567729982E-3</v>
      </c>
      <c r="D2347">
        <f t="shared" si="88"/>
        <v>-0.20560829951184389</v>
      </c>
    </row>
    <row r="2348" spans="1:4" x14ac:dyDescent="0.3">
      <c r="A2348" s="1">
        <v>29362</v>
      </c>
      <c r="B2348">
        <v>146.75</v>
      </c>
      <c r="C2348">
        <f t="shared" si="89"/>
        <v>-1.2250255807199017E-3</v>
      </c>
      <c r="D2348">
        <f t="shared" si="88"/>
        <v>-0.13517496103236126</v>
      </c>
    </row>
    <row r="2349" spans="1:4" x14ac:dyDescent="0.3">
      <c r="A2349" s="1">
        <v>29363</v>
      </c>
      <c r="B2349">
        <v>147.96000699999999</v>
      </c>
      <c r="C2349">
        <f t="shared" si="89"/>
        <v>8.2453628620101551E-3</v>
      </c>
      <c r="D2349">
        <f t="shared" si="88"/>
        <v>0.62241717191607637</v>
      </c>
    </row>
    <row r="2350" spans="1:4" x14ac:dyDescent="0.3">
      <c r="A2350" s="1">
        <v>29364</v>
      </c>
      <c r="B2350">
        <v>149.479996</v>
      </c>
      <c r="C2350">
        <f t="shared" si="89"/>
        <v>1.0272971938964627E-2</v>
      </c>
      <c r="D2350">
        <f t="shared" si="88"/>
        <v>0.7846175604940907</v>
      </c>
    </row>
    <row r="2351" spans="1:4" x14ac:dyDescent="0.3">
      <c r="A2351" s="1">
        <v>29368</v>
      </c>
      <c r="B2351">
        <v>150.10000600000001</v>
      </c>
      <c r="C2351">
        <f t="shared" si="89"/>
        <v>4.1477790780781645E-3</v>
      </c>
      <c r="D2351">
        <f t="shared" si="88"/>
        <v>0.29462731856671553</v>
      </c>
    </row>
    <row r="2352" spans="1:4" x14ac:dyDescent="0.3">
      <c r="A2352" s="1">
        <v>29369</v>
      </c>
      <c r="B2352">
        <v>150.699997</v>
      </c>
      <c r="C2352">
        <f t="shared" si="89"/>
        <v>3.9972749901155142E-3</v>
      </c>
      <c r="D2352">
        <f t="shared" si="88"/>
        <v>0.28258761040621116</v>
      </c>
    </row>
    <row r="2353" spans="1:4" x14ac:dyDescent="0.3">
      <c r="A2353" s="1">
        <v>29370</v>
      </c>
      <c r="B2353">
        <v>150.08999600000001</v>
      </c>
      <c r="C2353">
        <f t="shared" si="89"/>
        <v>-4.0477837567573591E-3</v>
      </c>
      <c r="D2353">
        <f t="shared" si="88"/>
        <v>-0.36098400786438195</v>
      </c>
    </row>
    <row r="2354" spans="1:4" x14ac:dyDescent="0.3">
      <c r="A2354" s="1">
        <v>29371</v>
      </c>
      <c r="B2354">
        <v>150.449997</v>
      </c>
      <c r="C2354">
        <f t="shared" si="89"/>
        <v>2.3985675900743087E-3</v>
      </c>
      <c r="D2354">
        <f t="shared" si="88"/>
        <v>0.15469759232702443</v>
      </c>
    </row>
    <row r="2355" spans="1:4" x14ac:dyDescent="0.3">
      <c r="A2355" s="1">
        <v>29374</v>
      </c>
      <c r="B2355">
        <v>150.16999799999999</v>
      </c>
      <c r="C2355">
        <f t="shared" si="89"/>
        <v>-1.8610768068011571E-3</v>
      </c>
      <c r="D2355">
        <f t="shared" si="88"/>
        <v>-0.18605644366059207</v>
      </c>
    </row>
    <row r="2356" spans="1:4" x14ac:dyDescent="0.3">
      <c r="A2356" s="1">
        <v>29375</v>
      </c>
      <c r="B2356">
        <v>149.91999799999999</v>
      </c>
      <c r="C2356">
        <f t="shared" si="89"/>
        <v>-1.66477993826703E-3</v>
      </c>
      <c r="D2356">
        <f t="shared" si="88"/>
        <v>-0.17035350135540842</v>
      </c>
    </row>
    <row r="2357" spans="1:4" x14ac:dyDescent="0.3">
      <c r="A2357" s="1">
        <v>29376</v>
      </c>
      <c r="B2357">
        <v>151.21000699999999</v>
      </c>
      <c r="C2357">
        <f t="shared" si="89"/>
        <v>8.6046492610011762E-3</v>
      </c>
      <c r="D2357">
        <f t="shared" si="88"/>
        <v>0.65115860644085766</v>
      </c>
    </row>
    <row r="2358" spans="1:4" x14ac:dyDescent="0.3">
      <c r="A2358" s="1">
        <v>29377</v>
      </c>
      <c r="B2358">
        <v>152.21000699999999</v>
      </c>
      <c r="C2358">
        <f t="shared" si="89"/>
        <v>6.6133189187670633E-3</v>
      </c>
      <c r="D2358">
        <f t="shared" si="88"/>
        <v>0.49186036746142342</v>
      </c>
    </row>
    <row r="2359" spans="1:4" x14ac:dyDescent="0.3">
      <c r="A2359" s="1">
        <v>29378</v>
      </c>
      <c r="B2359">
        <v>152.679993</v>
      </c>
      <c r="C2359">
        <f t="shared" si="89"/>
        <v>3.0877470493776787E-3</v>
      </c>
      <c r="D2359">
        <f t="shared" si="88"/>
        <v>0.20982911514842401</v>
      </c>
    </row>
    <row r="2360" spans="1:4" x14ac:dyDescent="0.3">
      <c r="A2360" s="1">
        <v>29381</v>
      </c>
      <c r="B2360">
        <v>153</v>
      </c>
      <c r="C2360">
        <f t="shared" si="89"/>
        <v>2.0959327657291936E-3</v>
      </c>
      <c r="D2360">
        <f t="shared" si="88"/>
        <v>0.13048805082124876</v>
      </c>
    </row>
    <row r="2361" spans="1:4" x14ac:dyDescent="0.3">
      <c r="A2361" s="1">
        <v>29382</v>
      </c>
      <c r="B2361">
        <v>154.14999399999999</v>
      </c>
      <c r="C2361">
        <f t="shared" si="89"/>
        <v>7.5163006535947218E-3</v>
      </c>
      <c r="D2361">
        <f t="shared" si="88"/>
        <v>0.56409519316455592</v>
      </c>
    </row>
    <row r="2362" spans="1:4" x14ac:dyDescent="0.3">
      <c r="A2362" s="1">
        <v>29383</v>
      </c>
      <c r="B2362">
        <v>155.220001</v>
      </c>
      <c r="C2362">
        <f t="shared" si="89"/>
        <v>6.9413366308661937E-3</v>
      </c>
      <c r="D2362">
        <f t="shared" si="88"/>
        <v>0.51810043561246222</v>
      </c>
    </row>
    <row r="2363" spans="1:4" x14ac:dyDescent="0.3">
      <c r="A2363" s="1">
        <v>29384</v>
      </c>
      <c r="B2363">
        <v>155.30999800000001</v>
      </c>
      <c r="C2363">
        <f t="shared" si="89"/>
        <v>5.798028567208358E-4</v>
      </c>
      <c r="D2363">
        <f t="shared" si="88"/>
        <v>9.2038924640177704E-3</v>
      </c>
    </row>
    <row r="2364" spans="1:4" x14ac:dyDescent="0.3">
      <c r="A2364" s="1">
        <v>29385</v>
      </c>
      <c r="B2364">
        <v>156.58999600000001</v>
      </c>
      <c r="C2364">
        <f t="shared" si="89"/>
        <v>8.2415685820819221E-3</v>
      </c>
      <c r="D2364">
        <f t="shared" si="88"/>
        <v>0.62211364512398992</v>
      </c>
    </row>
    <row r="2365" spans="1:4" x14ac:dyDescent="0.3">
      <c r="A2365" s="1">
        <v>29388</v>
      </c>
      <c r="B2365">
        <v>156.78999300000001</v>
      </c>
      <c r="C2365">
        <f t="shared" si="89"/>
        <v>1.2772016419235121E-3</v>
      </c>
      <c r="D2365">
        <f t="shared" si="88"/>
        <v>6.4992927559291813E-2</v>
      </c>
    </row>
    <row r="2366" spans="1:4" x14ac:dyDescent="0.3">
      <c r="A2366" s="1">
        <v>29389</v>
      </c>
      <c r="B2366">
        <v>156.979996</v>
      </c>
      <c r="C2366">
        <f t="shared" si="89"/>
        <v>1.2118311657810339E-3</v>
      </c>
      <c r="D2366">
        <f t="shared" si="88"/>
        <v>5.9763558272897629E-2</v>
      </c>
    </row>
    <row r="2367" spans="1:4" x14ac:dyDescent="0.3">
      <c r="A2367" s="1">
        <v>29390</v>
      </c>
      <c r="B2367">
        <v>157.19000199999999</v>
      </c>
      <c r="C2367">
        <f t="shared" si="89"/>
        <v>1.3377882873687474E-3</v>
      </c>
      <c r="D2367">
        <f t="shared" si="88"/>
        <v>6.983961006113594E-2</v>
      </c>
    </row>
    <row r="2368" spans="1:4" x14ac:dyDescent="0.3">
      <c r="A2368" s="1">
        <v>29391</v>
      </c>
      <c r="B2368">
        <v>156.729996</v>
      </c>
      <c r="C2368">
        <f t="shared" si="89"/>
        <v>-2.9264329419627644E-3</v>
      </c>
      <c r="D2368">
        <f t="shared" si="88"/>
        <v>-0.27128055370291676</v>
      </c>
    </row>
    <row r="2369" spans="1:4" x14ac:dyDescent="0.3">
      <c r="A2369" s="1">
        <v>29392</v>
      </c>
      <c r="B2369">
        <v>156.509995</v>
      </c>
      <c r="C2369">
        <f t="shared" si="89"/>
        <v>-1.4036942870846263E-3</v>
      </c>
      <c r="D2369">
        <f t="shared" si="88"/>
        <v>-0.1494677228514287</v>
      </c>
    </row>
    <row r="2370" spans="1:4" x14ac:dyDescent="0.3">
      <c r="A2370" s="1">
        <v>29395</v>
      </c>
      <c r="B2370">
        <v>156.990005</v>
      </c>
      <c r="C2370">
        <f t="shared" si="89"/>
        <v>3.0669606755785337E-3</v>
      </c>
      <c r="D2370">
        <f t="shared" si="88"/>
        <v>0.20816629071857221</v>
      </c>
    </row>
    <row r="2371" spans="1:4" x14ac:dyDescent="0.3">
      <c r="A2371" s="1">
        <v>29396</v>
      </c>
      <c r="B2371">
        <v>157.66000399999999</v>
      </c>
      <c r="C2371">
        <f t="shared" si="89"/>
        <v>4.2677812514241914E-3</v>
      </c>
      <c r="D2371">
        <f t="shared" ref="D2371:D2434" si="90">(C2371-avrtn)/sdrtn</f>
        <v>0.30422699898251238</v>
      </c>
    </row>
    <row r="2372" spans="1:4" x14ac:dyDescent="0.3">
      <c r="A2372" s="1">
        <v>29397</v>
      </c>
      <c r="B2372">
        <v>158.740005</v>
      </c>
      <c r="C2372">
        <f t="shared" ref="C2372:C2435" si="91">(B2372-B2371)/B2371</f>
        <v>6.8501901090907624E-3</v>
      </c>
      <c r="D2372">
        <f t="shared" si="90"/>
        <v>0.51080908866716479</v>
      </c>
    </row>
    <row r="2373" spans="1:4" x14ac:dyDescent="0.3">
      <c r="A2373" s="1">
        <v>29398</v>
      </c>
      <c r="B2373">
        <v>159</v>
      </c>
      <c r="C2373">
        <f t="shared" si="91"/>
        <v>1.6378669006593741E-3</v>
      </c>
      <c r="D2373">
        <f t="shared" si="90"/>
        <v>9.38446651937552E-2</v>
      </c>
    </row>
    <row r="2374" spans="1:4" x14ac:dyDescent="0.3">
      <c r="A2374" s="1">
        <v>29399</v>
      </c>
      <c r="B2374">
        <v>159.179993</v>
      </c>
      <c r="C2374">
        <f t="shared" si="91"/>
        <v>1.1320314465408559E-3</v>
      </c>
      <c r="D2374">
        <f t="shared" si="90"/>
        <v>5.3379908872089613E-2</v>
      </c>
    </row>
    <row r="2375" spans="1:4" x14ac:dyDescent="0.3">
      <c r="A2375" s="1">
        <v>29402</v>
      </c>
      <c r="B2375">
        <v>157.779999</v>
      </c>
      <c r="C2375">
        <f t="shared" si="91"/>
        <v>-8.7950374517229216E-3</v>
      </c>
      <c r="D2375">
        <f t="shared" si="90"/>
        <v>-0.74074478263779164</v>
      </c>
    </row>
    <row r="2376" spans="1:4" x14ac:dyDescent="0.3">
      <c r="A2376" s="1">
        <v>29403</v>
      </c>
      <c r="B2376">
        <v>158.16999799999999</v>
      </c>
      <c r="C2376">
        <f t="shared" si="91"/>
        <v>2.4717898496119835E-3</v>
      </c>
      <c r="D2376">
        <f t="shared" si="90"/>
        <v>0.1605550719983081</v>
      </c>
    </row>
    <row r="2377" spans="1:4" x14ac:dyDescent="0.3">
      <c r="A2377" s="1">
        <v>29404</v>
      </c>
      <c r="B2377">
        <v>159.179993</v>
      </c>
      <c r="C2377">
        <f t="shared" si="91"/>
        <v>6.3855030206171181E-3</v>
      </c>
      <c r="D2377">
        <f t="shared" si="90"/>
        <v>0.47363603239399854</v>
      </c>
    </row>
    <row r="2378" spans="1:4" x14ac:dyDescent="0.3">
      <c r="A2378" s="1">
        <v>29405</v>
      </c>
      <c r="B2378">
        <v>160.86999499999999</v>
      </c>
      <c r="C2378">
        <f t="shared" si="91"/>
        <v>1.0616924703596341E-2</v>
      </c>
      <c r="D2378">
        <f t="shared" si="90"/>
        <v>0.81213236732240868</v>
      </c>
    </row>
    <row r="2379" spans="1:4" x14ac:dyDescent="0.3">
      <c r="A2379" s="1">
        <v>29409</v>
      </c>
      <c r="B2379">
        <v>163.63000500000001</v>
      </c>
      <c r="C2379">
        <f t="shared" si="91"/>
        <v>1.7156773082513135E-2</v>
      </c>
      <c r="D2379">
        <f t="shared" si="90"/>
        <v>1.3352933456185319</v>
      </c>
    </row>
    <row r="2380" spans="1:4" x14ac:dyDescent="0.3">
      <c r="A2380" s="1">
        <v>29410</v>
      </c>
      <c r="B2380">
        <v>163.58000200000001</v>
      </c>
      <c r="C2380">
        <f t="shared" si="91"/>
        <v>-3.055857634423698E-4</v>
      </c>
      <c r="D2380">
        <f t="shared" si="90"/>
        <v>-6.1623556409278281E-2</v>
      </c>
    </row>
    <row r="2381" spans="1:4" x14ac:dyDescent="0.3">
      <c r="A2381" s="1">
        <v>29411</v>
      </c>
      <c r="B2381">
        <v>164.08999600000001</v>
      </c>
      <c r="C2381">
        <f t="shared" si="91"/>
        <v>3.1177038376610732E-3</v>
      </c>
      <c r="D2381">
        <f t="shared" si="90"/>
        <v>0.21222553502804609</v>
      </c>
    </row>
    <row r="2382" spans="1:4" x14ac:dyDescent="0.3">
      <c r="A2382" s="1">
        <v>29412</v>
      </c>
      <c r="B2382">
        <v>163.83999600000001</v>
      </c>
      <c r="C2382">
        <f t="shared" si="91"/>
        <v>-1.5235541842538651E-3</v>
      </c>
      <c r="D2382">
        <f t="shared" si="90"/>
        <v>-0.15905602175812569</v>
      </c>
    </row>
    <row r="2383" spans="1:4" x14ac:dyDescent="0.3">
      <c r="A2383" s="1">
        <v>29413</v>
      </c>
      <c r="B2383">
        <v>164.820007</v>
      </c>
      <c r="C2383">
        <f t="shared" si="91"/>
        <v>5.9815125972048381E-3</v>
      </c>
      <c r="D2383">
        <f t="shared" si="90"/>
        <v>0.44131845973956335</v>
      </c>
    </row>
    <row r="2384" spans="1:4" x14ac:dyDescent="0.3">
      <c r="A2384" s="1">
        <v>29416</v>
      </c>
      <c r="B2384">
        <v>166.520004</v>
      </c>
      <c r="C2384">
        <f t="shared" si="91"/>
        <v>1.0314263607572812E-2</v>
      </c>
      <c r="D2384">
        <f t="shared" si="90"/>
        <v>0.78792072419038961</v>
      </c>
    </row>
    <row r="2385" spans="1:4" x14ac:dyDescent="0.3">
      <c r="A2385" s="1">
        <v>29417</v>
      </c>
      <c r="B2385">
        <v>167.050003</v>
      </c>
      <c r="C2385">
        <f t="shared" si="91"/>
        <v>3.1827947830220067E-3</v>
      </c>
      <c r="D2385">
        <f t="shared" si="90"/>
        <v>0.21743254300135414</v>
      </c>
    </row>
    <row r="2386" spans="1:4" x14ac:dyDescent="0.3">
      <c r="A2386" s="1">
        <v>29418</v>
      </c>
      <c r="B2386">
        <v>167.10000600000001</v>
      </c>
      <c r="C2386">
        <f t="shared" si="91"/>
        <v>2.9932953667773229E-4</v>
      </c>
      <c r="D2386">
        <f t="shared" si="90"/>
        <v>-1.3232819826247175E-2</v>
      </c>
    </row>
    <row r="2387" spans="1:4" x14ac:dyDescent="0.3">
      <c r="A2387" s="1">
        <v>29419</v>
      </c>
      <c r="B2387">
        <v>168.66999799999999</v>
      </c>
      <c r="C2387">
        <f t="shared" si="91"/>
        <v>9.3955233011780073E-3</v>
      </c>
      <c r="D2387">
        <f t="shared" si="90"/>
        <v>0.71442527756151886</v>
      </c>
    </row>
    <row r="2388" spans="1:4" x14ac:dyDescent="0.3">
      <c r="A2388" s="1">
        <v>29420</v>
      </c>
      <c r="B2388">
        <v>169.990005</v>
      </c>
      <c r="C2388">
        <f t="shared" si="91"/>
        <v>7.8259738877805886E-3</v>
      </c>
      <c r="D2388">
        <f t="shared" si="90"/>
        <v>0.58886777851547756</v>
      </c>
    </row>
    <row r="2389" spans="1:4" x14ac:dyDescent="0.3">
      <c r="A2389" s="1">
        <v>29423</v>
      </c>
      <c r="B2389">
        <v>170.479996</v>
      </c>
      <c r="C2389">
        <f t="shared" si="91"/>
        <v>2.8824694722492856E-3</v>
      </c>
      <c r="D2389">
        <f t="shared" si="90"/>
        <v>0.19340775308459343</v>
      </c>
    </row>
    <row r="2390" spans="1:4" x14ac:dyDescent="0.3">
      <c r="A2390" s="1">
        <v>29424</v>
      </c>
      <c r="B2390">
        <v>169.78999300000001</v>
      </c>
      <c r="C2390">
        <f t="shared" si="91"/>
        <v>-4.047413281262572E-3</v>
      </c>
      <c r="D2390">
        <f t="shared" si="90"/>
        <v>-0.3609543713482033</v>
      </c>
    </row>
    <row r="2391" spans="1:4" x14ac:dyDescent="0.3">
      <c r="A2391" s="1">
        <v>29425</v>
      </c>
      <c r="B2391">
        <v>169.820007</v>
      </c>
      <c r="C2391">
        <f t="shared" si="91"/>
        <v>1.7677131301839567E-4</v>
      </c>
      <c r="D2391">
        <f t="shared" si="90"/>
        <v>-2.303697375656712E-2</v>
      </c>
    </row>
    <row r="2392" spans="1:4" x14ac:dyDescent="0.3">
      <c r="A2392" s="1">
        <v>29426</v>
      </c>
      <c r="B2392">
        <v>169.91999799999999</v>
      </c>
      <c r="C2392">
        <f t="shared" si="91"/>
        <v>5.8880577009980107E-4</v>
      </c>
      <c r="D2392">
        <f t="shared" si="90"/>
        <v>9.9240885141339743E-3</v>
      </c>
    </row>
    <row r="2393" spans="1:4" x14ac:dyDescent="0.3">
      <c r="A2393" s="1">
        <v>29427</v>
      </c>
      <c r="B2393">
        <v>169.63000500000001</v>
      </c>
      <c r="C2393">
        <f t="shared" si="91"/>
        <v>-1.7066443232890182E-3</v>
      </c>
      <c r="D2393">
        <f t="shared" si="90"/>
        <v>-0.17370248000978764</v>
      </c>
    </row>
    <row r="2394" spans="1:4" x14ac:dyDescent="0.3">
      <c r="A2394" s="1">
        <v>29430</v>
      </c>
      <c r="B2394">
        <v>170.020004</v>
      </c>
      <c r="C2394">
        <f t="shared" si="91"/>
        <v>2.2991156546861439E-3</v>
      </c>
      <c r="D2394">
        <f t="shared" si="90"/>
        <v>0.14674184644477312</v>
      </c>
    </row>
    <row r="2395" spans="1:4" x14ac:dyDescent="0.3">
      <c r="A2395" s="1">
        <v>29431</v>
      </c>
      <c r="B2395">
        <v>171.05999800000001</v>
      </c>
      <c r="C2395">
        <f t="shared" si="91"/>
        <v>6.1168919864277096E-3</v>
      </c>
      <c r="D2395">
        <f t="shared" si="90"/>
        <v>0.45214825419401827</v>
      </c>
    </row>
    <row r="2396" spans="1:4" x14ac:dyDescent="0.3">
      <c r="A2396" s="1">
        <v>29432</v>
      </c>
      <c r="B2396">
        <v>172.33000200000001</v>
      </c>
      <c r="C2396">
        <f t="shared" si="91"/>
        <v>7.4243190392180415E-3</v>
      </c>
      <c r="D2396">
        <f t="shared" si="90"/>
        <v>0.55673704224507992</v>
      </c>
    </row>
    <row r="2397" spans="1:4" x14ac:dyDescent="0.3">
      <c r="A2397" s="1">
        <v>29433</v>
      </c>
      <c r="B2397">
        <v>171.80999800000001</v>
      </c>
      <c r="C2397">
        <f t="shared" si="91"/>
        <v>-3.0174896649742982E-3</v>
      </c>
      <c r="D2397">
        <f t="shared" si="90"/>
        <v>-0.27856471711635716</v>
      </c>
    </row>
    <row r="2398" spans="1:4" x14ac:dyDescent="0.3">
      <c r="A2398" s="1">
        <v>29434</v>
      </c>
      <c r="B2398">
        <v>172.490005</v>
      </c>
      <c r="C2398">
        <f t="shared" si="91"/>
        <v>3.9579012159699179E-3</v>
      </c>
      <c r="D2398">
        <f t="shared" si="90"/>
        <v>0.27943787038049017</v>
      </c>
    </row>
    <row r="2399" spans="1:4" x14ac:dyDescent="0.3">
      <c r="A2399" s="1">
        <v>29437</v>
      </c>
      <c r="B2399">
        <v>171.88999899999999</v>
      </c>
      <c r="C2399">
        <f t="shared" si="91"/>
        <v>-3.4784972033597402E-3</v>
      </c>
      <c r="D2399">
        <f t="shared" si="90"/>
        <v>-0.31544342451286755</v>
      </c>
    </row>
    <row r="2400" spans="1:4" x14ac:dyDescent="0.3">
      <c r="A2400" s="1">
        <v>29438</v>
      </c>
      <c r="B2400">
        <v>172.520004</v>
      </c>
      <c r="C2400">
        <f t="shared" si="91"/>
        <v>3.6651637888485372E-3</v>
      </c>
      <c r="D2400">
        <f t="shared" si="90"/>
        <v>0.25602007995427267</v>
      </c>
    </row>
    <row r="2401" spans="1:4" x14ac:dyDescent="0.3">
      <c r="A2401" s="1">
        <v>29439</v>
      </c>
      <c r="B2401">
        <v>173.449997</v>
      </c>
      <c r="C2401">
        <f t="shared" si="91"/>
        <v>5.3906386415339758E-3</v>
      </c>
      <c r="D2401">
        <f t="shared" si="90"/>
        <v>0.39405097297411806</v>
      </c>
    </row>
    <row r="2402" spans="1:4" x14ac:dyDescent="0.3">
      <c r="A2402" s="1">
        <v>29440</v>
      </c>
      <c r="B2402">
        <v>175.240005</v>
      </c>
      <c r="C2402">
        <f t="shared" si="91"/>
        <v>1.0320023239896628E-2</v>
      </c>
      <c r="D2402">
        <f t="shared" si="90"/>
        <v>0.78838147109254531</v>
      </c>
    </row>
    <row r="2403" spans="1:4" x14ac:dyDescent="0.3">
      <c r="A2403" s="1">
        <v>29441</v>
      </c>
      <c r="B2403">
        <v>175.88000500000001</v>
      </c>
      <c r="C2403">
        <f t="shared" si="91"/>
        <v>3.6521341117287391E-3</v>
      </c>
      <c r="D2403">
        <f t="shared" si="90"/>
        <v>0.25497775936304129</v>
      </c>
    </row>
    <row r="2404" spans="1:4" x14ac:dyDescent="0.3">
      <c r="A2404" s="1">
        <v>29444</v>
      </c>
      <c r="B2404">
        <v>177.11000100000001</v>
      </c>
      <c r="C2404">
        <f t="shared" si="91"/>
        <v>6.9933816524510549E-3</v>
      </c>
      <c r="D2404">
        <f t="shared" si="90"/>
        <v>0.52226382332884358</v>
      </c>
    </row>
    <row r="2405" spans="1:4" x14ac:dyDescent="0.3">
      <c r="A2405" s="1">
        <v>29445</v>
      </c>
      <c r="B2405">
        <v>176.61999499999999</v>
      </c>
      <c r="C2405">
        <f t="shared" si="91"/>
        <v>-2.7666760613931809E-3</v>
      </c>
      <c r="D2405">
        <f t="shared" si="90"/>
        <v>-0.25850066018156825</v>
      </c>
    </row>
    <row r="2406" spans="1:4" x14ac:dyDescent="0.3">
      <c r="A2406" s="1">
        <v>29446</v>
      </c>
      <c r="B2406">
        <v>177.020004</v>
      </c>
      <c r="C2406">
        <f t="shared" si="91"/>
        <v>2.2648002000000703E-3</v>
      </c>
      <c r="D2406">
        <f t="shared" si="90"/>
        <v>0.14399675117588007</v>
      </c>
    </row>
    <row r="2407" spans="1:4" x14ac:dyDescent="0.3">
      <c r="A2407" s="1">
        <v>29447</v>
      </c>
      <c r="B2407">
        <v>178.759995</v>
      </c>
      <c r="C2407">
        <f t="shared" si="91"/>
        <v>9.8293467443374555E-3</v>
      </c>
      <c r="D2407">
        <f t="shared" si="90"/>
        <v>0.74912936912161732</v>
      </c>
    </row>
    <row r="2408" spans="1:4" x14ac:dyDescent="0.3">
      <c r="A2408" s="1">
        <v>29448</v>
      </c>
      <c r="B2408">
        <v>179.88999899999999</v>
      </c>
      <c r="C2408">
        <f t="shared" si="91"/>
        <v>6.3213472343182E-3</v>
      </c>
      <c r="D2408">
        <f t="shared" si="90"/>
        <v>0.46850383330025464</v>
      </c>
    </row>
    <row r="2409" spans="1:4" x14ac:dyDescent="0.3">
      <c r="A2409" s="1">
        <v>29451</v>
      </c>
      <c r="B2409">
        <v>177.240005</v>
      </c>
      <c r="C2409">
        <f t="shared" si="91"/>
        <v>-1.4731191365452131E-2</v>
      </c>
      <c r="D2409">
        <f t="shared" si="90"/>
        <v>-1.215612686125382</v>
      </c>
    </row>
    <row r="2410" spans="1:4" x14ac:dyDescent="0.3">
      <c r="A2410" s="1">
        <v>29452</v>
      </c>
      <c r="B2410">
        <v>176.279999</v>
      </c>
      <c r="C2410">
        <f t="shared" si="91"/>
        <v>-5.4164182629084946E-3</v>
      </c>
      <c r="D2410">
        <f t="shared" si="90"/>
        <v>-0.47046914049775573</v>
      </c>
    </row>
    <row r="2411" spans="1:4" x14ac:dyDescent="0.3">
      <c r="A2411" s="1">
        <v>29453</v>
      </c>
      <c r="B2411">
        <v>177.679993</v>
      </c>
      <c r="C2411">
        <f t="shared" si="91"/>
        <v>7.9418766050707336E-3</v>
      </c>
      <c r="D2411">
        <f t="shared" si="90"/>
        <v>0.59813951930386788</v>
      </c>
    </row>
    <row r="2412" spans="1:4" x14ac:dyDescent="0.3">
      <c r="A2412" s="1">
        <v>29454</v>
      </c>
      <c r="B2412">
        <v>179.91000399999999</v>
      </c>
      <c r="C2412">
        <f t="shared" si="91"/>
        <v>1.2550715262578779E-2</v>
      </c>
      <c r="D2412">
        <f t="shared" si="90"/>
        <v>0.9668276602467113</v>
      </c>
    </row>
    <row r="2413" spans="1:4" x14ac:dyDescent="0.3">
      <c r="A2413" s="1">
        <v>29455</v>
      </c>
      <c r="B2413">
        <v>181.699997</v>
      </c>
      <c r="C2413">
        <f t="shared" si="91"/>
        <v>9.9493800244705114E-3</v>
      </c>
      <c r="D2413">
        <f t="shared" si="90"/>
        <v>0.75873153795246462</v>
      </c>
    </row>
    <row r="2414" spans="1:4" x14ac:dyDescent="0.3">
      <c r="A2414" s="1">
        <v>29458</v>
      </c>
      <c r="B2414">
        <v>181.58000200000001</v>
      </c>
      <c r="C2414">
        <f t="shared" si="91"/>
        <v>-6.6040177204839887E-4</v>
      </c>
      <c r="D2414">
        <f t="shared" si="90"/>
        <v>-9.0007378085615278E-2</v>
      </c>
    </row>
    <row r="2415" spans="1:4" x14ac:dyDescent="0.3">
      <c r="A2415" s="1">
        <v>29459</v>
      </c>
      <c r="B2415">
        <v>182.38999899999999</v>
      </c>
      <c r="C2415">
        <f t="shared" si="91"/>
        <v>4.460827134476964E-3</v>
      </c>
      <c r="D2415">
        <f t="shared" si="90"/>
        <v>0.31966987581731987</v>
      </c>
    </row>
    <row r="2416" spans="1:4" x14ac:dyDescent="0.3">
      <c r="A2416" s="1">
        <v>29460</v>
      </c>
      <c r="B2416">
        <v>182.14999399999999</v>
      </c>
      <c r="C2416">
        <f t="shared" si="91"/>
        <v>-1.3158890362184633E-3</v>
      </c>
      <c r="D2416">
        <f t="shared" si="90"/>
        <v>-0.14244366383948465</v>
      </c>
    </row>
    <row r="2417" spans="1:4" x14ac:dyDescent="0.3">
      <c r="A2417" s="1">
        <v>29461</v>
      </c>
      <c r="B2417">
        <v>180.990005</v>
      </c>
      <c r="C2417">
        <f t="shared" si="91"/>
        <v>-6.3683175306610005E-3</v>
      </c>
      <c r="D2417">
        <f t="shared" si="90"/>
        <v>-0.54661716768477875</v>
      </c>
    </row>
    <row r="2418" spans="1:4" x14ac:dyDescent="0.3">
      <c r="A2418" s="1">
        <v>29462</v>
      </c>
      <c r="B2418">
        <v>181.520004</v>
      </c>
      <c r="C2418">
        <f t="shared" si="91"/>
        <v>2.9283329761773513E-3</v>
      </c>
      <c r="D2418">
        <f t="shared" si="90"/>
        <v>0.19707664480698367</v>
      </c>
    </row>
    <row r="2419" spans="1:4" x14ac:dyDescent="0.3">
      <c r="A2419" s="1">
        <v>29466</v>
      </c>
      <c r="B2419">
        <v>182.33999600000001</v>
      </c>
      <c r="C2419">
        <f t="shared" si="91"/>
        <v>4.5173643781983028E-3</v>
      </c>
      <c r="D2419">
        <f t="shared" si="90"/>
        <v>0.32419262283249167</v>
      </c>
    </row>
    <row r="2420" spans="1:4" x14ac:dyDescent="0.3">
      <c r="A2420" s="1">
        <v>29467</v>
      </c>
      <c r="B2420">
        <v>184.529999</v>
      </c>
      <c r="C2420">
        <f t="shared" si="91"/>
        <v>1.2010546495789053E-2</v>
      </c>
      <c r="D2420">
        <f t="shared" si="90"/>
        <v>0.9236163800907744</v>
      </c>
    </row>
    <row r="2421" spans="1:4" x14ac:dyDescent="0.3">
      <c r="A2421" s="1">
        <v>29468</v>
      </c>
      <c r="B2421">
        <v>185.050003</v>
      </c>
      <c r="C2421">
        <f t="shared" si="91"/>
        <v>2.8179916697447125E-3</v>
      </c>
      <c r="D2421">
        <f t="shared" si="90"/>
        <v>0.18824979401853573</v>
      </c>
    </row>
    <row r="2422" spans="1:4" x14ac:dyDescent="0.3">
      <c r="A2422" s="1">
        <v>29469</v>
      </c>
      <c r="B2422">
        <v>185.61000100000001</v>
      </c>
      <c r="C2422">
        <f t="shared" si="91"/>
        <v>3.0261982757169006E-3</v>
      </c>
      <c r="D2422">
        <f t="shared" si="90"/>
        <v>0.20490546634563134</v>
      </c>
    </row>
    <row r="2423" spans="1:4" x14ac:dyDescent="0.3">
      <c r="A2423" s="1">
        <v>29472</v>
      </c>
      <c r="B2423">
        <v>184.449997</v>
      </c>
      <c r="C2423">
        <f t="shared" si="91"/>
        <v>-6.2496847893450244E-3</v>
      </c>
      <c r="D2423">
        <f t="shared" si="90"/>
        <v>-0.53712703620024782</v>
      </c>
    </row>
    <row r="2424" spans="1:4" x14ac:dyDescent="0.3">
      <c r="A2424" s="1">
        <v>29473</v>
      </c>
      <c r="B2424">
        <v>184.83999600000001</v>
      </c>
      <c r="C2424">
        <f t="shared" si="91"/>
        <v>2.1143887576209465E-3</v>
      </c>
      <c r="D2424">
        <f t="shared" si="90"/>
        <v>0.13196445428109688</v>
      </c>
    </row>
    <row r="2425" spans="1:4" x14ac:dyDescent="0.3">
      <c r="A2425" s="1">
        <v>29474</v>
      </c>
      <c r="B2425">
        <v>186.30999800000001</v>
      </c>
      <c r="C2425">
        <f t="shared" si="91"/>
        <v>7.9528350563261956E-3</v>
      </c>
      <c r="D2425">
        <f t="shared" si="90"/>
        <v>0.59901615034288402</v>
      </c>
    </row>
    <row r="2426" spans="1:4" x14ac:dyDescent="0.3">
      <c r="A2426" s="1">
        <v>29475</v>
      </c>
      <c r="B2426">
        <v>188.16000399999999</v>
      </c>
      <c r="C2426">
        <f t="shared" si="91"/>
        <v>9.9297193916559386E-3</v>
      </c>
      <c r="D2426">
        <f t="shared" si="90"/>
        <v>0.75715876817230399</v>
      </c>
    </row>
    <row r="2427" spans="1:4" x14ac:dyDescent="0.3">
      <c r="A2427" s="1">
        <v>29476</v>
      </c>
      <c r="B2427">
        <v>189.58000200000001</v>
      </c>
      <c r="C2427">
        <f t="shared" si="91"/>
        <v>7.5467579177986256E-3</v>
      </c>
      <c r="D2427">
        <f t="shared" si="90"/>
        <v>0.56653164905984954</v>
      </c>
    </row>
    <row r="2428" spans="1:4" x14ac:dyDescent="0.3">
      <c r="A2428" s="1">
        <v>29479</v>
      </c>
      <c r="B2428">
        <v>189.58999600000001</v>
      </c>
      <c r="C2428">
        <f t="shared" si="91"/>
        <v>5.2716530723562572E-5</v>
      </c>
      <c r="D2428">
        <f t="shared" si="90"/>
        <v>-3.2960846223840913E-2</v>
      </c>
    </row>
    <row r="2429" spans="1:4" x14ac:dyDescent="0.3">
      <c r="A2429" s="1">
        <v>29480</v>
      </c>
      <c r="B2429">
        <v>191.30999800000001</v>
      </c>
      <c r="C2429">
        <f t="shared" si="91"/>
        <v>9.0722191902994388E-3</v>
      </c>
      <c r="D2429">
        <f t="shared" si="90"/>
        <v>0.68856227812568105</v>
      </c>
    </row>
    <row r="2430" spans="1:4" x14ac:dyDescent="0.3">
      <c r="A2430" s="1">
        <v>29481</v>
      </c>
      <c r="B2430">
        <v>193.949997</v>
      </c>
      <c r="C2430">
        <f t="shared" si="91"/>
        <v>1.3799587201919206E-2</v>
      </c>
      <c r="D2430">
        <f t="shared" si="90"/>
        <v>1.0667322800018457</v>
      </c>
    </row>
    <row r="2431" spans="1:4" x14ac:dyDescent="0.3">
      <c r="A2431" s="1">
        <v>29482</v>
      </c>
      <c r="B2431">
        <v>193.61000100000001</v>
      </c>
      <c r="C2431">
        <f t="shared" si="91"/>
        <v>-1.7530085344625455E-3</v>
      </c>
      <c r="D2431">
        <f t="shared" si="90"/>
        <v>-0.17741142625289427</v>
      </c>
    </row>
    <row r="2432" spans="1:4" x14ac:dyDescent="0.3">
      <c r="A2432" s="1">
        <v>29483</v>
      </c>
      <c r="B2432">
        <v>195.33000200000001</v>
      </c>
      <c r="C2432">
        <f t="shared" si="91"/>
        <v>8.8838437638352995E-3</v>
      </c>
      <c r="D2432">
        <f t="shared" si="90"/>
        <v>0.67349301861293198</v>
      </c>
    </row>
    <row r="2433" spans="1:4" x14ac:dyDescent="0.3">
      <c r="A2433" s="1">
        <v>29486</v>
      </c>
      <c r="B2433">
        <v>195.94000199999999</v>
      </c>
      <c r="C2433">
        <f t="shared" si="91"/>
        <v>3.1229201543753896E-3</v>
      </c>
      <c r="D2433">
        <f t="shared" si="90"/>
        <v>0.21264281891556891</v>
      </c>
    </row>
    <row r="2434" spans="1:4" x14ac:dyDescent="0.3">
      <c r="A2434" s="1">
        <v>29487</v>
      </c>
      <c r="B2434">
        <v>195.050003</v>
      </c>
      <c r="C2434">
        <f t="shared" si="91"/>
        <v>-4.542201648032998E-3</v>
      </c>
      <c r="D2434">
        <f t="shared" si="90"/>
        <v>-0.40053540610791616</v>
      </c>
    </row>
    <row r="2435" spans="1:4" x14ac:dyDescent="0.3">
      <c r="A2435" s="1">
        <v>29488</v>
      </c>
      <c r="B2435">
        <v>195.179993</v>
      </c>
      <c r="C2435">
        <f t="shared" si="91"/>
        <v>6.6644449115949142E-4</v>
      </c>
      <c r="D2435">
        <f t="shared" ref="D2435:D2498" si="92">(C2435-avrtn)/sdrtn</f>
        <v>1.6134866946580596E-2</v>
      </c>
    </row>
    <row r="2436" spans="1:4" x14ac:dyDescent="0.3">
      <c r="A2436" s="1">
        <v>29489</v>
      </c>
      <c r="B2436">
        <v>194.050003</v>
      </c>
      <c r="C2436">
        <f t="shared" ref="C2436:C2499" si="93">(B2436-B2435)/B2435</f>
        <v>-5.7894765884123804E-3</v>
      </c>
      <c r="D2436">
        <f t="shared" si="92"/>
        <v>-0.50031227251306598</v>
      </c>
    </row>
    <row r="2437" spans="1:4" x14ac:dyDescent="0.3">
      <c r="A2437" s="1">
        <v>29490</v>
      </c>
      <c r="B2437">
        <v>190.770004</v>
      </c>
      <c r="C2437">
        <f t="shared" si="93"/>
        <v>-1.6902854672978303E-2</v>
      </c>
      <c r="D2437">
        <f t="shared" si="92"/>
        <v>-1.3893368207945969</v>
      </c>
    </row>
    <row r="2438" spans="1:4" x14ac:dyDescent="0.3">
      <c r="A2438" s="1">
        <v>29493</v>
      </c>
      <c r="B2438">
        <v>185.78999300000001</v>
      </c>
      <c r="C2438">
        <f t="shared" si="93"/>
        <v>-2.6104790562356914E-2</v>
      </c>
      <c r="D2438">
        <f t="shared" si="92"/>
        <v>-2.125453853358414</v>
      </c>
    </row>
    <row r="2439" spans="1:4" x14ac:dyDescent="0.3">
      <c r="A2439" s="1">
        <v>29494</v>
      </c>
      <c r="B2439">
        <v>187.759995</v>
      </c>
      <c r="C2439">
        <f t="shared" si="93"/>
        <v>1.0603380559899121E-2</v>
      </c>
      <c r="D2439">
        <f t="shared" si="92"/>
        <v>0.81104889152048265</v>
      </c>
    </row>
    <row r="2440" spans="1:4" x14ac:dyDescent="0.3">
      <c r="A2440" s="1">
        <v>29495</v>
      </c>
      <c r="B2440">
        <v>189.61999499999999</v>
      </c>
      <c r="C2440">
        <f t="shared" si="93"/>
        <v>9.9062635786711928E-3</v>
      </c>
      <c r="D2440">
        <f t="shared" si="92"/>
        <v>0.75528239958440369</v>
      </c>
    </row>
    <row r="2441" spans="1:4" x14ac:dyDescent="0.3">
      <c r="A2441" s="1">
        <v>29496</v>
      </c>
      <c r="B2441">
        <v>190.80999800000001</v>
      </c>
      <c r="C2441">
        <f t="shared" si="93"/>
        <v>6.2757252999612123E-3</v>
      </c>
      <c r="D2441">
        <f t="shared" si="92"/>
        <v>0.46485426615021069</v>
      </c>
    </row>
    <row r="2442" spans="1:4" x14ac:dyDescent="0.3">
      <c r="A2442" s="1">
        <v>29497</v>
      </c>
      <c r="B2442">
        <v>193.429993</v>
      </c>
      <c r="C2442">
        <f t="shared" si="93"/>
        <v>1.373091047356957E-2</v>
      </c>
      <c r="D2442">
        <f t="shared" si="92"/>
        <v>1.0612384241342692</v>
      </c>
    </row>
    <row r="2443" spans="1:4" x14ac:dyDescent="0.3">
      <c r="A2443" s="1">
        <v>29500</v>
      </c>
      <c r="B2443">
        <v>196.009995</v>
      </c>
      <c r="C2443">
        <f t="shared" si="93"/>
        <v>1.3338169329303587E-2</v>
      </c>
      <c r="D2443">
        <f t="shared" si="92"/>
        <v>1.0298207475542256</v>
      </c>
    </row>
    <row r="2444" spans="1:4" x14ac:dyDescent="0.3">
      <c r="A2444" s="1">
        <v>29501</v>
      </c>
      <c r="B2444">
        <v>196.16999799999999</v>
      </c>
      <c r="C2444">
        <f t="shared" si="93"/>
        <v>8.1630020958874583E-4</v>
      </c>
      <c r="D2444">
        <f t="shared" si="92"/>
        <v>2.8122708210524767E-2</v>
      </c>
    </row>
    <row r="2445" spans="1:4" x14ac:dyDescent="0.3">
      <c r="A2445" s="1">
        <v>29502</v>
      </c>
      <c r="B2445">
        <v>197.179993</v>
      </c>
      <c r="C2445">
        <f t="shared" si="93"/>
        <v>5.1485701702459292E-3</v>
      </c>
      <c r="D2445">
        <f t="shared" si="92"/>
        <v>0.37468649066257598</v>
      </c>
    </row>
    <row r="2446" spans="1:4" x14ac:dyDescent="0.3">
      <c r="A2446" s="1">
        <v>29503</v>
      </c>
      <c r="B2446">
        <v>197.529999</v>
      </c>
      <c r="C2446">
        <f t="shared" si="93"/>
        <v>1.7750583853606669E-3</v>
      </c>
      <c r="D2446">
        <f t="shared" si="92"/>
        <v>0.10481941983510269</v>
      </c>
    </row>
    <row r="2447" spans="1:4" x14ac:dyDescent="0.3">
      <c r="A2447" s="1">
        <v>29504</v>
      </c>
      <c r="B2447">
        <v>197.78999300000001</v>
      </c>
      <c r="C2447">
        <f t="shared" si="93"/>
        <v>1.3162253901495035E-3</v>
      </c>
      <c r="D2447">
        <f t="shared" si="92"/>
        <v>6.81146669507596E-2</v>
      </c>
    </row>
    <row r="2448" spans="1:4" x14ac:dyDescent="0.3">
      <c r="A2448" s="1">
        <v>29507</v>
      </c>
      <c r="B2448">
        <v>198.86999499999999</v>
      </c>
      <c r="C2448">
        <f t="shared" si="93"/>
        <v>5.4603470257465403E-3</v>
      </c>
      <c r="D2448">
        <f t="shared" si="92"/>
        <v>0.39962735706853458</v>
      </c>
    </row>
    <row r="2449" spans="1:4" x14ac:dyDescent="0.3">
      <c r="A2449" s="1">
        <v>29508</v>
      </c>
      <c r="B2449">
        <v>199.020004</v>
      </c>
      <c r="C2449">
        <f t="shared" si="93"/>
        <v>7.543068525747758E-4</v>
      </c>
      <c r="D2449">
        <f t="shared" si="92"/>
        <v>2.3163494567614403E-2</v>
      </c>
    </row>
    <row r="2450" spans="1:4" x14ac:dyDescent="0.3">
      <c r="A2450" s="1">
        <v>29509</v>
      </c>
      <c r="B2450">
        <v>199.429993</v>
      </c>
      <c r="C2450">
        <f t="shared" si="93"/>
        <v>2.0600391506373195E-3</v>
      </c>
      <c r="D2450">
        <f t="shared" si="92"/>
        <v>0.12761670920932602</v>
      </c>
    </row>
    <row r="2451" spans="1:4" x14ac:dyDescent="0.3">
      <c r="A2451" s="1">
        <v>29510</v>
      </c>
      <c r="B2451">
        <v>197.949997</v>
      </c>
      <c r="C2451">
        <f t="shared" si="93"/>
        <v>-7.4211304816121614E-3</v>
      </c>
      <c r="D2451">
        <f t="shared" si="92"/>
        <v>-0.63083787456814922</v>
      </c>
    </row>
    <row r="2452" spans="1:4" x14ac:dyDescent="0.3">
      <c r="A2452" s="1">
        <v>29511</v>
      </c>
      <c r="B2452">
        <v>197.240005</v>
      </c>
      <c r="C2452">
        <f t="shared" si="93"/>
        <v>-3.5867239745398924E-3</v>
      </c>
      <c r="D2452">
        <f t="shared" si="92"/>
        <v>-0.32410112117613749</v>
      </c>
    </row>
    <row r="2453" spans="1:4" x14ac:dyDescent="0.3">
      <c r="A2453" s="1">
        <v>29514</v>
      </c>
      <c r="B2453">
        <v>197.14999399999999</v>
      </c>
      <c r="C2453">
        <f t="shared" si="93"/>
        <v>-4.5635265523342517E-4</v>
      </c>
      <c r="D2453">
        <f t="shared" si="92"/>
        <v>-7.3684287795399275E-2</v>
      </c>
    </row>
    <row r="2454" spans="1:4" x14ac:dyDescent="0.3">
      <c r="A2454" s="1">
        <v>29515</v>
      </c>
      <c r="B2454">
        <v>196.46000699999999</v>
      </c>
      <c r="C2454">
        <f t="shared" si="93"/>
        <v>-3.4998073598724133E-3</v>
      </c>
      <c r="D2454">
        <f t="shared" si="92"/>
        <v>-0.31714814940599417</v>
      </c>
    </row>
    <row r="2455" spans="1:4" x14ac:dyDescent="0.3">
      <c r="A2455" s="1">
        <v>29516</v>
      </c>
      <c r="B2455">
        <v>197.89999399999999</v>
      </c>
      <c r="C2455">
        <f t="shared" si="93"/>
        <v>7.3296699007040257E-3</v>
      </c>
      <c r="D2455">
        <f t="shared" si="92"/>
        <v>0.54916550036354173</v>
      </c>
    </row>
    <row r="2456" spans="1:4" x14ac:dyDescent="0.3">
      <c r="A2456" s="1">
        <v>29517</v>
      </c>
      <c r="B2456">
        <v>195.80999800000001</v>
      </c>
      <c r="C2456">
        <f t="shared" si="93"/>
        <v>-1.0560869446009105E-2</v>
      </c>
      <c r="D2456">
        <f t="shared" si="92"/>
        <v>-0.88200408103613881</v>
      </c>
    </row>
    <row r="2457" spans="1:4" x14ac:dyDescent="0.3">
      <c r="A2457" s="1">
        <v>29518</v>
      </c>
      <c r="B2457">
        <v>196.16999799999999</v>
      </c>
      <c r="C2457">
        <f t="shared" si="93"/>
        <v>1.8385169484552326E-3</v>
      </c>
      <c r="D2457">
        <f t="shared" si="92"/>
        <v>0.10989584393949731</v>
      </c>
    </row>
    <row r="2458" spans="1:4" x14ac:dyDescent="0.3">
      <c r="A2458" s="1">
        <v>29521</v>
      </c>
      <c r="B2458">
        <v>194.35000600000001</v>
      </c>
      <c r="C2458">
        <f t="shared" si="93"/>
        <v>-9.2776266429894401E-3</v>
      </c>
      <c r="D2458">
        <f t="shared" si="92"/>
        <v>-0.7793499335205013</v>
      </c>
    </row>
    <row r="2459" spans="1:4" x14ac:dyDescent="0.3">
      <c r="A2459" s="1">
        <v>29522</v>
      </c>
      <c r="B2459">
        <v>193.759995</v>
      </c>
      <c r="C2459">
        <f t="shared" si="93"/>
        <v>-3.0358167315930212E-3</v>
      </c>
      <c r="D2459">
        <f t="shared" si="92"/>
        <v>-0.28003080708450673</v>
      </c>
    </row>
    <row r="2460" spans="1:4" x14ac:dyDescent="0.3">
      <c r="A2460" s="1">
        <v>29523</v>
      </c>
      <c r="B2460">
        <v>194.490005</v>
      </c>
      <c r="C2460">
        <f t="shared" si="93"/>
        <v>3.767599188883097E-3</v>
      </c>
      <c r="D2460">
        <f t="shared" si="92"/>
        <v>0.26421449074015563</v>
      </c>
    </row>
    <row r="2461" spans="1:4" x14ac:dyDescent="0.3">
      <c r="A2461" s="1">
        <v>29524</v>
      </c>
      <c r="B2461">
        <v>192.509995</v>
      </c>
      <c r="C2461">
        <f t="shared" si="93"/>
        <v>-1.0180523158503662E-2</v>
      </c>
      <c r="D2461">
        <f t="shared" si="92"/>
        <v>-0.85157794202898274</v>
      </c>
    </row>
    <row r="2462" spans="1:4" x14ac:dyDescent="0.3">
      <c r="A2462" s="1">
        <v>29525</v>
      </c>
      <c r="B2462">
        <v>192.779999</v>
      </c>
      <c r="C2462">
        <f t="shared" si="93"/>
        <v>1.4025453587487762E-3</v>
      </c>
      <c r="D2462">
        <f t="shared" si="92"/>
        <v>7.5019909488869621E-2</v>
      </c>
    </row>
    <row r="2463" spans="1:4" x14ac:dyDescent="0.3">
      <c r="A2463" s="1">
        <v>29528</v>
      </c>
      <c r="B2463">
        <v>193.14999399999999</v>
      </c>
      <c r="C2463">
        <f t="shared" si="93"/>
        <v>1.9192603066669211E-3</v>
      </c>
      <c r="D2463">
        <f t="shared" si="92"/>
        <v>0.11635498057775953</v>
      </c>
    </row>
    <row r="2464" spans="1:4" x14ac:dyDescent="0.3">
      <c r="A2464" s="1">
        <v>29530</v>
      </c>
      <c r="B2464">
        <v>196.029999</v>
      </c>
      <c r="C2464">
        <f t="shared" si="93"/>
        <v>1.4910717522466045E-2</v>
      </c>
      <c r="D2464">
        <f t="shared" si="92"/>
        <v>1.1556181366504139</v>
      </c>
    </row>
    <row r="2465" spans="1:4" x14ac:dyDescent="0.3">
      <c r="A2465" s="1">
        <v>29531</v>
      </c>
      <c r="B2465">
        <v>193.96000699999999</v>
      </c>
      <c r="C2465">
        <f t="shared" si="93"/>
        <v>-1.0559567467018216E-2</v>
      </c>
      <c r="D2465">
        <f t="shared" si="92"/>
        <v>-0.88189992807063733</v>
      </c>
    </row>
    <row r="2466" spans="1:4" x14ac:dyDescent="0.3">
      <c r="A2466" s="1">
        <v>29532</v>
      </c>
      <c r="B2466">
        <v>193.509995</v>
      </c>
      <c r="C2466">
        <f t="shared" si="93"/>
        <v>-2.3201277776814413E-3</v>
      </c>
      <c r="D2466">
        <f t="shared" si="92"/>
        <v>-0.22277863370214354</v>
      </c>
    </row>
    <row r="2467" spans="1:4" x14ac:dyDescent="0.3">
      <c r="A2467" s="1">
        <v>29535</v>
      </c>
      <c r="B2467">
        <v>193.10000600000001</v>
      </c>
      <c r="C2467">
        <f t="shared" si="93"/>
        <v>-2.1186967629242921E-3</v>
      </c>
      <c r="D2467">
        <f t="shared" si="92"/>
        <v>-0.20666498081085349</v>
      </c>
    </row>
    <row r="2468" spans="1:4" x14ac:dyDescent="0.3">
      <c r="A2468" s="1">
        <v>29536</v>
      </c>
      <c r="B2468">
        <v>195.020004</v>
      </c>
      <c r="C2468">
        <f t="shared" si="93"/>
        <v>9.9430240307708355E-3</v>
      </c>
      <c r="D2468">
        <f t="shared" si="92"/>
        <v>0.75822308459249277</v>
      </c>
    </row>
    <row r="2469" spans="1:4" x14ac:dyDescent="0.3">
      <c r="A2469" s="1">
        <v>29537</v>
      </c>
      <c r="B2469">
        <v>197.779999</v>
      </c>
      <c r="C2469">
        <f t="shared" si="93"/>
        <v>1.4152368697520915E-2</v>
      </c>
      <c r="D2469">
        <f t="shared" si="92"/>
        <v>1.0949533490038046</v>
      </c>
    </row>
    <row r="2470" spans="1:4" x14ac:dyDescent="0.3">
      <c r="A2470" s="1">
        <v>29538</v>
      </c>
      <c r="B2470">
        <v>200.25</v>
      </c>
      <c r="C2470">
        <f t="shared" si="93"/>
        <v>1.2488628842595941E-2</v>
      </c>
      <c r="D2470">
        <f t="shared" si="92"/>
        <v>0.96186100194896873</v>
      </c>
    </row>
    <row r="2471" spans="1:4" x14ac:dyDescent="0.3">
      <c r="A2471" s="1">
        <v>29539</v>
      </c>
      <c r="B2471">
        <v>201.759995</v>
      </c>
      <c r="C2471">
        <f t="shared" si="93"/>
        <v>7.5405493133583199E-3</v>
      </c>
      <c r="D2471">
        <f t="shared" si="92"/>
        <v>0.56603498623455906</v>
      </c>
    </row>
    <row r="2472" spans="1:4" x14ac:dyDescent="0.3">
      <c r="A2472" s="1">
        <v>29542</v>
      </c>
      <c r="B2472">
        <v>201.58999600000001</v>
      </c>
      <c r="C2472">
        <f t="shared" si="93"/>
        <v>-8.4258031429862998E-4</v>
      </c>
      <c r="D2472">
        <f t="shared" si="92"/>
        <v>-0.10458091234299186</v>
      </c>
    </row>
    <row r="2473" spans="1:4" x14ac:dyDescent="0.3">
      <c r="A2473" s="1">
        <v>29543</v>
      </c>
      <c r="B2473">
        <v>203.759995</v>
      </c>
      <c r="C2473">
        <f t="shared" si="93"/>
        <v>1.0764418091461194E-2</v>
      </c>
      <c r="D2473">
        <f t="shared" si="92"/>
        <v>0.82393123185516204</v>
      </c>
    </row>
    <row r="2474" spans="1:4" x14ac:dyDescent="0.3">
      <c r="A2474" s="1">
        <v>29544</v>
      </c>
      <c r="B2474">
        <v>205.020004</v>
      </c>
      <c r="C2474">
        <f t="shared" si="93"/>
        <v>6.1837899043921578E-3</v>
      </c>
      <c r="D2474">
        <f t="shared" si="92"/>
        <v>0.45749981254529176</v>
      </c>
    </row>
    <row r="2475" spans="1:4" x14ac:dyDescent="0.3">
      <c r="A2475" s="1">
        <v>29545</v>
      </c>
      <c r="B2475">
        <v>206.5</v>
      </c>
      <c r="C2475">
        <f t="shared" si="93"/>
        <v>7.2187882700460778E-3</v>
      </c>
      <c r="D2475">
        <f t="shared" si="92"/>
        <v>0.54029542585889556</v>
      </c>
    </row>
    <row r="2476" spans="1:4" x14ac:dyDescent="0.3">
      <c r="A2476" s="1">
        <v>29546</v>
      </c>
      <c r="B2476">
        <v>206.070007</v>
      </c>
      <c r="C2476">
        <f t="shared" si="93"/>
        <v>-2.0822905569007075E-3</v>
      </c>
      <c r="D2476">
        <f t="shared" si="92"/>
        <v>-0.20375263403218041</v>
      </c>
    </row>
    <row r="2477" spans="1:4" x14ac:dyDescent="0.3">
      <c r="A2477" s="1">
        <v>29549</v>
      </c>
      <c r="B2477">
        <v>204.220001</v>
      </c>
      <c r="C2477">
        <f t="shared" si="93"/>
        <v>-8.9775607179942863E-3</v>
      </c>
      <c r="D2477">
        <f t="shared" si="92"/>
        <v>-0.75534589339934533</v>
      </c>
    </row>
    <row r="2478" spans="1:4" x14ac:dyDescent="0.3">
      <c r="A2478" s="1">
        <v>29550</v>
      </c>
      <c r="B2478">
        <v>205.41000399999999</v>
      </c>
      <c r="C2478">
        <f t="shared" si="93"/>
        <v>5.8270639221081489E-3</v>
      </c>
      <c r="D2478">
        <f t="shared" si="92"/>
        <v>0.42896320082857509</v>
      </c>
    </row>
    <row r="2479" spans="1:4" x14ac:dyDescent="0.3">
      <c r="A2479" s="1">
        <v>29551</v>
      </c>
      <c r="B2479">
        <v>207.05999800000001</v>
      </c>
      <c r="C2479">
        <f t="shared" si="93"/>
        <v>8.0326856913941775E-3</v>
      </c>
      <c r="D2479">
        <f t="shared" si="92"/>
        <v>0.60540387280054919</v>
      </c>
    </row>
    <row r="2480" spans="1:4" x14ac:dyDescent="0.3">
      <c r="A2480" s="1">
        <v>29553</v>
      </c>
      <c r="B2480">
        <v>208.14999399999999</v>
      </c>
      <c r="C2480">
        <f t="shared" si="93"/>
        <v>5.2641553681459273E-3</v>
      </c>
      <c r="D2480">
        <f t="shared" si="92"/>
        <v>0.38393283120540206</v>
      </c>
    </row>
    <row r="2481" spans="1:4" x14ac:dyDescent="0.3">
      <c r="A2481" s="1">
        <v>29556</v>
      </c>
      <c r="B2481">
        <v>204.91000399999999</v>
      </c>
      <c r="C2481">
        <f t="shared" si="93"/>
        <v>-1.5565650220484782E-2</v>
      </c>
      <c r="D2481">
        <f t="shared" si="92"/>
        <v>-1.2823659632126791</v>
      </c>
    </row>
    <row r="2482" spans="1:4" x14ac:dyDescent="0.3">
      <c r="A2482" s="1">
        <v>29557</v>
      </c>
      <c r="B2482">
        <v>203.71000699999999</v>
      </c>
      <c r="C2482">
        <f t="shared" si="93"/>
        <v>-5.8562148093071935E-3</v>
      </c>
      <c r="D2482">
        <f t="shared" si="92"/>
        <v>-0.50565105575544689</v>
      </c>
    </row>
    <row r="2483" spans="1:4" x14ac:dyDescent="0.3">
      <c r="A2483" s="1">
        <v>29558</v>
      </c>
      <c r="B2483">
        <v>204.89999399999999</v>
      </c>
      <c r="C2483">
        <f t="shared" si="93"/>
        <v>5.8415736051690486E-3</v>
      </c>
      <c r="D2483">
        <f t="shared" si="92"/>
        <v>0.43012391580927378</v>
      </c>
    </row>
    <row r="2484" spans="1:4" x14ac:dyDescent="0.3">
      <c r="A2484" s="1">
        <v>29559</v>
      </c>
      <c r="B2484">
        <v>206.19000199999999</v>
      </c>
      <c r="C2484">
        <f t="shared" si="93"/>
        <v>6.2957932541471929E-3</v>
      </c>
      <c r="D2484">
        <f t="shared" si="92"/>
        <v>0.46645961996516844</v>
      </c>
    </row>
    <row r="2485" spans="1:4" x14ac:dyDescent="0.3">
      <c r="A2485" s="1">
        <v>29560</v>
      </c>
      <c r="B2485">
        <v>203.020004</v>
      </c>
      <c r="C2485">
        <f t="shared" si="93"/>
        <v>-1.5374159606439078E-2</v>
      </c>
      <c r="D2485">
        <f t="shared" si="92"/>
        <v>-1.2670475015031331</v>
      </c>
    </row>
    <row r="2486" spans="1:4" x14ac:dyDescent="0.3">
      <c r="A2486" s="1">
        <v>29563</v>
      </c>
      <c r="B2486">
        <v>195.86999499999999</v>
      </c>
      <c r="C2486">
        <f t="shared" si="93"/>
        <v>-3.5218248739666121E-2</v>
      </c>
      <c r="D2486">
        <f t="shared" si="92"/>
        <v>-2.8544930327792049</v>
      </c>
    </row>
    <row r="2487" spans="1:4" x14ac:dyDescent="0.3">
      <c r="A2487" s="1">
        <v>29564</v>
      </c>
      <c r="B2487">
        <v>195.070007</v>
      </c>
      <c r="C2487">
        <f t="shared" si="93"/>
        <v>-4.084280494314532E-3</v>
      </c>
      <c r="D2487">
        <f t="shared" si="92"/>
        <v>-0.36390359679347423</v>
      </c>
    </row>
    <row r="2488" spans="1:4" x14ac:dyDescent="0.3">
      <c r="A2488" s="1">
        <v>29565</v>
      </c>
      <c r="B2488">
        <v>193.58000200000001</v>
      </c>
      <c r="C2488">
        <f t="shared" si="93"/>
        <v>-7.6383090507604091E-3</v>
      </c>
      <c r="D2488">
        <f t="shared" si="92"/>
        <v>-0.64821126705639665</v>
      </c>
    </row>
    <row r="2489" spans="1:4" x14ac:dyDescent="0.3">
      <c r="A2489" s="1">
        <v>29566</v>
      </c>
      <c r="B2489">
        <v>188.75</v>
      </c>
      <c r="C2489">
        <f t="shared" si="93"/>
        <v>-2.4950934756163539E-2</v>
      </c>
      <c r="D2489">
        <f t="shared" si="92"/>
        <v>-2.03315013354637</v>
      </c>
    </row>
    <row r="2490" spans="1:4" x14ac:dyDescent="0.3">
      <c r="A2490" s="1">
        <v>29567</v>
      </c>
      <c r="B2490">
        <v>191.220001</v>
      </c>
      <c r="C2490">
        <f t="shared" si="93"/>
        <v>1.3086098013245014E-2</v>
      </c>
      <c r="D2490">
        <f t="shared" si="92"/>
        <v>1.0096560787929849</v>
      </c>
    </row>
    <row r="2491" spans="1:4" x14ac:dyDescent="0.3">
      <c r="A2491" s="1">
        <v>29570</v>
      </c>
      <c r="B2491">
        <v>194.020004</v>
      </c>
      <c r="C2491">
        <f t="shared" si="93"/>
        <v>1.4642835400884679E-2</v>
      </c>
      <c r="D2491">
        <f t="shared" si="92"/>
        <v>1.1341886684617706</v>
      </c>
    </row>
    <row r="2492" spans="1:4" x14ac:dyDescent="0.3">
      <c r="A2492" s="1">
        <v>29571</v>
      </c>
      <c r="B2492">
        <v>191.88000500000001</v>
      </c>
      <c r="C2492">
        <f t="shared" si="93"/>
        <v>-1.1029785361719655E-2</v>
      </c>
      <c r="D2492">
        <f t="shared" si="92"/>
        <v>-0.91951542609921588</v>
      </c>
    </row>
    <row r="2493" spans="1:4" x14ac:dyDescent="0.3">
      <c r="A2493" s="1">
        <v>29572</v>
      </c>
      <c r="B2493">
        <v>194.020004</v>
      </c>
      <c r="C2493">
        <f t="shared" si="93"/>
        <v>1.1152798333520935E-2</v>
      </c>
      <c r="D2493">
        <f t="shared" si="92"/>
        <v>0.85500005419084335</v>
      </c>
    </row>
    <row r="2494" spans="1:4" x14ac:dyDescent="0.3">
      <c r="A2494" s="1">
        <v>29573</v>
      </c>
      <c r="B2494">
        <v>196.009995</v>
      </c>
      <c r="C2494">
        <f t="shared" si="93"/>
        <v>1.0256627971206533E-2</v>
      </c>
      <c r="D2494">
        <f t="shared" si="92"/>
        <v>0.78331011028024022</v>
      </c>
    </row>
    <row r="2495" spans="1:4" x14ac:dyDescent="0.3">
      <c r="A2495" s="1">
        <v>29574</v>
      </c>
      <c r="B2495">
        <v>197.91000399999999</v>
      </c>
      <c r="C2495">
        <f t="shared" si="93"/>
        <v>9.6934291539570866E-3</v>
      </c>
      <c r="D2495">
        <f t="shared" si="92"/>
        <v>0.73825652078765902</v>
      </c>
    </row>
    <row r="2496" spans="1:4" x14ac:dyDescent="0.3">
      <c r="A2496" s="1">
        <v>29577</v>
      </c>
      <c r="B2496">
        <v>199.78999300000001</v>
      </c>
      <c r="C2496">
        <f t="shared" si="93"/>
        <v>9.4992115709321267E-3</v>
      </c>
      <c r="D2496">
        <f t="shared" si="92"/>
        <v>0.72271991277313563</v>
      </c>
    </row>
    <row r="2497" spans="1:4" x14ac:dyDescent="0.3">
      <c r="A2497" s="1">
        <v>29578</v>
      </c>
      <c r="B2497">
        <v>199.86000100000001</v>
      </c>
      <c r="C2497">
        <f t="shared" si="93"/>
        <v>3.5040794060191695E-4</v>
      </c>
      <c r="D2497">
        <f t="shared" si="92"/>
        <v>-9.1467575479643511E-3</v>
      </c>
    </row>
    <row r="2498" spans="1:4" x14ac:dyDescent="0.3">
      <c r="A2498" s="1">
        <v>29579</v>
      </c>
      <c r="B2498">
        <v>200.13999899999999</v>
      </c>
      <c r="C2498">
        <f t="shared" si="93"/>
        <v>1.4009706724657613E-3</v>
      </c>
      <c r="D2498">
        <f t="shared" si="92"/>
        <v>7.4893941061377117E-2</v>
      </c>
    </row>
    <row r="2499" spans="1:4" x14ac:dyDescent="0.3">
      <c r="A2499" s="1">
        <v>29581</v>
      </c>
      <c r="B2499">
        <v>201.279999</v>
      </c>
      <c r="C2499">
        <f t="shared" si="93"/>
        <v>5.6960128195064838E-3</v>
      </c>
      <c r="D2499">
        <f t="shared" ref="D2499:D2562" si="94">(C2499-avrtn)/sdrtn</f>
        <v>0.41847965150579575</v>
      </c>
    </row>
    <row r="2500" spans="1:4" x14ac:dyDescent="0.3">
      <c r="A2500" s="1">
        <v>29584</v>
      </c>
      <c r="B2500">
        <v>199.83999600000001</v>
      </c>
      <c r="C2500">
        <f t="shared" ref="C2500:C2563" si="95">(B2500-B2499)/B2499</f>
        <v>-7.1542279767200824E-3</v>
      </c>
      <c r="D2500">
        <f t="shared" si="94"/>
        <v>-0.60948677168644105</v>
      </c>
    </row>
    <row r="2501" spans="1:4" x14ac:dyDescent="0.3">
      <c r="A2501" s="1">
        <v>29585</v>
      </c>
      <c r="B2501">
        <v>200.46000699999999</v>
      </c>
      <c r="C2501">
        <f t="shared" si="95"/>
        <v>3.1025370917240045E-3</v>
      </c>
      <c r="D2501">
        <f t="shared" si="94"/>
        <v>0.21101225771911256</v>
      </c>
    </row>
    <row r="2502" spans="1:4" x14ac:dyDescent="0.3">
      <c r="A2502" s="1">
        <v>29586</v>
      </c>
      <c r="B2502">
        <v>202.33999600000001</v>
      </c>
      <c r="C2502">
        <f t="shared" si="95"/>
        <v>9.378374410612603E-3</v>
      </c>
      <c r="D2502">
        <f t="shared" si="94"/>
        <v>0.71305343683294597</v>
      </c>
    </row>
    <row r="2503" spans="1:4" x14ac:dyDescent="0.3">
      <c r="A2503" s="1">
        <v>29588</v>
      </c>
      <c r="B2503">
        <v>203.550003</v>
      </c>
      <c r="C2503">
        <f t="shared" si="95"/>
        <v>5.980068320254342E-3</v>
      </c>
      <c r="D2503">
        <f t="shared" si="94"/>
        <v>0.44120292352242596</v>
      </c>
    </row>
    <row r="2504" spans="1:4" x14ac:dyDescent="0.3">
      <c r="A2504" s="1">
        <v>29591</v>
      </c>
      <c r="B2504">
        <v>204.16999799999999</v>
      </c>
      <c r="C2504">
        <f t="shared" si="95"/>
        <v>3.0459100509076815E-3</v>
      </c>
      <c r="D2504">
        <f t="shared" si="94"/>
        <v>0.20648232730558988</v>
      </c>
    </row>
    <row r="2505" spans="1:4" x14ac:dyDescent="0.3">
      <c r="A2505" s="1">
        <v>29592</v>
      </c>
      <c r="B2505">
        <v>204.070007</v>
      </c>
      <c r="C2505">
        <f t="shared" si="95"/>
        <v>-4.8974384571423969E-4</v>
      </c>
      <c r="D2505">
        <f t="shared" si="94"/>
        <v>-7.6355445728468752E-2</v>
      </c>
    </row>
    <row r="2506" spans="1:4" x14ac:dyDescent="0.3">
      <c r="A2506" s="1">
        <v>29593</v>
      </c>
      <c r="B2506">
        <v>197.35000600000001</v>
      </c>
      <c r="C2506">
        <f t="shared" si="95"/>
        <v>-3.2929880773709175E-2</v>
      </c>
      <c r="D2506">
        <f t="shared" si="94"/>
        <v>-2.6714330053279509</v>
      </c>
    </row>
    <row r="2507" spans="1:4" x14ac:dyDescent="0.3">
      <c r="A2507" s="1">
        <v>29594</v>
      </c>
      <c r="B2507">
        <v>195.88999899999999</v>
      </c>
      <c r="C2507">
        <f t="shared" si="95"/>
        <v>-7.3980590606114224E-3</v>
      </c>
      <c r="D2507">
        <f t="shared" si="94"/>
        <v>-0.62899225575834017</v>
      </c>
    </row>
    <row r="2508" spans="1:4" x14ac:dyDescent="0.3">
      <c r="A2508" s="1">
        <v>29595</v>
      </c>
      <c r="B2508">
        <v>197.66000399999999</v>
      </c>
      <c r="C2508">
        <f t="shared" si="95"/>
        <v>9.0357088622987723E-3</v>
      </c>
      <c r="D2508">
        <f t="shared" si="94"/>
        <v>0.68564160201699353</v>
      </c>
    </row>
    <row r="2509" spans="1:4" x14ac:dyDescent="0.3">
      <c r="A2509" s="1">
        <v>29598</v>
      </c>
      <c r="B2509">
        <v>198.44000199999999</v>
      </c>
      <c r="C2509">
        <f t="shared" si="95"/>
        <v>3.9461599929948715E-3</v>
      </c>
      <c r="D2509">
        <f t="shared" si="94"/>
        <v>0.27849862082268378</v>
      </c>
    </row>
    <row r="2510" spans="1:4" x14ac:dyDescent="0.3">
      <c r="A2510" s="1">
        <v>29599</v>
      </c>
      <c r="B2510">
        <v>198.050003</v>
      </c>
      <c r="C2510">
        <f t="shared" si="95"/>
        <v>-1.9653245115366855E-3</v>
      </c>
      <c r="D2510">
        <f t="shared" si="94"/>
        <v>-0.19439583137031108</v>
      </c>
    </row>
    <row r="2511" spans="1:4" x14ac:dyDescent="0.3">
      <c r="A2511" s="1">
        <v>29600</v>
      </c>
      <c r="B2511">
        <v>199.08000200000001</v>
      </c>
      <c r="C2511">
        <f t="shared" si="95"/>
        <v>5.2007017641903476E-3</v>
      </c>
      <c r="D2511">
        <f t="shared" si="94"/>
        <v>0.37885680381173426</v>
      </c>
    </row>
    <row r="2512" spans="1:4" x14ac:dyDescent="0.3">
      <c r="A2512" s="1">
        <v>29601</v>
      </c>
      <c r="B2512">
        <v>199.85000600000001</v>
      </c>
      <c r="C2512">
        <f t="shared" si="95"/>
        <v>3.8678118960436825E-3</v>
      </c>
      <c r="D2512">
        <f t="shared" si="94"/>
        <v>0.2722310952358884</v>
      </c>
    </row>
    <row r="2513" spans="1:4" x14ac:dyDescent="0.3">
      <c r="A2513" s="1">
        <v>29602</v>
      </c>
      <c r="B2513">
        <v>201.13000500000001</v>
      </c>
      <c r="C2513">
        <f t="shared" si="95"/>
        <v>6.4047984066610613E-3</v>
      </c>
      <c r="D2513">
        <f t="shared" si="94"/>
        <v>0.47517958393441245</v>
      </c>
    </row>
    <row r="2514" spans="1:4" x14ac:dyDescent="0.3">
      <c r="A2514" s="1">
        <v>29605</v>
      </c>
      <c r="B2514">
        <v>201.58000200000001</v>
      </c>
      <c r="C2514">
        <f t="shared" si="95"/>
        <v>2.2373439507446745E-3</v>
      </c>
      <c r="D2514">
        <f t="shared" si="94"/>
        <v>0.14180036413621994</v>
      </c>
    </row>
    <row r="2515" spans="1:4" x14ac:dyDescent="0.3">
      <c r="A2515" s="1">
        <v>29606</v>
      </c>
      <c r="B2515">
        <v>198.720001</v>
      </c>
      <c r="C2515">
        <f t="shared" si="95"/>
        <v>-1.4187920287846862E-2</v>
      </c>
      <c r="D2515">
        <f t="shared" si="94"/>
        <v>-1.1721532338609799</v>
      </c>
    </row>
    <row r="2516" spans="1:4" x14ac:dyDescent="0.3">
      <c r="A2516" s="1">
        <v>29607</v>
      </c>
      <c r="B2516">
        <v>198.08999600000001</v>
      </c>
      <c r="C2516">
        <f t="shared" si="95"/>
        <v>-3.1703150001492946E-3</v>
      </c>
      <c r="D2516">
        <f t="shared" si="94"/>
        <v>-0.29079011550882367</v>
      </c>
    </row>
    <row r="2517" spans="1:4" x14ac:dyDescent="0.3">
      <c r="A2517" s="1">
        <v>29608</v>
      </c>
      <c r="B2517">
        <v>197.11999499999999</v>
      </c>
      <c r="C2517">
        <f t="shared" si="95"/>
        <v>-4.896769244217788E-3</v>
      </c>
      <c r="D2517">
        <f t="shared" si="94"/>
        <v>-0.42889935581203198</v>
      </c>
    </row>
    <row r="2518" spans="1:4" x14ac:dyDescent="0.3">
      <c r="A2518" s="1">
        <v>29609</v>
      </c>
      <c r="B2518">
        <v>197.520004</v>
      </c>
      <c r="C2518">
        <f t="shared" si="95"/>
        <v>2.0292664881612411E-3</v>
      </c>
      <c r="D2518">
        <f t="shared" si="94"/>
        <v>0.12515502274918394</v>
      </c>
    </row>
    <row r="2519" spans="1:4" x14ac:dyDescent="0.3">
      <c r="A2519" s="1">
        <v>29612</v>
      </c>
      <c r="B2519">
        <v>196.13000500000001</v>
      </c>
      <c r="C2519">
        <f t="shared" si="95"/>
        <v>-7.0372568441219195E-3</v>
      </c>
      <c r="D2519">
        <f t="shared" si="94"/>
        <v>-0.60012956206675927</v>
      </c>
    </row>
    <row r="2520" spans="1:4" x14ac:dyDescent="0.3">
      <c r="A2520" s="1">
        <v>29613</v>
      </c>
      <c r="B2520">
        <v>197.179993</v>
      </c>
      <c r="C2520">
        <f t="shared" si="95"/>
        <v>5.3535306849147573E-3</v>
      </c>
      <c r="D2520">
        <f t="shared" si="94"/>
        <v>0.39108248903340997</v>
      </c>
    </row>
    <row r="2521" spans="1:4" x14ac:dyDescent="0.3">
      <c r="A2521" s="1">
        <v>29614</v>
      </c>
      <c r="B2521">
        <v>197.36999499999999</v>
      </c>
      <c r="C2521">
        <f t="shared" si="95"/>
        <v>9.6359674787082825E-4</v>
      </c>
      <c r="D2521">
        <f t="shared" si="94"/>
        <v>3.9905825586106815E-2</v>
      </c>
    </row>
    <row r="2522" spans="1:4" x14ac:dyDescent="0.3">
      <c r="A2522" s="1">
        <v>29615</v>
      </c>
      <c r="B2522">
        <v>197.88000500000001</v>
      </c>
      <c r="C2522">
        <f t="shared" si="95"/>
        <v>2.5840300598883965E-3</v>
      </c>
      <c r="D2522">
        <f t="shared" si="94"/>
        <v>0.1695338272859187</v>
      </c>
    </row>
    <row r="2523" spans="1:4" x14ac:dyDescent="0.3">
      <c r="A2523" s="1">
        <v>29616</v>
      </c>
      <c r="B2523">
        <v>197.80999800000001</v>
      </c>
      <c r="C2523">
        <f t="shared" si="95"/>
        <v>-3.5378511335697573E-4</v>
      </c>
      <c r="D2523">
        <f t="shared" si="94"/>
        <v>-6.5479306205535645E-2</v>
      </c>
    </row>
    <row r="2524" spans="1:4" x14ac:dyDescent="0.3">
      <c r="A2524" s="1">
        <v>29619</v>
      </c>
      <c r="B2524">
        <v>193.08999600000001</v>
      </c>
      <c r="C2524">
        <f t="shared" si="95"/>
        <v>-2.3861291379215291E-2</v>
      </c>
      <c r="D2524">
        <f t="shared" si="94"/>
        <v>-1.9459831440308488</v>
      </c>
    </row>
    <row r="2525" spans="1:4" x14ac:dyDescent="0.3">
      <c r="A2525" s="1">
        <v>29620</v>
      </c>
      <c r="B2525">
        <v>193.55999800000001</v>
      </c>
      <c r="C2525">
        <f t="shared" si="95"/>
        <v>2.4341084972625605E-3</v>
      </c>
      <c r="D2525">
        <f t="shared" si="94"/>
        <v>0.15754071875700096</v>
      </c>
    </row>
    <row r="2526" spans="1:4" x14ac:dyDescent="0.3">
      <c r="A2526" s="1">
        <v>29621</v>
      </c>
      <c r="B2526">
        <v>194.570007</v>
      </c>
      <c r="C2526">
        <f t="shared" si="95"/>
        <v>5.2180668032451444E-3</v>
      </c>
      <c r="D2526">
        <f t="shared" si="94"/>
        <v>0.38024593553065072</v>
      </c>
    </row>
    <row r="2527" spans="1:4" x14ac:dyDescent="0.3">
      <c r="A2527" s="1">
        <v>29622</v>
      </c>
      <c r="B2527">
        <v>196.28999300000001</v>
      </c>
      <c r="C2527">
        <f t="shared" si="95"/>
        <v>8.8399338958753577E-3</v>
      </c>
      <c r="D2527">
        <f t="shared" si="94"/>
        <v>0.66998040973459261</v>
      </c>
    </row>
    <row r="2528" spans="1:4" x14ac:dyDescent="0.3">
      <c r="A2528" s="1">
        <v>29623</v>
      </c>
      <c r="B2528">
        <v>197.86999499999999</v>
      </c>
      <c r="C2528">
        <f t="shared" si="95"/>
        <v>8.0493252653994381E-3</v>
      </c>
      <c r="D2528">
        <f t="shared" si="94"/>
        <v>0.60673497029863288</v>
      </c>
    </row>
    <row r="2529" spans="1:4" x14ac:dyDescent="0.3">
      <c r="A2529" s="1">
        <v>29626</v>
      </c>
      <c r="B2529">
        <v>196.929993</v>
      </c>
      <c r="C2529">
        <f t="shared" si="95"/>
        <v>-4.7506040519179919E-3</v>
      </c>
      <c r="D2529">
        <f t="shared" si="94"/>
        <v>-0.41720674146291037</v>
      </c>
    </row>
    <row r="2530" spans="1:4" x14ac:dyDescent="0.3">
      <c r="A2530" s="1">
        <v>29627</v>
      </c>
      <c r="B2530">
        <v>196.699997</v>
      </c>
      <c r="C2530">
        <f t="shared" si="95"/>
        <v>-1.1679074197702322E-3</v>
      </c>
      <c r="D2530">
        <f t="shared" si="94"/>
        <v>-0.13060574302766895</v>
      </c>
    </row>
    <row r="2531" spans="1:4" x14ac:dyDescent="0.3">
      <c r="A2531" s="1">
        <v>29628</v>
      </c>
      <c r="B2531">
        <v>195.80999800000001</v>
      </c>
      <c r="C2531">
        <f t="shared" si="95"/>
        <v>-4.5246518229483702E-3</v>
      </c>
      <c r="D2531">
        <f t="shared" si="94"/>
        <v>-0.39913149226645789</v>
      </c>
    </row>
    <row r="2532" spans="1:4" x14ac:dyDescent="0.3">
      <c r="A2532" s="1">
        <v>29629</v>
      </c>
      <c r="B2532">
        <v>194.61000100000001</v>
      </c>
      <c r="C2532">
        <f t="shared" si="95"/>
        <v>-6.1283745072097705E-3</v>
      </c>
      <c r="D2532">
        <f t="shared" si="94"/>
        <v>-0.52742271246028827</v>
      </c>
    </row>
    <row r="2533" spans="1:4" x14ac:dyDescent="0.3">
      <c r="A2533" s="1">
        <v>29630</v>
      </c>
      <c r="B2533">
        <v>193.88999899999999</v>
      </c>
      <c r="C2533">
        <f t="shared" si="95"/>
        <v>-3.699717364474101E-3</v>
      </c>
      <c r="D2533">
        <f t="shared" si="94"/>
        <v>-0.33314012773927848</v>
      </c>
    </row>
    <row r="2534" spans="1:4" x14ac:dyDescent="0.3">
      <c r="A2534" s="1">
        <v>29634</v>
      </c>
      <c r="B2534">
        <v>193.979996</v>
      </c>
      <c r="C2534">
        <f t="shared" si="95"/>
        <v>4.6416525073070421E-4</v>
      </c>
      <c r="D2534">
        <f t="shared" si="94"/>
        <v>-4.6640510515672441E-5</v>
      </c>
    </row>
    <row r="2535" spans="1:4" x14ac:dyDescent="0.3">
      <c r="A2535" s="1">
        <v>29635</v>
      </c>
      <c r="B2535">
        <v>194.729996</v>
      </c>
      <c r="C2535">
        <f t="shared" si="95"/>
        <v>3.866378056838397E-3</v>
      </c>
      <c r="D2535">
        <f t="shared" si="94"/>
        <v>0.27211639399544757</v>
      </c>
    </row>
    <row r="2536" spans="1:4" x14ac:dyDescent="0.3">
      <c r="A2536" s="1">
        <v>29636</v>
      </c>
      <c r="B2536">
        <v>192.740005</v>
      </c>
      <c r="C2536">
        <f t="shared" si="95"/>
        <v>-1.0219231966707397E-2</v>
      </c>
      <c r="D2536">
        <f t="shared" si="94"/>
        <v>-0.85467448751371111</v>
      </c>
    </row>
    <row r="2537" spans="1:4" x14ac:dyDescent="0.3">
      <c r="A2537" s="1">
        <v>29637</v>
      </c>
      <c r="B2537">
        <v>192.28999300000001</v>
      </c>
      <c r="C2537">
        <f t="shared" si="95"/>
        <v>-2.3348136781463028E-3</v>
      </c>
      <c r="D2537">
        <f t="shared" si="94"/>
        <v>-0.22395344535054892</v>
      </c>
    </row>
    <row r="2538" spans="1:4" x14ac:dyDescent="0.3">
      <c r="A2538" s="1">
        <v>29640</v>
      </c>
      <c r="B2538">
        <v>193.05999800000001</v>
      </c>
      <c r="C2538">
        <f t="shared" si="95"/>
        <v>4.0043945500585548E-3</v>
      </c>
      <c r="D2538">
        <f t="shared" si="94"/>
        <v>0.28315714592584895</v>
      </c>
    </row>
    <row r="2539" spans="1:4" x14ac:dyDescent="0.3">
      <c r="A2539" s="1">
        <v>29641</v>
      </c>
      <c r="B2539">
        <v>193.94000199999999</v>
      </c>
      <c r="C2539">
        <f t="shared" si="95"/>
        <v>4.5581892112108351E-3</v>
      </c>
      <c r="D2539">
        <f t="shared" si="94"/>
        <v>0.32745844160077781</v>
      </c>
    </row>
    <row r="2540" spans="1:4" x14ac:dyDescent="0.3">
      <c r="A2540" s="1">
        <v>29642</v>
      </c>
      <c r="B2540">
        <v>193.990005</v>
      </c>
      <c r="C2540">
        <f t="shared" si="95"/>
        <v>2.5782716038130077E-4</v>
      </c>
      <c r="D2540">
        <f t="shared" si="94"/>
        <v>-1.6552839271170638E-2</v>
      </c>
    </row>
    <row r="2541" spans="1:4" x14ac:dyDescent="0.3">
      <c r="A2541" s="1">
        <v>29643</v>
      </c>
      <c r="B2541">
        <v>196.13000500000001</v>
      </c>
      <c r="C2541">
        <f t="shared" si="95"/>
        <v>1.1031496184558657E-2</v>
      </c>
      <c r="D2541">
        <f t="shared" si="94"/>
        <v>0.84529638107127802</v>
      </c>
    </row>
    <row r="2542" spans="1:4" x14ac:dyDescent="0.3">
      <c r="A2542" s="1">
        <v>29644</v>
      </c>
      <c r="B2542">
        <v>198.009995</v>
      </c>
      <c r="C2542">
        <f t="shared" si="95"/>
        <v>9.5854277880632905E-3</v>
      </c>
      <c r="D2542">
        <f t="shared" si="94"/>
        <v>0.72961685562042544</v>
      </c>
    </row>
    <row r="2543" spans="1:4" x14ac:dyDescent="0.3">
      <c r="A2543" s="1">
        <v>29647</v>
      </c>
      <c r="B2543">
        <v>199.05999800000001</v>
      </c>
      <c r="C2543">
        <f t="shared" si="95"/>
        <v>5.3027777713948419E-3</v>
      </c>
      <c r="D2543">
        <f t="shared" si="94"/>
        <v>0.38702246464904411</v>
      </c>
    </row>
    <row r="2544" spans="1:4" x14ac:dyDescent="0.3">
      <c r="A2544" s="1">
        <v>29648</v>
      </c>
      <c r="B2544">
        <v>198.35000600000001</v>
      </c>
      <c r="C2544">
        <f t="shared" si="95"/>
        <v>-3.5667236367600071E-3</v>
      </c>
      <c r="D2544">
        <f t="shared" si="94"/>
        <v>-0.32250117639562698</v>
      </c>
    </row>
    <row r="2545" spans="1:4" x14ac:dyDescent="0.3">
      <c r="A2545" s="1">
        <v>29649</v>
      </c>
      <c r="B2545">
        <v>198.75</v>
      </c>
      <c r="C2545">
        <f t="shared" si="95"/>
        <v>2.0166069468129607E-3</v>
      </c>
      <c r="D2545">
        <f t="shared" si="94"/>
        <v>0.12414231149766658</v>
      </c>
    </row>
    <row r="2546" spans="1:4" x14ac:dyDescent="0.3">
      <c r="A2546" s="1">
        <v>29650</v>
      </c>
      <c r="B2546">
        <v>199.050003</v>
      </c>
      <c r="C2546">
        <f t="shared" si="95"/>
        <v>1.5094490566037928E-3</v>
      </c>
      <c r="D2546">
        <f t="shared" si="94"/>
        <v>8.3571765726638714E-2</v>
      </c>
    </row>
    <row r="2547" spans="1:4" x14ac:dyDescent="0.3">
      <c r="A2547" s="1">
        <v>29651</v>
      </c>
      <c r="B2547">
        <v>199.88999899999999</v>
      </c>
      <c r="C2547">
        <f t="shared" si="95"/>
        <v>4.2200250557141916E-3</v>
      </c>
      <c r="D2547">
        <f t="shared" si="94"/>
        <v>0.30040669970036254</v>
      </c>
    </row>
    <row r="2548" spans="1:4" x14ac:dyDescent="0.3">
      <c r="A2548" s="1">
        <v>29654</v>
      </c>
      <c r="B2548">
        <v>200.13999899999999</v>
      </c>
      <c r="C2548">
        <f t="shared" si="95"/>
        <v>1.2506878845899639E-3</v>
      </c>
      <c r="D2548">
        <f t="shared" si="94"/>
        <v>6.2871935997829573E-2</v>
      </c>
    </row>
    <row r="2549" spans="1:4" x14ac:dyDescent="0.3">
      <c r="A2549" s="1">
        <v>29655</v>
      </c>
      <c r="B2549">
        <v>199.029999</v>
      </c>
      <c r="C2549">
        <f t="shared" si="95"/>
        <v>-5.5461177453087988E-3</v>
      </c>
      <c r="D2549">
        <f t="shared" si="94"/>
        <v>-0.48084456576232165</v>
      </c>
    </row>
    <row r="2550" spans="1:4" x14ac:dyDescent="0.3">
      <c r="A2550" s="1">
        <v>29656</v>
      </c>
      <c r="B2550">
        <v>198.16000399999999</v>
      </c>
      <c r="C2550">
        <f t="shared" si="95"/>
        <v>-4.371175221681115E-3</v>
      </c>
      <c r="D2550">
        <f t="shared" si="94"/>
        <v>-0.38685399526463282</v>
      </c>
    </row>
    <row r="2551" spans="1:4" x14ac:dyDescent="0.3">
      <c r="A2551" s="1">
        <v>29657</v>
      </c>
      <c r="B2551">
        <v>200.66999799999999</v>
      </c>
      <c r="C2551">
        <f t="shared" si="95"/>
        <v>1.2666501561031489E-2</v>
      </c>
      <c r="D2551">
        <f t="shared" si="94"/>
        <v>0.97609008800682395</v>
      </c>
    </row>
    <row r="2552" spans="1:4" x14ac:dyDescent="0.3">
      <c r="A2552" s="1">
        <v>29658</v>
      </c>
      <c r="B2552">
        <v>202.16999799999999</v>
      </c>
      <c r="C2552">
        <f t="shared" si="95"/>
        <v>7.4749589622261324E-3</v>
      </c>
      <c r="D2552">
        <f t="shared" si="94"/>
        <v>0.56078802785311954</v>
      </c>
    </row>
    <row r="2553" spans="1:4" x14ac:dyDescent="0.3">
      <c r="A2553" s="1">
        <v>29661</v>
      </c>
      <c r="B2553">
        <v>203.44000199999999</v>
      </c>
      <c r="C2553">
        <f t="shared" si="95"/>
        <v>6.2818618616200424E-3</v>
      </c>
      <c r="D2553">
        <f t="shared" si="94"/>
        <v>0.46534516584922475</v>
      </c>
    </row>
    <row r="2554" spans="1:4" x14ac:dyDescent="0.3">
      <c r="A2554" s="1">
        <v>29662</v>
      </c>
      <c r="B2554">
        <v>203.19000199999999</v>
      </c>
      <c r="C2554">
        <f t="shared" si="95"/>
        <v>-1.2288635349108972E-3</v>
      </c>
      <c r="D2554">
        <f t="shared" si="94"/>
        <v>-0.13548198158587899</v>
      </c>
    </row>
    <row r="2555" spans="1:4" x14ac:dyDescent="0.3">
      <c r="A2555" s="1">
        <v>29663</v>
      </c>
      <c r="B2555">
        <v>204</v>
      </c>
      <c r="C2555">
        <f t="shared" si="95"/>
        <v>3.9864067721206448E-3</v>
      </c>
      <c r="D2555">
        <f t="shared" si="94"/>
        <v>0.28171819765700101</v>
      </c>
    </row>
    <row r="2556" spans="1:4" x14ac:dyDescent="0.3">
      <c r="A2556" s="1">
        <v>29664</v>
      </c>
      <c r="B2556">
        <v>204.449997</v>
      </c>
      <c r="C2556">
        <f t="shared" si="95"/>
        <v>2.2058676470588048E-3</v>
      </c>
      <c r="D2556">
        <f t="shared" si="94"/>
        <v>0.13928238927268449</v>
      </c>
    </row>
    <row r="2557" spans="1:4" x14ac:dyDescent="0.3">
      <c r="A2557" s="1">
        <v>29665</v>
      </c>
      <c r="B2557">
        <v>206.28999300000001</v>
      </c>
      <c r="C2557">
        <f t="shared" si="95"/>
        <v>8.999736008800302E-3</v>
      </c>
      <c r="D2557">
        <f t="shared" si="94"/>
        <v>0.68276392165837341</v>
      </c>
    </row>
    <row r="2558" spans="1:4" x14ac:dyDescent="0.3">
      <c r="A2558" s="1">
        <v>29668</v>
      </c>
      <c r="B2558">
        <v>207.61999499999999</v>
      </c>
      <c r="C2558">
        <f t="shared" si="95"/>
        <v>6.447244389600512E-3</v>
      </c>
      <c r="D2558">
        <f t="shared" si="94"/>
        <v>0.47857508803064375</v>
      </c>
    </row>
    <row r="2559" spans="1:4" x14ac:dyDescent="0.3">
      <c r="A2559" s="1">
        <v>29669</v>
      </c>
      <c r="B2559">
        <v>207.699997</v>
      </c>
      <c r="C2559">
        <f t="shared" si="95"/>
        <v>3.8532897566059311E-4</v>
      </c>
      <c r="D2559">
        <f t="shared" si="94"/>
        <v>-6.3532183394244398E-3</v>
      </c>
    </row>
    <row r="2560" spans="1:4" x14ac:dyDescent="0.3">
      <c r="A2560" s="1">
        <v>29670</v>
      </c>
      <c r="B2560">
        <v>209.30999800000001</v>
      </c>
      <c r="C2560">
        <f t="shared" si="95"/>
        <v>7.7515696834603767E-3</v>
      </c>
      <c r="D2560">
        <f t="shared" si="94"/>
        <v>0.58291574812177693</v>
      </c>
    </row>
    <row r="2561" spans="1:4" x14ac:dyDescent="0.3">
      <c r="A2561" s="1">
        <v>29671</v>
      </c>
      <c r="B2561">
        <v>209.529999</v>
      </c>
      <c r="C2561">
        <f t="shared" si="95"/>
        <v>1.0510773594293204E-3</v>
      </c>
      <c r="D2561">
        <f t="shared" si="94"/>
        <v>4.690391478836204E-2</v>
      </c>
    </row>
    <row r="2562" spans="1:4" x14ac:dyDescent="0.3">
      <c r="A2562" s="1">
        <v>29672</v>
      </c>
      <c r="B2562">
        <v>208.820007</v>
      </c>
      <c r="C2562">
        <f t="shared" si="95"/>
        <v>-3.3884980832744609E-3</v>
      </c>
      <c r="D2562">
        <f t="shared" si="94"/>
        <v>-0.30824386498463829</v>
      </c>
    </row>
    <row r="2563" spans="1:4" x14ac:dyDescent="0.3">
      <c r="A2563" s="1">
        <v>29675</v>
      </c>
      <c r="B2563">
        <v>208.96000699999999</v>
      </c>
      <c r="C2563">
        <f t="shared" si="95"/>
        <v>6.7043384401374129E-4</v>
      </c>
      <c r="D2563">
        <f t="shared" ref="D2563:D2626" si="96">(C2563-avrtn)/sdrtn</f>
        <v>1.645399877060363E-2</v>
      </c>
    </row>
    <row r="2564" spans="1:4" x14ac:dyDescent="0.3">
      <c r="A2564" s="1">
        <v>29676</v>
      </c>
      <c r="B2564">
        <v>210.179993</v>
      </c>
      <c r="C2564">
        <f t="shared" ref="C2564:C2627" si="97">(B2564-B2563)/B2563</f>
        <v>5.8383707845109604E-3</v>
      </c>
      <c r="D2564">
        <f t="shared" si="96"/>
        <v>0.42986770332670399</v>
      </c>
    </row>
    <row r="2565" spans="1:4" x14ac:dyDescent="0.3">
      <c r="A2565" s="1">
        <v>29677</v>
      </c>
      <c r="B2565">
        <v>211.33999600000001</v>
      </c>
      <c r="C2565">
        <f t="shared" si="97"/>
        <v>5.519093342057621E-3</v>
      </c>
      <c r="D2565">
        <f t="shared" si="96"/>
        <v>0.40432682080712495</v>
      </c>
    </row>
    <row r="2566" spans="1:4" x14ac:dyDescent="0.3">
      <c r="A2566" s="1">
        <v>29678</v>
      </c>
      <c r="B2566">
        <v>211.96000699999999</v>
      </c>
      <c r="C2566">
        <f t="shared" si="97"/>
        <v>2.9337135030511534E-3</v>
      </c>
      <c r="D2566">
        <f t="shared" si="96"/>
        <v>0.19750706483202912</v>
      </c>
    </row>
    <row r="2567" spans="1:4" x14ac:dyDescent="0.3">
      <c r="A2567" s="1">
        <v>29679</v>
      </c>
      <c r="B2567">
        <v>212.64999399999999</v>
      </c>
      <c r="C2567">
        <f t="shared" si="97"/>
        <v>3.2552697547325623E-3</v>
      </c>
      <c r="D2567">
        <f t="shared" si="96"/>
        <v>0.2232302427193342</v>
      </c>
    </row>
    <row r="2568" spans="1:4" x14ac:dyDescent="0.3">
      <c r="A2568" s="1">
        <v>29682</v>
      </c>
      <c r="B2568">
        <v>211.270004</v>
      </c>
      <c r="C2568">
        <f t="shared" si="97"/>
        <v>-6.4894899550290716E-3</v>
      </c>
      <c r="D2568">
        <f t="shared" si="96"/>
        <v>-0.55631046337023815</v>
      </c>
    </row>
    <row r="2569" spans="1:4" x14ac:dyDescent="0.3">
      <c r="A2569" s="1">
        <v>29683</v>
      </c>
      <c r="B2569">
        <v>211.759995</v>
      </c>
      <c r="C2569">
        <f t="shared" si="97"/>
        <v>2.3192644044253597E-3</v>
      </c>
      <c r="D2569">
        <f t="shared" si="96"/>
        <v>0.14835366357175642</v>
      </c>
    </row>
    <row r="2570" spans="1:4" x14ac:dyDescent="0.3">
      <c r="A2570" s="1">
        <v>29684</v>
      </c>
      <c r="B2570">
        <v>212.800003</v>
      </c>
      <c r="C2570">
        <f t="shared" si="97"/>
        <v>4.9112581439190164E-3</v>
      </c>
      <c r="D2570">
        <f t="shared" si="96"/>
        <v>0.35570250438930601</v>
      </c>
    </row>
    <row r="2571" spans="1:4" x14ac:dyDescent="0.3">
      <c r="A2571" s="1">
        <v>29685</v>
      </c>
      <c r="B2571">
        <v>213.91000399999999</v>
      </c>
      <c r="C2571">
        <f t="shared" si="97"/>
        <v>5.2161700392456415E-3</v>
      </c>
      <c r="D2571">
        <f t="shared" si="96"/>
        <v>0.38009420221023066</v>
      </c>
    </row>
    <row r="2572" spans="1:4" x14ac:dyDescent="0.3">
      <c r="A2572" s="1">
        <v>29686</v>
      </c>
      <c r="B2572">
        <v>215.14999399999999</v>
      </c>
      <c r="C2572">
        <f t="shared" si="97"/>
        <v>5.796783585680294E-3</v>
      </c>
      <c r="D2572">
        <f t="shared" si="96"/>
        <v>0.42654089842783405</v>
      </c>
    </row>
    <row r="2573" spans="1:4" x14ac:dyDescent="0.3">
      <c r="A2573" s="1">
        <v>29689</v>
      </c>
      <c r="B2573">
        <v>214.33000200000001</v>
      </c>
      <c r="C2573">
        <f t="shared" si="97"/>
        <v>-3.8112573686615346E-3</v>
      </c>
      <c r="D2573">
        <f t="shared" si="96"/>
        <v>-0.34206286941903535</v>
      </c>
    </row>
    <row r="2574" spans="1:4" x14ac:dyDescent="0.3">
      <c r="A2574" s="1">
        <v>29690</v>
      </c>
      <c r="B2574">
        <v>213.38999899999999</v>
      </c>
      <c r="C2574">
        <f t="shared" si="97"/>
        <v>-4.3857742323914995E-3</v>
      </c>
      <c r="D2574">
        <f t="shared" si="96"/>
        <v>-0.38802185608997286</v>
      </c>
    </row>
    <row r="2575" spans="1:4" x14ac:dyDescent="0.3">
      <c r="A2575" s="1">
        <v>29691</v>
      </c>
      <c r="B2575">
        <v>214.979996</v>
      </c>
      <c r="C2575">
        <f t="shared" si="97"/>
        <v>7.4511317655520069E-3</v>
      </c>
      <c r="D2575">
        <f t="shared" si="96"/>
        <v>0.55888195009720765</v>
      </c>
    </row>
    <row r="2576" spans="1:4" x14ac:dyDescent="0.3">
      <c r="A2576" s="1">
        <v>29692</v>
      </c>
      <c r="B2576">
        <v>216.63999899999999</v>
      </c>
      <c r="C2576">
        <f t="shared" si="97"/>
        <v>7.7216626239028727E-3</v>
      </c>
      <c r="D2576">
        <f t="shared" si="96"/>
        <v>0.58052330633574034</v>
      </c>
    </row>
    <row r="2577" spans="1:4" x14ac:dyDescent="0.3">
      <c r="A2577" s="1">
        <v>29696</v>
      </c>
      <c r="B2577">
        <v>217.550003</v>
      </c>
      <c r="C2577">
        <f t="shared" si="97"/>
        <v>4.2005354699065287E-3</v>
      </c>
      <c r="D2577">
        <f t="shared" si="96"/>
        <v>0.29884761297740525</v>
      </c>
    </row>
    <row r="2578" spans="1:4" x14ac:dyDescent="0.3">
      <c r="A2578" s="1">
        <v>29697</v>
      </c>
      <c r="B2578">
        <v>216.729996</v>
      </c>
      <c r="C2578">
        <f t="shared" si="97"/>
        <v>-3.7692805731655353E-3</v>
      </c>
      <c r="D2578">
        <f t="shared" si="96"/>
        <v>-0.33870489838896983</v>
      </c>
    </row>
    <row r="2579" spans="1:4" x14ac:dyDescent="0.3">
      <c r="A2579" s="1">
        <v>29698</v>
      </c>
      <c r="B2579">
        <v>217.19000199999999</v>
      </c>
      <c r="C2579">
        <f t="shared" si="97"/>
        <v>2.1224842360998927E-3</v>
      </c>
      <c r="D2579">
        <f t="shared" si="96"/>
        <v>0.13261205927060615</v>
      </c>
    </row>
    <row r="2580" spans="1:4" x14ac:dyDescent="0.3">
      <c r="A2580" s="1">
        <v>29699</v>
      </c>
      <c r="B2580">
        <v>218.020004</v>
      </c>
      <c r="C2580">
        <f t="shared" si="97"/>
        <v>3.8215479182140597E-3</v>
      </c>
      <c r="D2580">
        <f t="shared" si="96"/>
        <v>0.26853016724813211</v>
      </c>
    </row>
    <row r="2581" spans="1:4" x14ac:dyDescent="0.3">
      <c r="A2581" s="1">
        <v>29700</v>
      </c>
      <c r="B2581">
        <v>219.55999800000001</v>
      </c>
      <c r="C2581">
        <f t="shared" si="97"/>
        <v>7.0635444993387263E-3</v>
      </c>
      <c r="D2581">
        <f t="shared" si="96"/>
        <v>0.52787656256850701</v>
      </c>
    </row>
    <row r="2582" spans="1:4" x14ac:dyDescent="0.3">
      <c r="A2582" s="1">
        <v>29703</v>
      </c>
      <c r="B2582">
        <v>219.88000500000001</v>
      </c>
      <c r="C2582">
        <f t="shared" si="97"/>
        <v>1.4574922705182568E-3</v>
      </c>
      <c r="D2582">
        <f t="shared" si="96"/>
        <v>7.9415436487376811E-2</v>
      </c>
    </row>
    <row r="2583" spans="1:4" x14ac:dyDescent="0.3">
      <c r="A2583" s="1">
        <v>29704</v>
      </c>
      <c r="B2583">
        <v>217.63000500000001</v>
      </c>
      <c r="C2583">
        <f t="shared" si="97"/>
        <v>-1.0232854051463205E-2</v>
      </c>
      <c r="D2583">
        <f t="shared" si="96"/>
        <v>-0.85576419827982853</v>
      </c>
    </row>
    <row r="2584" spans="1:4" x14ac:dyDescent="0.3">
      <c r="A2584" s="1">
        <v>29705</v>
      </c>
      <c r="B2584">
        <v>216.220001</v>
      </c>
      <c r="C2584">
        <f t="shared" si="97"/>
        <v>-6.4789044139387623E-3</v>
      </c>
      <c r="D2584">
        <f t="shared" si="96"/>
        <v>-0.55546366361101851</v>
      </c>
    </row>
    <row r="2585" spans="1:4" x14ac:dyDescent="0.3">
      <c r="A2585" s="1">
        <v>29706</v>
      </c>
      <c r="B2585">
        <v>216.740005</v>
      </c>
      <c r="C2585">
        <f t="shared" si="97"/>
        <v>2.4049764017899534E-3</v>
      </c>
      <c r="D2585">
        <f t="shared" si="96"/>
        <v>0.15521027091108477</v>
      </c>
    </row>
    <row r="2586" spans="1:4" x14ac:dyDescent="0.3">
      <c r="A2586" s="1">
        <v>29707</v>
      </c>
      <c r="B2586">
        <v>216.679993</v>
      </c>
      <c r="C2586">
        <f t="shared" si="97"/>
        <v>-2.7688474031363247E-4</v>
      </c>
      <c r="D2586">
        <f t="shared" si="96"/>
        <v>-5.9327592578291594E-2</v>
      </c>
    </row>
    <row r="2587" spans="1:4" x14ac:dyDescent="0.3">
      <c r="A2587" s="1">
        <v>29710</v>
      </c>
      <c r="B2587">
        <v>213.320007</v>
      </c>
      <c r="C2587">
        <f t="shared" si="97"/>
        <v>-1.550667393643488E-2</v>
      </c>
      <c r="D2587">
        <f t="shared" si="96"/>
        <v>-1.2776481030006164</v>
      </c>
    </row>
    <row r="2588" spans="1:4" x14ac:dyDescent="0.3">
      <c r="A2588" s="1">
        <v>29711</v>
      </c>
      <c r="B2588">
        <v>211.550003</v>
      </c>
      <c r="C2588">
        <f t="shared" si="97"/>
        <v>-8.2974120659952914E-3</v>
      </c>
      <c r="D2588">
        <f t="shared" si="96"/>
        <v>-0.70093679802739417</v>
      </c>
    </row>
    <row r="2589" spans="1:4" x14ac:dyDescent="0.3">
      <c r="A2589" s="1">
        <v>29712</v>
      </c>
      <c r="B2589">
        <v>211.979996</v>
      </c>
      <c r="C2589">
        <f t="shared" si="97"/>
        <v>2.0325832848132651E-3</v>
      </c>
      <c r="D2589">
        <f t="shared" si="96"/>
        <v>0.12542035284259653</v>
      </c>
    </row>
    <row r="2590" spans="1:4" x14ac:dyDescent="0.3">
      <c r="A2590" s="1">
        <v>29713</v>
      </c>
      <c r="B2590">
        <v>213.66000399999999</v>
      </c>
      <c r="C2590">
        <f t="shared" si="97"/>
        <v>7.9253138583887262E-3</v>
      </c>
      <c r="D2590">
        <f t="shared" si="96"/>
        <v>0.5968145676757286</v>
      </c>
    </row>
    <row r="2591" spans="1:4" x14ac:dyDescent="0.3">
      <c r="A2591" s="1">
        <v>29714</v>
      </c>
      <c r="B2591">
        <v>214.83999600000001</v>
      </c>
      <c r="C2591">
        <f t="shared" si="97"/>
        <v>5.5227556768183304E-3</v>
      </c>
      <c r="D2591">
        <f t="shared" si="96"/>
        <v>0.40461979252837116</v>
      </c>
    </row>
    <row r="2592" spans="1:4" x14ac:dyDescent="0.3">
      <c r="A2592" s="1">
        <v>29717</v>
      </c>
      <c r="B2592">
        <v>212.78999300000001</v>
      </c>
      <c r="C2592">
        <f t="shared" si="97"/>
        <v>-9.5419988743623129E-3</v>
      </c>
      <c r="D2592">
        <f t="shared" si="96"/>
        <v>-0.80049862492521995</v>
      </c>
    </row>
    <row r="2593" spans="1:4" x14ac:dyDescent="0.3">
      <c r="A2593" s="1">
        <v>29718</v>
      </c>
      <c r="B2593">
        <v>213.11999499999999</v>
      </c>
      <c r="C2593">
        <f t="shared" si="97"/>
        <v>1.5508342067569833E-3</v>
      </c>
      <c r="D2593">
        <f t="shared" si="96"/>
        <v>8.6882407562139691E-2</v>
      </c>
    </row>
    <row r="2594" spans="1:4" x14ac:dyDescent="0.3">
      <c r="A2594" s="1">
        <v>29719</v>
      </c>
      <c r="B2594">
        <v>213.779999</v>
      </c>
      <c r="C2594">
        <f t="shared" si="97"/>
        <v>3.0968656882711309E-3</v>
      </c>
      <c r="D2594">
        <f t="shared" si="96"/>
        <v>0.210558568763833</v>
      </c>
    </row>
    <row r="2595" spans="1:4" x14ac:dyDescent="0.3">
      <c r="A2595" s="1">
        <v>29720</v>
      </c>
      <c r="B2595">
        <v>215.179993</v>
      </c>
      <c r="C2595">
        <f t="shared" si="97"/>
        <v>6.5487604385291087E-3</v>
      </c>
      <c r="D2595">
        <f t="shared" si="96"/>
        <v>0.48669595450844405</v>
      </c>
    </row>
    <row r="2596" spans="1:4" x14ac:dyDescent="0.3">
      <c r="A2596" s="1">
        <v>29721</v>
      </c>
      <c r="B2596">
        <v>216.509995</v>
      </c>
      <c r="C2596">
        <f t="shared" si="97"/>
        <v>6.1808813238506217E-3</v>
      </c>
      <c r="D2596">
        <f t="shared" si="96"/>
        <v>0.45726713806212355</v>
      </c>
    </row>
    <row r="2597" spans="1:4" x14ac:dyDescent="0.3">
      <c r="A2597" s="1">
        <v>29724</v>
      </c>
      <c r="B2597">
        <v>216.94000199999999</v>
      </c>
      <c r="C2597">
        <f t="shared" si="97"/>
        <v>1.9860838295247714E-3</v>
      </c>
      <c r="D2597">
        <f t="shared" si="96"/>
        <v>0.12170058762641968</v>
      </c>
    </row>
    <row r="2598" spans="1:4" x14ac:dyDescent="0.3">
      <c r="A2598" s="1">
        <v>29725</v>
      </c>
      <c r="B2598">
        <v>216.11999499999999</v>
      </c>
      <c r="C2598">
        <f t="shared" si="97"/>
        <v>-3.7798791944327718E-3</v>
      </c>
      <c r="D2598">
        <f t="shared" si="96"/>
        <v>-0.33955274450855777</v>
      </c>
    </row>
    <row r="2599" spans="1:4" x14ac:dyDescent="0.3">
      <c r="A2599" s="1">
        <v>29726</v>
      </c>
      <c r="B2599">
        <v>217.63000500000001</v>
      </c>
      <c r="C2599">
        <f t="shared" si="97"/>
        <v>6.986905584557424E-3</v>
      </c>
      <c r="D2599">
        <f t="shared" si="96"/>
        <v>0.52174576452710342</v>
      </c>
    </row>
    <row r="2600" spans="1:4" x14ac:dyDescent="0.3">
      <c r="A2600" s="1">
        <v>29727</v>
      </c>
      <c r="B2600">
        <v>218.35000600000001</v>
      </c>
      <c r="C2600">
        <f t="shared" si="97"/>
        <v>3.3083719315266124E-3</v>
      </c>
      <c r="D2600">
        <f t="shared" si="96"/>
        <v>0.22747819850540249</v>
      </c>
    </row>
    <row r="2601" spans="1:4" x14ac:dyDescent="0.3">
      <c r="A2601" s="1">
        <v>29728</v>
      </c>
      <c r="B2601">
        <v>219.229996</v>
      </c>
      <c r="C2601">
        <f t="shared" si="97"/>
        <v>4.0301807914765626E-3</v>
      </c>
      <c r="D2601">
        <f t="shared" si="96"/>
        <v>0.28521993920563132</v>
      </c>
    </row>
    <row r="2602" spans="1:4" x14ac:dyDescent="0.3">
      <c r="A2602" s="1">
        <v>29732</v>
      </c>
      <c r="B2602">
        <v>220.240005</v>
      </c>
      <c r="C2602">
        <f t="shared" si="97"/>
        <v>4.6070748457250196E-3</v>
      </c>
      <c r="D2602">
        <f t="shared" si="96"/>
        <v>0.33136909134298231</v>
      </c>
    </row>
    <row r="2603" spans="1:4" x14ac:dyDescent="0.3">
      <c r="A2603" s="1">
        <v>29733</v>
      </c>
      <c r="B2603">
        <v>222.16999799999999</v>
      </c>
      <c r="C2603">
        <f t="shared" si="97"/>
        <v>8.7631354712328306E-3</v>
      </c>
      <c r="D2603">
        <f t="shared" si="96"/>
        <v>0.66383685156019945</v>
      </c>
    </row>
    <row r="2604" spans="1:4" x14ac:dyDescent="0.3">
      <c r="A2604" s="1">
        <v>29734</v>
      </c>
      <c r="B2604">
        <v>223.30999800000001</v>
      </c>
      <c r="C2604">
        <f t="shared" si="97"/>
        <v>5.131205879562617E-3</v>
      </c>
      <c r="D2604">
        <f t="shared" si="96"/>
        <v>0.37329741881030093</v>
      </c>
    </row>
    <row r="2605" spans="1:4" x14ac:dyDescent="0.3">
      <c r="A2605" s="1">
        <v>29735</v>
      </c>
      <c r="B2605">
        <v>223.470001</v>
      </c>
      <c r="C2605">
        <f t="shared" si="97"/>
        <v>7.1650620855761692E-4</v>
      </c>
      <c r="D2605">
        <f t="shared" si="96"/>
        <v>2.0139598483418664E-2</v>
      </c>
    </row>
    <row r="2606" spans="1:4" x14ac:dyDescent="0.3">
      <c r="A2606" s="1">
        <v>29738</v>
      </c>
      <c r="B2606">
        <v>223.020004</v>
      </c>
      <c r="C2606">
        <f t="shared" si="97"/>
        <v>-2.0136796795378197E-3</v>
      </c>
      <c r="D2606">
        <f t="shared" si="96"/>
        <v>-0.1982640459727629</v>
      </c>
    </row>
    <row r="2607" spans="1:4" x14ac:dyDescent="0.3">
      <c r="A2607" s="1">
        <v>29739</v>
      </c>
      <c r="B2607">
        <v>219.58999600000001</v>
      </c>
      <c r="C2607">
        <f t="shared" si="97"/>
        <v>-1.5379822161602986E-2</v>
      </c>
      <c r="D2607">
        <f t="shared" si="96"/>
        <v>-1.2675004826316796</v>
      </c>
    </row>
    <row r="2608" spans="1:4" x14ac:dyDescent="0.3">
      <c r="A2608" s="1">
        <v>29740</v>
      </c>
      <c r="B2608">
        <v>218.88999899999999</v>
      </c>
      <c r="C2608">
        <f t="shared" si="97"/>
        <v>-3.187745401662217E-3</v>
      </c>
      <c r="D2608">
        <f t="shared" si="96"/>
        <v>-0.29218447595561814</v>
      </c>
    </row>
    <row r="2609" spans="1:4" x14ac:dyDescent="0.3">
      <c r="A2609" s="1">
        <v>29741</v>
      </c>
      <c r="B2609">
        <v>219.679993</v>
      </c>
      <c r="C2609">
        <f t="shared" si="97"/>
        <v>3.6090913408977046E-3</v>
      </c>
      <c r="D2609">
        <f t="shared" si="96"/>
        <v>0.25153451468948973</v>
      </c>
    </row>
    <row r="2610" spans="1:4" x14ac:dyDescent="0.3">
      <c r="A2610" s="1">
        <v>29742</v>
      </c>
      <c r="B2610">
        <v>221.300003</v>
      </c>
      <c r="C2610">
        <f t="shared" si="97"/>
        <v>7.3744084651350466E-3</v>
      </c>
      <c r="D2610">
        <f t="shared" si="96"/>
        <v>0.55274440155194726</v>
      </c>
    </row>
    <row r="2611" spans="1:4" x14ac:dyDescent="0.3">
      <c r="A2611" s="1">
        <v>29745</v>
      </c>
      <c r="B2611">
        <v>220.83999600000001</v>
      </c>
      <c r="C2611">
        <f t="shared" si="97"/>
        <v>-2.0786579022323386E-3</v>
      </c>
      <c r="D2611">
        <f t="shared" si="96"/>
        <v>-0.20346203659627615</v>
      </c>
    </row>
    <row r="2612" spans="1:4" x14ac:dyDescent="0.3">
      <c r="A2612" s="1">
        <v>29746</v>
      </c>
      <c r="B2612">
        <v>220.009995</v>
      </c>
      <c r="C2612">
        <f t="shared" si="97"/>
        <v>-3.7583817018363372E-3</v>
      </c>
      <c r="D2612">
        <f t="shared" si="96"/>
        <v>-0.33783303349906074</v>
      </c>
    </row>
    <row r="2613" spans="1:4" x14ac:dyDescent="0.3">
      <c r="A2613" s="1">
        <v>29747</v>
      </c>
      <c r="B2613">
        <v>220.39999399999999</v>
      </c>
      <c r="C2613">
        <f t="shared" si="97"/>
        <v>1.7726421929148669E-3</v>
      </c>
      <c r="D2613">
        <f t="shared" si="96"/>
        <v>0.10462613437488139</v>
      </c>
    </row>
    <row r="2614" spans="1:4" x14ac:dyDescent="0.3">
      <c r="A2614" s="1">
        <v>29748</v>
      </c>
      <c r="B2614">
        <v>222.33999600000001</v>
      </c>
      <c r="C2614">
        <f t="shared" si="97"/>
        <v>8.8021871724734309E-3</v>
      </c>
      <c r="D2614">
        <f t="shared" si="96"/>
        <v>0.6669608270778925</v>
      </c>
    </row>
    <row r="2615" spans="1:4" x14ac:dyDescent="0.3">
      <c r="A2615" s="1">
        <v>29749</v>
      </c>
      <c r="B2615">
        <v>222.759995</v>
      </c>
      <c r="C2615">
        <f t="shared" si="97"/>
        <v>1.8889943669873502E-3</v>
      </c>
      <c r="D2615">
        <f t="shared" si="96"/>
        <v>0.11393382985768147</v>
      </c>
    </row>
    <row r="2616" spans="1:4" x14ac:dyDescent="0.3">
      <c r="A2616" s="1">
        <v>29752</v>
      </c>
      <c r="B2616">
        <v>222.96000699999999</v>
      </c>
      <c r="C2616">
        <f t="shared" si="97"/>
        <v>8.9788114782453083E-4</v>
      </c>
      <c r="D2616">
        <f t="shared" si="96"/>
        <v>3.4648847806565068E-2</v>
      </c>
    </row>
    <row r="2617" spans="1:4" x14ac:dyDescent="0.3">
      <c r="A2617" s="1">
        <v>29753</v>
      </c>
      <c r="B2617">
        <v>220.58000200000001</v>
      </c>
      <c r="C2617">
        <f t="shared" si="97"/>
        <v>-1.0674582549685617E-2</v>
      </c>
      <c r="D2617">
        <f t="shared" si="96"/>
        <v>-0.89110066173918345</v>
      </c>
    </row>
    <row r="2618" spans="1:4" x14ac:dyDescent="0.3">
      <c r="A2618" s="1">
        <v>29754</v>
      </c>
      <c r="B2618">
        <v>220.61000100000001</v>
      </c>
      <c r="C2618">
        <f t="shared" si="97"/>
        <v>1.3600054278720906E-4</v>
      </c>
      <c r="D2618">
        <f t="shared" si="96"/>
        <v>-2.6298467724653111E-2</v>
      </c>
    </row>
    <row r="2619" spans="1:4" x14ac:dyDescent="0.3">
      <c r="A2619" s="1">
        <v>29755</v>
      </c>
      <c r="B2619">
        <v>218.71000699999999</v>
      </c>
      <c r="C2619">
        <f t="shared" si="97"/>
        <v>-8.6124563319322084E-3</v>
      </c>
      <c r="D2619">
        <f t="shared" si="96"/>
        <v>-0.72613904383258521</v>
      </c>
    </row>
    <row r="2620" spans="1:4" x14ac:dyDescent="0.3">
      <c r="A2620" s="1">
        <v>29756</v>
      </c>
      <c r="B2620">
        <v>219.55999800000001</v>
      </c>
      <c r="C2620">
        <f t="shared" si="97"/>
        <v>3.8863836715071617E-3</v>
      </c>
      <c r="D2620">
        <f t="shared" si="96"/>
        <v>0.27371676090536967</v>
      </c>
    </row>
    <row r="2621" spans="1:4" x14ac:dyDescent="0.3">
      <c r="A2621" s="1">
        <v>29759</v>
      </c>
      <c r="B2621">
        <v>218.60000600000001</v>
      </c>
      <c r="C2621">
        <f t="shared" si="97"/>
        <v>-4.3723447292070014E-3</v>
      </c>
      <c r="D2621">
        <f t="shared" si="96"/>
        <v>-0.38694755105766004</v>
      </c>
    </row>
    <row r="2622" spans="1:4" x14ac:dyDescent="0.3">
      <c r="A2622" s="1">
        <v>29760</v>
      </c>
      <c r="B2622">
        <v>219.229996</v>
      </c>
      <c r="C2622">
        <f t="shared" si="97"/>
        <v>2.8819303875041624E-3</v>
      </c>
      <c r="D2622">
        <f t="shared" si="96"/>
        <v>0.19336462852171332</v>
      </c>
    </row>
    <row r="2623" spans="1:4" x14ac:dyDescent="0.3">
      <c r="A2623" s="1">
        <v>29761</v>
      </c>
      <c r="B2623">
        <v>218.770004</v>
      </c>
      <c r="C2623">
        <f t="shared" si="97"/>
        <v>-2.0982165232535047E-3</v>
      </c>
      <c r="D2623">
        <f t="shared" si="96"/>
        <v>-0.20502664585243924</v>
      </c>
    </row>
    <row r="2624" spans="1:4" x14ac:dyDescent="0.3">
      <c r="A2624" s="1">
        <v>29762</v>
      </c>
      <c r="B2624">
        <v>219.30999800000001</v>
      </c>
      <c r="C2624">
        <f t="shared" si="97"/>
        <v>2.4683182800508941E-3</v>
      </c>
      <c r="D2624">
        <f t="shared" si="96"/>
        <v>0.16027736070860027</v>
      </c>
    </row>
    <row r="2625" spans="1:4" x14ac:dyDescent="0.3">
      <c r="A2625" s="1">
        <v>29763</v>
      </c>
      <c r="B2625">
        <v>219.759995</v>
      </c>
      <c r="C2625">
        <f t="shared" si="97"/>
        <v>2.0518763581402989E-3</v>
      </c>
      <c r="D2625">
        <f t="shared" si="96"/>
        <v>0.12696371937516768</v>
      </c>
    </row>
    <row r="2626" spans="1:4" x14ac:dyDescent="0.3">
      <c r="A2626" s="1">
        <v>29766</v>
      </c>
      <c r="B2626">
        <v>218.220001</v>
      </c>
      <c r="C2626">
        <f t="shared" si="97"/>
        <v>-7.0076175602388742E-3</v>
      </c>
      <c r="D2626">
        <f t="shared" si="96"/>
        <v>-0.59775854123357919</v>
      </c>
    </row>
    <row r="2627" spans="1:4" x14ac:dyDescent="0.3">
      <c r="A2627" s="1">
        <v>29767</v>
      </c>
      <c r="B2627">
        <v>215.75</v>
      </c>
      <c r="C2627">
        <f t="shared" si="97"/>
        <v>-1.1318857064802216E-2</v>
      </c>
      <c r="D2627">
        <f t="shared" ref="D2627:D2690" si="98">(C2627-avrtn)/sdrtn</f>
        <v>-0.94263997367587515</v>
      </c>
    </row>
    <row r="2628" spans="1:4" x14ac:dyDescent="0.3">
      <c r="A2628" s="1">
        <v>29768</v>
      </c>
      <c r="B2628">
        <v>214.63000500000001</v>
      </c>
      <c r="C2628">
        <f t="shared" ref="C2628:C2691" si="99">(B2628-B2627)/B2627</f>
        <v>-5.1911703360370282E-3</v>
      </c>
      <c r="D2628">
        <f t="shared" si="98"/>
        <v>-0.45245023257304812</v>
      </c>
    </row>
    <row r="2629" spans="1:4" x14ac:dyDescent="0.3">
      <c r="A2629" s="1">
        <v>29769</v>
      </c>
      <c r="B2629">
        <v>212.800003</v>
      </c>
      <c r="C2629">
        <f t="shared" si="99"/>
        <v>-8.5263101960045499E-3</v>
      </c>
      <c r="D2629">
        <f t="shared" si="98"/>
        <v>-0.71924770719340014</v>
      </c>
    </row>
    <row r="2630" spans="1:4" x14ac:dyDescent="0.3">
      <c r="A2630" s="1">
        <v>29773</v>
      </c>
      <c r="B2630">
        <v>209.10000600000001</v>
      </c>
      <c r="C2630">
        <f t="shared" si="99"/>
        <v>-1.7387203702248048E-2</v>
      </c>
      <c r="D2630">
        <f t="shared" si="98"/>
        <v>-1.4280827514810674</v>
      </c>
    </row>
    <row r="2631" spans="1:4" x14ac:dyDescent="0.3">
      <c r="A2631" s="1">
        <v>29774</v>
      </c>
      <c r="B2631">
        <v>208.009995</v>
      </c>
      <c r="C2631">
        <f t="shared" si="99"/>
        <v>-5.2128692908789496E-3</v>
      </c>
      <c r="D2631">
        <f t="shared" si="98"/>
        <v>-0.45418605973376636</v>
      </c>
    </row>
    <row r="2632" spans="1:4" x14ac:dyDescent="0.3">
      <c r="A2632" s="1">
        <v>29775</v>
      </c>
      <c r="B2632">
        <v>208.44000199999999</v>
      </c>
      <c r="C2632">
        <f t="shared" si="99"/>
        <v>2.0672420092120534E-3</v>
      </c>
      <c r="D2632">
        <f t="shared" si="98"/>
        <v>0.1281929082769733</v>
      </c>
    </row>
    <row r="2633" spans="1:4" x14ac:dyDescent="0.3">
      <c r="A2633" s="1">
        <v>29776</v>
      </c>
      <c r="B2633">
        <v>210.029999</v>
      </c>
      <c r="C2633">
        <f t="shared" si="99"/>
        <v>7.6280799498361692E-3</v>
      </c>
      <c r="D2633">
        <f t="shared" si="98"/>
        <v>0.57303707722465913</v>
      </c>
    </row>
    <row r="2634" spans="1:4" x14ac:dyDescent="0.3">
      <c r="A2634" s="1">
        <v>29777</v>
      </c>
      <c r="B2634">
        <v>210.53999300000001</v>
      </c>
      <c r="C2634">
        <f t="shared" si="99"/>
        <v>2.4281959835652147E-3</v>
      </c>
      <c r="D2634">
        <f t="shared" si="98"/>
        <v>0.15706774197361489</v>
      </c>
    </row>
    <row r="2635" spans="1:4" x14ac:dyDescent="0.3">
      <c r="A2635" s="1">
        <v>29780</v>
      </c>
      <c r="B2635">
        <v>210.86000100000001</v>
      </c>
      <c r="C2635">
        <f t="shared" si="99"/>
        <v>1.5199392544864453E-3</v>
      </c>
      <c r="D2635">
        <f t="shared" si="98"/>
        <v>8.4410938421299472E-2</v>
      </c>
    </row>
    <row r="2636" spans="1:4" x14ac:dyDescent="0.3">
      <c r="A2636" s="1">
        <v>29781</v>
      </c>
      <c r="B2636">
        <v>209.88000500000001</v>
      </c>
      <c r="C2636">
        <f t="shared" si="99"/>
        <v>-4.6476145089271803E-3</v>
      </c>
      <c r="D2636">
        <f t="shared" si="98"/>
        <v>-0.40896800151917667</v>
      </c>
    </row>
    <row r="2637" spans="1:4" x14ac:dyDescent="0.3">
      <c r="A2637" s="1">
        <v>29782</v>
      </c>
      <c r="B2637">
        <v>210.83999600000001</v>
      </c>
      <c r="C2637">
        <f t="shared" si="99"/>
        <v>4.5739993192777089E-3</v>
      </c>
      <c r="D2637">
        <f t="shared" si="98"/>
        <v>0.32872318523457489</v>
      </c>
    </row>
    <row r="2638" spans="1:4" x14ac:dyDescent="0.3">
      <c r="A2638" s="1">
        <v>29783</v>
      </c>
      <c r="B2638">
        <v>212.020004</v>
      </c>
      <c r="C2638">
        <f t="shared" si="99"/>
        <v>5.5966990247902802E-3</v>
      </c>
      <c r="D2638">
        <f t="shared" si="98"/>
        <v>0.41053495630926351</v>
      </c>
    </row>
    <row r="2639" spans="1:4" x14ac:dyDescent="0.3">
      <c r="A2639" s="1">
        <v>29784</v>
      </c>
      <c r="B2639">
        <v>212.759995</v>
      </c>
      <c r="C2639">
        <f t="shared" si="99"/>
        <v>3.4901942554439506E-3</v>
      </c>
      <c r="D2639">
        <f t="shared" si="98"/>
        <v>0.24202323676092616</v>
      </c>
    </row>
    <row r="2640" spans="1:4" x14ac:dyDescent="0.3">
      <c r="A2640" s="1">
        <v>29787</v>
      </c>
      <c r="B2640">
        <v>209.270004</v>
      </c>
      <c r="C2640">
        <f t="shared" si="99"/>
        <v>-1.6403417381166997E-2</v>
      </c>
      <c r="D2640">
        <f t="shared" si="98"/>
        <v>-1.3493838911481078</v>
      </c>
    </row>
    <row r="2641" spans="1:4" x14ac:dyDescent="0.3">
      <c r="A2641" s="1">
        <v>29788</v>
      </c>
      <c r="B2641">
        <v>207.71000699999999</v>
      </c>
      <c r="C2641">
        <f t="shared" si="99"/>
        <v>-7.4544701590391798E-3</v>
      </c>
      <c r="D2641">
        <f t="shared" si="98"/>
        <v>-0.63350491166873801</v>
      </c>
    </row>
    <row r="2642" spans="1:4" x14ac:dyDescent="0.3">
      <c r="A2642" s="1">
        <v>29789</v>
      </c>
      <c r="B2642">
        <v>206.16000399999999</v>
      </c>
      <c r="C2642">
        <f t="shared" si="99"/>
        <v>-7.4623414749584206E-3</v>
      </c>
      <c r="D2642">
        <f t="shared" si="98"/>
        <v>-0.63413458457523275</v>
      </c>
    </row>
    <row r="2643" spans="1:4" x14ac:dyDescent="0.3">
      <c r="A2643" s="1">
        <v>29790</v>
      </c>
      <c r="B2643">
        <v>206.41000399999999</v>
      </c>
      <c r="C2643">
        <f t="shared" si="99"/>
        <v>1.2126503451173778E-3</v>
      </c>
      <c r="D2643">
        <f t="shared" si="98"/>
        <v>5.9829089251319592E-2</v>
      </c>
    </row>
    <row r="2644" spans="1:4" x14ac:dyDescent="0.3">
      <c r="A2644" s="1">
        <v>29791</v>
      </c>
      <c r="B2644">
        <v>208</v>
      </c>
      <c r="C2644">
        <f t="shared" si="99"/>
        <v>7.7030956309657042E-3</v>
      </c>
      <c r="D2644">
        <f t="shared" si="98"/>
        <v>0.57903802324869802</v>
      </c>
    </row>
    <row r="2645" spans="1:4" x14ac:dyDescent="0.3">
      <c r="A2645" s="1">
        <v>29794</v>
      </c>
      <c r="B2645">
        <v>209.41999799999999</v>
      </c>
      <c r="C2645">
        <f t="shared" si="99"/>
        <v>6.826913461538426E-3</v>
      </c>
      <c r="D2645">
        <f t="shared" si="98"/>
        <v>0.50894705257712447</v>
      </c>
    </row>
    <row r="2646" spans="1:4" x14ac:dyDescent="0.3">
      <c r="A2646" s="1">
        <v>29795</v>
      </c>
      <c r="B2646">
        <v>208.91000399999999</v>
      </c>
      <c r="C2646">
        <f t="shared" si="99"/>
        <v>-2.4352688609996362E-3</v>
      </c>
      <c r="D2646">
        <f t="shared" si="98"/>
        <v>-0.23198944690463547</v>
      </c>
    </row>
    <row r="2647" spans="1:4" x14ac:dyDescent="0.3">
      <c r="A2647" s="1">
        <v>29796</v>
      </c>
      <c r="B2647">
        <v>208.949997</v>
      </c>
      <c r="C2647">
        <f t="shared" si="99"/>
        <v>1.914365000922106E-4</v>
      </c>
      <c r="D2647">
        <f t="shared" si="98"/>
        <v>-2.1863819094271503E-2</v>
      </c>
    </row>
    <row r="2648" spans="1:4" x14ac:dyDescent="0.3">
      <c r="A2648" s="1">
        <v>29797</v>
      </c>
      <c r="B2648">
        <v>210.029999</v>
      </c>
      <c r="C2648">
        <f t="shared" si="99"/>
        <v>5.1687102919652471E-3</v>
      </c>
      <c r="D2648">
        <f t="shared" si="98"/>
        <v>0.37629761758344604</v>
      </c>
    </row>
    <row r="2649" spans="1:4" x14ac:dyDescent="0.3">
      <c r="A2649" s="1">
        <v>29798</v>
      </c>
      <c r="B2649">
        <v>211.63000500000001</v>
      </c>
      <c r="C2649">
        <f t="shared" si="99"/>
        <v>7.6179879427605368E-3</v>
      </c>
      <c r="D2649">
        <f t="shared" si="98"/>
        <v>0.57222975815718957</v>
      </c>
    </row>
    <row r="2650" spans="1:4" x14ac:dyDescent="0.3">
      <c r="A2650" s="1">
        <v>29801</v>
      </c>
      <c r="B2650">
        <v>210.39999399999999</v>
      </c>
      <c r="C2650">
        <f t="shared" si="99"/>
        <v>-5.8120822706592048E-3</v>
      </c>
      <c r="D2650">
        <f t="shared" si="98"/>
        <v>-0.50212063413769104</v>
      </c>
    </row>
    <row r="2651" spans="1:4" x14ac:dyDescent="0.3">
      <c r="A2651" s="1">
        <v>29802</v>
      </c>
      <c r="B2651">
        <v>210.08999600000001</v>
      </c>
      <c r="C2651">
        <f t="shared" si="99"/>
        <v>-1.4733745667311136E-3</v>
      </c>
      <c r="D2651">
        <f t="shared" si="98"/>
        <v>-0.15504185869612572</v>
      </c>
    </row>
    <row r="2652" spans="1:4" x14ac:dyDescent="0.3">
      <c r="A2652" s="1">
        <v>29803</v>
      </c>
      <c r="B2652">
        <v>211.029999</v>
      </c>
      <c r="C2652">
        <f t="shared" si="99"/>
        <v>4.4742872954311929E-3</v>
      </c>
      <c r="D2652">
        <f t="shared" si="98"/>
        <v>0.32074663334514564</v>
      </c>
    </row>
    <row r="2653" spans="1:4" x14ac:dyDescent="0.3">
      <c r="A2653" s="1">
        <v>29804</v>
      </c>
      <c r="B2653">
        <v>211.66999799999999</v>
      </c>
      <c r="C2653">
        <f t="shared" si="99"/>
        <v>3.0327394353064888E-3</v>
      </c>
      <c r="D2653">
        <f t="shared" si="98"/>
        <v>0.20542873221538943</v>
      </c>
    </row>
    <row r="2654" spans="1:4" x14ac:dyDescent="0.3">
      <c r="A2654" s="1">
        <v>29805</v>
      </c>
      <c r="B2654">
        <v>211.36000100000001</v>
      </c>
      <c r="C2654">
        <f t="shared" si="99"/>
        <v>-1.4645297062835586E-3</v>
      </c>
      <c r="D2654">
        <f t="shared" si="98"/>
        <v>-0.15433430623060479</v>
      </c>
    </row>
    <row r="2655" spans="1:4" x14ac:dyDescent="0.3">
      <c r="A2655" s="1">
        <v>29808</v>
      </c>
      <c r="B2655">
        <v>210.83999600000001</v>
      </c>
      <c r="C2655">
        <f t="shared" si="99"/>
        <v>-2.4602810254528602E-3</v>
      </c>
      <c r="D2655">
        <f t="shared" si="98"/>
        <v>-0.23399031721025862</v>
      </c>
    </row>
    <row r="2656" spans="1:4" x14ac:dyDescent="0.3">
      <c r="A2656" s="1">
        <v>29809</v>
      </c>
      <c r="B2656">
        <v>211.66999799999999</v>
      </c>
      <c r="C2656">
        <f t="shared" si="99"/>
        <v>3.9366439752729788E-3</v>
      </c>
      <c r="D2656">
        <f t="shared" si="98"/>
        <v>0.27773737853503105</v>
      </c>
    </row>
    <row r="2657" spans="1:4" x14ac:dyDescent="0.3">
      <c r="A2657" s="1">
        <v>29810</v>
      </c>
      <c r="B2657">
        <v>211.949997</v>
      </c>
      <c r="C2657">
        <f t="shared" si="99"/>
        <v>1.32280910211944E-3</v>
      </c>
      <c r="D2657">
        <f t="shared" si="98"/>
        <v>6.8641336835969124E-2</v>
      </c>
    </row>
    <row r="2658" spans="1:4" x14ac:dyDescent="0.3">
      <c r="A2658" s="1">
        <v>29811</v>
      </c>
      <c r="B2658">
        <v>212.36000100000001</v>
      </c>
      <c r="C2658">
        <f t="shared" si="99"/>
        <v>1.9344373946842514E-3</v>
      </c>
      <c r="D2658">
        <f t="shared" si="98"/>
        <v>0.11756908521058712</v>
      </c>
    </row>
    <row r="2659" spans="1:4" x14ac:dyDescent="0.3">
      <c r="A2659" s="1">
        <v>29812</v>
      </c>
      <c r="B2659">
        <v>212.11999499999999</v>
      </c>
      <c r="C2659">
        <f t="shared" si="99"/>
        <v>-1.1301845868800047E-3</v>
      </c>
      <c r="D2659">
        <f t="shared" si="98"/>
        <v>-0.12758807151366644</v>
      </c>
    </row>
    <row r="2660" spans="1:4" x14ac:dyDescent="0.3">
      <c r="A2660" s="1">
        <v>29815</v>
      </c>
      <c r="B2660">
        <v>209.64999399999999</v>
      </c>
      <c r="C2660">
        <f t="shared" si="99"/>
        <v>-1.1644357242229788E-2</v>
      </c>
      <c r="D2660">
        <f t="shared" si="98"/>
        <v>-0.96867864940535364</v>
      </c>
    </row>
    <row r="2661" spans="1:4" x14ac:dyDescent="0.3">
      <c r="A2661" s="1">
        <v>29816</v>
      </c>
      <c r="B2661">
        <v>207.009995</v>
      </c>
      <c r="C2661">
        <f t="shared" si="99"/>
        <v>-1.2592411521843349E-2</v>
      </c>
      <c r="D2661">
        <f t="shared" si="98"/>
        <v>-1.0445190933519468</v>
      </c>
    </row>
    <row r="2662" spans="1:4" x14ac:dyDescent="0.3">
      <c r="A2662" s="1">
        <v>29817</v>
      </c>
      <c r="B2662">
        <v>207.220001</v>
      </c>
      <c r="C2662">
        <f t="shared" si="99"/>
        <v>1.0144727552889067E-3</v>
      </c>
      <c r="D2662">
        <f t="shared" si="98"/>
        <v>4.3975696976160557E-2</v>
      </c>
    </row>
    <row r="2663" spans="1:4" x14ac:dyDescent="0.3">
      <c r="A2663" s="1">
        <v>29818</v>
      </c>
      <c r="B2663">
        <v>207.970001</v>
      </c>
      <c r="C2663">
        <f t="shared" si="99"/>
        <v>3.6193417449119692E-3</v>
      </c>
      <c r="D2663">
        <f t="shared" si="98"/>
        <v>0.25235450486071775</v>
      </c>
    </row>
    <row r="2664" spans="1:4" x14ac:dyDescent="0.3">
      <c r="A2664" s="1">
        <v>29819</v>
      </c>
      <c r="B2664">
        <v>206.759995</v>
      </c>
      <c r="C2664">
        <f t="shared" si="99"/>
        <v>-5.8181756704419729E-3</v>
      </c>
      <c r="D2664">
        <f t="shared" si="98"/>
        <v>-0.50260808106410293</v>
      </c>
    </row>
    <row r="2665" spans="1:4" x14ac:dyDescent="0.3">
      <c r="A2665" s="1">
        <v>29822</v>
      </c>
      <c r="B2665">
        <v>200.759995</v>
      </c>
      <c r="C2665">
        <f t="shared" si="99"/>
        <v>-2.9019153342502258E-2</v>
      </c>
      <c r="D2665">
        <f t="shared" si="98"/>
        <v>-2.3585908918386829</v>
      </c>
    </row>
    <row r="2666" spans="1:4" x14ac:dyDescent="0.3">
      <c r="A2666" s="1">
        <v>29823</v>
      </c>
      <c r="B2666">
        <v>197.779999</v>
      </c>
      <c r="C2666">
        <f t="shared" si="99"/>
        <v>-1.4843574786899152E-2</v>
      </c>
      <c r="D2666">
        <f t="shared" si="98"/>
        <v>-1.2246028977177534</v>
      </c>
    </row>
    <row r="2667" spans="1:4" x14ac:dyDescent="0.3">
      <c r="A2667" s="1">
        <v>29824</v>
      </c>
      <c r="B2667">
        <v>197.80999800000001</v>
      </c>
      <c r="C2667">
        <f t="shared" si="99"/>
        <v>1.5167863359127461E-4</v>
      </c>
      <c r="D2667">
        <f t="shared" si="98"/>
        <v>-2.504428492902247E-2</v>
      </c>
    </row>
    <row r="2668" spans="1:4" x14ac:dyDescent="0.3">
      <c r="A2668" s="1">
        <v>29825</v>
      </c>
      <c r="B2668">
        <v>196.820007</v>
      </c>
      <c r="C2668">
        <f t="shared" si="99"/>
        <v>-5.0047571407386771E-3</v>
      </c>
      <c r="D2668">
        <f t="shared" si="98"/>
        <v>-0.43753794348481934</v>
      </c>
    </row>
    <row r="2669" spans="1:4" x14ac:dyDescent="0.3">
      <c r="A2669" s="1">
        <v>29826</v>
      </c>
      <c r="B2669">
        <v>197.550003</v>
      </c>
      <c r="C2669">
        <f t="shared" si="99"/>
        <v>3.7089522103309338E-3</v>
      </c>
      <c r="D2669">
        <f t="shared" si="98"/>
        <v>0.25952297361379939</v>
      </c>
    </row>
    <row r="2670" spans="1:4" x14ac:dyDescent="0.3">
      <c r="A2670" s="1">
        <v>29829</v>
      </c>
      <c r="B2670">
        <v>195.75</v>
      </c>
      <c r="C2670">
        <f t="shared" si="99"/>
        <v>-9.1116323597322541E-3</v>
      </c>
      <c r="D2670">
        <f t="shared" si="98"/>
        <v>-0.7660710734324977</v>
      </c>
    </row>
    <row r="2671" spans="1:4" x14ac:dyDescent="0.3">
      <c r="A2671" s="1">
        <v>29830</v>
      </c>
      <c r="B2671">
        <v>195.16999799999999</v>
      </c>
      <c r="C2671">
        <f t="shared" si="99"/>
        <v>-2.9629731800766665E-3</v>
      </c>
      <c r="D2671">
        <f t="shared" si="98"/>
        <v>-0.27420362249767199</v>
      </c>
    </row>
    <row r="2672" spans="1:4" x14ac:dyDescent="0.3">
      <c r="A2672" s="1">
        <v>29831</v>
      </c>
      <c r="B2672">
        <v>195.38999899999999</v>
      </c>
      <c r="C2672">
        <f t="shared" si="99"/>
        <v>1.1272275567682096E-3</v>
      </c>
      <c r="D2672">
        <f t="shared" si="98"/>
        <v>5.2995617443990686E-2</v>
      </c>
    </row>
    <row r="2673" spans="1:4" x14ac:dyDescent="0.3">
      <c r="A2673" s="1">
        <v>29832</v>
      </c>
      <c r="B2673">
        <v>191.990005</v>
      </c>
      <c r="C2673">
        <f t="shared" si="99"/>
        <v>-1.7401064626649559E-2</v>
      </c>
      <c r="D2673">
        <f t="shared" si="98"/>
        <v>-1.4291915684367267</v>
      </c>
    </row>
    <row r="2674" spans="1:4" x14ac:dyDescent="0.3">
      <c r="A2674" s="1">
        <v>29833</v>
      </c>
      <c r="B2674">
        <v>189.63000500000001</v>
      </c>
      <c r="C2674">
        <f t="shared" si="99"/>
        <v>-1.2292306570855005E-2</v>
      </c>
      <c r="D2674">
        <f t="shared" si="98"/>
        <v>-1.0205119313118114</v>
      </c>
    </row>
    <row r="2675" spans="1:4" x14ac:dyDescent="0.3">
      <c r="A2675" s="1">
        <v>29837</v>
      </c>
      <c r="B2675">
        <v>184.78999300000001</v>
      </c>
      <c r="C2675">
        <f t="shared" si="99"/>
        <v>-2.5523450257779624E-2</v>
      </c>
      <c r="D2675">
        <f t="shared" si="98"/>
        <v>-2.078949019477847</v>
      </c>
    </row>
    <row r="2676" spans="1:4" x14ac:dyDescent="0.3">
      <c r="A2676" s="1">
        <v>29838</v>
      </c>
      <c r="B2676">
        <v>184.770004</v>
      </c>
      <c r="C2676">
        <f t="shared" si="99"/>
        <v>-1.081714419460451E-4</v>
      </c>
      <c r="D2676">
        <f t="shared" si="98"/>
        <v>-4.5831222462112839E-2</v>
      </c>
    </row>
    <row r="2677" spans="1:4" x14ac:dyDescent="0.3">
      <c r="A2677" s="1">
        <v>29839</v>
      </c>
      <c r="B2677">
        <v>187.550003</v>
      </c>
      <c r="C2677">
        <f t="shared" si="99"/>
        <v>1.5045726794485558E-2</v>
      </c>
      <c r="D2677">
        <f t="shared" si="98"/>
        <v>1.1664183232505312</v>
      </c>
    </row>
    <row r="2678" spans="1:4" x14ac:dyDescent="0.3">
      <c r="A2678" s="1">
        <v>29840</v>
      </c>
      <c r="B2678">
        <v>189.80999800000001</v>
      </c>
      <c r="C2678">
        <f t="shared" si="99"/>
        <v>1.2050093115701009E-2</v>
      </c>
      <c r="D2678">
        <f t="shared" si="98"/>
        <v>0.92677994706705813</v>
      </c>
    </row>
    <row r="2679" spans="1:4" x14ac:dyDescent="0.3">
      <c r="A2679" s="1">
        <v>29843</v>
      </c>
      <c r="B2679">
        <v>189.61999499999999</v>
      </c>
      <c r="C2679">
        <f t="shared" si="99"/>
        <v>-1.0010168168276287E-3</v>
      </c>
      <c r="D2679">
        <f t="shared" si="98"/>
        <v>-0.11725518105052052</v>
      </c>
    </row>
    <row r="2680" spans="1:4" x14ac:dyDescent="0.3">
      <c r="A2680" s="1">
        <v>29844</v>
      </c>
      <c r="B2680">
        <v>189.55999800000001</v>
      </c>
      <c r="C2680">
        <f t="shared" si="99"/>
        <v>-3.1640650554801158E-4</v>
      </c>
      <c r="D2680">
        <f t="shared" si="98"/>
        <v>-6.2489171282572226E-2</v>
      </c>
    </row>
    <row r="2681" spans="1:4" x14ac:dyDescent="0.3">
      <c r="A2681" s="1">
        <v>29845</v>
      </c>
      <c r="B2681">
        <v>187.820007</v>
      </c>
      <c r="C2681">
        <f t="shared" si="99"/>
        <v>-9.1791043382475832E-3</v>
      </c>
      <c r="D2681">
        <f t="shared" si="98"/>
        <v>-0.77146855426729055</v>
      </c>
    </row>
    <row r="2682" spans="1:4" x14ac:dyDescent="0.3">
      <c r="A2682" s="1">
        <v>29846</v>
      </c>
      <c r="B2682">
        <v>185.71000699999999</v>
      </c>
      <c r="C2682">
        <f t="shared" si="99"/>
        <v>-1.1234159947614173E-2</v>
      </c>
      <c r="D2682">
        <f t="shared" si="98"/>
        <v>-0.93586455257745871</v>
      </c>
    </row>
    <row r="2683" spans="1:4" x14ac:dyDescent="0.3">
      <c r="A2683" s="1">
        <v>29847</v>
      </c>
      <c r="B2683">
        <v>184.270004</v>
      </c>
      <c r="C2683">
        <f t="shared" si="99"/>
        <v>-7.7540409548312074E-3</v>
      </c>
      <c r="D2683">
        <f t="shared" si="98"/>
        <v>-0.65746934348962738</v>
      </c>
    </row>
    <row r="2684" spans="1:4" x14ac:dyDescent="0.3">
      <c r="A2684" s="1">
        <v>29850</v>
      </c>
      <c r="B2684">
        <v>184.41000399999999</v>
      </c>
      <c r="C2684">
        <f t="shared" si="99"/>
        <v>7.5975469127349858E-4</v>
      </c>
      <c r="D2684">
        <f t="shared" si="98"/>
        <v>2.3599299261865641E-2</v>
      </c>
    </row>
    <row r="2685" spans="1:4" x14ac:dyDescent="0.3">
      <c r="A2685" s="1">
        <v>29851</v>
      </c>
      <c r="B2685">
        <v>183.259995</v>
      </c>
      <c r="C2685">
        <f t="shared" si="99"/>
        <v>-6.2361530017643893E-3</v>
      </c>
      <c r="D2685">
        <f t="shared" si="98"/>
        <v>-0.53604454883683994</v>
      </c>
    </row>
    <row r="2686" spans="1:4" x14ac:dyDescent="0.3">
      <c r="A2686" s="1">
        <v>29852</v>
      </c>
      <c r="B2686">
        <v>179.990005</v>
      </c>
      <c r="C2686">
        <f t="shared" si="99"/>
        <v>-1.7843446956331124E-2</v>
      </c>
      <c r="D2686">
        <f t="shared" si="98"/>
        <v>-1.4645803357242428</v>
      </c>
    </row>
    <row r="2687" spans="1:4" x14ac:dyDescent="0.3">
      <c r="A2687" s="1">
        <v>29853</v>
      </c>
      <c r="B2687">
        <v>180.38999899999999</v>
      </c>
      <c r="C2687">
        <f t="shared" si="99"/>
        <v>2.2223122889517806E-3</v>
      </c>
      <c r="D2687">
        <f t="shared" si="98"/>
        <v>0.14059789300335104</v>
      </c>
    </row>
    <row r="2688" spans="1:4" x14ac:dyDescent="0.3">
      <c r="A2688" s="1">
        <v>29854</v>
      </c>
      <c r="B2688">
        <v>175.11999499999999</v>
      </c>
      <c r="C2688">
        <f t="shared" si="99"/>
        <v>-2.9214502074474763E-2</v>
      </c>
      <c r="D2688">
        <f t="shared" si="98"/>
        <v>-2.3742179871176976</v>
      </c>
    </row>
    <row r="2689" spans="1:4" x14ac:dyDescent="0.3">
      <c r="A2689" s="1">
        <v>29857</v>
      </c>
      <c r="B2689">
        <v>175.029999</v>
      </c>
      <c r="C2689">
        <f t="shared" si="99"/>
        <v>-5.1391047607090841E-4</v>
      </c>
      <c r="D2689">
        <f t="shared" si="98"/>
        <v>-7.8288676783224445E-2</v>
      </c>
    </row>
    <row r="2690" spans="1:4" x14ac:dyDescent="0.3">
      <c r="A2690" s="1">
        <v>29858</v>
      </c>
      <c r="B2690">
        <v>178.509995</v>
      </c>
      <c r="C2690">
        <f t="shared" si="99"/>
        <v>1.9882283150787196E-2</v>
      </c>
      <c r="D2690">
        <f t="shared" si="98"/>
        <v>1.5533229437160894</v>
      </c>
    </row>
    <row r="2691" spans="1:4" x14ac:dyDescent="0.3">
      <c r="A2691" s="1">
        <v>29859</v>
      </c>
      <c r="B2691">
        <v>180.029999</v>
      </c>
      <c r="C2691">
        <f t="shared" si="99"/>
        <v>8.514951781831601E-3</v>
      </c>
      <c r="D2691">
        <f t="shared" ref="D2691:D2754" si="100">(C2691-avrtn)/sdrtn</f>
        <v>0.64398317694552987</v>
      </c>
    </row>
    <row r="2692" spans="1:4" x14ac:dyDescent="0.3">
      <c r="A2692" s="1">
        <v>29860</v>
      </c>
      <c r="B2692">
        <v>181.08999600000001</v>
      </c>
      <c r="C2692">
        <f t="shared" ref="C2692:C2755" si="101">(B2692-B2691)/B2691</f>
        <v>5.8878909397761525E-3</v>
      </c>
      <c r="D2692">
        <f t="shared" si="100"/>
        <v>0.43382911211982417</v>
      </c>
    </row>
    <row r="2693" spans="1:4" x14ac:dyDescent="0.3">
      <c r="A2693" s="1">
        <v>29861</v>
      </c>
      <c r="B2693">
        <v>184.36999499999999</v>
      </c>
      <c r="C2693">
        <f t="shared" si="101"/>
        <v>1.8112535603567934E-2</v>
      </c>
      <c r="D2693">
        <f t="shared" si="100"/>
        <v>1.4117504171839457</v>
      </c>
    </row>
    <row r="2694" spans="1:4" x14ac:dyDescent="0.3">
      <c r="A2694" s="1">
        <v>29864</v>
      </c>
      <c r="B2694">
        <v>185.91000399999999</v>
      </c>
      <c r="C2694">
        <f t="shared" si="101"/>
        <v>8.3528179300541711E-3</v>
      </c>
      <c r="D2694">
        <f t="shared" si="100"/>
        <v>0.63101313550171767</v>
      </c>
    </row>
    <row r="2695" spans="1:4" x14ac:dyDescent="0.3">
      <c r="A2695" s="1">
        <v>29865</v>
      </c>
      <c r="B2695">
        <v>185.86999499999999</v>
      </c>
      <c r="C2695">
        <f t="shared" si="101"/>
        <v>-2.1520627797952036E-4</v>
      </c>
      <c r="D2695">
        <f t="shared" si="100"/>
        <v>-5.4393569214915206E-2</v>
      </c>
    </row>
    <row r="2696" spans="1:4" x14ac:dyDescent="0.3">
      <c r="A2696" s="1">
        <v>29866</v>
      </c>
      <c r="B2696">
        <v>188.779999</v>
      </c>
      <c r="C2696">
        <f t="shared" si="101"/>
        <v>1.565612566998786E-2</v>
      </c>
      <c r="D2696">
        <f t="shared" si="100"/>
        <v>1.2152477233155417</v>
      </c>
    </row>
    <row r="2697" spans="1:4" x14ac:dyDescent="0.3">
      <c r="A2697" s="1">
        <v>29867</v>
      </c>
      <c r="B2697">
        <v>191.009995</v>
      </c>
      <c r="C2697">
        <f t="shared" si="101"/>
        <v>1.1812670896348505E-2</v>
      </c>
      <c r="D2697">
        <f t="shared" si="100"/>
        <v>0.90778714580485731</v>
      </c>
    </row>
    <row r="2698" spans="1:4" x14ac:dyDescent="0.3">
      <c r="A2698" s="1">
        <v>29868</v>
      </c>
      <c r="B2698">
        <v>191.270004</v>
      </c>
      <c r="C2698">
        <f t="shared" si="101"/>
        <v>1.3612324318420959E-3</v>
      </c>
      <c r="D2698">
        <f t="shared" si="100"/>
        <v>7.1715045216105722E-2</v>
      </c>
    </row>
    <row r="2699" spans="1:4" x14ac:dyDescent="0.3">
      <c r="A2699" s="1">
        <v>29871</v>
      </c>
      <c r="B2699">
        <v>191.279999</v>
      </c>
      <c r="C2699">
        <f t="shared" si="101"/>
        <v>5.2255972138754852E-5</v>
      </c>
      <c r="D2699">
        <f t="shared" si="100"/>
        <v>-3.299768901679731E-2</v>
      </c>
    </row>
    <row r="2700" spans="1:4" x14ac:dyDescent="0.3">
      <c r="A2700" s="1">
        <v>29872</v>
      </c>
      <c r="B2700">
        <v>191.91999799999999</v>
      </c>
      <c r="C2700">
        <f t="shared" si="101"/>
        <v>3.3458751743301132E-3</v>
      </c>
      <c r="D2700">
        <f t="shared" si="100"/>
        <v>0.23047830371542666</v>
      </c>
    </row>
    <row r="2701" spans="1:4" x14ac:dyDescent="0.3">
      <c r="A2701" s="1">
        <v>29873</v>
      </c>
      <c r="B2701">
        <v>189.429993</v>
      </c>
      <c r="C2701">
        <f t="shared" si="101"/>
        <v>-1.2974182086016885E-2</v>
      </c>
      <c r="D2701">
        <f t="shared" si="100"/>
        <v>-1.0750591686358897</v>
      </c>
    </row>
    <row r="2702" spans="1:4" x14ac:dyDescent="0.3">
      <c r="A2702" s="1">
        <v>29874</v>
      </c>
      <c r="B2702">
        <v>189.85000600000001</v>
      </c>
      <c r="C2702">
        <f t="shared" si="101"/>
        <v>2.2172465582048113E-3</v>
      </c>
      <c r="D2702">
        <f t="shared" si="100"/>
        <v>0.1401926553740028</v>
      </c>
    </row>
    <row r="2703" spans="1:4" x14ac:dyDescent="0.3">
      <c r="A2703" s="1">
        <v>29875</v>
      </c>
      <c r="B2703">
        <v>190.240005</v>
      </c>
      <c r="C2703">
        <f t="shared" si="101"/>
        <v>2.0542480256755371E-3</v>
      </c>
      <c r="D2703">
        <f t="shared" si="100"/>
        <v>0.12715344302563156</v>
      </c>
    </row>
    <row r="2704" spans="1:4" x14ac:dyDescent="0.3">
      <c r="A2704" s="1">
        <v>29878</v>
      </c>
      <c r="B2704">
        <v>189.770004</v>
      </c>
      <c r="C2704">
        <f t="shared" si="101"/>
        <v>-2.4705686903235538E-3</v>
      </c>
      <c r="D2704">
        <f t="shared" si="100"/>
        <v>-0.23481328809678337</v>
      </c>
    </row>
    <row r="2705" spans="1:4" x14ac:dyDescent="0.3">
      <c r="A2705" s="1">
        <v>29879</v>
      </c>
      <c r="B2705">
        <v>191.229996</v>
      </c>
      <c r="C2705">
        <f t="shared" si="101"/>
        <v>7.6934814208045217E-3</v>
      </c>
      <c r="D2705">
        <f t="shared" si="100"/>
        <v>0.57826892596967183</v>
      </c>
    </row>
    <row r="2706" spans="1:4" x14ac:dyDescent="0.3">
      <c r="A2706" s="1">
        <v>29880</v>
      </c>
      <c r="B2706">
        <v>192.38000500000001</v>
      </c>
      <c r="C2706">
        <f t="shared" si="101"/>
        <v>6.0137479687026266E-3</v>
      </c>
      <c r="D2706">
        <f t="shared" si="100"/>
        <v>0.4438971569067468</v>
      </c>
    </row>
    <row r="2707" spans="1:4" x14ac:dyDescent="0.3">
      <c r="A2707" s="1">
        <v>29881</v>
      </c>
      <c r="B2707">
        <v>192.429993</v>
      </c>
      <c r="C2707">
        <f t="shared" si="101"/>
        <v>2.5983989344414884E-4</v>
      </c>
      <c r="D2707">
        <f t="shared" si="100"/>
        <v>-1.6391828902550601E-2</v>
      </c>
    </row>
    <row r="2708" spans="1:4" x14ac:dyDescent="0.3">
      <c r="A2708" s="1">
        <v>29882</v>
      </c>
      <c r="B2708">
        <v>191.91000399999999</v>
      </c>
      <c r="C2708">
        <f t="shared" si="101"/>
        <v>-2.7022242837165702E-3</v>
      </c>
      <c r="D2708">
        <f t="shared" si="100"/>
        <v>-0.25334478299473279</v>
      </c>
    </row>
    <row r="2709" spans="1:4" x14ac:dyDescent="0.3">
      <c r="A2709" s="1">
        <v>29885</v>
      </c>
      <c r="B2709">
        <v>191.009995</v>
      </c>
      <c r="C2709">
        <f t="shared" si="101"/>
        <v>-4.6897450953103156E-3</v>
      </c>
      <c r="D2709">
        <f t="shared" si="100"/>
        <v>-0.41233827518782112</v>
      </c>
    </row>
    <row r="2710" spans="1:4" x14ac:dyDescent="0.3">
      <c r="A2710" s="1">
        <v>29886</v>
      </c>
      <c r="B2710">
        <v>192.61000100000001</v>
      </c>
      <c r="C2710">
        <f t="shared" si="101"/>
        <v>8.37655642051615E-3</v>
      </c>
      <c r="D2710">
        <f t="shared" si="100"/>
        <v>0.63291211712541995</v>
      </c>
    </row>
    <row r="2711" spans="1:4" x14ac:dyDescent="0.3">
      <c r="A2711" s="1">
        <v>29887</v>
      </c>
      <c r="B2711">
        <v>193.75</v>
      </c>
      <c r="C2711">
        <f t="shared" si="101"/>
        <v>5.9186905876190141E-3</v>
      </c>
      <c r="D2711">
        <f t="shared" si="100"/>
        <v>0.43629295729834444</v>
      </c>
    </row>
    <row r="2712" spans="1:4" x14ac:dyDescent="0.3">
      <c r="A2712" s="1">
        <v>29888</v>
      </c>
      <c r="B2712">
        <v>193.08000200000001</v>
      </c>
      <c r="C2712">
        <f t="shared" si="101"/>
        <v>-3.4580541935483487E-3</v>
      </c>
      <c r="D2712">
        <f t="shared" si="100"/>
        <v>-0.31380806779011489</v>
      </c>
    </row>
    <row r="2713" spans="1:4" x14ac:dyDescent="0.3">
      <c r="A2713" s="1">
        <v>29889</v>
      </c>
      <c r="B2713">
        <v>195.240005</v>
      </c>
      <c r="C2713">
        <f t="shared" si="101"/>
        <v>1.118708813769325E-2</v>
      </c>
      <c r="D2713">
        <f t="shared" si="100"/>
        <v>0.85774309752411126</v>
      </c>
    </row>
    <row r="2714" spans="1:4" x14ac:dyDescent="0.3">
      <c r="A2714" s="1">
        <v>29892</v>
      </c>
      <c r="B2714">
        <v>197.25</v>
      </c>
      <c r="C2714">
        <f t="shared" si="101"/>
        <v>1.0294995638829263E-2</v>
      </c>
      <c r="D2714">
        <f t="shared" si="100"/>
        <v>0.78637936592126667</v>
      </c>
    </row>
    <row r="2715" spans="1:4" x14ac:dyDescent="0.3">
      <c r="A2715" s="1">
        <v>29893</v>
      </c>
      <c r="B2715">
        <v>198.779999</v>
      </c>
      <c r="C2715">
        <f t="shared" si="101"/>
        <v>7.7566489226869638E-3</v>
      </c>
      <c r="D2715">
        <f t="shared" si="100"/>
        <v>0.58332206637394735</v>
      </c>
    </row>
    <row r="2716" spans="1:4" x14ac:dyDescent="0.3">
      <c r="A2716" s="1">
        <v>29894</v>
      </c>
      <c r="B2716">
        <v>199.729996</v>
      </c>
      <c r="C2716">
        <f t="shared" si="101"/>
        <v>4.7791377642576417E-3</v>
      </c>
      <c r="D2716">
        <f t="shared" si="100"/>
        <v>0.34513341729864344</v>
      </c>
    </row>
    <row r="2717" spans="1:4" x14ac:dyDescent="0.3">
      <c r="A2717" s="1">
        <v>29895</v>
      </c>
      <c r="B2717">
        <v>200.020004</v>
      </c>
      <c r="C2717">
        <f t="shared" si="101"/>
        <v>1.452000229349628E-3</v>
      </c>
      <c r="D2717">
        <f t="shared" si="100"/>
        <v>7.8976095777294739E-2</v>
      </c>
    </row>
    <row r="2718" spans="1:4" x14ac:dyDescent="0.3">
      <c r="A2718" s="1">
        <v>29896</v>
      </c>
      <c r="B2718">
        <v>199.970001</v>
      </c>
      <c r="C2718">
        <f t="shared" si="101"/>
        <v>-2.49989996000619E-4</v>
      </c>
      <c r="D2718">
        <f t="shared" si="100"/>
        <v>-5.7176123625099953E-2</v>
      </c>
    </row>
    <row r="2719" spans="1:4" x14ac:dyDescent="0.3">
      <c r="A2719" s="1">
        <v>29899</v>
      </c>
      <c r="B2719">
        <v>199.91999799999999</v>
      </c>
      <c r="C2719">
        <f t="shared" si="101"/>
        <v>-2.5005250662575031E-4</v>
      </c>
      <c r="D2719">
        <f t="shared" si="100"/>
        <v>-5.7181124218065232E-2</v>
      </c>
    </row>
    <row r="2720" spans="1:4" x14ac:dyDescent="0.3">
      <c r="A2720" s="1">
        <v>29900</v>
      </c>
      <c r="B2720">
        <v>199.89999399999999</v>
      </c>
      <c r="C2720">
        <f t="shared" si="101"/>
        <v>-1.0006002501060516E-4</v>
      </c>
      <c r="D2720">
        <f t="shared" si="100"/>
        <v>-4.5182342461623386E-2</v>
      </c>
    </row>
    <row r="2721" spans="1:4" x14ac:dyDescent="0.3">
      <c r="A2721" s="1">
        <v>29901</v>
      </c>
      <c r="B2721">
        <v>200.050003</v>
      </c>
      <c r="C2721">
        <f t="shared" si="101"/>
        <v>7.5042023262897838E-4</v>
      </c>
      <c r="D2721">
        <f t="shared" si="100"/>
        <v>2.285258095382732E-2</v>
      </c>
    </row>
    <row r="2722" spans="1:4" x14ac:dyDescent="0.3">
      <c r="A2722" s="1">
        <v>29902</v>
      </c>
      <c r="B2722">
        <v>200.990005</v>
      </c>
      <c r="C2722">
        <f t="shared" si="101"/>
        <v>4.6988352207122568E-3</v>
      </c>
      <c r="D2722">
        <f t="shared" si="100"/>
        <v>0.33870954402104481</v>
      </c>
    </row>
    <row r="2723" spans="1:4" x14ac:dyDescent="0.3">
      <c r="A2723" s="1">
        <v>29903</v>
      </c>
      <c r="B2723">
        <v>200.16000399999999</v>
      </c>
      <c r="C2723">
        <f t="shared" si="101"/>
        <v>-4.129563557153053E-3</v>
      </c>
      <c r="D2723">
        <f t="shared" si="100"/>
        <v>-0.3675260556154889</v>
      </c>
    </row>
    <row r="2724" spans="1:4" x14ac:dyDescent="0.3">
      <c r="A2724" s="1">
        <v>29906</v>
      </c>
      <c r="B2724">
        <v>197.16000399999999</v>
      </c>
      <c r="C2724">
        <f t="shared" si="101"/>
        <v>-1.4988009292805572E-2</v>
      </c>
      <c r="D2724">
        <f t="shared" si="100"/>
        <v>-1.2361570642720299</v>
      </c>
    </row>
    <row r="2725" spans="1:4" x14ac:dyDescent="0.3">
      <c r="A2725" s="1">
        <v>29907</v>
      </c>
      <c r="B2725">
        <v>197.679993</v>
      </c>
      <c r="C2725">
        <f t="shared" si="101"/>
        <v>2.6373959700265051E-3</v>
      </c>
      <c r="D2725">
        <f t="shared" si="100"/>
        <v>0.17380288065503369</v>
      </c>
    </row>
    <row r="2726" spans="1:4" x14ac:dyDescent="0.3">
      <c r="A2726" s="1">
        <v>29908</v>
      </c>
      <c r="B2726">
        <v>197.60000600000001</v>
      </c>
      <c r="C2726">
        <f t="shared" si="101"/>
        <v>-4.0462870716506189E-4</v>
      </c>
      <c r="D2726">
        <f t="shared" si="100"/>
        <v>-6.9546584640075557E-2</v>
      </c>
    </row>
    <row r="2727" spans="1:4" x14ac:dyDescent="0.3">
      <c r="A2727" s="1">
        <v>29909</v>
      </c>
      <c r="B2727">
        <v>197.320007</v>
      </c>
      <c r="C2727">
        <f t="shared" si="101"/>
        <v>-1.4169989448279856E-3</v>
      </c>
      <c r="D2727">
        <f t="shared" si="100"/>
        <v>-0.15053204076181792</v>
      </c>
    </row>
    <row r="2728" spans="1:4" x14ac:dyDescent="0.3">
      <c r="A2728" s="1">
        <v>29910</v>
      </c>
      <c r="B2728">
        <v>198.60000600000001</v>
      </c>
      <c r="C2728">
        <f t="shared" si="101"/>
        <v>6.4869194941798462E-3</v>
      </c>
      <c r="D2728">
        <f t="shared" si="100"/>
        <v>0.48174893325198564</v>
      </c>
    </row>
    <row r="2729" spans="1:4" x14ac:dyDescent="0.3">
      <c r="A2729" s="1">
        <v>29913</v>
      </c>
      <c r="B2729">
        <v>198.009995</v>
      </c>
      <c r="C2729">
        <f t="shared" si="101"/>
        <v>-2.970850866943096E-3</v>
      </c>
      <c r="D2729">
        <f t="shared" si="100"/>
        <v>-0.27483380505374438</v>
      </c>
    </row>
    <row r="2730" spans="1:4" x14ac:dyDescent="0.3">
      <c r="A2730" s="1">
        <v>29914</v>
      </c>
      <c r="B2730">
        <v>199.03999300000001</v>
      </c>
      <c r="C2730">
        <f t="shared" si="101"/>
        <v>5.2017475178462898E-3</v>
      </c>
      <c r="D2730">
        <f t="shared" si="100"/>
        <v>0.37894045980404489</v>
      </c>
    </row>
    <row r="2731" spans="1:4" x14ac:dyDescent="0.3">
      <c r="A2731" s="1">
        <v>29915</v>
      </c>
      <c r="B2731">
        <v>200.009995</v>
      </c>
      <c r="C2731">
        <f t="shared" si="101"/>
        <v>4.8734025025814476E-3</v>
      </c>
      <c r="D2731">
        <f t="shared" si="100"/>
        <v>0.35267420874562783</v>
      </c>
    </row>
    <row r="2732" spans="1:4" x14ac:dyDescent="0.3">
      <c r="A2732" s="1">
        <v>29917</v>
      </c>
      <c r="B2732">
        <v>201.020004</v>
      </c>
      <c r="C2732">
        <f t="shared" si="101"/>
        <v>5.0497926366129681E-3</v>
      </c>
      <c r="D2732">
        <f t="shared" si="100"/>
        <v>0.36678469414758436</v>
      </c>
    </row>
    <row r="2733" spans="1:4" x14ac:dyDescent="0.3">
      <c r="A2733" s="1">
        <v>29920</v>
      </c>
      <c r="B2733">
        <v>201.36999499999999</v>
      </c>
      <c r="C2733">
        <f t="shared" si="101"/>
        <v>1.7410754802292643E-3</v>
      </c>
      <c r="D2733">
        <f t="shared" si="100"/>
        <v>0.10210092716313135</v>
      </c>
    </row>
    <row r="2734" spans="1:4" x14ac:dyDescent="0.3">
      <c r="A2734" s="1">
        <v>29921</v>
      </c>
      <c r="B2734">
        <v>201.13000500000001</v>
      </c>
      <c r="C2734">
        <f t="shared" si="101"/>
        <v>-1.1917862936828177E-3</v>
      </c>
      <c r="D2734">
        <f t="shared" si="100"/>
        <v>-0.13251595475015954</v>
      </c>
    </row>
    <row r="2735" spans="1:4" x14ac:dyDescent="0.3">
      <c r="A2735" s="1">
        <v>29922</v>
      </c>
      <c r="B2735">
        <v>200.35000600000001</v>
      </c>
      <c r="C2735">
        <f t="shared" si="101"/>
        <v>-3.8780837299735743E-3</v>
      </c>
      <c r="D2735">
        <f t="shared" si="100"/>
        <v>-0.34740870353235886</v>
      </c>
    </row>
    <row r="2736" spans="1:4" x14ac:dyDescent="0.3">
      <c r="A2736" s="1">
        <v>29923</v>
      </c>
      <c r="B2736">
        <v>199.89999399999999</v>
      </c>
      <c r="C2736">
        <f t="shared" si="101"/>
        <v>-2.2461292065048162E-3</v>
      </c>
      <c r="D2736">
        <f t="shared" si="100"/>
        <v>-0.21685905229195637</v>
      </c>
    </row>
    <row r="2737" spans="1:4" x14ac:dyDescent="0.3">
      <c r="A2737" s="1">
        <v>29924</v>
      </c>
      <c r="B2737">
        <v>200.88000500000001</v>
      </c>
      <c r="C2737">
        <f t="shared" si="101"/>
        <v>4.902506400275424E-3</v>
      </c>
      <c r="D2737">
        <f t="shared" si="100"/>
        <v>0.35500240088520352</v>
      </c>
    </row>
    <row r="2738" spans="1:4" x14ac:dyDescent="0.3">
      <c r="A2738" s="1">
        <v>29927</v>
      </c>
      <c r="B2738">
        <v>199.71000699999999</v>
      </c>
      <c r="C2738">
        <f t="shared" si="101"/>
        <v>-5.82436265869279E-3</v>
      </c>
      <c r="D2738">
        <f t="shared" si="100"/>
        <v>-0.50310301468312058</v>
      </c>
    </row>
    <row r="2739" spans="1:4" x14ac:dyDescent="0.3">
      <c r="A2739" s="1">
        <v>29928</v>
      </c>
      <c r="B2739">
        <v>198.13000500000001</v>
      </c>
      <c r="C2739">
        <f t="shared" si="101"/>
        <v>-7.9114813710861216E-3</v>
      </c>
      <c r="D2739">
        <f t="shared" si="100"/>
        <v>-0.67006392939116044</v>
      </c>
    </row>
    <row r="2740" spans="1:4" x14ac:dyDescent="0.3">
      <c r="A2740" s="1">
        <v>29929</v>
      </c>
      <c r="B2740">
        <v>198.28999300000001</v>
      </c>
      <c r="C2740">
        <f t="shared" si="101"/>
        <v>8.0749001141951443E-4</v>
      </c>
      <c r="D2740">
        <f t="shared" si="100"/>
        <v>2.7417928584737596E-2</v>
      </c>
    </row>
    <row r="2741" spans="1:4" x14ac:dyDescent="0.3">
      <c r="A2741" s="1">
        <v>29930</v>
      </c>
      <c r="B2741">
        <v>198.91999799999999</v>
      </c>
      <c r="C2741">
        <f t="shared" si="101"/>
        <v>3.1771900864406345E-3</v>
      </c>
      <c r="D2741">
        <f t="shared" si="100"/>
        <v>0.21698419032149441</v>
      </c>
    </row>
    <row r="2742" spans="1:4" x14ac:dyDescent="0.3">
      <c r="A2742" s="1">
        <v>29931</v>
      </c>
      <c r="B2742">
        <v>198.63999899999999</v>
      </c>
      <c r="C2742">
        <f t="shared" si="101"/>
        <v>-1.4075960326523011E-3</v>
      </c>
      <c r="D2742">
        <f t="shared" si="100"/>
        <v>-0.14977984645276907</v>
      </c>
    </row>
    <row r="2743" spans="1:4" x14ac:dyDescent="0.3">
      <c r="A2743" s="1">
        <v>29934</v>
      </c>
      <c r="B2743">
        <v>195.66999799999999</v>
      </c>
      <c r="C2743">
        <f t="shared" si="101"/>
        <v>-1.4951676474786915E-2</v>
      </c>
      <c r="D2743">
        <f t="shared" si="100"/>
        <v>-1.2332505882319778</v>
      </c>
    </row>
    <row r="2744" spans="1:4" x14ac:dyDescent="0.3">
      <c r="A2744" s="1">
        <v>29935</v>
      </c>
      <c r="B2744">
        <v>195.16000399999999</v>
      </c>
      <c r="C2744">
        <f t="shared" si="101"/>
        <v>-2.6063985547748925E-3</v>
      </c>
      <c r="D2744">
        <f t="shared" si="100"/>
        <v>-0.24567911871715045</v>
      </c>
    </row>
    <row r="2745" spans="1:4" x14ac:dyDescent="0.3">
      <c r="A2745" s="1">
        <v>29936</v>
      </c>
      <c r="B2745">
        <v>195.08999600000001</v>
      </c>
      <c r="C2745">
        <f t="shared" si="101"/>
        <v>-3.5872104204288181E-4</v>
      </c>
      <c r="D2745">
        <f t="shared" si="100"/>
        <v>-6.5874160203748089E-2</v>
      </c>
    </row>
    <row r="2746" spans="1:4" x14ac:dyDescent="0.3">
      <c r="A2746" s="1">
        <v>29937</v>
      </c>
      <c r="B2746">
        <v>195.699997</v>
      </c>
      <c r="C2746">
        <f t="shared" si="101"/>
        <v>3.1267671972271846E-3</v>
      </c>
      <c r="D2746">
        <f t="shared" si="100"/>
        <v>0.21295056652457778</v>
      </c>
    </row>
    <row r="2747" spans="1:4" x14ac:dyDescent="0.3">
      <c r="A2747" s="1">
        <v>29938</v>
      </c>
      <c r="B2747">
        <v>197.009995</v>
      </c>
      <c r="C2747">
        <f t="shared" si="101"/>
        <v>6.6939091470706938E-3</v>
      </c>
      <c r="D2747">
        <f t="shared" si="100"/>
        <v>0.49830725433671497</v>
      </c>
    </row>
    <row r="2748" spans="1:4" x14ac:dyDescent="0.3">
      <c r="A2748" s="1">
        <v>29941</v>
      </c>
      <c r="B2748">
        <v>196.36999499999999</v>
      </c>
      <c r="C2748">
        <f t="shared" si="101"/>
        <v>-3.2485661450832215E-3</v>
      </c>
      <c r="D2748">
        <f t="shared" si="100"/>
        <v>-0.29704988533290716</v>
      </c>
    </row>
    <row r="2749" spans="1:4" x14ac:dyDescent="0.3">
      <c r="A2749" s="1">
        <v>29942</v>
      </c>
      <c r="B2749">
        <v>195.63999899999999</v>
      </c>
      <c r="C2749">
        <f t="shared" si="101"/>
        <v>-3.7174518439031376E-3</v>
      </c>
      <c r="D2749">
        <f t="shared" si="100"/>
        <v>-0.33455881316898622</v>
      </c>
    </row>
    <row r="2750" spans="1:4" x14ac:dyDescent="0.3">
      <c r="A2750" s="1">
        <v>29943</v>
      </c>
      <c r="B2750">
        <v>195.449997</v>
      </c>
      <c r="C2750">
        <f t="shared" si="101"/>
        <v>-9.7118176738486225E-4</v>
      </c>
      <c r="D2750">
        <f t="shared" si="100"/>
        <v>-0.11486849977755556</v>
      </c>
    </row>
    <row r="2751" spans="1:4" x14ac:dyDescent="0.3">
      <c r="A2751" s="1">
        <v>29944</v>
      </c>
      <c r="B2751">
        <v>195.699997</v>
      </c>
      <c r="C2751">
        <f t="shared" si="101"/>
        <v>1.2790995335753318E-3</v>
      </c>
      <c r="D2751">
        <f t="shared" si="100"/>
        <v>6.5144751087260297E-2</v>
      </c>
    </row>
    <row r="2752" spans="1:4" x14ac:dyDescent="0.3">
      <c r="A2752" s="1">
        <v>29948</v>
      </c>
      <c r="B2752">
        <v>195.13999899999999</v>
      </c>
      <c r="C2752">
        <f t="shared" si="101"/>
        <v>-2.8615125630278232E-3</v>
      </c>
      <c r="D2752">
        <f t="shared" si="100"/>
        <v>-0.26608719034231476</v>
      </c>
    </row>
    <row r="2753" spans="1:4" x14ac:dyDescent="0.3">
      <c r="A2753" s="1">
        <v>29949</v>
      </c>
      <c r="B2753">
        <v>193.91000399999999</v>
      </c>
      <c r="C2753">
        <f t="shared" si="101"/>
        <v>-6.3031413667271902E-3</v>
      </c>
      <c r="D2753">
        <f t="shared" si="100"/>
        <v>-0.54140334257606137</v>
      </c>
    </row>
    <row r="2754" spans="1:4" x14ac:dyDescent="0.3">
      <c r="A2754" s="1">
        <v>29950</v>
      </c>
      <c r="B2754">
        <v>194.66000399999999</v>
      </c>
      <c r="C2754">
        <f t="shared" si="101"/>
        <v>3.8677736296679156E-3</v>
      </c>
      <c r="D2754">
        <f t="shared" si="100"/>
        <v>0.2722280340831793</v>
      </c>
    </row>
    <row r="2755" spans="1:4" x14ac:dyDescent="0.3">
      <c r="A2755" s="1">
        <v>29951</v>
      </c>
      <c r="B2755">
        <v>195.83999600000001</v>
      </c>
      <c r="C2755">
        <f t="shared" si="101"/>
        <v>6.0618102114085391E-3</v>
      </c>
      <c r="D2755">
        <f t="shared" ref="D2755:D2818" si="102">(C2755-avrtn)/sdrtn</f>
        <v>0.44774193869009687</v>
      </c>
    </row>
    <row r="2756" spans="1:4" x14ac:dyDescent="0.3">
      <c r="A2756" s="1">
        <v>29955</v>
      </c>
      <c r="B2756">
        <v>195.529999</v>
      </c>
      <c r="C2756">
        <f t="shared" ref="C2756:C2819" si="103">(B2756-B2755)/B2755</f>
        <v>-1.5829095503045753E-3</v>
      </c>
      <c r="D2756">
        <f t="shared" si="102"/>
        <v>-0.16380420697145892</v>
      </c>
    </row>
    <row r="2757" spans="1:4" x14ac:dyDescent="0.3">
      <c r="A2757" s="1">
        <v>29956</v>
      </c>
      <c r="B2757">
        <v>192.33000200000001</v>
      </c>
      <c r="C2757">
        <f t="shared" si="103"/>
        <v>-1.6365759813664175E-2</v>
      </c>
      <c r="D2757">
        <f t="shared" si="102"/>
        <v>-1.3463714405967246</v>
      </c>
    </row>
    <row r="2758" spans="1:4" x14ac:dyDescent="0.3">
      <c r="A2758" s="1">
        <v>29957</v>
      </c>
      <c r="B2758">
        <v>191.14999399999999</v>
      </c>
      <c r="C2758">
        <f t="shared" si="103"/>
        <v>-6.1353298379314474E-3</v>
      </c>
      <c r="D2758">
        <f t="shared" si="102"/>
        <v>-0.52797911031753153</v>
      </c>
    </row>
    <row r="2759" spans="1:4" x14ac:dyDescent="0.3">
      <c r="A2759" s="1">
        <v>29958</v>
      </c>
      <c r="B2759">
        <v>191.020004</v>
      </c>
      <c r="C2759">
        <f t="shared" si="103"/>
        <v>-6.8004187329449926E-4</v>
      </c>
      <c r="D2759">
        <f t="shared" si="102"/>
        <v>-9.1578505424724427E-2</v>
      </c>
    </row>
    <row r="2760" spans="1:4" x14ac:dyDescent="0.3">
      <c r="A2760" s="1">
        <v>29959</v>
      </c>
      <c r="B2760">
        <v>192.050003</v>
      </c>
      <c r="C2760">
        <f t="shared" si="103"/>
        <v>5.3921001907214052E-3</v>
      </c>
      <c r="D2760">
        <f t="shared" si="102"/>
        <v>0.39416789089918625</v>
      </c>
    </row>
    <row r="2761" spans="1:4" x14ac:dyDescent="0.3">
      <c r="A2761" s="1">
        <v>29962</v>
      </c>
      <c r="B2761">
        <v>188.800003</v>
      </c>
      <c r="C2761">
        <f t="shared" si="103"/>
        <v>-1.6922676122009744E-2</v>
      </c>
      <c r="D2761">
        <f t="shared" si="102"/>
        <v>-1.3909224552108268</v>
      </c>
    </row>
    <row r="2762" spans="1:4" x14ac:dyDescent="0.3">
      <c r="A2762" s="1">
        <v>29963</v>
      </c>
      <c r="B2762">
        <v>187.320007</v>
      </c>
      <c r="C2762">
        <f t="shared" si="103"/>
        <v>-7.838961739847005E-3</v>
      </c>
      <c r="D2762">
        <f t="shared" si="102"/>
        <v>-0.66426265709453669</v>
      </c>
    </row>
    <row r="2763" spans="1:4" x14ac:dyDescent="0.3">
      <c r="A2763" s="1">
        <v>29964</v>
      </c>
      <c r="B2763">
        <v>185.729996</v>
      </c>
      <c r="C2763">
        <f t="shared" si="103"/>
        <v>-8.4882070285210061E-3</v>
      </c>
      <c r="D2763">
        <f t="shared" si="102"/>
        <v>-0.71619961047587755</v>
      </c>
    </row>
    <row r="2764" spans="1:4" x14ac:dyDescent="0.3">
      <c r="A2764" s="1">
        <v>29965</v>
      </c>
      <c r="B2764">
        <v>185.88999899999999</v>
      </c>
      <c r="C2764">
        <f t="shared" si="103"/>
        <v>8.6148173933083493E-4</v>
      </c>
      <c r="D2764">
        <f t="shared" si="102"/>
        <v>3.1737044802331471E-2</v>
      </c>
    </row>
    <row r="2765" spans="1:4" x14ac:dyDescent="0.3">
      <c r="A2765" s="1">
        <v>29966</v>
      </c>
      <c r="B2765">
        <v>187.320007</v>
      </c>
      <c r="C2765">
        <f t="shared" si="103"/>
        <v>7.6927645795512381E-3</v>
      </c>
      <c r="D2765">
        <f t="shared" si="102"/>
        <v>0.57821158161707797</v>
      </c>
    </row>
    <row r="2766" spans="1:4" x14ac:dyDescent="0.3">
      <c r="A2766" s="1">
        <v>29969</v>
      </c>
      <c r="B2766">
        <v>187.21000699999999</v>
      </c>
      <c r="C2766">
        <f t="shared" si="103"/>
        <v>-5.8723038591394902E-4</v>
      </c>
      <c r="D2766">
        <f t="shared" si="102"/>
        <v>-8.4153968077396918E-2</v>
      </c>
    </row>
    <row r="2767" spans="1:4" x14ac:dyDescent="0.3">
      <c r="A2767" s="1">
        <v>29970</v>
      </c>
      <c r="B2767">
        <v>186.16000399999999</v>
      </c>
      <c r="C2767">
        <f t="shared" si="103"/>
        <v>-5.6086905653499807E-3</v>
      </c>
      <c r="D2767">
        <f t="shared" si="102"/>
        <v>-0.48585013406464278</v>
      </c>
    </row>
    <row r="2768" spans="1:4" x14ac:dyDescent="0.3">
      <c r="A2768" s="1">
        <v>29971</v>
      </c>
      <c r="B2768">
        <v>185.720001</v>
      </c>
      <c r="C2768">
        <f t="shared" si="103"/>
        <v>-2.3635742938638428E-3</v>
      </c>
      <c r="D2768">
        <f t="shared" si="102"/>
        <v>-0.22625417634359363</v>
      </c>
    </row>
    <row r="2769" spans="1:4" x14ac:dyDescent="0.3">
      <c r="A2769" s="1">
        <v>29972</v>
      </c>
      <c r="B2769">
        <v>186.39999399999999</v>
      </c>
      <c r="C2769">
        <f t="shared" si="103"/>
        <v>3.6613880914204608E-3</v>
      </c>
      <c r="D2769">
        <f t="shared" si="102"/>
        <v>0.25571803968578716</v>
      </c>
    </row>
    <row r="2770" spans="1:4" x14ac:dyDescent="0.3">
      <c r="A2770" s="1">
        <v>29973</v>
      </c>
      <c r="B2770">
        <v>185.83000200000001</v>
      </c>
      <c r="C2770">
        <f t="shared" si="103"/>
        <v>-3.057897094138238E-3</v>
      </c>
      <c r="D2770">
        <f t="shared" si="102"/>
        <v>-0.28179714529313077</v>
      </c>
    </row>
    <row r="2771" spans="1:4" x14ac:dyDescent="0.3">
      <c r="A2771" s="1">
        <v>29976</v>
      </c>
      <c r="B2771">
        <v>183.520004</v>
      </c>
      <c r="C2771">
        <f t="shared" si="103"/>
        <v>-1.2430705349720694E-2</v>
      </c>
      <c r="D2771">
        <f t="shared" si="102"/>
        <v>-1.0315832645218874</v>
      </c>
    </row>
    <row r="2772" spans="1:4" x14ac:dyDescent="0.3">
      <c r="A2772" s="1">
        <v>29977</v>
      </c>
      <c r="B2772">
        <v>183.41000399999999</v>
      </c>
      <c r="C2772">
        <f t="shared" si="103"/>
        <v>-5.993896992287208E-4</v>
      </c>
      <c r="D2772">
        <f t="shared" si="102"/>
        <v>-8.5126663143183554E-2</v>
      </c>
    </row>
    <row r="2773" spans="1:4" x14ac:dyDescent="0.3">
      <c r="A2773" s="1">
        <v>29978</v>
      </c>
      <c r="B2773">
        <v>183.570007</v>
      </c>
      <c r="C2773">
        <f t="shared" si="103"/>
        <v>8.7237880437545517E-4</v>
      </c>
      <c r="D2773">
        <f t="shared" si="102"/>
        <v>3.2608765196901882E-2</v>
      </c>
    </row>
    <row r="2774" spans="1:4" x14ac:dyDescent="0.3">
      <c r="A2774" s="1">
        <v>29979</v>
      </c>
      <c r="B2774">
        <v>186.220001</v>
      </c>
      <c r="C2774">
        <f t="shared" si="103"/>
        <v>1.4435876771525058E-2</v>
      </c>
      <c r="D2774">
        <f t="shared" si="102"/>
        <v>1.1176328291319697</v>
      </c>
    </row>
    <row r="2775" spans="1:4" x14ac:dyDescent="0.3">
      <c r="A2775" s="1">
        <v>29980</v>
      </c>
      <c r="B2775">
        <v>188.38999899999999</v>
      </c>
      <c r="C2775">
        <f t="shared" si="103"/>
        <v>1.1652872883401996E-2</v>
      </c>
      <c r="D2775">
        <f t="shared" si="102"/>
        <v>0.89500396186249209</v>
      </c>
    </row>
    <row r="2776" spans="1:4" x14ac:dyDescent="0.3">
      <c r="A2776" s="1">
        <v>29983</v>
      </c>
      <c r="B2776">
        <v>186.820007</v>
      </c>
      <c r="C2776">
        <f t="shared" si="103"/>
        <v>-8.333733257252075E-3</v>
      </c>
      <c r="D2776">
        <f t="shared" si="102"/>
        <v>-0.70384234397430601</v>
      </c>
    </row>
    <row r="2777" spans="1:4" x14ac:dyDescent="0.3">
      <c r="A2777" s="1">
        <v>29984</v>
      </c>
      <c r="B2777">
        <v>187.46000699999999</v>
      </c>
      <c r="C2777">
        <f t="shared" si="103"/>
        <v>3.4257572851926206E-3</v>
      </c>
      <c r="D2777">
        <f t="shared" si="102"/>
        <v>0.23686854410722466</v>
      </c>
    </row>
    <row r="2778" spans="1:4" x14ac:dyDescent="0.3">
      <c r="A2778" s="1">
        <v>29985</v>
      </c>
      <c r="B2778">
        <v>187.429993</v>
      </c>
      <c r="C2778">
        <f t="shared" si="103"/>
        <v>-1.6010881723691717E-4</v>
      </c>
      <c r="D2778">
        <f t="shared" si="102"/>
        <v>-4.998599891761929E-2</v>
      </c>
    </row>
    <row r="2779" spans="1:4" x14ac:dyDescent="0.3">
      <c r="A2779" s="1">
        <v>29986</v>
      </c>
      <c r="B2779">
        <v>187.13999899999999</v>
      </c>
      <c r="C2779">
        <f t="shared" si="103"/>
        <v>-1.5472123503734389E-3</v>
      </c>
      <c r="D2779">
        <f t="shared" si="102"/>
        <v>-0.1609485777647312</v>
      </c>
    </row>
    <row r="2780" spans="1:4" x14ac:dyDescent="0.3">
      <c r="A2780" s="1">
        <v>29987</v>
      </c>
      <c r="B2780">
        <v>188.21000699999999</v>
      </c>
      <c r="C2780">
        <f t="shared" si="103"/>
        <v>5.7176873234887722E-3</v>
      </c>
      <c r="D2780">
        <f t="shared" si="102"/>
        <v>0.42021352269828588</v>
      </c>
    </row>
    <row r="2781" spans="1:4" x14ac:dyDescent="0.3">
      <c r="A2781" s="1">
        <v>29990</v>
      </c>
      <c r="B2781">
        <v>184.63000500000001</v>
      </c>
      <c r="C2781">
        <f t="shared" si="103"/>
        <v>-1.9021315906969705E-2</v>
      </c>
      <c r="D2781">
        <f t="shared" si="102"/>
        <v>-1.5588050083492635</v>
      </c>
    </row>
    <row r="2782" spans="1:4" x14ac:dyDescent="0.3">
      <c r="A2782" s="1">
        <v>29991</v>
      </c>
      <c r="B2782">
        <v>182.509995</v>
      </c>
      <c r="C2782">
        <f t="shared" si="103"/>
        <v>-1.1482478159495298E-2</v>
      </c>
      <c r="D2782">
        <f t="shared" si="102"/>
        <v>-0.95572898843736021</v>
      </c>
    </row>
    <row r="2783" spans="1:4" x14ac:dyDescent="0.3">
      <c r="A2783" s="1">
        <v>29992</v>
      </c>
      <c r="B2783">
        <v>182.970001</v>
      </c>
      <c r="C2783">
        <f t="shared" si="103"/>
        <v>2.5204427845170498E-3</v>
      </c>
      <c r="D2783">
        <f t="shared" si="102"/>
        <v>0.16444710672864965</v>
      </c>
    </row>
    <row r="2784" spans="1:4" x14ac:dyDescent="0.3">
      <c r="A2784" s="1">
        <v>29993</v>
      </c>
      <c r="B2784">
        <v>182.25</v>
      </c>
      <c r="C2784">
        <f t="shared" si="103"/>
        <v>-3.9350767670378725E-3</v>
      </c>
      <c r="D2784">
        <f t="shared" si="102"/>
        <v>-0.35196791214073397</v>
      </c>
    </row>
    <row r="2785" spans="1:4" x14ac:dyDescent="0.3">
      <c r="A2785" s="1">
        <v>29994</v>
      </c>
      <c r="B2785">
        <v>182.520004</v>
      </c>
      <c r="C2785">
        <f t="shared" si="103"/>
        <v>1.4815034293552819E-3</v>
      </c>
      <c r="D2785">
        <f t="shared" si="102"/>
        <v>8.1336230459863726E-2</v>
      </c>
    </row>
    <row r="2786" spans="1:4" x14ac:dyDescent="0.3">
      <c r="A2786" s="1">
        <v>29998</v>
      </c>
      <c r="B2786">
        <v>180.71000699999999</v>
      </c>
      <c r="C2786">
        <f t="shared" si="103"/>
        <v>-9.9167048012995321E-3</v>
      </c>
      <c r="D2786">
        <f t="shared" si="102"/>
        <v>-0.83047355828021929</v>
      </c>
    </row>
    <row r="2787" spans="1:4" x14ac:dyDescent="0.3">
      <c r="A2787" s="1">
        <v>29999</v>
      </c>
      <c r="B2787">
        <v>181.25</v>
      </c>
      <c r="C2787">
        <f t="shared" si="103"/>
        <v>2.9881743073586942E-3</v>
      </c>
      <c r="D2787">
        <f t="shared" si="102"/>
        <v>0.20186370523246697</v>
      </c>
    </row>
    <row r="2788" spans="1:4" x14ac:dyDescent="0.3">
      <c r="A2788" s="1">
        <v>30000</v>
      </c>
      <c r="B2788">
        <v>181.38000500000001</v>
      </c>
      <c r="C2788">
        <f t="shared" si="103"/>
        <v>7.1726896551730344E-4</v>
      </c>
      <c r="D2788">
        <f t="shared" si="102"/>
        <v>2.0200615903718227E-2</v>
      </c>
    </row>
    <row r="2789" spans="1:4" x14ac:dyDescent="0.3">
      <c r="A2789" s="1">
        <v>30001</v>
      </c>
      <c r="B2789">
        <v>180.64999399999999</v>
      </c>
      <c r="C2789">
        <f t="shared" si="103"/>
        <v>-4.0247600610663721E-3</v>
      </c>
      <c r="D2789">
        <f t="shared" si="102"/>
        <v>-0.35914220688310539</v>
      </c>
    </row>
    <row r="2790" spans="1:4" x14ac:dyDescent="0.3">
      <c r="A2790" s="1">
        <v>30004</v>
      </c>
      <c r="B2790">
        <v>179.070007</v>
      </c>
      <c r="C2790">
        <f t="shared" si="103"/>
        <v>-8.7461226264972276E-3</v>
      </c>
      <c r="D2790">
        <f t="shared" si="102"/>
        <v>-0.73683179775869934</v>
      </c>
    </row>
    <row r="2791" spans="1:4" x14ac:dyDescent="0.3">
      <c r="A2791" s="1">
        <v>30005</v>
      </c>
      <c r="B2791">
        <v>177.490005</v>
      </c>
      <c r="C2791">
        <f t="shared" si="103"/>
        <v>-8.8233759883641905E-3</v>
      </c>
      <c r="D2791">
        <f t="shared" si="102"/>
        <v>-0.74301174904033418</v>
      </c>
    </row>
    <row r="2792" spans="1:4" x14ac:dyDescent="0.3">
      <c r="A2792" s="1">
        <v>30006</v>
      </c>
      <c r="B2792">
        <v>178.58000200000001</v>
      </c>
      <c r="C2792">
        <f t="shared" si="103"/>
        <v>6.1411739776558744E-3</v>
      </c>
      <c r="D2792">
        <f t="shared" si="102"/>
        <v>0.4540907136441269</v>
      </c>
    </row>
    <row r="2793" spans="1:4" x14ac:dyDescent="0.3">
      <c r="A2793" s="1">
        <v>30007</v>
      </c>
      <c r="B2793">
        <v>179.44000199999999</v>
      </c>
      <c r="C2793">
        <f t="shared" si="103"/>
        <v>4.815768789161427E-3</v>
      </c>
      <c r="D2793">
        <f t="shared" si="102"/>
        <v>0.34806374866327183</v>
      </c>
    </row>
    <row r="2794" spans="1:4" x14ac:dyDescent="0.3">
      <c r="A2794" s="1">
        <v>30008</v>
      </c>
      <c r="B2794">
        <v>179.429993</v>
      </c>
      <c r="C2794">
        <f t="shared" si="103"/>
        <v>-5.5779089882068797E-5</v>
      </c>
      <c r="D2794">
        <f t="shared" si="102"/>
        <v>-4.1640049735633719E-2</v>
      </c>
    </row>
    <row r="2795" spans="1:4" x14ac:dyDescent="0.3">
      <c r="A2795" s="1">
        <v>30011</v>
      </c>
      <c r="B2795">
        <v>180.13000500000001</v>
      </c>
      <c r="C2795">
        <f t="shared" si="103"/>
        <v>3.9013098551478804E-3</v>
      </c>
      <c r="D2795">
        <f t="shared" si="102"/>
        <v>0.27491079421979331</v>
      </c>
    </row>
    <row r="2796" spans="1:4" x14ac:dyDescent="0.3">
      <c r="A2796" s="1">
        <v>30012</v>
      </c>
      <c r="B2796">
        <v>180.13999899999999</v>
      </c>
      <c r="C2796">
        <f t="shared" si="103"/>
        <v>5.5482150239087767E-5</v>
      </c>
      <c r="D2796">
        <f t="shared" si="102"/>
        <v>-3.2739608034894292E-2</v>
      </c>
    </row>
    <row r="2797" spans="1:4" x14ac:dyDescent="0.3">
      <c r="A2797" s="1">
        <v>30013</v>
      </c>
      <c r="B2797">
        <v>178.009995</v>
      </c>
      <c r="C2797">
        <f t="shared" si="103"/>
        <v>-1.1824159053092842E-2</v>
      </c>
      <c r="D2797">
        <f t="shared" si="102"/>
        <v>-0.98306205492493393</v>
      </c>
    </row>
    <row r="2798" spans="1:4" x14ac:dyDescent="0.3">
      <c r="A2798" s="1">
        <v>30014</v>
      </c>
      <c r="B2798">
        <v>176.28999300000001</v>
      </c>
      <c r="C2798">
        <f t="shared" si="103"/>
        <v>-9.6623900247848095E-3</v>
      </c>
      <c r="D2798">
        <f t="shared" si="102"/>
        <v>-0.81012942190765114</v>
      </c>
    </row>
    <row r="2799" spans="1:4" x14ac:dyDescent="0.3">
      <c r="A2799" s="1">
        <v>30015</v>
      </c>
      <c r="B2799">
        <v>173.970001</v>
      </c>
      <c r="C2799">
        <f t="shared" si="103"/>
        <v>-1.3160089013107019E-2</v>
      </c>
      <c r="D2799">
        <f t="shared" si="102"/>
        <v>-1.0899309583492482</v>
      </c>
    </row>
    <row r="2800" spans="1:4" x14ac:dyDescent="0.3">
      <c r="A2800" s="1">
        <v>30018</v>
      </c>
      <c r="B2800">
        <v>171.029999</v>
      </c>
      <c r="C2800">
        <f t="shared" si="103"/>
        <v>-1.689947682416805E-2</v>
      </c>
      <c r="D2800">
        <f t="shared" si="102"/>
        <v>-1.3890666067795738</v>
      </c>
    </row>
    <row r="2801" spans="1:4" x14ac:dyDescent="0.3">
      <c r="A2801" s="1">
        <v>30019</v>
      </c>
      <c r="B2801">
        <v>169.71000699999999</v>
      </c>
      <c r="C2801">
        <f t="shared" si="103"/>
        <v>-7.7178974900187734E-3</v>
      </c>
      <c r="D2801">
        <f t="shared" si="102"/>
        <v>-0.65457801492744805</v>
      </c>
    </row>
    <row r="2802" spans="1:4" x14ac:dyDescent="0.3">
      <c r="A2802" s="1">
        <v>30020</v>
      </c>
      <c r="B2802">
        <v>170.41999799999999</v>
      </c>
      <c r="C2802">
        <f t="shared" si="103"/>
        <v>4.1835541259508773E-3</v>
      </c>
      <c r="D2802">
        <f t="shared" si="102"/>
        <v>0.2974891752886567</v>
      </c>
    </row>
    <row r="2803" spans="1:4" x14ac:dyDescent="0.3">
      <c r="A2803" s="1">
        <v>30021</v>
      </c>
      <c r="B2803">
        <v>170.08999600000001</v>
      </c>
      <c r="C2803">
        <f t="shared" si="103"/>
        <v>-1.9364042006383491E-3</v>
      </c>
      <c r="D2803">
        <f t="shared" si="102"/>
        <v>-0.19208232541947315</v>
      </c>
    </row>
    <row r="2804" spans="1:4" x14ac:dyDescent="0.3">
      <c r="A2804" s="1">
        <v>30022</v>
      </c>
      <c r="B2804">
        <v>168.229996</v>
      </c>
      <c r="C2804">
        <f t="shared" si="103"/>
        <v>-1.0935387405147646E-2</v>
      </c>
      <c r="D2804">
        <f t="shared" si="102"/>
        <v>-0.91196397774017202</v>
      </c>
    </row>
    <row r="2805" spans="1:4" x14ac:dyDescent="0.3">
      <c r="A2805" s="1">
        <v>30025</v>
      </c>
      <c r="B2805">
        <v>167.91999799999999</v>
      </c>
      <c r="C2805">
        <f t="shared" si="103"/>
        <v>-1.8427034855306502E-3</v>
      </c>
      <c r="D2805">
        <f t="shared" si="102"/>
        <v>-0.18458665351050005</v>
      </c>
    </row>
    <row r="2806" spans="1:4" x14ac:dyDescent="0.3">
      <c r="A2806" s="1">
        <v>30026</v>
      </c>
      <c r="B2806">
        <v>168.279999</v>
      </c>
      <c r="C2806">
        <f t="shared" si="103"/>
        <v>2.143884017911977E-3</v>
      </c>
      <c r="D2806">
        <f t="shared" si="102"/>
        <v>0.13432395381914428</v>
      </c>
    </row>
    <row r="2807" spans="1:4" x14ac:dyDescent="0.3">
      <c r="A2807" s="1">
        <v>30027</v>
      </c>
      <c r="B2807">
        <v>168.199997</v>
      </c>
      <c r="C2807">
        <f t="shared" si="103"/>
        <v>-4.7541003372603689E-4</v>
      </c>
      <c r="D2807">
        <f t="shared" si="102"/>
        <v>-7.5208799710399607E-2</v>
      </c>
    </row>
    <row r="2808" spans="1:4" x14ac:dyDescent="0.3">
      <c r="A2808" s="1">
        <v>30028</v>
      </c>
      <c r="B2808">
        <v>170.13000500000001</v>
      </c>
      <c r="C2808">
        <f t="shared" si="103"/>
        <v>1.1474482963278621E-2</v>
      </c>
      <c r="D2808">
        <f t="shared" si="102"/>
        <v>0.88073350179635679</v>
      </c>
    </row>
    <row r="2809" spans="1:4" x14ac:dyDescent="0.3">
      <c r="A2809" s="1">
        <v>30029</v>
      </c>
      <c r="B2809">
        <v>171.759995</v>
      </c>
      <c r="C2809">
        <f t="shared" si="103"/>
        <v>9.5808496567080688E-3</v>
      </c>
      <c r="D2809">
        <f t="shared" si="102"/>
        <v>0.72925062393739637</v>
      </c>
    </row>
    <row r="2810" spans="1:4" x14ac:dyDescent="0.3">
      <c r="A2810" s="1">
        <v>30032</v>
      </c>
      <c r="B2810">
        <v>173.83000200000001</v>
      </c>
      <c r="C2810">
        <f t="shared" si="103"/>
        <v>1.2051741151948705E-2</v>
      </c>
      <c r="D2810">
        <f t="shared" si="102"/>
        <v>0.92691178319010825</v>
      </c>
    </row>
    <row r="2811" spans="1:4" x14ac:dyDescent="0.3">
      <c r="A2811" s="1">
        <v>30033</v>
      </c>
      <c r="B2811">
        <v>174.949997</v>
      </c>
      <c r="C2811">
        <f t="shared" si="103"/>
        <v>6.4430477311965325E-3</v>
      </c>
      <c r="D2811">
        <f t="shared" si="102"/>
        <v>0.47823937261508787</v>
      </c>
    </row>
    <row r="2812" spans="1:4" x14ac:dyDescent="0.3">
      <c r="A2812" s="1">
        <v>30034</v>
      </c>
      <c r="B2812">
        <v>174.83999600000001</v>
      </c>
      <c r="C2812">
        <f t="shared" si="103"/>
        <v>-6.2875679843528486E-4</v>
      </c>
      <c r="D2812">
        <f t="shared" si="102"/>
        <v>-8.7475910321475198E-2</v>
      </c>
    </row>
    <row r="2813" spans="1:4" x14ac:dyDescent="0.3">
      <c r="A2813" s="1">
        <v>30035</v>
      </c>
      <c r="B2813">
        <v>175.83000200000001</v>
      </c>
      <c r="C2813">
        <f t="shared" si="103"/>
        <v>5.662354281911525E-3</v>
      </c>
      <c r="D2813">
        <f t="shared" si="102"/>
        <v>0.41578710690293263</v>
      </c>
    </row>
    <row r="2814" spans="1:4" x14ac:dyDescent="0.3">
      <c r="A2814" s="1">
        <v>30036</v>
      </c>
      <c r="B2814">
        <v>175.199997</v>
      </c>
      <c r="C2814">
        <f t="shared" si="103"/>
        <v>-3.5830347087183177E-3</v>
      </c>
      <c r="D2814">
        <f t="shared" si="102"/>
        <v>-0.32380599508076319</v>
      </c>
    </row>
    <row r="2815" spans="1:4" x14ac:dyDescent="0.3">
      <c r="A2815" s="1">
        <v>30039</v>
      </c>
      <c r="B2815">
        <v>175.5</v>
      </c>
      <c r="C2815">
        <f t="shared" si="103"/>
        <v>1.7123459197319723E-3</v>
      </c>
      <c r="D2815">
        <f t="shared" si="102"/>
        <v>9.9802680460006649E-2</v>
      </c>
    </row>
    <row r="2816" spans="1:4" x14ac:dyDescent="0.3">
      <c r="A2816" s="1">
        <v>30040</v>
      </c>
      <c r="B2816">
        <v>175.41999799999999</v>
      </c>
      <c r="C2816">
        <f t="shared" si="103"/>
        <v>-4.5585185185189432E-4</v>
      </c>
      <c r="D2816">
        <f t="shared" si="102"/>
        <v>-7.3644225584192619E-2</v>
      </c>
    </row>
    <row r="2817" spans="1:4" x14ac:dyDescent="0.3">
      <c r="A2817" s="1">
        <v>30041</v>
      </c>
      <c r="B2817">
        <v>175.64999399999999</v>
      </c>
      <c r="C2817">
        <f t="shared" si="103"/>
        <v>1.3111161932632099E-3</v>
      </c>
      <c r="D2817">
        <f t="shared" si="102"/>
        <v>6.7705952208999234E-2</v>
      </c>
    </row>
    <row r="2818" spans="1:4" x14ac:dyDescent="0.3">
      <c r="A2818" s="1">
        <v>30042</v>
      </c>
      <c r="B2818">
        <v>177.30999800000001</v>
      </c>
      <c r="C2818">
        <f t="shared" si="103"/>
        <v>9.4506351079067779E-3</v>
      </c>
      <c r="D2818">
        <f t="shared" si="102"/>
        <v>0.71883399547871718</v>
      </c>
    </row>
    <row r="2819" spans="1:4" x14ac:dyDescent="0.3">
      <c r="A2819" s="1">
        <v>30043</v>
      </c>
      <c r="B2819">
        <v>178.55999800000001</v>
      </c>
      <c r="C2819">
        <f t="shared" si="103"/>
        <v>7.0497998652055702E-3</v>
      </c>
      <c r="D2819">
        <f t="shared" ref="D2819:D2882" si="104">(C2819-avrtn)/sdrtn</f>
        <v>0.52677704835612771</v>
      </c>
    </row>
    <row r="2820" spans="1:4" x14ac:dyDescent="0.3">
      <c r="A2820" s="1">
        <v>30046</v>
      </c>
      <c r="B2820">
        <v>178.21000699999999</v>
      </c>
      <c r="C2820">
        <f t="shared" ref="C2820:C2883" si="105">(B2820-B2819)/B2819</f>
        <v>-1.9600750667572086E-3</v>
      </c>
      <c r="D2820">
        <f t="shared" si="104"/>
        <v>-0.19397589737379886</v>
      </c>
    </row>
    <row r="2821" spans="1:4" x14ac:dyDescent="0.3">
      <c r="A2821" s="1">
        <v>30047</v>
      </c>
      <c r="B2821">
        <v>178.679993</v>
      </c>
      <c r="C2821">
        <f t="shared" si="105"/>
        <v>2.6372593094618185E-3</v>
      </c>
      <c r="D2821">
        <f t="shared" si="104"/>
        <v>0.17379194837181033</v>
      </c>
    </row>
    <row r="2822" spans="1:4" x14ac:dyDescent="0.3">
      <c r="A2822" s="1">
        <v>30048</v>
      </c>
      <c r="B2822">
        <v>179.91000399999999</v>
      </c>
      <c r="C2822">
        <f t="shared" si="105"/>
        <v>6.8838764729523489E-3</v>
      </c>
      <c r="D2822">
        <f t="shared" si="104"/>
        <v>0.51350385925693576</v>
      </c>
    </row>
    <row r="2823" spans="1:4" x14ac:dyDescent="0.3">
      <c r="A2823" s="1">
        <v>30049</v>
      </c>
      <c r="B2823">
        <v>181.14999399999999</v>
      </c>
      <c r="C2823">
        <f t="shared" si="105"/>
        <v>6.8922793198315201E-3</v>
      </c>
      <c r="D2823">
        <f t="shared" si="104"/>
        <v>0.51417605245455666</v>
      </c>
    </row>
    <row r="2824" spans="1:4" x14ac:dyDescent="0.3">
      <c r="A2824" s="1">
        <v>30053</v>
      </c>
      <c r="B2824">
        <v>180.88999899999999</v>
      </c>
      <c r="C2824">
        <f t="shared" si="105"/>
        <v>-1.4352470803835828E-3</v>
      </c>
      <c r="D2824">
        <f t="shared" si="104"/>
        <v>-0.15199181656948393</v>
      </c>
    </row>
    <row r="2825" spans="1:4" x14ac:dyDescent="0.3">
      <c r="A2825" s="1">
        <v>30054</v>
      </c>
      <c r="B2825">
        <v>180.759995</v>
      </c>
      <c r="C2825">
        <f t="shared" si="105"/>
        <v>-7.1869092110496034E-4</v>
      </c>
      <c r="D2825">
        <f t="shared" si="104"/>
        <v>-9.4670270323727101E-2</v>
      </c>
    </row>
    <row r="2826" spans="1:4" x14ac:dyDescent="0.3">
      <c r="A2826" s="1">
        <v>30055</v>
      </c>
      <c r="B2826">
        <v>180.41000399999999</v>
      </c>
      <c r="C2826">
        <f t="shared" si="105"/>
        <v>-1.9362193498623245E-3</v>
      </c>
      <c r="D2826">
        <f t="shared" si="104"/>
        <v>-0.19206753811750213</v>
      </c>
    </row>
    <row r="2827" spans="1:4" x14ac:dyDescent="0.3">
      <c r="A2827" s="1">
        <v>30056</v>
      </c>
      <c r="B2827">
        <v>181.11999499999999</v>
      </c>
      <c r="C2827">
        <f t="shared" si="105"/>
        <v>3.9354303212586943E-3</v>
      </c>
      <c r="D2827">
        <f t="shared" si="104"/>
        <v>0.27764029120446343</v>
      </c>
    </row>
    <row r="2828" spans="1:4" x14ac:dyDescent="0.3">
      <c r="A2828" s="1">
        <v>30057</v>
      </c>
      <c r="B2828">
        <v>182.25</v>
      </c>
      <c r="C2828">
        <f t="shared" si="105"/>
        <v>6.2389853754137485E-3</v>
      </c>
      <c r="D2828">
        <f t="shared" si="104"/>
        <v>0.461915223261886</v>
      </c>
    </row>
    <row r="2829" spans="1:4" x14ac:dyDescent="0.3">
      <c r="A2829" s="1">
        <v>30060</v>
      </c>
      <c r="B2829">
        <v>182.36999499999999</v>
      </c>
      <c r="C2829">
        <f t="shared" si="105"/>
        <v>6.5840877914945814E-4</v>
      </c>
      <c r="D2829">
        <f t="shared" si="104"/>
        <v>1.549204302882316E-2</v>
      </c>
    </row>
    <row r="2830" spans="1:4" x14ac:dyDescent="0.3">
      <c r="A2830" s="1">
        <v>30061</v>
      </c>
      <c r="B2830">
        <v>181.94000199999999</v>
      </c>
      <c r="C2830">
        <f t="shared" si="105"/>
        <v>-2.3578056247684611E-3</v>
      </c>
      <c r="D2830">
        <f t="shared" si="104"/>
        <v>-0.22579270653687214</v>
      </c>
    </row>
    <row r="2831" spans="1:4" x14ac:dyDescent="0.3">
      <c r="A2831" s="1">
        <v>30062</v>
      </c>
      <c r="B2831">
        <v>182.320007</v>
      </c>
      <c r="C2831">
        <f t="shared" si="105"/>
        <v>2.0886280962006984E-3</v>
      </c>
      <c r="D2831">
        <f t="shared" si="104"/>
        <v>0.12990370729594972</v>
      </c>
    </row>
    <row r="2832" spans="1:4" x14ac:dyDescent="0.3">
      <c r="A2832" s="1">
        <v>30063</v>
      </c>
      <c r="B2832">
        <v>183.66000399999999</v>
      </c>
      <c r="C2832">
        <f t="shared" si="105"/>
        <v>7.3496980504173769E-3</v>
      </c>
      <c r="D2832">
        <f t="shared" si="104"/>
        <v>0.5507676699843661</v>
      </c>
    </row>
    <row r="2833" spans="1:4" x14ac:dyDescent="0.3">
      <c r="A2833" s="1">
        <v>30064</v>
      </c>
      <c r="B2833">
        <v>184.929993</v>
      </c>
      <c r="C2833">
        <f t="shared" si="105"/>
        <v>6.9148914970077521E-3</v>
      </c>
      <c r="D2833">
        <f t="shared" si="104"/>
        <v>0.51598493364682707</v>
      </c>
    </row>
    <row r="2834" spans="1:4" x14ac:dyDescent="0.3">
      <c r="A2834" s="1">
        <v>30067</v>
      </c>
      <c r="B2834">
        <v>185.800003</v>
      </c>
      <c r="C2834">
        <f t="shared" si="105"/>
        <v>4.7045370298586867E-3</v>
      </c>
      <c r="D2834">
        <f t="shared" si="104"/>
        <v>0.33916566530677988</v>
      </c>
    </row>
    <row r="2835" spans="1:4" x14ac:dyDescent="0.3">
      <c r="A2835" s="1">
        <v>30068</v>
      </c>
      <c r="B2835">
        <v>184.720001</v>
      </c>
      <c r="C2835">
        <f t="shared" si="105"/>
        <v>-5.8127125003329923E-3</v>
      </c>
      <c r="D2835">
        <f t="shared" si="104"/>
        <v>-0.50217104992007422</v>
      </c>
    </row>
    <row r="2836" spans="1:4" x14ac:dyDescent="0.3">
      <c r="A2836" s="1">
        <v>30069</v>
      </c>
      <c r="B2836">
        <v>184.88999899999999</v>
      </c>
      <c r="C2836">
        <f t="shared" si="105"/>
        <v>9.2030099112002794E-4</v>
      </c>
      <c r="D2836">
        <f t="shared" si="104"/>
        <v>3.6442343079258345E-2</v>
      </c>
    </row>
    <row r="2837" spans="1:4" x14ac:dyDescent="0.3">
      <c r="A2837" s="1">
        <v>30070</v>
      </c>
      <c r="B2837">
        <v>184.14999399999999</v>
      </c>
      <c r="C2837">
        <f t="shared" si="105"/>
        <v>-4.0024068581448607E-3</v>
      </c>
      <c r="D2837">
        <f t="shared" si="104"/>
        <v>-0.3573540425663041</v>
      </c>
    </row>
    <row r="2838" spans="1:4" x14ac:dyDescent="0.3">
      <c r="A2838" s="1">
        <v>30071</v>
      </c>
      <c r="B2838">
        <v>184.699997</v>
      </c>
      <c r="C2838">
        <f t="shared" si="105"/>
        <v>2.9867120169442081E-3</v>
      </c>
      <c r="D2838">
        <f t="shared" si="104"/>
        <v>0.20174672801228219</v>
      </c>
    </row>
    <row r="2839" spans="1:4" x14ac:dyDescent="0.3">
      <c r="A2839" s="1">
        <v>30074</v>
      </c>
      <c r="B2839">
        <v>184.970001</v>
      </c>
      <c r="C2839">
        <f t="shared" si="105"/>
        <v>1.4618516750706831E-3</v>
      </c>
      <c r="D2839">
        <f t="shared" si="104"/>
        <v>7.9764170925592279E-2</v>
      </c>
    </row>
    <row r="2840" spans="1:4" x14ac:dyDescent="0.3">
      <c r="A2840" s="1">
        <v>30075</v>
      </c>
      <c r="B2840">
        <v>185.949997</v>
      </c>
      <c r="C2840">
        <f t="shared" si="105"/>
        <v>5.2981348040323567E-3</v>
      </c>
      <c r="D2840">
        <f t="shared" si="104"/>
        <v>0.38665104635204117</v>
      </c>
    </row>
    <row r="2841" spans="1:4" x14ac:dyDescent="0.3">
      <c r="A2841" s="1">
        <v>30076</v>
      </c>
      <c r="B2841">
        <v>185.88000500000001</v>
      </c>
      <c r="C2841">
        <f t="shared" si="105"/>
        <v>-3.7640226474424174E-4</v>
      </c>
      <c r="D2841">
        <f t="shared" si="104"/>
        <v>-6.7288585314234706E-2</v>
      </c>
    </row>
    <row r="2842" spans="1:4" x14ac:dyDescent="0.3">
      <c r="A2842" s="1">
        <v>30077</v>
      </c>
      <c r="B2842">
        <v>187.270004</v>
      </c>
      <c r="C2842">
        <f t="shared" si="105"/>
        <v>7.4779371778045129E-3</v>
      </c>
      <c r="D2842">
        <f t="shared" si="104"/>
        <v>0.5610262728528943</v>
      </c>
    </row>
    <row r="2843" spans="1:4" x14ac:dyDescent="0.3">
      <c r="A2843" s="1">
        <v>30078</v>
      </c>
      <c r="B2843">
        <v>188.13000500000001</v>
      </c>
      <c r="C2843">
        <f t="shared" si="105"/>
        <v>4.592305129656595E-3</v>
      </c>
      <c r="D2843">
        <f t="shared" si="104"/>
        <v>0.33018757479094374</v>
      </c>
    </row>
    <row r="2844" spans="1:4" x14ac:dyDescent="0.3">
      <c r="A2844" s="1">
        <v>30081</v>
      </c>
      <c r="B2844">
        <v>187.570007</v>
      </c>
      <c r="C2844">
        <f t="shared" si="105"/>
        <v>-2.9766543619663822E-3</v>
      </c>
      <c r="D2844">
        <f t="shared" si="104"/>
        <v>-0.27529806079149316</v>
      </c>
    </row>
    <row r="2845" spans="1:4" x14ac:dyDescent="0.3">
      <c r="A2845" s="1">
        <v>30082</v>
      </c>
      <c r="B2845">
        <v>188.19000199999999</v>
      </c>
      <c r="C2845">
        <f t="shared" si="105"/>
        <v>3.3054058584109812E-3</v>
      </c>
      <c r="D2845">
        <f t="shared" si="104"/>
        <v>0.22724092485271752</v>
      </c>
    </row>
    <row r="2846" spans="1:4" x14ac:dyDescent="0.3">
      <c r="A2846" s="1">
        <v>30083</v>
      </c>
      <c r="B2846">
        <v>188.05999800000001</v>
      </c>
      <c r="C2846">
        <f t="shared" si="105"/>
        <v>-6.9081246941049166E-4</v>
      </c>
      <c r="D2846">
        <f t="shared" si="104"/>
        <v>-9.2440108825047954E-2</v>
      </c>
    </row>
    <row r="2847" spans="1:4" x14ac:dyDescent="0.3">
      <c r="A2847" s="1">
        <v>30084</v>
      </c>
      <c r="B2847">
        <v>187.66000399999999</v>
      </c>
      <c r="C2847">
        <f t="shared" si="105"/>
        <v>-2.1269488687329498E-3</v>
      </c>
      <c r="D2847">
        <f t="shared" si="104"/>
        <v>-0.20732511534268427</v>
      </c>
    </row>
    <row r="2848" spans="1:4" x14ac:dyDescent="0.3">
      <c r="A2848" s="1">
        <v>30085</v>
      </c>
      <c r="B2848">
        <v>188.220001</v>
      </c>
      <c r="C2848">
        <f t="shared" si="105"/>
        <v>2.9841041674496067E-3</v>
      </c>
      <c r="D2848">
        <f t="shared" si="104"/>
        <v>0.20153811077625527</v>
      </c>
    </row>
    <row r="2849" spans="1:4" x14ac:dyDescent="0.3">
      <c r="A2849" s="1">
        <v>30088</v>
      </c>
      <c r="B2849">
        <v>186.89999399999999</v>
      </c>
      <c r="C2849">
        <f t="shared" si="105"/>
        <v>-7.0131069651838112E-3</v>
      </c>
      <c r="D2849">
        <f t="shared" si="104"/>
        <v>-0.59819767105660615</v>
      </c>
    </row>
    <row r="2850" spans="1:4" x14ac:dyDescent="0.3">
      <c r="A2850" s="1">
        <v>30089</v>
      </c>
      <c r="B2850">
        <v>185.80999800000001</v>
      </c>
      <c r="C2850">
        <f t="shared" si="105"/>
        <v>-5.8319745050392302E-3</v>
      </c>
      <c r="D2850">
        <f t="shared" si="104"/>
        <v>-0.50371193109073653</v>
      </c>
    </row>
    <row r="2851" spans="1:4" x14ac:dyDescent="0.3">
      <c r="A2851" s="1">
        <v>30090</v>
      </c>
      <c r="B2851">
        <v>183.91000399999999</v>
      </c>
      <c r="C2851">
        <f t="shared" si="105"/>
        <v>-1.0225466984828345E-2</v>
      </c>
      <c r="D2851">
        <f t="shared" si="104"/>
        <v>-0.85517326332483923</v>
      </c>
    </row>
    <row r="2852" spans="1:4" x14ac:dyDescent="0.3">
      <c r="A2852" s="1">
        <v>30091</v>
      </c>
      <c r="B2852">
        <v>182.720001</v>
      </c>
      <c r="C2852">
        <f t="shared" si="105"/>
        <v>-6.4705724219330137E-3</v>
      </c>
      <c r="D2852">
        <f t="shared" si="104"/>
        <v>-0.55479713851191448</v>
      </c>
    </row>
    <row r="2853" spans="1:4" x14ac:dyDescent="0.3">
      <c r="A2853" s="1">
        <v>30092</v>
      </c>
      <c r="B2853">
        <v>182.39999399999999</v>
      </c>
      <c r="C2853">
        <f t="shared" si="105"/>
        <v>-1.7513517855114501E-3</v>
      </c>
      <c r="D2853">
        <f t="shared" si="104"/>
        <v>-0.17727889314939904</v>
      </c>
    </row>
    <row r="2854" spans="1:4" x14ac:dyDescent="0.3">
      <c r="A2854" s="1">
        <v>30095</v>
      </c>
      <c r="B2854">
        <v>181.71000699999999</v>
      </c>
      <c r="C2854">
        <f t="shared" si="105"/>
        <v>-3.7828235893472791E-3</v>
      </c>
      <c r="D2854">
        <f t="shared" si="104"/>
        <v>-0.33978828399429406</v>
      </c>
    </row>
    <row r="2855" spans="1:4" x14ac:dyDescent="0.3">
      <c r="A2855" s="1">
        <v>30096</v>
      </c>
      <c r="B2855">
        <v>181.11999499999999</v>
      </c>
      <c r="C2855">
        <f t="shared" si="105"/>
        <v>-3.2469978387046211E-3</v>
      </c>
      <c r="D2855">
        <f t="shared" si="104"/>
        <v>-0.29692442727153351</v>
      </c>
    </row>
    <row r="2856" spans="1:4" x14ac:dyDescent="0.3">
      <c r="A2856" s="1">
        <v>30097</v>
      </c>
      <c r="B2856">
        <v>178.759995</v>
      </c>
      <c r="C2856">
        <f t="shared" si="105"/>
        <v>-1.3030035695396222E-2</v>
      </c>
      <c r="D2856">
        <f t="shared" si="104"/>
        <v>-1.0795272277148225</v>
      </c>
    </row>
    <row r="2857" spans="1:4" x14ac:dyDescent="0.3">
      <c r="A2857" s="1">
        <v>30098</v>
      </c>
      <c r="B2857">
        <v>178.36999499999999</v>
      </c>
      <c r="C2857">
        <f t="shared" si="105"/>
        <v>-2.1816961899110299E-3</v>
      </c>
      <c r="D2857">
        <f t="shared" si="104"/>
        <v>-0.21170467591460085</v>
      </c>
    </row>
    <row r="2858" spans="1:4" x14ac:dyDescent="0.3">
      <c r="A2858" s="1">
        <v>30099</v>
      </c>
      <c r="B2858">
        <v>178.53999300000001</v>
      </c>
      <c r="C2858">
        <f t="shared" si="105"/>
        <v>9.5306388274564327E-4</v>
      </c>
      <c r="D2858">
        <f t="shared" si="104"/>
        <v>3.9063239687492209E-2</v>
      </c>
    </row>
    <row r="2859" spans="1:4" x14ac:dyDescent="0.3">
      <c r="A2859" s="1">
        <v>30103</v>
      </c>
      <c r="B2859">
        <v>177.36000100000001</v>
      </c>
      <c r="C2859">
        <f t="shared" si="105"/>
        <v>-6.6091186639623007E-3</v>
      </c>
      <c r="D2859">
        <f t="shared" si="104"/>
        <v>-0.56588026816870607</v>
      </c>
    </row>
    <row r="2860" spans="1:4" x14ac:dyDescent="0.3">
      <c r="A2860" s="1">
        <v>30104</v>
      </c>
      <c r="B2860">
        <v>177.820007</v>
      </c>
      <c r="C2860">
        <f t="shared" si="105"/>
        <v>2.5936287630038569E-3</v>
      </c>
      <c r="D2860">
        <f t="shared" si="104"/>
        <v>0.17030168406505247</v>
      </c>
    </row>
    <row r="2861" spans="1:4" x14ac:dyDescent="0.3">
      <c r="A2861" s="1">
        <v>30105</v>
      </c>
      <c r="B2861">
        <v>177.10000600000001</v>
      </c>
      <c r="C2861">
        <f t="shared" si="105"/>
        <v>-4.0490438176621841E-3</v>
      </c>
      <c r="D2861">
        <f t="shared" si="104"/>
        <v>-0.36108480755536654</v>
      </c>
    </row>
    <row r="2862" spans="1:4" x14ac:dyDescent="0.3">
      <c r="A2862" s="1">
        <v>30106</v>
      </c>
      <c r="B2862">
        <v>174.820007</v>
      </c>
      <c r="C2862">
        <f t="shared" si="105"/>
        <v>-1.2874076356609516E-2</v>
      </c>
      <c r="D2862">
        <f t="shared" si="104"/>
        <v>-1.067051121920519</v>
      </c>
    </row>
    <row r="2863" spans="1:4" x14ac:dyDescent="0.3">
      <c r="A2863" s="1">
        <v>30109</v>
      </c>
      <c r="B2863">
        <v>173.83999600000001</v>
      </c>
      <c r="C2863">
        <f t="shared" si="105"/>
        <v>-5.6058286280699574E-3</v>
      </c>
      <c r="D2863">
        <f t="shared" si="104"/>
        <v>-0.4856211908505973</v>
      </c>
    </row>
    <row r="2864" spans="1:4" x14ac:dyDescent="0.3">
      <c r="A2864" s="1">
        <v>30110</v>
      </c>
      <c r="B2864">
        <v>173.279999</v>
      </c>
      <c r="C2864">
        <f t="shared" si="105"/>
        <v>-3.2213357851205299E-3</v>
      </c>
      <c r="D2864">
        <f t="shared" si="104"/>
        <v>-0.29487156850780105</v>
      </c>
    </row>
    <row r="2865" spans="1:4" x14ac:dyDescent="0.3">
      <c r="A2865" s="1">
        <v>30111</v>
      </c>
      <c r="B2865">
        <v>170.94000199999999</v>
      </c>
      <c r="C2865">
        <f t="shared" si="105"/>
        <v>-1.350413788956688E-2</v>
      </c>
      <c r="D2865">
        <f t="shared" si="104"/>
        <v>-1.1174534537286038</v>
      </c>
    </row>
    <row r="2866" spans="1:4" x14ac:dyDescent="0.3">
      <c r="A2866" s="1">
        <v>30112</v>
      </c>
      <c r="B2866">
        <v>171.36999499999999</v>
      </c>
      <c r="C2866">
        <f t="shared" si="105"/>
        <v>2.5154615360306132E-3</v>
      </c>
      <c r="D2866">
        <f t="shared" si="104"/>
        <v>0.16404862733275088</v>
      </c>
    </row>
    <row r="2867" spans="1:4" x14ac:dyDescent="0.3">
      <c r="A2867" s="1">
        <v>30113</v>
      </c>
      <c r="B2867">
        <v>173.550003</v>
      </c>
      <c r="C2867">
        <f t="shared" si="105"/>
        <v>1.2721060066553746E-2</v>
      </c>
      <c r="D2867">
        <f t="shared" si="104"/>
        <v>0.98045454410268928</v>
      </c>
    </row>
    <row r="2868" spans="1:4" x14ac:dyDescent="0.3">
      <c r="A2868" s="1">
        <v>30116</v>
      </c>
      <c r="B2868">
        <v>172.14999399999999</v>
      </c>
      <c r="C2868">
        <f t="shared" si="105"/>
        <v>-8.0668912463228905E-3</v>
      </c>
      <c r="D2868">
        <f t="shared" si="104"/>
        <v>-0.68249608036087661</v>
      </c>
    </row>
    <row r="2869" spans="1:4" x14ac:dyDescent="0.3">
      <c r="A2869" s="1">
        <v>30117</v>
      </c>
      <c r="B2869">
        <v>171.19000199999999</v>
      </c>
      <c r="C2869">
        <f t="shared" si="105"/>
        <v>-5.5764858173622698E-3</v>
      </c>
      <c r="D2869">
        <f t="shared" si="104"/>
        <v>-0.48327388665234089</v>
      </c>
    </row>
    <row r="2870" spans="1:4" x14ac:dyDescent="0.3">
      <c r="A2870" s="1">
        <v>30118</v>
      </c>
      <c r="B2870">
        <v>171.44000199999999</v>
      </c>
      <c r="C2870">
        <f t="shared" si="105"/>
        <v>1.4603656585038185E-3</v>
      </c>
      <c r="D2870">
        <f t="shared" si="104"/>
        <v>7.9645295710779745E-2</v>
      </c>
    </row>
    <row r="2871" spans="1:4" x14ac:dyDescent="0.3">
      <c r="A2871" s="1">
        <v>30119</v>
      </c>
      <c r="B2871">
        <v>169.85000600000001</v>
      </c>
      <c r="C2871">
        <f t="shared" si="105"/>
        <v>-9.2743582679145394E-3</v>
      </c>
      <c r="D2871">
        <f t="shared" si="104"/>
        <v>-0.77908847695414785</v>
      </c>
    </row>
    <row r="2872" spans="1:4" x14ac:dyDescent="0.3">
      <c r="A2872" s="1">
        <v>30120</v>
      </c>
      <c r="B2872">
        <v>168.5</v>
      </c>
      <c r="C2872">
        <f t="shared" si="105"/>
        <v>-7.9482246235540767E-3</v>
      </c>
      <c r="D2872">
        <f t="shared" si="104"/>
        <v>-0.67300323849943999</v>
      </c>
    </row>
    <row r="2873" spans="1:4" x14ac:dyDescent="0.3">
      <c r="A2873" s="1">
        <v>30123</v>
      </c>
      <c r="B2873">
        <v>168</v>
      </c>
      <c r="C2873">
        <f t="shared" si="105"/>
        <v>-2.967359050445104E-3</v>
      </c>
      <c r="D2873">
        <f t="shared" si="104"/>
        <v>-0.27455447409234029</v>
      </c>
    </row>
    <row r="2874" spans="1:4" x14ac:dyDescent="0.3">
      <c r="A2874" s="1">
        <v>30124</v>
      </c>
      <c r="B2874">
        <v>169.050003</v>
      </c>
      <c r="C2874">
        <f t="shared" si="105"/>
        <v>6.2500178571428793E-3</v>
      </c>
      <c r="D2874">
        <f t="shared" si="104"/>
        <v>0.46279777643438053</v>
      </c>
    </row>
    <row r="2875" spans="1:4" x14ac:dyDescent="0.3">
      <c r="A2875" s="1">
        <v>30125</v>
      </c>
      <c r="B2875">
        <v>170.86000100000001</v>
      </c>
      <c r="C2875">
        <f t="shared" si="105"/>
        <v>1.0706879431407093E-2</v>
      </c>
      <c r="D2875">
        <f t="shared" si="104"/>
        <v>0.81932837565121786</v>
      </c>
    </row>
    <row r="2876" spans="1:4" x14ac:dyDescent="0.3">
      <c r="A2876" s="1">
        <v>30126</v>
      </c>
      <c r="B2876">
        <v>171.11999499999999</v>
      </c>
      <c r="C2876">
        <f t="shared" si="105"/>
        <v>1.5216785583419118E-3</v>
      </c>
      <c r="D2876">
        <f t="shared" si="104"/>
        <v>8.4550075577676603E-2</v>
      </c>
    </row>
    <row r="2877" spans="1:4" x14ac:dyDescent="0.3">
      <c r="A2877" s="1">
        <v>30127</v>
      </c>
      <c r="B2877">
        <v>170.479996</v>
      </c>
      <c r="C2877">
        <f t="shared" si="105"/>
        <v>-3.740059716574845E-3</v>
      </c>
      <c r="D2877">
        <f t="shared" si="104"/>
        <v>-0.33636735001859491</v>
      </c>
    </row>
    <row r="2878" spans="1:4" x14ac:dyDescent="0.3">
      <c r="A2878" s="1">
        <v>30130</v>
      </c>
      <c r="B2878">
        <v>171.070007</v>
      </c>
      <c r="C2878">
        <f t="shared" si="105"/>
        <v>3.4608811229676711E-3</v>
      </c>
      <c r="D2878">
        <f t="shared" si="104"/>
        <v>0.23967830669914478</v>
      </c>
    </row>
    <row r="2879" spans="1:4" x14ac:dyDescent="0.3">
      <c r="A2879" s="1">
        <v>30131</v>
      </c>
      <c r="B2879">
        <v>170.529999</v>
      </c>
      <c r="C2879">
        <f t="shared" si="105"/>
        <v>-3.1566491956711048E-3</v>
      </c>
      <c r="D2879">
        <f t="shared" si="104"/>
        <v>-0.28969690734469228</v>
      </c>
    </row>
    <row r="2880" spans="1:4" x14ac:dyDescent="0.3">
      <c r="A2880" s="1">
        <v>30132</v>
      </c>
      <c r="B2880">
        <v>171.300003</v>
      </c>
      <c r="C2880">
        <f t="shared" si="105"/>
        <v>4.5153580280030388E-3</v>
      </c>
      <c r="D2880">
        <f t="shared" si="104"/>
        <v>0.32403212306703183</v>
      </c>
    </row>
    <row r="2881" spans="1:4" x14ac:dyDescent="0.3">
      <c r="A2881" s="1">
        <v>30133</v>
      </c>
      <c r="B2881">
        <v>170.60000600000001</v>
      </c>
      <c r="C2881">
        <f t="shared" si="105"/>
        <v>-4.0863805472320753E-3</v>
      </c>
      <c r="D2881">
        <f t="shared" si="104"/>
        <v>-0.36407159239140846</v>
      </c>
    </row>
    <row r="2882" spans="1:4" x14ac:dyDescent="0.3">
      <c r="A2882" s="1">
        <v>30134</v>
      </c>
      <c r="B2882">
        <v>170.050003</v>
      </c>
      <c r="C2882">
        <f t="shared" si="105"/>
        <v>-3.2239330636366086E-3</v>
      </c>
      <c r="D2882">
        <f t="shared" si="104"/>
        <v>-0.29507934010901427</v>
      </c>
    </row>
    <row r="2883" spans="1:4" x14ac:dyDescent="0.3">
      <c r="A2883" s="1">
        <v>30138</v>
      </c>
      <c r="B2883">
        <v>169.220001</v>
      </c>
      <c r="C2883">
        <f t="shared" si="105"/>
        <v>-4.8809290523800074E-3</v>
      </c>
      <c r="D2883">
        <f t="shared" ref="D2883:D2946" si="106">(C2883-avrtn)/sdrtn</f>
        <v>-0.4276322056002676</v>
      </c>
    </row>
    <row r="2884" spans="1:4" x14ac:dyDescent="0.3">
      <c r="A2884" s="1">
        <v>30139</v>
      </c>
      <c r="B2884">
        <v>168.08000200000001</v>
      </c>
      <c r="C2884">
        <f t="shared" ref="C2884:C2947" si="107">(B2884-B2883)/B2883</f>
        <v>-6.7367863920529637E-3</v>
      </c>
      <c r="D2884">
        <f t="shared" si="106"/>
        <v>-0.57609316144312439</v>
      </c>
    </row>
    <row r="2885" spans="1:4" x14ac:dyDescent="0.3">
      <c r="A2885" s="1">
        <v>30140</v>
      </c>
      <c r="B2885">
        <v>166.800003</v>
      </c>
      <c r="C2885">
        <f t="shared" si="107"/>
        <v>-7.6154151878223058E-3</v>
      </c>
      <c r="D2885">
        <f t="shared" si="106"/>
        <v>-0.64637985216147531</v>
      </c>
    </row>
    <row r="2886" spans="1:4" x14ac:dyDescent="0.3">
      <c r="A2886" s="1">
        <v>30141</v>
      </c>
      <c r="B2886">
        <v>168.070007</v>
      </c>
      <c r="C2886">
        <f t="shared" si="107"/>
        <v>7.613932716775791E-3</v>
      </c>
      <c r="D2886">
        <f t="shared" si="106"/>
        <v>0.57190535675359888</v>
      </c>
    </row>
    <row r="2887" spans="1:4" x14ac:dyDescent="0.3">
      <c r="A2887" s="1">
        <v>30144</v>
      </c>
      <c r="B2887">
        <v>168.85000600000001</v>
      </c>
      <c r="C2887">
        <f t="shared" si="107"/>
        <v>4.6409172815706709E-3</v>
      </c>
      <c r="D2887">
        <f t="shared" si="106"/>
        <v>0.33407634704970673</v>
      </c>
    </row>
    <row r="2888" spans="1:4" x14ac:dyDescent="0.3">
      <c r="A2888" s="1">
        <v>30145</v>
      </c>
      <c r="B2888">
        <v>169.35000600000001</v>
      </c>
      <c r="C2888">
        <f t="shared" si="107"/>
        <v>2.961208067709515E-3</v>
      </c>
      <c r="D2888">
        <f t="shared" si="106"/>
        <v>0.19970651694637262</v>
      </c>
    </row>
    <row r="2889" spans="1:4" x14ac:dyDescent="0.3">
      <c r="A2889" s="1">
        <v>30146</v>
      </c>
      <c r="B2889">
        <v>169.21000699999999</v>
      </c>
      <c r="C2889">
        <f t="shared" si="107"/>
        <v>-8.2668435216953751E-4</v>
      </c>
      <c r="D2889">
        <f t="shared" si="106"/>
        <v>-0.10330930073725129</v>
      </c>
    </row>
    <row r="2890" spans="1:4" x14ac:dyDescent="0.3">
      <c r="A2890" s="1">
        <v>30147</v>
      </c>
      <c r="B2890">
        <v>169.61000100000001</v>
      </c>
      <c r="C2890">
        <f t="shared" si="107"/>
        <v>2.363890925198182E-3</v>
      </c>
      <c r="D2890">
        <f t="shared" si="106"/>
        <v>0.15192360172823227</v>
      </c>
    </row>
    <row r="2891" spans="1:4" x14ac:dyDescent="0.3">
      <c r="A2891" s="1">
        <v>30148</v>
      </c>
      <c r="B2891">
        <v>170.179993</v>
      </c>
      <c r="C2891">
        <f t="shared" si="107"/>
        <v>3.3606037181733461E-3</v>
      </c>
      <c r="D2891">
        <f t="shared" si="106"/>
        <v>0.23165652665875114</v>
      </c>
    </row>
    <row r="2892" spans="1:4" x14ac:dyDescent="0.3">
      <c r="A2892" s="1">
        <v>30151</v>
      </c>
      <c r="B2892">
        <v>170.08999600000001</v>
      </c>
      <c r="C2892">
        <f t="shared" si="107"/>
        <v>-5.2883419733119018E-4</v>
      </c>
      <c r="D2892">
        <f t="shared" si="106"/>
        <v>-7.9482513117338477E-2</v>
      </c>
    </row>
    <row r="2893" spans="1:4" x14ac:dyDescent="0.3">
      <c r="A2893" s="1">
        <v>30152</v>
      </c>
      <c r="B2893">
        <v>170.83000200000001</v>
      </c>
      <c r="C2893">
        <f t="shared" si="107"/>
        <v>4.3506732753406255E-3</v>
      </c>
      <c r="D2893">
        <f t="shared" si="106"/>
        <v>0.31085802004178809</v>
      </c>
    </row>
    <row r="2894" spans="1:4" x14ac:dyDescent="0.3">
      <c r="A2894" s="1">
        <v>30153</v>
      </c>
      <c r="B2894">
        <v>171.53999300000001</v>
      </c>
      <c r="C2894">
        <f t="shared" si="107"/>
        <v>4.1561259245317004E-3</v>
      </c>
      <c r="D2894">
        <f t="shared" si="106"/>
        <v>0.29529503196056073</v>
      </c>
    </row>
    <row r="2895" spans="1:4" x14ac:dyDescent="0.3">
      <c r="A2895" s="1">
        <v>30154</v>
      </c>
      <c r="B2895">
        <v>172.05999800000001</v>
      </c>
      <c r="C2895">
        <f t="shared" si="107"/>
        <v>3.0313922188395892E-3</v>
      </c>
      <c r="D2895">
        <f t="shared" si="106"/>
        <v>0.20532096043782466</v>
      </c>
    </row>
    <row r="2896" spans="1:4" x14ac:dyDescent="0.3">
      <c r="A2896" s="1">
        <v>30155</v>
      </c>
      <c r="B2896">
        <v>172.11000100000001</v>
      </c>
      <c r="C2896">
        <f t="shared" si="107"/>
        <v>2.9061374277130811E-4</v>
      </c>
      <c r="D2896">
        <f t="shared" si="106"/>
        <v>-1.3930047499202416E-2</v>
      </c>
    </row>
    <row r="2897" spans="1:4" x14ac:dyDescent="0.3">
      <c r="A2897" s="1">
        <v>30158</v>
      </c>
      <c r="B2897">
        <v>171.449997</v>
      </c>
      <c r="C2897">
        <f t="shared" si="107"/>
        <v>-3.8347800602244776E-3</v>
      </c>
      <c r="D2897">
        <f t="shared" si="106"/>
        <v>-0.34394458801818512</v>
      </c>
    </row>
    <row r="2898" spans="1:4" x14ac:dyDescent="0.3">
      <c r="A2898" s="1">
        <v>30159</v>
      </c>
      <c r="B2898">
        <v>170.71000699999999</v>
      </c>
      <c r="C2898">
        <f t="shared" si="107"/>
        <v>-4.3160689002520423E-3</v>
      </c>
      <c r="D2898">
        <f t="shared" si="106"/>
        <v>-0.3824457161488547</v>
      </c>
    </row>
    <row r="2899" spans="1:4" x14ac:dyDescent="0.3">
      <c r="A2899" s="1">
        <v>30160</v>
      </c>
      <c r="B2899">
        <v>168.36999499999999</v>
      </c>
      <c r="C2899">
        <f t="shared" si="107"/>
        <v>-1.3707526823544688E-2</v>
      </c>
      <c r="D2899">
        <f t="shared" si="106"/>
        <v>-1.1337237321065348</v>
      </c>
    </row>
    <row r="2900" spans="1:4" x14ac:dyDescent="0.3">
      <c r="A2900" s="1">
        <v>30161</v>
      </c>
      <c r="B2900">
        <v>167.60000600000001</v>
      </c>
      <c r="C2900">
        <f t="shared" si="107"/>
        <v>-4.5731960733263743E-3</v>
      </c>
      <c r="D2900">
        <f t="shared" si="106"/>
        <v>-0.40301483268154792</v>
      </c>
    </row>
    <row r="2901" spans="1:4" x14ac:dyDescent="0.3">
      <c r="A2901" s="1">
        <v>30162</v>
      </c>
      <c r="B2901">
        <v>167.35000600000001</v>
      </c>
      <c r="C2901">
        <f t="shared" si="107"/>
        <v>-1.4916467246427186E-3</v>
      </c>
      <c r="D2901">
        <f t="shared" si="106"/>
        <v>-0.15650355619349185</v>
      </c>
    </row>
    <row r="2902" spans="1:4" x14ac:dyDescent="0.3">
      <c r="A2902" s="1">
        <v>30165</v>
      </c>
      <c r="B2902">
        <v>168.36999499999999</v>
      </c>
      <c r="C2902">
        <f t="shared" si="107"/>
        <v>6.09494450809868E-3</v>
      </c>
      <c r="D2902">
        <f t="shared" si="106"/>
        <v>0.45039254617626606</v>
      </c>
    </row>
    <row r="2903" spans="1:4" x14ac:dyDescent="0.3">
      <c r="A2903" s="1">
        <v>30166</v>
      </c>
      <c r="B2903">
        <v>167.970001</v>
      </c>
      <c r="C2903">
        <f t="shared" si="107"/>
        <v>-2.3756845749148621E-3</v>
      </c>
      <c r="D2903">
        <f t="shared" si="106"/>
        <v>-0.22722294902990192</v>
      </c>
    </row>
    <row r="2904" spans="1:4" x14ac:dyDescent="0.3">
      <c r="A2904" s="1">
        <v>30167</v>
      </c>
      <c r="B2904">
        <v>166.55999800000001</v>
      </c>
      <c r="C2904">
        <f t="shared" si="107"/>
        <v>-8.3943739453808119E-3</v>
      </c>
      <c r="D2904">
        <f t="shared" si="106"/>
        <v>-0.70869334966860542</v>
      </c>
    </row>
    <row r="2905" spans="1:4" x14ac:dyDescent="0.3">
      <c r="A2905" s="1">
        <v>30168</v>
      </c>
      <c r="B2905">
        <v>165.14999399999999</v>
      </c>
      <c r="C2905">
        <f t="shared" si="107"/>
        <v>-8.4654419844554449E-3</v>
      </c>
      <c r="D2905">
        <f t="shared" si="106"/>
        <v>-0.71437850056105323</v>
      </c>
    </row>
    <row r="2906" spans="1:4" x14ac:dyDescent="0.3">
      <c r="A2906" s="1">
        <v>30169</v>
      </c>
      <c r="B2906">
        <v>163.58999600000001</v>
      </c>
      <c r="C2906">
        <f t="shared" si="107"/>
        <v>-9.4459464527741916E-3</v>
      </c>
      <c r="D2906">
        <f t="shared" si="106"/>
        <v>-0.79281482616808785</v>
      </c>
    </row>
    <row r="2907" spans="1:4" x14ac:dyDescent="0.3">
      <c r="A2907" s="1">
        <v>30172</v>
      </c>
      <c r="B2907">
        <v>161.38000500000001</v>
      </c>
      <c r="C2907">
        <f t="shared" si="107"/>
        <v>-1.3509328528866778E-2</v>
      </c>
      <c r="D2907">
        <f t="shared" si="106"/>
        <v>-1.1178686835285594</v>
      </c>
    </row>
    <row r="2908" spans="1:4" x14ac:dyDescent="0.3">
      <c r="A2908" s="1">
        <v>30173</v>
      </c>
      <c r="B2908">
        <v>161.320007</v>
      </c>
      <c r="C2908">
        <f t="shared" si="107"/>
        <v>-3.7178087830649974E-4</v>
      </c>
      <c r="D2908">
        <f t="shared" si="106"/>
        <v>-6.6918893402469926E-2</v>
      </c>
    </row>
    <row r="2909" spans="1:4" x14ac:dyDescent="0.3">
      <c r="A2909" s="1">
        <v>30174</v>
      </c>
      <c r="B2909">
        <v>160.770004</v>
      </c>
      <c r="C2909">
        <f t="shared" si="107"/>
        <v>-3.4093911240656205E-3</v>
      </c>
      <c r="D2909">
        <f t="shared" si="106"/>
        <v>-0.309915222335234</v>
      </c>
    </row>
    <row r="2910" spans="1:4" x14ac:dyDescent="0.3">
      <c r="A2910" s="1">
        <v>30175</v>
      </c>
      <c r="B2910">
        <v>159.83999600000001</v>
      </c>
      <c r="C2910">
        <f t="shared" si="107"/>
        <v>-5.7847109340122089E-3</v>
      </c>
      <c r="D2910">
        <f t="shared" si="106"/>
        <v>-0.49993103975754022</v>
      </c>
    </row>
    <row r="2911" spans="1:4" x14ac:dyDescent="0.3">
      <c r="A2911" s="1">
        <v>30176</v>
      </c>
      <c r="B2911">
        <v>159.13999899999999</v>
      </c>
      <c r="C2911">
        <f t="shared" si="107"/>
        <v>-4.3793607202043758E-3</v>
      </c>
      <c r="D2911">
        <f t="shared" si="106"/>
        <v>-0.38750880148752265</v>
      </c>
    </row>
    <row r="2912" spans="1:4" x14ac:dyDescent="0.3">
      <c r="A2912" s="1">
        <v>30179</v>
      </c>
      <c r="B2912">
        <v>159.679993</v>
      </c>
      <c r="C2912">
        <f t="shared" si="107"/>
        <v>3.3932009764560023E-3</v>
      </c>
      <c r="D2912">
        <f t="shared" si="106"/>
        <v>0.23426417328063665</v>
      </c>
    </row>
    <row r="2913" spans="1:4" x14ac:dyDescent="0.3">
      <c r="A2913" s="1">
        <v>30180</v>
      </c>
      <c r="B2913">
        <v>162.279999</v>
      </c>
      <c r="C2913">
        <f t="shared" si="107"/>
        <v>1.6282603419202353E-2</v>
      </c>
      <c r="D2913">
        <f t="shared" si="106"/>
        <v>1.2653633671608033</v>
      </c>
    </row>
    <row r="2914" spans="1:4" x14ac:dyDescent="0.3">
      <c r="A2914" s="1">
        <v>30181</v>
      </c>
      <c r="B2914">
        <v>164.990005</v>
      </c>
      <c r="C2914">
        <f t="shared" si="107"/>
        <v>1.6699568749689187E-2</v>
      </c>
      <c r="D2914">
        <f t="shared" si="106"/>
        <v>1.2987188790280662</v>
      </c>
    </row>
    <row r="2915" spans="1:4" x14ac:dyDescent="0.3">
      <c r="A2915" s="1">
        <v>30182</v>
      </c>
      <c r="B2915">
        <v>164.91999799999999</v>
      </c>
      <c r="C2915">
        <f t="shared" si="107"/>
        <v>-4.2431055141797184E-4</v>
      </c>
      <c r="D2915">
        <f t="shared" si="106"/>
        <v>-7.1121051248081185E-2</v>
      </c>
    </row>
    <row r="2916" spans="1:4" x14ac:dyDescent="0.3">
      <c r="A2916" s="1">
        <v>30183</v>
      </c>
      <c r="B2916">
        <v>166.96000699999999</v>
      </c>
      <c r="C2916">
        <f t="shared" si="107"/>
        <v>1.2369688483745906E-2</v>
      </c>
      <c r="D2916">
        <f t="shared" si="106"/>
        <v>0.95234626232664399</v>
      </c>
    </row>
    <row r="2917" spans="1:4" x14ac:dyDescent="0.3">
      <c r="A2917" s="1">
        <v>30186</v>
      </c>
      <c r="B2917">
        <v>169.88000500000001</v>
      </c>
      <c r="C2917">
        <f t="shared" si="107"/>
        <v>1.7489206262431584E-2</v>
      </c>
      <c r="D2917">
        <f t="shared" si="106"/>
        <v>1.3618866330386039</v>
      </c>
    </row>
    <row r="2918" spans="1:4" x14ac:dyDescent="0.3">
      <c r="A2918" s="1">
        <v>30187</v>
      </c>
      <c r="B2918">
        <v>172.229996</v>
      </c>
      <c r="C2918">
        <f t="shared" si="107"/>
        <v>1.3833240704225248E-2</v>
      </c>
      <c r="D2918">
        <f t="shared" si="106"/>
        <v>1.0694244218023008</v>
      </c>
    </row>
    <row r="2919" spans="1:4" x14ac:dyDescent="0.3">
      <c r="A2919" s="1">
        <v>30188</v>
      </c>
      <c r="B2919">
        <v>174.929993</v>
      </c>
      <c r="C2919">
        <f t="shared" si="107"/>
        <v>1.5676694319844239E-2</v>
      </c>
      <c r="D2919">
        <f t="shared" si="106"/>
        <v>1.2168931307252584</v>
      </c>
    </row>
    <row r="2920" spans="1:4" x14ac:dyDescent="0.3">
      <c r="A2920" s="1">
        <v>30189</v>
      </c>
      <c r="B2920">
        <v>178.16999799999999</v>
      </c>
      <c r="C2920">
        <f t="shared" si="107"/>
        <v>1.8521723716069641E-2</v>
      </c>
      <c r="D2920">
        <f t="shared" si="106"/>
        <v>1.44448378359251</v>
      </c>
    </row>
    <row r="2921" spans="1:4" x14ac:dyDescent="0.3">
      <c r="A2921" s="1">
        <v>30190</v>
      </c>
      <c r="B2921">
        <v>177.60000600000001</v>
      </c>
      <c r="C2921">
        <f t="shared" si="107"/>
        <v>-3.1991469181022552E-3</v>
      </c>
      <c r="D2921">
        <f t="shared" si="106"/>
        <v>-0.29309655038750548</v>
      </c>
    </row>
    <row r="2922" spans="1:4" x14ac:dyDescent="0.3">
      <c r="A2922" s="1">
        <v>30193</v>
      </c>
      <c r="B2922">
        <v>176.36000100000001</v>
      </c>
      <c r="C2922">
        <f t="shared" si="107"/>
        <v>-6.9820098992564019E-3</v>
      </c>
      <c r="D2922">
        <f t="shared" si="106"/>
        <v>-0.59571003365431252</v>
      </c>
    </row>
    <row r="2923" spans="1:4" x14ac:dyDescent="0.3">
      <c r="A2923" s="1">
        <v>30194</v>
      </c>
      <c r="B2923">
        <v>177.71000699999999</v>
      </c>
      <c r="C2923">
        <f t="shared" si="107"/>
        <v>7.6548309840391701E-3</v>
      </c>
      <c r="D2923">
        <f t="shared" si="106"/>
        <v>0.57517704995998931</v>
      </c>
    </row>
    <row r="2924" spans="1:4" x14ac:dyDescent="0.3">
      <c r="A2924" s="1">
        <v>30195</v>
      </c>
      <c r="B2924">
        <v>177.300003</v>
      </c>
      <c r="C2924">
        <f t="shared" si="107"/>
        <v>-2.3071520108599542E-3</v>
      </c>
      <c r="D2924">
        <f t="shared" si="106"/>
        <v>-0.22174062571309655</v>
      </c>
    </row>
    <row r="2925" spans="1:4" x14ac:dyDescent="0.3">
      <c r="A2925" s="1">
        <v>30196</v>
      </c>
      <c r="B2925">
        <v>179.5</v>
      </c>
      <c r="C2925">
        <f t="shared" si="107"/>
        <v>1.2408330303299521E-2</v>
      </c>
      <c r="D2925">
        <f t="shared" si="106"/>
        <v>0.95543744899482164</v>
      </c>
    </row>
    <row r="2926" spans="1:4" x14ac:dyDescent="0.3">
      <c r="A2926" s="1">
        <v>30197</v>
      </c>
      <c r="B2926">
        <v>182.050003</v>
      </c>
      <c r="C2926">
        <f t="shared" si="107"/>
        <v>1.4206144846796678E-2</v>
      </c>
      <c r="D2926">
        <f t="shared" si="106"/>
        <v>1.0992552198170185</v>
      </c>
    </row>
    <row r="2927" spans="1:4" x14ac:dyDescent="0.3">
      <c r="A2927" s="1">
        <v>30201</v>
      </c>
      <c r="B2927">
        <v>180.88000500000001</v>
      </c>
      <c r="C2927">
        <f t="shared" si="107"/>
        <v>-6.4267947306762335E-3</v>
      </c>
      <c r="D2927">
        <f t="shared" si="106"/>
        <v>-0.55129510322631414</v>
      </c>
    </row>
    <row r="2928" spans="1:4" x14ac:dyDescent="0.3">
      <c r="A2928" s="1">
        <v>30202</v>
      </c>
      <c r="B2928">
        <v>181.78999300000001</v>
      </c>
      <c r="C2928">
        <f t="shared" si="107"/>
        <v>5.0308932709284167E-3</v>
      </c>
      <c r="D2928">
        <f t="shared" si="106"/>
        <v>0.36527282260747629</v>
      </c>
    </row>
    <row r="2929" spans="1:4" x14ac:dyDescent="0.3">
      <c r="A2929" s="1">
        <v>30203</v>
      </c>
      <c r="B2929">
        <v>182.770004</v>
      </c>
      <c r="C2929">
        <f t="shared" si="107"/>
        <v>5.3908962964754085E-3</v>
      </c>
      <c r="D2929">
        <f t="shared" si="106"/>
        <v>0.39407158430994921</v>
      </c>
    </row>
    <row r="2930" spans="1:4" x14ac:dyDescent="0.3">
      <c r="A2930" s="1">
        <v>30204</v>
      </c>
      <c r="B2930">
        <v>182.470001</v>
      </c>
      <c r="C2930">
        <f t="shared" si="107"/>
        <v>-1.6414236112836317E-3</v>
      </c>
      <c r="D2930">
        <f t="shared" si="106"/>
        <v>-0.16848509123852698</v>
      </c>
    </row>
    <row r="2931" spans="1:4" x14ac:dyDescent="0.3">
      <c r="A2931" s="1">
        <v>30207</v>
      </c>
      <c r="B2931">
        <v>182.89999399999999</v>
      </c>
      <c r="C2931">
        <f t="shared" si="107"/>
        <v>2.356513386548379E-3</v>
      </c>
      <c r="D2931">
        <f t="shared" si="106"/>
        <v>0.15133342897286825</v>
      </c>
    </row>
    <row r="2932" spans="1:4" x14ac:dyDescent="0.3">
      <c r="A2932" s="1">
        <v>30208</v>
      </c>
      <c r="B2932">
        <v>184.60000600000001</v>
      </c>
      <c r="C2932">
        <f t="shared" si="107"/>
        <v>9.2947624700305629E-3</v>
      </c>
      <c r="D2932">
        <f t="shared" si="106"/>
        <v>0.70636482540073675</v>
      </c>
    </row>
    <row r="2933" spans="1:4" x14ac:dyDescent="0.3">
      <c r="A2933" s="1">
        <v>30209</v>
      </c>
      <c r="B2933">
        <v>186.30999800000001</v>
      </c>
      <c r="C2933">
        <f t="shared" si="107"/>
        <v>9.2632283013035204E-3</v>
      </c>
      <c r="D2933">
        <f t="shared" si="106"/>
        <v>0.70384222157184995</v>
      </c>
    </row>
    <row r="2934" spans="1:4" x14ac:dyDescent="0.3">
      <c r="A2934" s="1">
        <v>30210</v>
      </c>
      <c r="B2934">
        <v>186.800003</v>
      </c>
      <c r="C2934">
        <f t="shared" si="107"/>
        <v>2.6300520919977492E-3</v>
      </c>
      <c r="D2934">
        <f t="shared" si="106"/>
        <v>0.1732154006109401</v>
      </c>
    </row>
    <row r="2935" spans="1:4" x14ac:dyDescent="0.3">
      <c r="A2935" s="1">
        <v>30211</v>
      </c>
      <c r="B2935">
        <v>186.61000100000001</v>
      </c>
      <c r="C2935">
        <f t="shared" si="107"/>
        <v>-1.0171413112878413E-3</v>
      </c>
      <c r="D2935">
        <f t="shared" si="106"/>
        <v>-0.11854507430302012</v>
      </c>
    </row>
    <row r="2936" spans="1:4" x14ac:dyDescent="0.3">
      <c r="A2936" s="1">
        <v>30214</v>
      </c>
      <c r="B2936">
        <v>186</v>
      </c>
      <c r="C2936">
        <f t="shared" si="107"/>
        <v>-3.2688548134138379E-3</v>
      </c>
      <c r="D2936">
        <f t="shared" si="106"/>
        <v>-0.29867289537185382</v>
      </c>
    </row>
    <row r="2937" spans="1:4" x14ac:dyDescent="0.3">
      <c r="A2937" s="1">
        <v>30215</v>
      </c>
      <c r="B2937">
        <v>187.91000399999999</v>
      </c>
      <c r="C2937">
        <f t="shared" si="107"/>
        <v>1.0268838709677347E-2</v>
      </c>
      <c r="D2937">
        <f t="shared" si="106"/>
        <v>0.78428691914704873</v>
      </c>
    </row>
    <row r="2938" spans="1:4" x14ac:dyDescent="0.3">
      <c r="A2938" s="1">
        <v>30216</v>
      </c>
      <c r="B2938">
        <v>188.61999499999999</v>
      </c>
      <c r="C2938">
        <f t="shared" si="107"/>
        <v>3.7783565796741846E-3</v>
      </c>
      <c r="D2938">
        <f t="shared" si="106"/>
        <v>0.26507503776878738</v>
      </c>
    </row>
    <row r="2939" spans="1:4" x14ac:dyDescent="0.3">
      <c r="A2939" s="1">
        <v>30217</v>
      </c>
      <c r="B2939">
        <v>188.14999399999999</v>
      </c>
      <c r="C2939">
        <f t="shared" si="107"/>
        <v>-2.4917877873975999E-3</v>
      </c>
      <c r="D2939">
        <f t="shared" si="106"/>
        <v>-0.23651072860925854</v>
      </c>
    </row>
    <row r="2940" spans="1:4" x14ac:dyDescent="0.3">
      <c r="A2940" s="1">
        <v>30218</v>
      </c>
      <c r="B2940">
        <v>188.61000100000001</v>
      </c>
      <c r="C2940">
        <f t="shared" si="107"/>
        <v>2.4448951085271823E-3</v>
      </c>
      <c r="D2940">
        <f t="shared" si="106"/>
        <v>0.15840360330336015</v>
      </c>
    </row>
    <row r="2941" spans="1:4" x14ac:dyDescent="0.3">
      <c r="A2941" s="1">
        <v>30221</v>
      </c>
      <c r="B2941">
        <v>188.63999899999999</v>
      </c>
      <c r="C2941">
        <f t="shared" si="107"/>
        <v>1.5904776968840462E-4</v>
      </c>
      <c r="D2941">
        <f t="shared" si="106"/>
        <v>-2.4454784343320764E-2</v>
      </c>
    </row>
    <row r="2942" spans="1:4" x14ac:dyDescent="0.3">
      <c r="A2942" s="1">
        <v>30222</v>
      </c>
      <c r="B2942">
        <v>189.03999300000001</v>
      </c>
      <c r="C2942">
        <f t="shared" si="107"/>
        <v>2.1204092563636033E-3</v>
      </c>
      <c r="D2942">
        <f t="shared" si="106"/>
        <v>0.13244606942407067</v>
      </c>
    </row>
    <row r="2943" spans="1:4" x14ac:dyDescent="0.3">
      <c r="A2943" s="1">
        <v>30223</v>
      </c>
      <c r="B2943">
        <v>188.259995</v>
      </c>
      <c r="C2943">
        <f t="shared" si="107"/>
        <v>-4.1261004490198332E-3</v>
      </c>
      <c r="D2943">
        <f t="shared" si="106"/>
        <v>-0.36724902120521702</v>
      </c>
    </row>
    <row r="2944" spans="1:4" x14ac:dyDescent="0.3">
      <c r="A2944" s="1">
        <v>30224</v>
      </c>
      <c r="B2944">
        <v>187.64999399999999</v>
      </c>
      <c r="C2944">
        <f t="shared" si="107"/>
        <v>-3.2402051216457914E-3</v>
      </c>
      <c r="D2944">
        <f t="shared" si="106"/>
        <v>-0.29638103783864655</v>
      </c>
    </row>
    <row r="2945" spans="1:4" x14ac:dyDescent="0.3">
      <c r="A2945" s="1">
        <v>30225</v>
      </c>
      <c r="B2945">
        <v>188.699997</v>
      </c>
      <c r="C2945">
        <f t="shared" si="107"/>
        <v>5.5955397472594844E-3</v>
      </c>
      <c r="D2945">
        <f t="shared" si="106"/>
        <v>0.41044221887377752</v>
      </c>
    </row>
    <row r="2946" spans="1:4" x14ac:dyDescent="0.3">
      <c r="A2946" s="1">
        <v>30228</v>
      </c>
      <c r="B2946">
        <v>188.020004</v>
      </c>
      <c r="C2946">
        <f t="shared" si="107"/>
        <v>-3.6035665649745406E-3</v>
      </c>
      <c r="D2946">
        <f t="shared" si="106"/>
        <v>-0.32544845915376358</v>
      </c>
    </row>
    <row r="2947" spans="1:4" x14ac:dyDescent="0.3">
      <c r="A2947" s="1">
        <v>30229</v>
      </c>
      <c r="B2947">
        <v>188.770004</v>
      </c>
      <c r="C2947">
        <f t="shared" si="107"/>
        <v>3.9889372622287575E-3</v>
      </c>
      <c r="D2947">
        <f t="shared" ref="D2947:D3010" si="108">(C2947-avrtn)/sdrtn</f>
        <v>0.28192062646021254</v>
      </c>
    </row>
    <row r="2948" spans="1:4" x14ac:dyDescent="0.3">
      <c r="A2948" s="1">
        <v>30230</v>
      </c>
      <c r="B2948">
        <v>191.979996</v>
      </c>
      <c r="C2948">
        <f t="shared" ref="C2948:C3011" si="109">(B2948-B2947)/B2947</f>
        <v>1.7004777941308936E-2</v>
      </c>
      <c r="D2948">
        <f t="shared" si="108"/>
        <v>1.3231343593299509</v>
      </c>
    </row>
    <row r="2949" spans="1:4" x14ac:dyDescent="0.3">
      <c r="A2949" s="1">
        <v>30231</v>
      </c>
      <c r="B2949">
        <v>195.58999600000001</v>
      </c>
      <c r="C2949">
        <f t="shared" si="109"/>
        <v>1.8804042479509238E-2</v>
      </c>
      <c r="D2949">
        <f t="shared" si="108"/>
        <v>1.4670681237659857</v>
      </c>
    </row>
    <row r="2950" spans="1:4" x14ac:dyDescent="0.3">
      <c r="A2950" s="1">
        <v>30232</v>
      </c>
      <c r="B2950">
        <v>198.88999899999999</v>
      </c>
      <c r="C2950">
        <f t="shared" si="109"/>
        <v>1.6872043905558316E-2</v>
      </c>
      <c r="D2950">
        <f t="shared" si="108"/>
        <v>1.3125161822755178</v>
      </c>
    </row>
    <row r="2951" spans="1:4" x14ac:dyDescent="0.3">
      <c r="A2951" s="1">
        <v>30235</v>
      </c>
      <c r="B2951">
        <v>202.30999800000001</v>
      </c>
      <c r="C2951">
        <f t="shared" si="109"/>
        <v>1.7195429720928395E-2</v>
      </c>
      <c r="D2951">
        <f t="shared" si="108"/>
        <v>1.3383857177347056</v>
      </c>
    </row>
    <row r="2952" spans="1:4" x14ac:dyDescent="0.3">
      <c r="A2952" s="1">
        <v>30236</v>
      </c>
      <c r="B2952">
        <v>202.16000399999999</v>
      </c>
      <c r="C2952">
        <f t="shared" si="109"/>
        <v>-7.4140675934375141E-4</v>
      </c>
      <c r="D2952">
        <f t="shared" si="108"/>
        <v>-9.6487443974745415E-2</v>
      </c>
    </row>
    <row r="2953" spans="1:4" x14ac:dyDescent="0.3">
      <c r="A2953" s="1">
        <v>30237</v>
      </c>
      <c r="B2953">
        <v>205.16999799999999</v>
      </c>
      <c r="C2953">
        <f t="shared" si="109"/>
        <v>1.488916670183686E-2</v>
      </c>
      <c r="D2953">
        <f t="shared" si="108"/>
        <v>1.1538941596175831</v>
      </c>
    </row>
    <row r="2954" spans="1:4" x14ac:dyDescent="0.3">
      <c r="A2954" s="1">
        <v>30238</v>
      </c>
      <c r="B2954">
        <v>204.85000600000001</v>
      </c>
      <c r="C2954">
        <f t="shared" si="109"/>
        <v>-1.5596432378967267E-3</v>
      </c>
      <c r="D2954">
        <f t="shared" si="108"/>
        <v>-0.16194299765047929</v>
      </c>
    </row>
    <row r="2955" spans="1:4" x14ac:dyDescent="0.3">
      <c r="A2955" s="1">
        <v>30239</v>
      </c>
      <c r="B2955">
        <v>204.46000699999999</v>
      </c>
      <c r="C2955">
        <f t="shared" si="109"/>
        <v>-1.903827134864801E-3</v>
      </c>
      <c r="D2955">
        <f t="shared" si="108"/>
        <v>-0.18947629411528422</v>
      </c>
    </row>
    <row r="2956" spans="1:4" x14ac:dyDescent="0.3">
      <c r="A2956" s="1">
        <v>30242</v>
      </c>
      <c r="B2956">
        <v>206.61000100000001</v>
      </c>
      <c r="C2956">
        <f t="shared" si="109"/>
        <v>1.0515474549504545E-2</v>
      </c>
      <c r="D2956">
        <f t="shared" si="108"/>
        <v>0.8040167721605912</v>
      </c>
    </row>
    <row r="2957" spans="1:4" x14ac:dyDescent="0.3">
      <c r="A2957" s="1">
        <v>30243</v>
      </c>
      <c r="B2957">
        <v>207.479996</v>
      </c>
      <c r="C2957">
        <f t="shared" si="109"/>
        <v>4.2108077817587771E-3</v>
      </c>
      <c r="D2957">
        <f t="shared" si="108"/>
        <v>0.29966935568558639</v>
      </c>
    </row>
    <row r="2958" spans="1:4" x14ac:dyDescent="0.3">
      <c r="A2958" s="1">
        <v>30244</v>
      </c>
      <c r="B2958">
        <v>210.699997</v>
      </c>
      <c r="C2958">
        <f t="shared" si="109"/>
        <v>1.5519573270090079E-2</v>
      </c>
      <c r="D2958">
        <f t="shared" si="108"/>
        <v>1.2043240928305425</v>
      </c>
    </row>
    <row r="2959" spans="1:4" x14ac:dyDescent="0.3">
      <c r="A2959" s="1">
        <v>30245</v>
      </c>
      <c r="B2959">
        <v>214.279999</v>
      </c>
      <c r="C2959">
        <f t="shared" si="109"/>
        <v>1.6990992173578471E-2</v>
      </c>
      <c r="D2959">
        <f t="shared" si="108"/>
        <v>1.3220315545989294</v>
      </c>
    </row>
    <row r="2960" spans="1:4" x14ac:dyDescent="0.3">
      <c r="A2960" s="1">
        <v>30246</v>
      </c>
      <c r="B2960">
        <v>215.28999300000001</v>
      </c>
      <c r="C2960">
        <f t="shared" si="109"/>
        <v>4.713431046823955E-3</v>
      </c>
      <c r="D2960">
        <f t="shared" si="108"/>
        <v>0.33987715009158503</v>
      </c>
    </row>
    <row r="2961" spans="1:4" x14ac:dyDescent="0.3">
      <c r="A2961" s="1">
        <v>30249</v>
      </c>
      <c r="B2961">
        <v>210.88999899999999</v>
      </c>
      <c r="C2961">
        <f t="shared" si="109"/>
        <v>-2.0437522147162785E-2</v>
      </c>
      <c r="D2961">
        <f t="shared" si="108"/>
        <v>-1.6720956840898538</v>
      </c>
    </row>
    <row r="2962" spans="1:4" x14ac:dyDescent="0.3">
      <c r="A2962" s="1">
        <v>30250</v>
      </c>
      <c r="B2962">
        <v>209.91999799999999</v>
      </c>
      <c r="C2962">
        <f t="shared" si="109"/>
        <v>-4.5995590336173143E-3</v>
      </c>
      <c r="D2962">
        <f t="shared" si="108"/>
        <v>-0.40512376109968262</v>
      </c>
    </row>
    <row r="2963" spans="1:4" x14ac:dyDescent="0.3">
      <c r="A2963" s="1">
        <v>30251</v>
      </c>
      <c r="B2963">
        <v>212.199997</v>
      </c>
      <c r="C2963">
        <f t="shared" si="109"/>
        <v>1.0861275827565527E-2</v>
      </c>
      <c r="D2963">
        <f t="shared" si="108"/>
        <v>0.83167945246211794</v>
      </c>
    </row>
    <row r="2964" spans="1:4" x14ac:dyDescent="0.3">
      <c r="A2964" s="1">
        <v>30252</v>
      </c>
      <c r="B2964">
        <v>211.86999499999999</v>
      </c>
      <c r="C2964">
        <f t="shared" si="109"/>
        <v>-1.5551461105817426E-3</v>
      </c>
      <c r="D2964">
        <f t="shared" si="108"/>
        <v>-0.16158324595757859</v>
      </c>
    </row>
    <row r="2965" spans="1:4" x14ac:dyDescent="0.3">
      <c r="A2965" s="1">
        <v>30253</v>
      </c>
      <c r="B2965">
        <v>212.63000500000001</v>
      </c>
      <c r="C2965">
        <f t="shared" si="109"/>
        <v>3.5871525838286943E-3</v>
      </c>
      <c r="D2965">
        <f t="shared" si="108"/>
        <v>0.24977950433667703</v>
      </c>
    </row>
    <row r="2966" spans="1:4" x14ac:dyDescent="0.3">
      <c r="A2966" s="1">
        <v>30256</v>
      </c>
      <c r="B2966">
        <v>214.520004</v>
      </c>
      <c r="C2966">
        <f t="shared" si="109"/>
        <v>8.8886749544119549E-3</v>
      </c>
      <c r="D2966">
        <f t="shared" si="108"/>
        <v>0.67387949399309</v>
      </c>
    </row>
    <row r="2967" spans="1:4" x14ac:dyDescent="0.3">
      <c r="A2967" s="1">
        <v>30257</v>
      </c>
      <c r="B2967">
        <v>217.64999399999999</v>
      </c>
      <c r="C2967">
        <f t="shared" si="109"/>
        <v>1.45906672647647E-2</v>
      </c>
      <c r="D2967">
        <f t="shared" si="108"/>
        <v>1.1300154320888296</v>
      </c>
    </row>
    <row r="2968" spans="1:4" x14ac:dyDescent="0.3">
      <c r="A2968" s="1">
        <v>30258</v>
      </c>
      <c r="B2968">
        <v>222.770004</v>
      </c>
      <c r="C2968">
        <f t="shared" si="109"/>
        <v>2.3524053026162766E-2</v>
      </c>
      <c r="D2968">
        <f t="shared" si="108"/>
        <v>1.844649558698928</v>
      </c>
    </row>
    <row r="2969" spans="1:4" x14ac:dyDescent="0.3">
      <c r="A2969" s="1">
        <v>30259</v>
      </c>
      <c r="B2969">
        <v>225.009995</v>
      </c>
      <c r="C2969">
        <f t="shared" si="109"/>
        <v>1.0055173316781031E-2</v>
      </c>
      <c r="D2969">
        <f t="shared" si="108"/>
        <v>0.76719456631268879</v>
      </c>
    </row>
    <row r="2970" spans="1:4" x14ac:dyDescent="0.3">
      <c r="A2970" s="1">
        <v>30260</v>
      </c>
      <c r="B2970">
        <v>227.029999</v>
      </c>
      <c r="C2970">
        <f t="shared" si="109"/>
        <v>8.9773967596417214E-3</v>
      </c>
      <c r="D2970">
        <f t="shared" si="108"/>
        <v>0.68097687358522829</v>
      </c>
    </row>
    <row r="2971" spans="1:4" x14ac:dyDescent="0.3">
      <c r="A2971" s="1">
        <v>30263</v>
      </c>
      <c r="B2971">
        <v>226.740005</v>
      </c>
      <c r="C2971">
        <f t="shared" si="109"/>
        <v>-1.2773378023932739E-3</v>
      </c>
      <c r="D2971">
        <f t="shared" si="108"/>
        <v>-0.13935972365709021</v>
      </c>
    </row>
    <row r="2972" spans="1:4" x14ac:dyDescent="0.3">
      <c r="A2972" s="1">
        <v>30264</v>
      </c>
      <c r="B2972">
        <v>230.19000199999999</v>
      </c>
      <c r="C2972">
        <f t="shared" si="109"/>
        <v>1.5215651953434491E-2</v>
      </c>
      <c r="D2972">
        <f t="shared" si="108"/>
        <v>1.1800116372300171</v>
      </c>
    </row>
    <row r="2973" spans="1:4" x14ac:dyDescent="0.3">
      <c r="A2973" s="1">
        <v>30265</v>
      </c>
      <c r="B2973">
        <v>230.41000399999999</v>
      </c>
      <c r="C2973">
        <f t="shared" si="109"/>
        <v>9.5574090137934753E-4</v>
      </c>
      <c r="D2973">
        <f t="shared" si="108"/>
        <v>3.9277390170222158E-2</v>
      </c>
    </row>
    <row r="2974" spans="1:4" x14ac:dyDescent="0.3">
      <c r="A2974" s="1">
        <v>30266</v>
      </c>
      <c r="B2974">
        <v>231.520004</v>
      </c>
      <c r="C2974">
        <f t="shared" si="109"/>
        <v>4.8174991568509049E-3</v>
      </c>
      <c r="D2974">
        <f t="shared" si="108"/>
        <v>0.34820217096311562</v>
      </c>
    </row>
    <row r="2975" spans="1:4" x14ac:dyDescent="0.3">
      <c r="A2975" s="1">
        <v>30267</v>
      </c>
      <c r="B2975">
        <v>232.61000100000001</v>
      </c>
      <c r="C2975">
        <f t="shared" si="109"/>
        <v>4.7080035468555492E-3</v>
      </c>
      <c r="D2975">
        <f t="shared" si="108"/>
        <v>0.33944297241212579</v>
      </c>
    </row>
    <row r="2976" spans="1:4" x14ac:dyDescent="0.3">
      <c r="A2976" s="1">
        <v>30270</v>
      </c>
      <c r="B2976">
        <v>229.33999600000001</v>
      </c>
      <c r="C2976">
        <f t="shared" si="109"/>
        <v>-1.4057886530854696E-2</v>
      </c>
      <c r="D2976">
        <f t="shared" si="108"/>
        <v>-1.1617510680036103</v>
      </c>
    </row>
    <row r="2977" spans="1:4" x14ac:dyDescent="0.3">
      <c r="A2977" s="1">
        <v>30271</v>
      </c>
      <c r="B2977">
        <v>224.970001</v>
      </c>
      <c r="C2977">
        <f t="shared" si="109"/>
        <v>-1.9054657173709976E-2</v>
      </c>
      <c r="D2977">
        <f t="shared" si="108"/>
        <v>-1.5614721725883773</v>
      </c>
    </row>
    <row r="2978" spans="1:4" x14ac:dyDescent="0.3">
      <c r="A2978" s="1">
        <v>30272</v>
      </c>
      <c r="B2978">
        <v>227.75</v>
      </c>
      <c r="C2978">
        <f t="shared" si="109"/>
        <v>1.2357198682681269E-2</v>
      </c>
      <c r="D2978">
        <f t="shared" si="108"/>
        <v>0.9513471295998418</v>
      </c>
    </row>
    <row r="2979" spans="1:4" x14ac:dyDescent="0.3">
      <c r="A2979" s="1">
        <v>30273</v>
      </c>
      <c r="B2979">
        <v>229.279999</v>
      </c>
      <c r="C2979">
        <f t="shared" si="109"/>
        <v>6.7178880351262509E-3</v>
      </c>
      <c r="D2979">
        <f t="shared" si="108"/>
        <v>0.50022546677938262</v>
      </c>
    </row>
    <row r="2980" spans="1:4" x14ac:dyDescent="0.3">
      <c r="A2980" s="1">
        <v>30274</v>
      </c>
      <c r="B2980">
        <v>229.41000399999999</v>
      </c>
      <c r="C2980">
        <f t="shared" si="109"/>
        <v>5.6701413366624638E-4</v>
      </c>
      <c r="D2980">
        <f t="shared" si="108"/>
        <v>8.1808472071940412E-3</v>
      </c>
    </row>
    <row r="2981" spans="1:4" x14ac:dyDescent="0.3">
      <c r="A2981" s="1">
        <v>30277</v>
      </c>
      <c r="B2981">
        <v>225.78999300000001</v>
      </c>
      <c r="C2981">
        <f t="shared" si="109"/>
        <v>-1.5779656235043599E-2</v>
      </c>
      <c r="D2981">
        <f t="shared" si="108"/>
        <v>-1.2994855643793948</v>
      </c>
    </row>
    <row r="2982" spans="1:4" x14ac:dyDescent="0.3">
      <c r="A2982" s="1">
        <v>30278</v>
      </c>
      <c r="B2982">
        <v>225.16999799999999</v>
      </c>
      <c r="C2982">
        <f t="shared" si="109"/>
        <v>-2.7458922858464201E-3</v>
      </c>
      <c r="D2982">
        <f t="shared" si="108"/>
        <v>-0.25683804360122309</v>
      </c>
    </row>
    <row r="2983" spans="1:4" x14ac:dyDescent="0.3">
      <c r="A2983" s="1">
        <v>30279</v>
      </c>
      <c r="B2983">
        <v>226.88000500000001</v>
      </c>
      <c r="C2983">
        <f t="shared" si="109"/>
        <v>7.5942932681467568E-3</v>
      </c>
      <c r="D2983">
        <f t="shared" si="108"/>
        <v>0.57033428162117139</v>
      </c>
    </row>
    <row r="2984" spans="1:4" x14ac:dyDescent="0.3">
      <c r="A2984" s="1">
        <v>30281</v>
      </c>
      <c r="B2984">
        <v>228.63999899999999</v>
      </c>
      <c r="C2984">
        <f t="shared" si="109"/>
        <v>7.7573781788306002E-3</v>
      </c>
      <c r="D2984">
        <f t="shared" si="108"/>
        <v>0.58338040386671908</v>
      </c>
    </row>
    <row r="2985" spans="1:4" x14ac:dyDescent="0.3">
      <c r="A2985" s="1">
        <v>30284</v>
      </c>
      <c r="B2985">
        <v>228.38999899999999</v>
      </c>
      <c r="C2985">
        <f t="shared" si="109"/>
        <v>-1.0934219781902641E-3</v>
      </c>
      <c r="D2985">
        <f t="shared" si="108"/>
        <v>-0.1246472139872374</v>
      </c>
    </row>
    <row r="2986" spans="1:4" x14ac:dyDescent="0.3">
      <c r="A2986" s="1">
        <v>30285</v>
      </c>
      <c r="B2986">
        <v>232.30999800000001</v>
      </c>
      <c r="C2986">
        <f t="shared" si="109"/>
        <v>1.7163619322928491E-2</v>
      </c>
      <c r="D2986">
        <f t="shared" si="108"/>
        <v>1.3358410166998516</v>
      </c>
    </row>
    <row r="2987" spans="1:4" x14ac:dyDescent="0.3">
      <c r="A2987" s="1">
        <v>30286</v>
      </c>
      <c r="B2987">
        <v>235.58999600000001</v>
      </c>
      <c r="C2987">
        <f t="shared" si="109"/>
        <v>1.4119056554767849E-2</v>
      </c>
      <c r="D2987">
        <f t="shared" si="108"/>
        <v>1.0922885145639087</v>
      </c>
    </row>
    <row r="2988" spans="1:4" x14ac:dyDescent="0.3">
      <c r="A2988" s="1">
        <v>30287</v>
      </c>
      <c r="B2988">
        <v>236.179993</v>
      </c>
      <c r="C2988">
        <f t="shared" si="109"/>
        <v>2.5043380874287314E-3</v>
      </c>
      <c r="D2988">
        <f t="shared" si="108"/>
        <v>0.1631587971844943</v>
      </c>
    </row>
    <row r="2989" spans="1:4" x14ac:dyDescent="0.3">
      <c r="A2989" s="1">
        <v>30288</v>
      </c>
      <c r="B2989">
        <v>237.16000399999999</v>
      </c>
      <c r="C2989">
        <f t="shared" si="109"/>
        <v>4.1494242909897554E-3</v>
      </c>
      <c r="D2989">
        <f t="shared" si="108"/>
        <v>0.2947589288344869</v>
      </c>
    </row>
    <row r="2990" spans="1:4" x14ac:dyDescent="0.3">
      <c r="A2990" s="1">
        <v>30291</v>
      </c>
      <c r="B2990">
        <v>239.28999300000001</v>
      </c>
      <c r="C2990">
        <f t="shared" si="109"/>
        <v>8.9812319281290919E-3</v>
      </c>
      <c r="D2990">
        <f t="shared" si="108"/>
        <v>0.68128367129391088</v>
      </c>
    </row>
    <row r="2991" spans="1:4" x14ac:dyDescent="0.3">
      <c r="A2991" s="1">
        <v>30292</v>
      </c>
      <c r="B2991">
        <v>240.64999399999999</v>
      </c>
      <c r="C2991">
        <f t="shared" si="109"/>
        <v>5.6834846411650099E-3</v>
      </c>
      <c r="D2991">
        <f t="shared" si="108"/>
        <v>0.41747744875465498</v>
      </c>
    </row>
    <row r="2992" spans="1:4" x14ac:dyDescent="0.3">
      <c r="A2992" s="1">
        <v>30293</v>
      </c>
      <c r="B2992">
        <v>240.699997</v>
      </c>
      <c r="C2992">
        <f t="shared" si="109"/>
        <v>2.0778309265199397E-4</v>
      </c>
      <c r="D2992">
        <f t="shared" si="108"/>
        <v>-2.055615890707908E-2</v>
      </c>
    </row>
    <row r="2993" spans="1:4" x14ac:dyDescent="0.3">
      <c r="A2993" s="1">
        <v>30294</v>
      </c>
      <c r="B2993">
        <v>237.240005</v>
      </c>
      <c r="C2993">
        <f t="shared" si="109"/>
        <v>-1.4374707283440473E-2</v>
      </c>
      <c r="D2993">
        <f t="shared" si="108"/>
        <v>-1.1870954254357535</v>
      </c>
    </row>
    <row r="2994" spans="1:4" x14ac:dyDescent="0.3">
      <c r="A2994" s="1">
        <v>30295</v>
      </c>
      <c r="B2994">
        <v>233.85000600000001</v>
      </c>
      <c r="C2994">
        <f t="shared" si="109"/>
        <v>-1.4289322747232235E-2</v>
      </c>
      <c r="D2994">
        <f t="shared" si="108"/>
        <v>-1.1802650136424053</v>
      </c>
    </row>
    <row r="2995" spans="1:4" x14ac:dyDescent="0.3">
      <c r="A2995" s="1">
        <v>30298</v>
      </c>
      <c r="B2995">
        <v>233.33000200000001</v>
      </c>
      <c r="C2995">
        <f t="shared" si="109"/>
        <v>-2.2236646853025957E-3</v>
      </c>
      <c r="D2995">
        <f t="shared" si="108"/>
        <v>-0.21506198297044188</v>
      </c>
    </row>
    <row r="2996" spans="1:4" x14ac:dyDescent="0.3">
      <c r="A2996" s="1">
        <v>30299</v>
      </c>
      <c r="B2996">
        <v>231.33000200000001</v>
      </c>
      <c r="C2996">
        <f t="shared" si="109"/>
        <v>-8.5715509486859725E-3</v>
      </c>
      <c r="D2996">
        <f t="shared" si="108"/>
        <v>-0.72286678137682736</v>
      </c>
    </row>
    <row r="2997" spans="1:4" x14ac:dyDescent="0.3">
      <c r="A2997" s="1">
        <v>30300</v>
      </c>
      <c r="B2997">
        <v>225.69000199999999</v>
      </c>
      <c r="C2997">
        <f t="shared" si="109"/>
        <v>-2.4380754555131223E-2</v>
      </c>
      <c r="D2997">
        <f t="shared" si="108"/>
        <v>-1.9875380620587808</v>
      </c>
    </row>
    <row r="2998" spans="1:4" x14ac:dyDescent="0.3">
      <c r="A2998" s="1">
        <v>30301</v>
      </c>
      <c r="B2998">
        <v>225.60000600000001</v>
      </c>
      <c r="C2998">
        <f t="shared" si="109"/>
        <v>-3.9875935665056661E-4</v>
      </c>
      <c r="D2998">
        <f t="shared" si="108"/>
        <v>-6.9077060733829451E-2</v>
      </c>
    </row>
    <row r="2999" spans="1:4" x14ac:dyDescent="0.3">
      <c r="A2999" s="1">
        <v>30302</v>
      </c>
      <c r="B2999">
        <v>228.929993</v>
      </c>
      <c r="C2999">
        <f t="shared" si="109"/>
        <v>1.476058028119019E-2</v>
      </c>
      <c r="D2999">
        <f t="shared" si="108"/>
        <v>1.1436077747163707</v>
      </c>
    </row>
    <row r="3000" spans="1:4" x14ac:dyDescent="0.3">
      <c r="A3000" s="1">
        <v>30305</v>
      </c>
      <c r="B3000">
        <v>227.88000500000001</v>
      </c>
      <c r="C3000">
        <f t="shared" si="109"/>
        <v>-4.5865025645634161E-3</v>
      </c>
      <c r="D3000">
        <f t="shared" si="108"/>
        <v>-0.4040792972638923</v>
      </c>
    </row>
    <row r="3001" spans="1:4" x14ac:dyDescent="0.3">
      <c r="A3001" s="1">
        <v>30306</v>
      </c>
      <c r="B3001">
        <v>228.520004</v>
      </c>
      <c r="C3001">
        <f t="shared" si="109"/>
        <v>2.8084912495942279E-3</v>
      </c>
      <c r="D3001">
        <f t="shared" si="108"/>
        <v>0.18748979947245806</v>
      </c>
    </row>
    <row r="3002" spans="1:4" x14ac:dyDescent="0.3">
      <c r="A3002" s="1">
        <v>30307</v>
      </c>
      <c r="B3002">
        <v>231.03999300000001</v>
      </c>
      <c r="C3002">
        <f t="shared" si="109"/>
        <v>1.102743285441221E-2</v>
      </c>
      <c r="D3002">
        <f t="shared" si="108"/>
        <v>0.84497133136807567</v>
      </c>
    </row>
    <row r="3003" spans="1:4" x14ac:dyDescent="0.3">
      <c r="A3003" s="1">
        <v>30308</v>
      </c>
      <c r="B3003">
        <v>232.33000200000001</v>
      </c>
      <c r="C3003">
        <f t="shared" si="109"/>
        <v>5.5834878769235319E-3</v>
      </c>
      <c r="D3003">
        <f t="shared" si="108"/>
        <v>0.40947811880448826</v>
      </c>
    </row>
    <row r="3004" spans="1:4" x14ac:dyDescent="0.3">
      <c r="A3004" s="1">
        <v>30312</v>
      </c>
      <c r="B3004">
        <v>233.199997</v>
      </c>
      <c r="C3004">
        <f t="shared" si="109"/>
        <v>3.7446519713798684E-3</v>
      </c>
      <c r="D3004">
        <f t="shared" si="108"/>
        <v>0.26237880769941957</v>
      </c>
    </row>
    <row r="3005" spans="1:4" x14ac:dyDescent="0.3">
      <c r="A3005" s="1">
        <v>30313</v>
      </c>
      <c r="B3005">
        <v>232.199997</v>
      </c>
      <c r="C3005">
        <f t="shared" si="109"/>
        <v>-4.2881647206882258E-3</v>
      </c>
      <c r="D3005">
        <f t="shared" si="108"/>
        <v>-0.38021349652642139</v>
      </c>
    </row>
    <row r="3006" spans="1:4" x14ac:dyDescent="0.3">
      <c r="A3006" s="1">
        <v>30314</v>
      </c>
      <c r="B3006">
        <v>232.270004</v>
      </c>
      <c r="C3006">
        <f t="shared" si="109"/>
        <v>3.0149440527341576E-4</v>
      </c>
      <c r="D3006">
        <f t="shared" si="108"/>
        <v>-1.3059639240585353E-2</v>
      </c>
    </row>
    <row r="3007" spans="1:4" x14ac:dyDescent="0.3">
      <c r="A3007" s="1">
        <v>30315</v>
      </c>
      <c r="B3007">
        <v>231.279999</v>
      </c>
      <c r="C3007">
        <f t="shared" si="109"/>
        <v>-4.2623024193860024E-3</v>
      </c>
      <c r="D3007">
        <f t="shared" si="108"/>
        <v>-0.3781446187686619</v>
      </c>
    </row>
    <row r="3008" spans="1:4" x14ac:dyDescent="0.3">
      <c r="A3008" s="1">
        <v>30316</v>
      </c>
      <c r="B3008">
        <v>232.41000399999999</v>
      </c>
      <c r="C3008">
        <f t="shared" si="109"/>
        <v>4.8858742860855113E-3</v>
      </c>
      <c r="D3008">
        <f t="shared" si="108"/>
        <v>0.35367190014167271</v>
      </c>
    </row>
    <row r="3009" spans="1:4" x14ac:dyDescent="0.3">
      <c r="A3009" s="1">
        <v>30319</v>
      </c>
      <c r="B3009">
        <v>230.58999600000001</v>
      </c>
      <c r="C3009">
        <f t="shared" si="109"/>
        <v>-7.8310226267195148E-3</v>
      </c>
      <c r="D3009">
        <f t="shared" si="108"/>
        <v>-0.66362756069016571</v>
      </c>
    </row>
    <row r="3010" spans="1:4" x14ac:dyDescent="0.3">
      <c r="A3010" s="1">
        <v>30320</v>
      </c>
      <c r="B3010">
        <v>231.63999899999999</v>
      </c>
      <c r="C3010">
        <f t="shared" si="109"/>
        <v>4.5535496691711435E-3</v>
      </c>
      <c r="D3010">
        <f t="shared" si="108"/>
        <v>0.32708729731551334</v>
      </c>
    </row>
    <row r="3011" spans="1:4" x14ac:dyDescent="0.3">
      <c r="A3011" s="1">
        <v>30321</v>
      </c>
      <c r="B3011">
        <v>232.729996</v>
      </c>
      <c r="C3011">
        <f t="shared" si="109"/>
        <v>4.7055646896286291E-3</v>
      </c>
      <c r="D3011">
        <f t="shared" ref="D3011:D3074" si="110">(C3011-avrtn)/sdrtn</f>
        <v>0.33924787386261301</v>
      </c>
    </row>
    <row r="3012" spans="1:4" x14ac:dyDescent="0.3">
      <c r="A3012" s="1">
        <v>30322</v>
      </c>
      <c r="B3012">
        <v>236.61000100000001</v>
      </c>
      <c r="C3012">
        <f t="shared" ref="C3012:C3075" si="111">(B3012-B3011)/B3011</f>
        <v>1.6671701399419141E-2</v>
      </c>
      <c r="D3012">
        <f t="shared" si="110"/>
        <v>1.2964896055976916</v>
      </c>
    </row>
    <row r="3013" spans="1:4" x14ac:dyDescent="0.3">
      <c r="A3013" s="1">
        <v>30323</v>
      </c>
      <c r="B3013">
        <v>238.60000600000001</v>
      </c>
      <c r="C3013">
        <f t="shared" si="111"/>
        <v>8.4104855736845899E-3</v>
      </c>
      <c r="D3013">
        <f t="shared" si="110"/>
        <v>0.63562630986138369</v>
      </c>
    </row>
    <row r="3014" spans="1:4" x14ac:dyDescent="0.3">
      <c r="A3014" s="1">
        <v>30326</v>
      </c>
      <c r="B3014">
        <v>240.94000199999999</v>
      </c>
      <c r="C3014">
        <f t="shared" si="111"/>
        <v>9.8071917064410513E-3</v>
      </c>
      <c r="D3014">
        <f t="shared" si="110"/>
        <v>0.74735705719196521</v>
      </c>
    </row>
    <row r="3015" spans="1:4" x14ac:dyDescent="0.3">
      <c r="A3015" s="1">
        <v>30327</v>
      </c>
      <c r="B3015">
        <v>240.85000600000001</v>
      </c>
      <c r="C3015">
        <f t="shared" si="111"/>
        <v>-3.7352037541688526E-4</v>
      </c>
      <c r="D3015">
        <f t="shared" si="110"/>
        <v>-6.7058046018445908E-2</v>
      </c>
    </row>
    <row r="3016" spans="1:4" x14ac:dyDescent="0.3">
      <c r="A3016" s="1">
        <v>30328</v>
      </c>
      <c r="B3016">
        <v>242.91000399999999</v>
      </c>
      <c r="C3016">
        <f t="shared" si="111"/>
        <v>8.5530327950250444E-3</v>
      </c>
      <c r="D3016">
        <f t="shared" si="110"/>
        <v>0.6470295014109434</v>
      </c>
    </row>
    <row r="3017" spans="1:4" x14ac:dyDescent="0.3">
      <c r="A3017" s="1">
        <v>30329</v>
      </c>
      <c r="B3017">
        <v>243.479996</v>
      </c>
      <c r="C3017">
        <f t="shared" si="111"/>
        <v>2.346515131587637E-3</v>
      </c>
      <c r="D3017">
        <f t="shared" si="110"/>
        <v>0.15053360968907895</v>
      </c>
    </row>
    <row r="3018" spans="1:4" x14ac:dyDescent="0.3">
      <c r="A3018" s="1">
        <v>30330</v>
      </c>
      <c r="B3018">
        <v>245.63000500000001</v>
      </c>
      <c r="C3018">
        <f t="shared" si="111"/>
        <v>8.830331178418499E-3</v>
      </c>
      <c r="D3018">
        <f t="shared" si="110"/>
        <v>0.66921223182465395</v>
      </c>
    </row>
    <row r="3019" spans="1:4" x14ac:dyDescent="0.3">
      <c r="A3019" s="1">
        <v>30333</v>
      </c>
      <c r="B3019">
        <v>247.13999899999999</v>
      </c>
      <c r="C3019">
        <f t="shared" si="111"/>
        <v>6.1474330059960612E-3</v>
      </c>
      <c r="D3019">
        <f t="shared" si="110"/>
        <v>0.45459141017406351</v>
      </c>
    </row>
    <row r="3020" spans="1:4" x14ac:dyDescent="0.3">
      <c r="A3020" s="1">
        <v>30334</v>
      </c>
      <c r="B3020">
        <v>246.64999399999999</v>
      </c>
      <c r="C3020">
        <f t="shared" si="111"/>
        <v>-1.9827021201857193E-3</v>
      </c>
      <c r="D3020">
        <f t="shared" si="110"/>
        <v>-0.19578596860508005</v>
      </c>
    </row>
    <row r="3021" spans="1:4" x14ac:dyDescent="0.3">
      <c r="A3021" s="1">
        <v>30335</v>
      </c>
      <c r="B3021">
        <v>245.199997</v>
      </c>
      <c r="C3021">
        <f t="shared" si="111"/>
        <v>-5.8787635729680831E-3</v>
      </c>
      <c r="D3021">
        <f t="shared" si="110"/>
        <v>-0.50745486412724783</v>
      </c>
    </row>
    <row r="3022" spans="1:4" x14ac:dyDescent="0.3">
      <c r="A3022" s="1">
        <v>30336</v>
      </c>
      <c r="B3022">
        <v>245.990005</v>
      </c>
      <c r="C3022">
        <f t="shared" si="111"/>
        <v>3.2218923722091247E-3</v>
      </c>
      <c r="D3022">
        <f t="shared" si="110"/>
        <v>0.22056018936607621</v>
      </c>
    </row>
    <row r="3023" spans="1:4" x14ac:dyDescent="0.3">
      <c r="A3023" s="1">
        <v>30337</v>
      </c>
      <c r="B3023">
        <v>243.970001</v>
      </c>
      <c r="C3023">
        <f t="shared" si="111"/>
        <v>-8.2117320173232256E-3</v>
      </c>
      <c r="D3023">
        <f t="shared" si="110"/>
        <v>-0.69408274645209422</v>
      </c>
    </row>
    <row r="3024" spans="1:4" x14ac:dyDescent="0.3">
      <c r="A3024" s="1">
        <v>30340</v>
      </c>
      <c r="B3024">
        <v>236.729996</v>
      </c>
      <c r="C3024">
        <f t="shared" si="111"/>
        <v>-2.9675800181678879E-2</v>
      </c>
      <c r="D3024">
        <f t="shared" si="110"/>
        <v>-2.4111199388248759</v>
      </c>
    </row>
    <row r="3025" spans="1:4" x14ac:dyDescent="0.3">
      <c r="A3025" s="1">
        <v>30341</v>
      </c>
      <c r="B3025">
        <v>239.19000199999999</v>
      </c>
      <c r="C3025">
        <f t="shared" si="111"/>
        <v>1.0391610871315153E-2</v>
      </c>
      <c r="D3025">
        <f t="shared" si="110"/>
        <v>0.79410818723592791</v>
      </c>
    </row>
    <row r="3026" spans="1:4" x14ac:dyDescent="0.3">
      <c r="A3026" s="1">
        <v>30342</v>
      </c>
      <c r="B3026">
        <v>241.429993</v>
      </c>
      <c r="C3026">
        <f t="shared" si="111"/>
        <v>9.3649023005568741E-3</v>
      </c>
      <c r="D3026">
        <f t="shared" si="110"/>
        <v>0.71197572342613513</v>
      </c>
    </row>
    <row r="3027" spans="1:4" x14ac:dyDescent="0.3">
      <c r="A3027" s="1">
        <v>30343</v>
      </c>
      <c r="B3027">
        <v>245.44000199999999</v>
      </c>
      <c r="C3027">
        <f t="shared" si="111"/>
        <v>1.660940693478791E-2</v>
      </c>
      <c r="D3027">
        <f t="shared" si="110"/>
        <v>1.2915063045835622</v>
      </c>
    </row>
    <row r="3028" spans="1:4" x14ac:dyDescent="0.3">
      <c r="A3028" s="1">
        <v>30344</v>
      </c>
      <c r="B3028">
        <v>246.929993</v>
      </c>
      <c r="C3028">
        <f t="shared" si="111"/>
        <v>6.0706933990328253E-3</v>
      </c>
      <c r="D3028">
        <f t="shared" si="110"/>
        <v>0.44845255717215404</v>
      </c>
    </row>
    <row r="3029" spans="1:4" x14ac:dyDescent="0.3">
      <c r="A3029" s="1">
        <v>30347</v>
      </c>
      <c r="B3029">
        <v>248.35000600000001</v>
      </c>
      <c r="C3029">
        <f t="shared" si="111"/>
        <v>5.750670393450388E-3</v>
      </c>
      <c r="D3029">
        <f t="shared" si="110"/>
        <v>0.42285203266802107</v>
      </c>
    </row>
    <row r="3030" spans="1:4" x14ac:dyDescent="0.3">
      <c r="A3030" s="1">
        <v>30348</v>
      </c>
      <c r="B3030">
        <v>248.14999399999999</v>
      </c>
      <c r="C3030">
        <f t="shared" si="111"/>
        <v>-8.0536337897255843E-4</v>
      </c>
      <c r="D3030">
        <f t="shared" si="110"/>
        <v>-0.10160371055385863</v>
      </c>
    </row>
    <row r="3031" spans="1:4" x14ac:dyDescent="0.3">
      <c r="A3031" s="1">
        <v>30349</v>
      </c>
      <c r="B3031">
        <v>248.279999</v>
      </c>
      <c r="C3031">
        <f t="shared" si="111"/>
        <v>5.2389684925807916E-4</v>
      </c>
      <c r="D3031">
        <f t="shared" si="110"/>
        <v>4.7316417538735547E-3</v>
      </c>
    </row>
    <row r="3032" spans="1:4" x14ac:dyDescent="0.3">
      <c r="A3032" s="1">
        <v>30350</v>
      </c>
      <c r="B3032">
        <v>249.44000199999999</v>
      </c>
      <c r="C3032">
        <f t="shared" si="111"/>
        <v>4.6721564550996674E-3</v>
      </c>
      <c r="D3032">
        <f t="shared" si="110"/>
        <v>0.33657535247577736</v>
      </c>
    </row>
    <row r="3033" spans="1:4" x14ac:dyDescent="0.3">
      <c r="A3033" s="1">
        <v>30351</v>
      </c>
      <c r="B3033">
        <v>251.64999399999999</v>
      </c>
      <c r="C3033">
        <f t="shared" si="111"/>
        <v>8.8598139122850056E-3</v>
      </c>
      <c r="D3033">
        <f t="shared" si="110"/>
        <v>0.67157072930024841</v>
      </c>
    </row>
    <row r="3034" spans="1:4" x14ac:dyDescent="0.3">
      <c r="A3034" s="1">
        <v>30354</v>
      </c>
      <c r="B3034">
        <v>252.020004</v>
      </c>
      <c r="C3034">
        <f t="shared" si="111"/>
        <v>1.4703358188834597E-3</v>
      </c>
      <c r="D3034">
        <f t="shared" si="110"/>
        <v>8.0442867543606592E-2</v>
      </c>
    </row>
    <row r="3035" spans="1:4" x14ac:dyDescent="0.3">
      <c r="A3035" s="1">
        <v>30355</v>
      </c>
      <c r="B3035">
        <v>251.10000600000001</v>
      </c>
      <c r="C3035">
        <f t="shared" si="111"/>
        <v>-3.6504959344417459E-3</v>
      </c>
      <c r="D3035">
        <f t="shared" si="110"/>
        <v>-0.32920261573641973</v>
      </c>
    </row>
    <row r="3036" spans="1:4" x14ac:dyDescent="0.3">
      <c r="A3036" s="1">
        <v>30356</v>
      </c>
      <c r="B3036">
        <v>251.38000500000001</v>
      </c>
      <c r="C3036">
        <f t="shared" si="111"/>
        <v>1.1150895790898693E-3</v>
      </c>
      <c r="D3036">
        <f t="shared" si="110"/>
        <v>5.2024629141385906E-2</v>
      </c>
    </row>
    <row r="3037" spans="1:4" x14ac:dyDescent="0.3">
      <c r="A3037" s="1">
        <v>30357</v>
      </c>
      <c r="B3037">
        <v>254.770004</v>
      </c>
      <c r="C3037">
        <f t="shared" si="111"/>
        <v>1.3485555464126865E-2</v>
      </c>
      <c r="D3037">
        <f t="shared" si="110"/>
        <v>1.0416110322846801</v>
      </c>
    </row>
    <row r="3038" spans="1:4" x14ac:dyDescent="0.3">
      <c r="A3038" s="1">
        <v>30358</v>
      </c>
      <c r="B3038">
        <v>256.64001500000001</v>
      </c>
      <c r="C3038">
        <f t="shared" si="111"/>
        <v>7.3399967446717363E-3</v>
      </c>
      <c r="D3038">
        <f t="shared" si="110"/>
        <v>0.54999160541672243</v>
      </c>
    </row>
    <row r="3039" spans="1:4" x14ac:dyDescent="0.3">
      <c r="A3039" s="1">
        <v>30361</v>
      </c>
      <c r="B3039">
        <v>258.67001299999998</v>
      </c>
      <c r="C3039">
        <f t="shared" si="111"/>
        <v>7.9099044628717693E-3</v>
      </c>
      <c r="D3039">
        <f t="shared" si="110"/>
        <v>0.59558187939818508</v>
      </c>
    </row>
    <row r="3040" spans="1:4" x14ac:dyDescent="0.3">
      <c r="A3040" s="1">
        <v>30362</v>
      </c>
      <c r="B3040">
        <v>259.05999800000001</v>
      </c>
      <c r="C3040">
        <f t="shared" si="111"/>
        <v>1.5076544647640478E-3</v>
      </c>
      <c r="D3040">
        <f t="shared" si="110"/>
        <v>8.3428205758864851E-2</v>
      </c>
    </row>
    <row r="3041" spans="1:4" x14ac:dyDescent="0.3">
      <c r="A3041" s="1">
        <v>30363</v>
      </c>
      <c r="B3041">
        <v>259.07000699999998</v>
      </c>
      <c r="C3041">
        <f t="shared" si="111"/>
        <v>3.8635837555932438E-5</v>
      </c>
      <c r="D3041">
        <f t="shared" si="110"/>
        <v>-3.4087243777095044E-2</v>
      </c>
    </row>
    <row r="3042" spans="1:4" x14ac:dyDescent="0.3">
      <c r="A3042" s="1">
        <v>30364</v>
      </c>
      <c r="B3042">
        <v>259</v>
      </c>
      <c r="C3042">
        <f t="shared" si="111"/>
        <v>-2.7022425641103065E-4</v>
      </c>
      <c r="D3042">
        <f t="shared" si="110"/>
        <v>-5.8794781254156915E-2</v>
      </c>
    </row>
    <row r="3043" spans="1:4" x14ac:dyDescent="0.3">
      <c r="A3043" s="1">
        <v>30365</v>
      </c>
      <c r="B3043">
        <v>261.290009</v>
      </c>
      <c r="C3043">
        <f t="shared" si="111"/>
        <v>8.8417335907335828E-3</v>
      </c>
      <c r="D3043">
        <f t="shared" si="110"/>
        <v>0.67012437792286106</v>
      </c>
    </row>
    <row r="3044" spans="1:4" x14ac:dyDescent="0.3">
      <c r="A3044" s="1">
        <v>30369</v>
      </c>
      <c r="B3044">
        <v>259.17999300000002</v>
      </c>
      <c r="C3044">
        <f t="shared" si="111"/>
        <v>-8.0753795679955487E-3</v>
      </c>
      <c r="D3044">
        <f t="shared" si="110"/>
        <v>-0.68317511119050189</v>
      </c>
    </row>
    <row r="3045" spans="1:4" x14ac:dyDescent="0.3">
      <c r="A3045" s="1">
        <v>30370</v>
      </c>
      <c r="B3045">
        <v>259.98998999999998</v>
      </c>
      <c r="C3045">
        <f t="shared" si="111"/>
        <v>3.1252296545897082E-3</v>
      </c>
      <c r="D3045">
        <f t="shared" si="110"/>
        <v>0.21282756943599276</v>
      </c>
    </row>
    <row r="3046" spans="1:4" x14ac:dyDescent="0.3">
      <c r="A3046" s="1">
        <v>30371</v>
      </c>
      <c r="B3046">
        <v>262.30999800000001</v>
      </c>
      <c r="C3046">
        <f t="shared" si="111"/>
        <v>8.9234512451807479E-3</v>
      </c>
      <c r="D3046">
        <f t="shared" si="110"/>
        <v>0.67666145425363133</v>
      </c>
    </row>
    <row r="3047" spans="1:4" x14ac:dyDescent="0.3">
      <c r="A3047" s="1">
        <v>30372</v>
      </c>
      <c r="B3047">
        <v>262.44000199999999</v>
      </c>
      <c r="C3047">
        <f t="shared" si="111"/>
        <v>4.9561206584274129E-4</v>
      </c>
      <c r="D3047">
        <f t="shared" si="110"/>
        <v>2.4689753883708953E-3</v>
      </c>
    </row>
    <row r="3048" spans="1:4" x14ac:dyDescent="0.3">
      <c r="A3048" s="1">
        <v>30375</v>
      </c>
      <c r="B3048">
        <v>260.67001299999998</v>
      </c>
      <c r="C3048">
        <f t="shared" si="111"/>
        <v>-6.7443567539677493E-3</v>
      </c>
      <c r="D3048">
        <f t="shared" si="110"/>
        <v>-0.57669875926679304</v>
      </c>
    </row>
    <row r="3049" spans="1:4" x14ac:dyDescent="0.3">
      <c r="A3049" s="1">
        <v>30376</v>
      </c>
      <c r="B3049">
        <v>261.82000699999998</v>
      </c>
      <c r="C3049">
        <f t="shared" si="111"/>
        <v>4.4116850525495336E-3</v>
      </c>
      <c r="D3049">
        <f t="shared" si="110"/>
        <v>0.31573871133657377</v>
      </c>
    </row>
    <row r="3050" spans="1:4" x14ac:dyDescent="0.3">
      <c r="A3050" s="1">
        <v>30377</v>
      </c>
      <c r="B3050">
        <v>263.39999399999999</v>
      </c>
      <c r="C3050">
        <f t="shared" si="111"/>
        <v>6.0346305009457016E-3</v>
      </c>
      <c r="D3050">
        <f t="shared" si="110"/>
        <v>0.44556767361670713</v>
      </c>
    </row>
    <row r="3051" spans="1:4" x14ac:dyDescent="0.3">
      <c r="A3051" s="1">
        <v>30378</v>
      </c>
      <c r="B3051">
        <v>265.209991</v>
      </c>
      <c r="C3051">
        <f t="shared" si="111"/>
        <v>6.8716668231967003E-3</v>
      </c>
      <c r="D3051">
        <f t="shared" si="110"/>
        <v>0.51252713748286371</v>
      </c>
    </row>
    <row r="3052" spans="1:4" x14ac:dyDescent="0.3">
      <c r="A3052" s="1">
        <v>30379</v>
      </c>
      <c r="B3052">
        <v>265.94000199999999</v>
      </c>
      <c r="C3052">
        <f t="shared" si="111"/>
        <v>2.7525772963809285E-3</v>
      </c>
      <c r="D3052">
        <f t="shared" si="110"/>
        <v>0.18301691313494353</v>
      </c>
    </row>
    <row r="3053" spans="1:4" x14ac:dyDescent="0.3">
      <c r="A3053" s="1">
        <v>30382</v>
      </c>
      <c r="B3053">
        <v>265.39001500000001</v>
      </c>
      <c r="C3053">
        <f t="shared" si="111"/>
        <v>-2.0680867709401136E-3</v>
      </c>
      <c r="D3053">
        <f t="shared" si="110"/>
        <v>-0.20261638956164976</v>
      </c>
    </row>
    <row r="3054" spans="1:4" x14ac:dyDescent="0.3">
      <c r="A3054" s="1">
        <v>30383</v>
      </c>
      <c r="B3054">
        <v>263.16000400000001</v>
      </c>
      <c r="C3054">
        <f t="shared" si="111"/>
        <v>-8.4027690340949344E-3</v>
      </c>
      <c r="D3054">
        <f t="shared" si="110"/>
        <v>-0.70936492224492409</v>
      </c>
    </row>
    <row r="3055" spans="1:4" x14ac:dyDescent="0.3">
      <c r="A3055" s="1">
        <v>30384</v>
      </c>
      <c r="B3055">
        <v>265.05999800000001</v>
      </c>
      <c r="C3055">
        <f t="shared" si="111"/>
        <v>7.2199193309025493E-3</v>
      </c>
      <c r="D3055">
        <f t="shared" si="110"/>
        <v>0.5403859060764632</v>
      </c>
    </row>
    <row r="3056" spans="1:4" x14ac:dyDescent="0.3">
      <c r="A3056" s="1">
        <v>30385</v>
      </c>
      <c r="B3056">
        <v>266.07998700000002</v>
      </c>
      <c r="C3056">
        <f t="shared" si="111"/>
        <v>3.8481438455304356E-3</v>
      </c>
      <c r="D3056">
        <f t="shared" si="110"/>
        <v>0.27065773207033561</v>
      </c>
    </row>
    <row r="3057" spans="1:4" x14ac:dyDescent="0.3">
      <c r="A3057" s="1">
        <v>30386</v>
      </c>
      <c r="B3057">
        <v>266.17999300000002</v>
      </c>
      <c r="C3057">
        <f t="shared" si="111"/>
        <v>3.7584938697402892E-4</v>
      </c>
      <c r="D3057">
        <f t="shared" si="110"/>
        <v>-7.1115464540479796E-3</v>
      </c>
    </row>
    <row r="3058" spans="1:4" x14ac:dyDescent="0.3">
      <c r="A3058" s="1">
        <v>30389</v>
      </c>
      <c r="B3058">
        <v>264.33999599999999</v>
      </c>
      <c r="C3058">
        <f t="shared" si="111"/>
        <v>-6.9126044345490653E-3</v>
      </c>
      <c r="D3058">
        <f t="shared" si="110"/>
        <v>-0.59015788187470186</v>
      </c>
    </row>
    <row r="3059" spans="1:4" x14ac:dyDescent="0.3">
      <c r="A3059" s="1">
        <v>30390</v>
      </c>
      <c r="B3059">
        <v>264.25</v>
      </c>
      <c r="C3059">
        <f t="shared" si="111"/>
        <v>-3.4045547916246885E-4</v>
      </c>
      <c r="D3059">
        <f t="shared" si="110"/>
        <v>-6.4412990281758412E-2</v>
      </c>
    </row>
    <row r="3060" spans="1:4" x14ac:dyDescent="0.3">
      <c r="A3060" s="1">
        <v>30391</v>
      </c>
      <c r="B3060">
        <v>264.66000400000001</v>
      </c>
      <c r="C3060">
        <f t="shared" si="111"/>
        <v>1.5515761589404537E-3</v>
      </c>
      <c r="D3060">
        <f t="shared" si="110"/>
        <v>8.6941760685891711E-2</v>
      </c>
    </row>
    <row r="3061" spans="1:4" x14ac:dyDescent="0.3">
      <c r="A3061" s="1">
        <v>30392</v>
      </c>
      <c r="B3061">
        <v>264.01001000000002</v>
      </c>
      <c r="C3061">
        <f t="shared" si="111"/>
        <v>-2.4559585512588158E-3</v>
      </c>
      <c r="D3061">
        <f t="shared" si="110"/>
        <v>-0.23364453704885513</v>
      </c>
    </row>
    <row r="3062" spans="1:4" x14ac:dyDescent="0.3">
      <c r="A3062" s="1">
        <v>30393</v>
      </c>
      <c r="B3062">
        <v>265.01001000000002</v>
      </c>
      <c r="C3062">
        <f t="shared" si="111"/>
        <v>3.7877351695869408E-3</v>
      </c>
      <c r="D3062">
        <f t="shared" si="110"/>
        <v>0.26582528639681574</v>
      </c>
    </row>
    <row r="3063" spans="1:4" x14ac:dyDescent="0.3">
      <c r="A3063" s="1">
        <v>30396</v>
      </c>
      <c r="B3063">
        <v>266.32998700000002</v>
      </c>
      <c r="C3063">
        <f t="shared" si="111"/>
        <v>4.9808571381888336E-3</v>
      </c>
      <c r="D3063">
        <f t="shared" si="110"/>
        <v>0.36127013773811689</v>
      </c>
    </row>
    <row r="3064" spans="1:4" x14ac:dyDescent="0.3">
      <c r="A3064" s="1">
        <v>30397</v>
      </c>
      <c r="B3064">
        <v>267.51998900000001</v>
      </c>
      <c r="C3064">
        <f t="shared" si="111"/>
        <v>4.4681487556262021E-3</v>
      </c>
      <c r="D3064">
        <f t="shared" si="110"/>
        <v>0.32025557540257288</v>
      </c>
    </row>
    <row r="3065" spans="1:4" x14ac:dyDescent="0.3">
      <c r="A3065" s="1">
        <v>30398</v>
      </c>
      <c r="B3065">
        <v>269.26001000000002</v>
      </c>
      <c r="C3065">
        <f t="shared" si="111"/>
        <v>6.5042653691198115E-3</v>
      </c>
      <c r="D3065">
        <f t="shared" si="110"/>
        <v>0.48313653192051892</v>
      </c>
    </row>
    <row r="3066" spans="1:4" x14ac:dyDescent="0.3">
      <c r="A3066" s="1">
        <v>30399</v>
      </c>
      <c r="B3066">
        <v>270.36999500000002</v>
      </c>
      <c r="C3066">
        <f t="shared" si="111"/>
        <v>4.1223537056245176E-3</v>
      </c>
      <c r="D3066">
        <f t="shared" si="110"/>
        <v>0.29259339332018003</v>
      </c>
    </row>
    <row r="3067" spans="1:4" x14ac:dyDescent="0.3">
      <c r="A3067" s="1">
        <v>30400</v>
      </c>
      <c r="B3067">
        <v>270.89001500000001</v>
      </c>
      <c r="C3067">
        <f t="shared" si="111"/>
        <v>1.9233643141502745E-3</v>
      </c>
      <c r="D3067">
        <f t="shared" si="110"/>
        <v>0.11668328430064819</v>
      </c>
    </row>
    <row r="3068" spans="1:4" x14ac:dyDescent="0.3">
      <c r="A3068" s="1">
        <v>30403</v>
      </c>
      <c r="B3068">
        <v>269.14999399999999</v>
      </c>
      <c r="C3068">
        <f t="shared" si="111"/>
        <v>-6.4233486051525849E-3</v>
      </c>
      <c r="D3068">
        <f t="shared" si="110"/>
        <v>-0.551019427354975</v>
      </c>
    </row>
    <row r="3069" spans="1:4" x14ac:dyDescent="0.3">
      <c r="A3069" s="1">
        <v>30404</v>
      </c>
      <c r="B3069">
        <v>268.76998900000001</v>
      </c>
      <c r="C3069">
        <f t="shared" si="111"/>
        <v>-1.4118707355422896E-3</v>
      </c>
      <c r="D3069">
        <f t="shared" si="110"/>
        <v>-0.15012180510628481</v>
      </c>
    </row>
    <row r="3070" spans="1:4" x14ac:dyDescent="0.3">
      <c r="A3070" s="1">
        <v>30405</v>
      </c>
      <c r="B3070">
        <v>270.77999899999998</v>
      </c>
      <c r="C3070">
        <f t="shared" si="111"/>
        <v>7.4785507395320298E-3</v>
      </c>
      <c r="D3070">
        <f t="shared" si="110"/>
        <v>0.56107535526811481</v>
      </c>
    </row>
    <row r="3071" spans="1:4" x14ac:dyDescent="0.3">
      <c r="A3071" s="1">
        <v>30406</v>
      </c>
      <c r="B3071">
        <v>270.79998799999998</v>
      </c>
      <c r="C3071">
        <f t="shared" si="111"/>
        <v>7.3820075610568216E-5</v>
      </c>
      <c r="D3071">
        <f t="shared" si="110"/>
        <v>-3.1272649411175558E-2</v>
      </c>
    </row>
    <row r="3072" spans="1:4" x14ac:dyDescent="0.3">
      <c r="A3072" s="1">
        <v>30410</v>
      </c>
      <c r="B3072">
        <v>268.73001099999999</v>
      </c>
      <c r="C3072">
        <f t="shared" si="111"/>
        <v>-7.6439331304549189E-3</v>
      </c>
      <c r="D3072">
        <f t="shared" si="110"/>
        <v>-0.64866117030560355</v>
      </c>
    </row>
    <row r="3073" spans="1:4" x14ac:dyDescent="0.3">
      <c r="A3073" s="1">
        <v>30411</v>
      </c>
      <c r="B3073">
        <v>268.82998700000002</v>
      </c>
      <c r="C3073">
        <f t="shared" si="111"/>
        <v>3.7203139176006096E-4</v>
      </c>
      <c r="D3073">
        <f t="shared" si="110"/>
        <v>-7.4169703714752873E-3</v>
      </c>
    </row>
    <row r="3074" spans="1:4" x14ac:dyDescent="0.3">
      <c r="A3074" s="1">
        <v>30412</v>
      </c>
      <c r="B3074">
        <v>266.47000100000002</v>
      </c>
      <c r="C3074">
        <f t="shared" si="111"/>
        <v>-8.7787304769686731E-3</v>
      </c>
      <c r="D3074">
        <f t="shared" si="110"/>
        <v>-0.73944029171213266</v>
      </c>
    </row>
    <row r="3075" spans="1:4" x14ac:dyDescent="0.3">
      <c r="A3075" s="1">
        <v>30413</v>
      </c>
      <c r="B3075">
        <v>266.73998999999998</v>
      </c>
      <c r="C3075">
        <f t="shared" si="111"/>
        <v>1.0132059856146911E-3</v>
      </c>
      <c r="D3075">
        <f t="shared" ref="D3075:D3138" si="112">(C3075-avrtn)/sdrtn</f>
        <v>4.3874360611211333E-2</v>
      </c>
    </row>
    <row r="3076" spans="1:4" x14ac:dyDescent="0.3">
      <c r="A3076" s="1">
        <v>30414</v>
      </c>
      <c r="B3076">
        <v>268.10000600000001</v>
      </c>
      <c r="C3076">
        <f t="shared" ref="C3076:C3139" si="113">(B3076-B3075)/B3075</f>
        <v>5.0986580602332262E-3</v>
      </c>
      <c r="D3076">
        <f t="shared" si="112"/>
        <v>0.37069372710138243</v>
      </c>
    </row>
    <row r="3077" spans="1:4" x14ac:dyDescent="0.3">
      <c r="A3077" s="1">
        <v>30417</v>
      </c>
      <c r="B3077">
        <v>270.80999800000001</v>
      </c>
      <c r="C3077">
        <f t="shared" si="113"/>
        <v>1.0108138527978995E-2</v>
      </c>
      <c r="D3077">
        <f t="shared" si="112"/>
        <v>0.77143156541427615</v>
      </c>
    </row>
    <row r="3078" spans="1:4" x14ac:dyDescent="0.3">
      <c r="A3078" s="1">
        <v>30418</v>
      </c>
      <c r="B3078">
        <v>272.73001099999999</v>
      </c>
      <c r="C3078">
        <f t="shared" si="113"/>
        <v>7.0898896428483521E-3</v>
      </c>
      <c r="D3078">
        <f t="shared" si="112"/>
        <v>0.52998406571739964</v>
      </c>
    </row>
    <row r="3079" spans="1:4" x14ac:dyDescent="0.3">
      <c r="A3079" s="1">
        <v>30419</v>
      </c>
      <c r="B3079">
        <v>275.92999300000002</v>
      </c>
      <c r="C3079">
        <f t="shared" si="113"/>
        <v>1.1733149528601142E-2</v>
      </c>
      <c r="D3079">
        <f t="shared" si="112"/>
        <v>0.90142576337888636</v>
      </c>
    </row>
    <row r="3080" spans="1:4" x14ac:dyDescent="0.3">
      <c r="A3080" s="1">
        <v>30420</v>
      </c>
      <c r="B3080">
        <v>278.80999800000001</v>
      </c>
      <c r="C3080">
        <f t="shared" si="113"/>
        <v>1.0437448168238755E-2</v>
      </c>
      <c r="D3080">
        <f t="shared" si="112"/>
        <v>0.79777498250572498</v>
      </c>
    </row>
    <row r="3081" spans="1:4" x14ac:dyDescent="0.3">
      <c r="A3081" s="1">
        <v>30421</v>
      </c>
      <c r="B3081">
        <v>281.60000600000001</v>
      </c>
      <c r="C3081">
        <f t="shared" si="113"/>
        <v>1.0006843441819473E-2</v>
      </c>
      <c r="D3081">
        <f t="shared" si="112"/>
        <v>0.76332837504939755</v>
      </c>
    </row>
    <row r="3082" spans="1:4" x14ac:dyDescent="0.3">
      <c r="A3082" s="1">
        <v>30424</v>
      </c>
      <c r="B3082">
        <v>282.82998700000002</v>
      </c>
      <c r="C3082">
        <f t="shared" si="113"/>
        <v>4.3678301626172882E-3</v>
      </c>
      <c r="D3082">
        <f t="shared" si="112"/>
        <v>0.31223050047437906</v>
      </c>
    </row>
    <row r="3083" spans="1:4" x14ac:dyDescent="0.3">
      <c r="A3083" s="1">
        <v>30425</v>
      </c>
      <c r="B3083">
        <v>281.85998499999999</v>
      </c>
      <c r="C3083">
        <f t="shared" si="113"/>
        <v>-3.4296292634628666E-3</v>
      </c>
      <c r="D3083">
        <f t="shared" si="112"/>
        <v>-0.31153419026728724</v>
      </c>
    </row>
    <row r="3084" spans="1:4" x14ac:dyDescent="0.3">
      <c r="A3084" s="1">
        <v>30426</v>
      </c>
      <c r="B3084">
        <v>284.80999800000001</v>
      </c>
      <c r="C3084">
        <f t="shared" si="113"/>
        <v>1.0466235567280019E-2</v>
      </c>
      <c r="D3084">
        <f t="shared" si="112"/>
        <v>0.80007785605453385</v>
      </c>
    </row>
    <row r="3085" spans="1:4" x14ac:dyDescent="0.3">
      <c r="A3085" s="1">
        <v>30427</v>
      </c>
      <c r="B3085">
        <v>286.83999599999999</v>
      </c>
      <c r="C3085">
        <f t="shared" si="113"/>
        <v>7.127551751185286E-3</v>
      </c>
      <c r="D3085">
        <f t="shared" si="112"/>
        <v>0.53299687951683949</v>
      </c>
    </row>
    <row r="3086" spans="1:4" x14ac:dyDescent="0.3">
      <c r="A3086" s="1">
        <v>30428</v>
      </c>
      <c r="B3086">
        <v>288.54998799999998</v>
      </c>
      <c r="C3086">
        <f t="shared" si="113"/>
        <v>5.9614838371424318E-3</v>
      </c>
      <c r="D3086">
        <f t="shared" si="112"/>
        <v>0.43971624129332437</v>
      </c>
    </row>
    <row r="3087" spans="1:4" x14ac:dyDescent="0.3">
      <c r="A3087" s="1">
        <v>30431</v>
      </c>
      <c r="B3087">
        <v>286.57998700000002</v>
      </c>
      <c r="C3087">
        <f t="shared" si="113"/>
        <v>-6.8272433960384297E-3</v>
      </c>
      <c r="D3087">
        <f t="shared" si="112"/>
        <v>-0.58332934980053863</v>
      </c>
    </row>
    <row r="3088" spans="1:4" x14ac:dyDescent="0.3">
      <c r="A3088" s="1">
        <v>30432</v>
      </c>
      <c r="B3088">
        <v>288.10998499999999</v>
      </c>
      <c r="C3088">
        <f t="shared" si="113"/>
        <v>5.3388166285316275E-3</v>
      </c>
      <c r="D3088">
        <f t="shared" si="112"/>
        <v>0.38990542502732095</v>
      </c>
    </row>
    <row r="3089" spans="1:4" x14ac:dyDescent="0.3">
      <c r="A3089" s="1">
        <v>30433</v>
      </c>
      <c r="B3089">
        <v>288.92999300000002</v>
      </c>
      <c r="C3089">
        <f t="shared" si="113"/>
        <v>2.8461630720644057E-3</v>
      </c>
      <c r="D3089">
        <f t="shared" si="112"/>
        <v>0.19050339036261268</v>
      </c>
    </row>
    <row r="3090" spans="1:4" x14ac:dyDescent="0.3">
      <c r="A3090" s="1">
        <v>30434</v>
      </c>
      <c r="B3090">
        <v>290.83999599999999</v>
      </c>
      <c r="C3090">
        <f t="shared" si="113"/>
        <v>6.6106082659267585E-3</v>
      </c>
      <c r="D3090">
        <f t="shared" si="112"/>
        <v>0.49164352638047015</v>
      </c>
    </row>
    <row r="3091" spans="1:4" x14ac:dyDescent="0.3">
      <c r="A3091" s="1">
        <v>30435</v>
      </c>
      <c r="B3091">
        <v>293.05999800000001</v>
      </c>
      <c r="C3091">
        <f t="shared" si="113"/>
        <v>7.6330698340403716E-3</v>
      </c>
      <c r="D3091">
        <f t="shared" si="112"/>
        <v>0.5734362474424689</v>
      </c>
    </row>
    <row r="3092" spans="1:4" x14ac:dyDescent="0.3">
      <c r="A3092" s="1">
        <v>30438</v>
      </c>
      <c r="B3092">
        <v>290.540009</v>
      </c>
      <c r="C3092">
        <f t="shared" si="113"/>
        <v>-8.5988842462218582E-3</v>
      </c>
      <c r="D3092">
        <f t="shared" si="112"/>
        <v>-0.72505333278450712</v>
      </c>
    </row>
    <row r="3093" spans="1:4" x14ac:dyDescent="0.3">
      <c r="A3093" s="1">
        <v>30439</v>
      </c>
      <c r="B3093">
        <v>289.64999399999999</v>
      </c>
      <c r="C3093">
        <f t="shared" si="113"/>
        <v>-3.0633130461560814E-3</v>
      </c>
      <c r="D3093">
        <f t="shared" si="112"/>
        <v>-0.28223039918403048</v>
      </c>
    </row>
    <row r="3094" spans="1:4" x14ac:dyDescent="0.3">
      <c r="A3094" s="1">
        <v>30440</v>
      </c>
      <c r="B3094">
        <v>293.209991</v>
      </c>
      <c r="C3094">
        <f t="shared" si="113"/>
        <v>1.2290685564454076E-2</v>
      </c>
      <c r="D3094">
        <f t="shared" si="112"/>
        <v>0.94602635364524279</v>
      </c>
    </row>
    <row r="3095" spans="1:4" x14ac:dyDescent="0.3">
      <c r="A3095" s="1">
        <v>30441</v>
      </c>
      <c r="B3095">
        <v>297.32000699999998</v>
      </c>
      <c r="C3095">
        <f t="shared" si="113"/>
        <v>1.4017312254547196E-2</v>
      </c>
      <c r="D3095">
        <f t="shared" si="112"/>
        <v>1.084149388921319</v>
      </c>
    </row>
    <row r="3096" spans="1:4" x14ac:dyDescent="0.3">
      <c r="A3096" s="1">
        <v>30442</v>
      </c>
      <c r="B3096">
        <v>301.64001500000001</v>
      </c>
      <c r="C3096">
        <f t="shared" si="113"/>
        <v>1.452982610753144E-2</v>
      </c>
      <c r="D3096">
        <f t="shared" si="112"/>
        <v>1.1251483896905023</v>
      </c>
    </row>
    <row r="3097" spans="1:4" x14ac:dyDescent="0.3">
      <c r="A3097" s="1">
        <v>30445</v>
      </c>
      <c r="B3097">
        <v>302.64999399999999</v>
      </c>
      <c r="C3097">
        <f t="shared" si="113"/>
        <v>3.3482925002506284E-3</v>
      </c>
      <c r="D3097">
        <f t="shared" si="112"/>
        <v>0.23067167984896431</v>
      </c>
    </row>
    <row r="3098" spans="1:4" x14ac:dyDescent="0.3">
      <c r="A3098" s="1">
        <v>30446</v>
      </c>
      <c r="B3098">
        <v>304.33999599999999</v>
      </c>
      <c r="C3098">
        <f t="shared" si="113"/>
        <v>5.5840146489478954E-3</v>
      </c>
      <c r="D3098">
        <f t="shared" si="112"/>
        <v>0.40952025840033784</v>
      </c>
    </row>
    <row r="3099" spans="1:4" x14ac:dyDescent="0.3">
      <c r="A3099" s="1">
        <v>30447</v>
      </c>
      <c r="B3099">
        <v>302.89001500000001</v>
      </c>
      <c r="C3099">
        <f t="shared" si="113"/>
        <v>-4.7643458600820244E-3</v>
      </c>
      <c r="D3099">
        <f t="shared" si="112"/>
        <v>-0.41830602960938013</v>
      </c>
    </row>
    <row r="3100" spans="1:4" x14ac:dyDescent="0.3">
      <c r="A3100" s="1">
        <v>30448</v>
      </c>
      <c r="B3100">
        <v>302.14999399999999</v>
      </c>
      <c r="C3100">
        <f t="shared" si="113"/>
        <v>-2.4432003808379519E-3</v>
      </c>
      <c r="D3100">
        <f t="shared" si="112"/>
        <v>-0.23262393587709626</v>
      </c>
    </row>
    <row r="3101" spans="1:4" x14ac:dyDescent="0.3">
      <c r="A3101" s="1">
        <v>30449</v>
      </c>
      <c r="B3101">
        <v>303.94000199999999</v>
      </c>
      <c r="C3101">
        <f t="shared" si="113"/>
        <v>5.9242364241119273E-3</v>
      </c>
      <c r="D3101">
        <f t="shared" si="112"/>
        <v>0.43673660141316156</v>
      </c>
    </row>
    <row r="3102" spans="1:4" x14ac:dyDescent="0.3">
      <c r="A3102" s="1">
        <v>30452</v>
      </c>
      <c r="B3102">
        <v>299.60000600000001</v>
      </c>
      <c r="C3102">
        <f t="shared" si="113"/>
        <v>-1.4279120785160701E-2</v>
      </c>
      <c r="D3102">
        <f t="shared" si="112"/>
        <v>-1.1794488986274012</v>
      </c>
    </row>
    <row r="3103" spans="1:4" x14ac:dyDescent="0.3">
      <c r="A3103" s="1">
        <v>30453</v>
      </c>
      <c r="B3103">
        <v>301.01998900000001</v>
      </c>
      <c r="C3103">
        <f t="shared" si="113"/>
        <v>4.7395960332524221E-3</v>
      </c>
      <c r="D3103">
        <f t="shared" si="112"/>
        <v>0.34197024141479532</v>
      </c>
    </row>
    <row r="3104" spans="1:4" x14ac:dyDescent="0.3">
      <c r="A3104" s="1">
        <v>30454</v>
      </c>
      <c r="B3104">
        <v>303.51001000000002</v>
      </c>
      <c r="C3104">
        <f t="shared" si="113"/>
        <v>8.2719456879656351E-3</v>
      </c>
      <c r="D3104">
        <f t="shared" si="112"/>
        <v>0.62454368868328125</v>
      </c>
    </row>
    <row r="3105" spans="1:4" x14ac:dyDescent="0.3">
      <c r="A3105" s="1">
        <v>30455</v>
      </c>
      <c r="B3105">
        <v>302.82000699999998</v>
      </c>
      <c r="C3105">
        <f t="shared" si="113"/>
        <v>-2.2734110153403075E-3</v>
      </c>
      <c r="D3105">
        <f t="shared" si="112"/>
        <v>-0.21904148481532743</v>
      </c>
    </row>
    <row r="3106" spans="1:4" x14ac:dyDescent="0.3">
      <c r="A3106" s="1">
        <v>30456</v>
      </c>
      <c r="B3106">
        <v>303.55999800000001</v>
      </c>
      <c r="C3106">
        <f t="shared" si="113"/>
        <v>2.4436661478580307E-3</v>
      </c>
      <c r="D3106">
        <f t="shared" si="112"/>
        <v>0.15830529150334449</v>
      </c>
    </row>
    <row r="3107" spans="1:4" x14ac:dyDescent="0.3">
      <c r="A3107" s="1">
        <v>30459</v>
      </c>
      <c r="B3107">
        <v>303.85998499999999</v>
      </c>
      <c r="C3107">
        <f t="shared" si="113"/>
        <v>9.8822968103981653E-4</v>
      </c>
      <c r="D3107">
        <f t="shared" si="112"/>
        <v>4.1876358948399459E-2</v>
      </c>
    </row>
    <row r="3108" spans="1:4" x14ac:dyDescent="0.3">
      <c r="A3108" s="1">
        <v>30460</v>
      </c>
      <c r="B3108">
        <v>307.35998499999999</v>
      </c>
      <c r="C3108">
        <f t="shared" si="113"/>
        <v>1.1518463018419488E-2</v>
      </c>
      <c r="D3108">
        <f t="shared" si="112"/>
        <v>0.88425172536055874</v>
      </c>
    </row>
    <row r="3109" spans="1:4" x14ac:dyDescent="0.3">
      <c r="A3109" s="1">
        <v>30461</v>
      </c>
      <c r="B3109">
        <v>309.16000400000001</v>
      </c>
      <c r="C3109">
        <f t="shared" si="113"/>
        <v>5.8563869333869865E-3</v>
      </c>
      <c r="D3109">
        <f t="shared" si="112"/>
        <v>0.43130892115393921</v>
      </c>
    </row>
    <row r="3110" spans="1:4" x14ac:dyDescent="0.3">
      <c r="A3110" s="1">
        <v>30462</v>
      </c>
      <c r="B3110">
        <v>311.39001500000001</v>
      </c>
      <c r="C3110">
        <f t="shared" si="113"/>
        <v>7.2131290307526014E-3</v>
      </c>
      <c r="D3110">
        <f t="shared" si="112"/>
        <v>0.53984270998634842</v>
      </c>
    </row>
    <row r="3111" spans="1:4" x14ac:dyDescent="0.3">
      <c r="A3111" s="1">
        <v>30463</v>
      </c>
      <c r="B3111">
        <v>312.04998799999998</v>
      </c>
      <c r="C3111">
        <f t="shared" si="113"/>
        <v>2.1194417553818466E-3</v>
      </c>
      <c r="D3111">
        <f t="shared" si="112"/>
        <v>0.13236867332391794</v>
      </c>
    </row>
    <row r="3112" spans="1:4" x14ac:dyDescent="0.3">
      <c r="A3112" s="1">
        <v>30467</v>
      </c>
      <c r="B3112">
        <v>308.73001099999999</v>
      </c>
      <c r="C3112">
        <f t="shared" si="113"/>
        <v>-1.063924732469464E-2</v>
      </c>
      <c r="D3112">
        <f t="shared" si="112"/>
        <v>-0.88827398903921873</v>
      </c>
    </row>
    <row r="3113" spans="1:4" x14ac:dyDescent="0.3">
      <c r="A3113" s="1">
        <v>30468</v>
      </c>
      <c r="B3113">
        <v>307.95001200000002</v>
      </c>
      <c r="C3113">
        <f t="shared" si="113"/>
        <v>-2.5264761189671817E-3</v>
      </c>
      <c r="D3113">
        <f t="shared" si="112"/>
        <v>-0.23928565249555336</v>
      </c>
    </row>
    <row r="3114" spans="1:4" x14ac:dyDescent="0.3">
      <c r="A3114" s="1">
        <v>30469</v>
      </c>
      <c r="B3114">
        <v>310.45001200000002</v>
      </c>
      <c r="C3114">
        <f t="shared" si="113"/>
        <v>8.1182006903120357E-3</v>
      </c>
      <c r="D3114">
        <f t="shared" si="112"/>
        <v>0.61224472107420125</v>
      </c>
    </row>
    <row r="3115" spans="1:4" x14ac:dyDescent="0.3">
      <c r="A3115" s="1">
        <v>30470</v>
      </c>
      <c r="B3115">
        <v>313.85000600000001</v>
      </c>
      <c r="C3115">
        <f t="shared" si="113"/>
        <v>1.0951824347167337E-2</v>
      </c>
      <c r="D3115">
        <f t="shared" si="112"/>
        <v>0.83892296169252534</v>
      </c>
    </row>
    <row r="3116" spans="1:4" x14ac:dyDescent="0.3">
      <c r="A3116" s="1">
        <v>30473</v>
      </c>
      <c r="B3116">
        <v>315.48001099999999</v>
      </c>
      <c r="C3116">
        <f t="shared" si="113"/>
        <v>5.1935796362545961E-3</v>
      </c>
      <c r="D3116">
        <f t="shared" si="112"/>
        <v>0.37828706286323921</v>
      </c>
    </row>
    <row r="3117" spans="1:4" x14ac:dyDescent="0.3">
      <c r="A3117" s="1">
        <v>30474</v>
      </c>
      <c r="B3117">
        <v>314.17001299999998</v>
      </c>
      <c r="C3117">
        <f t="shared" si="113"/>
        <v>-4.1523962036377872E-3</v>
      </c>
      <c r="D3117">
        <f t="shared" si="112"/>
        <v>-0.36935257344586425</v>
      </c>
    </row>
    <row r="3118" spans="1:4" x14ac:dyDescent="0.3">
      <c r="A3118" s="1">
        <v>30475</v>
      </c>
      <c r="B3118">
        <v>312.48998999999998</v>
      </c>
      <c r="C3118">
        <f t="shared" si="113"/>
        <v>-5.3474963570122958E-3</v>
      </c>
      <c r="D3118">
        <f t="shared" si="112"/>
        <v>-0.46495567143463029</v>
      </c>
    </row>
    <row r="3119" spans="1:4" x14ac:dyDescent="0.3">
      <c r="A3119" s="1">
        <v>30476</v>
      </c>
      <c r="B3119">
        <v>312.73998999999998</v>
      </c>
      <c r="C3119">
        <f t="shared" si="113"/>
        <v>8.0002562642086559E-4</v>
      </c>
      <c r="D3119">
        <f t="shared" si="112"/>
        <v>2.6820808478580205E-2</v>
      </c>
    </row>
    <row r="3120" spans="1:4" x14ac:dyDescent="0.3">
      <c r="A3120" s="1">
        <v>30477</v>
      </c>
      <c r="B3120">
        <v>315.23998999999998</v>
      </c>
      <c r="C3120">
        <f t="shared" si="113"/>
        <v>7.9938609705781476E-3</v>
      </c>
      <c r="D3120">
        <f t="shared" si="112"/>
        <v>0.60229805478347276</v>
      </c>
    </row>
    <row r="3121" spans="1:4" x14ac:dyDescent="0.3">
      <c r="A3121" s="1">
        <v>30480</v>
      </c>
      <c r="B3121">
        <v>318.04998799999998</v>
      </c>
      <c r="C3121">
        <f t="shared" si="113"/>
        <v>8.9138373592766822E-3</v>
      </c>
      <c r="D3121">
        <f t="shared" si="112"/>
        <v>0.67589238291384113</v>
      </c>
    </row>
    <row r="3122" spans="1:4" x14ac:dyDescent="0.3">
      <c r="A3122" s="1">
        <v>30481</v>
      </c>
      <c r="B3122">
        <v>320.040009</v>
      </c>
      <c r="C3122">
        <f t="shared" si="113"/>
        <v>6.2569441128229597E-3</v>
      </c>
      <c r="D3122">
        <f t="shared" si="112"/>
        <v>0.46335184840785343</v>
      </c>
    </row>
    <row r="3123" spans="1:4" x14ac:dyDescent="0.3">
      <c r="A3123" s="1">
        <v>30482</v>
      </c>
      <c r="B3123">
        <v>322.040009</v>
      </c>
      <c r="C3123">
        <f t="shared" si="113"/>
        <v>6.2492186719067368E-3</v>
      </c>
      <c r="D3123">
        <f t="shared" si="112"/>
        <v>0.46273384490175845</v>
      </c>
    </row>
    <row r="3124" spans="1:4" x14ac:dyDescent="0.3">
      <c r="A3124" s="1">
        <v>30483</v>
      </c>
      <c r="B3124">
        <v>326.5</v>
      </c>
      <c r="C3124">
        <f t="shared" si="113"/>
        <v>1.384918294422232E-2</v>
      </c>
      <c r="D3124">
        <f t="shared" si="112"/>
        <v>1.0706997354471839</v>
      </c>
    </row>
    <row r="3125" spans="1:4" x14ac:dyDescent="0.3">
      <c r="A3125" s="1">
        <v>30484</v>
      </c>
      <c r="B3125">
        <v>326.10998499999999</v>
      </c>
      <c r="C3125">
        <f t="shared" si="113"/>
        <v>-1.1945329249617314E-3</v>
      </c>
      <c r="D3125">
        <f t="shared" si="112"/>
        <v>-0.13273567395825733</v>
      </c>
    </row>
    <row r="3126" spans="1:4" x14ac:dyDescent="0.3">
      <c r="A3126" s="1">
        <v>30487</v>
      </c>
      <c r="B3126">
        <v>324.63000499999998</v>
      </c>
      <c r="C3126">
        <f t="shared" si="113"/>
        <v>-4.5382848366326833E-3</v>
      </c>
      <c r="D3126">
        <f t="shared" si="112"/>
        <v>-0.40022207730191567</v>
      </c>
    </row>
    <row r="3127" spans="1:4" x14ac:dyDescent="0.3">
      <c r="A3127" s="1">
        <v>30488</v>
      </c>
      <c r="B3127">
        <v>325.959991</v>
      </c>
      <c r="C3127">
        <f t="shared" si="113"/>
        <v>4.0969287481606009E-3</v>
      </c>
      <c r="D3127">
        <f t="shared" si="112"/>
        <v>0.29055950127111646</v>
      </c>
    </row>
    <row r="3128" spans="1:4" x14ac:dyDescent="0.3">
      <c r="A3128" s="1">
        <v>30489</v>
      </c>
      <c r="B3128">
        <v>328.19000199999999</v>
      </c>
      <c r="C3128">
        <f t="shared" si="113"/>
        <v>6.841364159934556E-3</v>
      </c>
      <c r="D3128">
        <f t="shared" si="112"/>
        <v>0.51010304902718806</v>
      </c>
    </row>
    <row r="3129" spans="1:4" x14ac:dyDescent="0.3">
      <c r="A3129" s="1">
        <v>30490</v>
      </c>
      <c r="B3129">
        <v>327.32998700000002</v>
      </c>
      <c r="C3129">
        <f t="shared" si="113"/>
        <v>-2.6204789748591299E-3</v>
      </c>
      <c r="D3129">
        <f t="shared" si="112"/>
        <v>-0.24680549442485611</v>
      </c>
    </row>
    <row r="3130" spans="1:4" x14ac:dyDescent="0.3">
      <c r="A3130" s="1">
        <v>30491</v>
      </c>
      <c r="B3130">
        <v>328.91000400000001</v>
      </c>
      <c r="C3130">
        <f t="shared" si="113"/>
        <v>4.826985191552273E-3</v>
      </c>
      <c r="D3130">
        <f t="shared" si="112"/>
        <v>0.34896101473241731</v>
      </c>
    </row>
    <row r="3131" spans="1:4" x14ac:dyDescent="0.3">
      <c r="A3131" s="1">
        <v>30494</v>
      </c>
      <c r="B3131">
        <v>324.33999599999999</v>
      </c>
      <c r="C3131">
        <f t="shared" si="113"/>
        <v>-1.3894402555174422E-2</v>
      </c>
      <c r="D3131">
        <f t="shared" si="112"/>
        <v>-1.1486730221993133</v>
      </c>
    </row>
    <row r="3132" spans="1:4" x14ac:dyDescent="0.3">
      <c r="A3132" s="1">
        <v>30495</v>
      </c>
      <c r="B3132">
        <v>315.86999500000002</v>
      </c>
      <c r="C3132">
        <f t="shared" si="113"/>
        <v>-2.6114574534310497E-2</v>
      </c>
      <c r="D3132">
        <f t="shared" si="112"/>
        <v>-2.1262365308827675</v>
      </c>
    </row>
    <row r="3133" spans="1:4" x14ac:dyDescent="0.3">
      <c r="A3133" s="1">
        <v>30496</v>
      </c>
      <c r="B3133">
        <v>316.23998999999998</v>
      </c>
      <c r="C3133">
        <f t="shared" si="113"/>
        <v>1.1713521570795615E-3</v>
      </c>
      <c r="D3133">
        <f t="shared" si="112"/>
        <v>5.6525404027458197E-2</v>
      </c>
    </row>
    <row r="3134" spans="1:4" x14ac:dyDescent="0.3">
      <c r="A3134" s="1">
        <v>30497</v>
      </c>
      <c r="B3134">
        <v>318.70001200000002</v>
      </c>
      <c r="C3134">
        <f t="shared" si="113"/>
        <v>7.7789719130715819E-3</v>
      </c>
      <c r="D3134">
        <f t="shared" si="112"/>
        <v>0.58510781381203192</v>
      </c>
    </row>
    <row r="3135" spans="1:4" x14ac:dyDescent="0.3">
      <c r="A3135" s="1">
        <v>30498</v>
      </c>
      <c r="B3135">
        <v>321.57998700000002</v>
      </c>
      <c r="C3135">
        <f t="shared" si="113"/>
        <v>9.036632857108276E-3</v>
      </c>
      <c r="D3135">
        <f t="shared" si="112"/>
        <v>0.68571551780226447</v>
      </c>
    </row>
    <row r="3136" spans="1:4" x14ac:dyDescent="0.3">
      <c r="A3136" s="1">
        <v>30502</v>
      </c>
      <c r="B3136">
        <v>317.14999399999999</v>
      </c>
      <c r="C3136">
        <f t="shared" si="113"/>
        <v>-1.3775711111027641E-2</v>
      </c>
      <c r="D3136">
        <f t="shared" si="112"/>
        <v>-1.1391781947297055</v>
      </c>
    </row>
    <row r="3137" spans="1:4" x14ac:dyDescent="0.3">
      <c r="A3137" s="1">
        <v>30503</v>
      </c>
      <c r="B3137">
        <v>319.14001500000001</v>
      </c>
      <c r="C3137">
        <f t="shared" si="113"/>
        <v>6.2746997876342797E-3</v>
      </c>
      <c r="D3137">
        <f t="shared" si="112"/>
        <v>0.46477222938098794</v>
      </c>
    </row>
    <row r="3138" spans="1:4" x14ac:dyDescent="0.3">
      <c r="A3138" s="1">
        <v>30504</v>
      </c>
      <c r="B3138">
        <v>320.02999899999998</v>
      </c>
      <c r="C3138">
        <f t="shared" si="113"/>
        <v>2.7886944857101982E-3</v>
      </c>
      <c r="D3138">
        <f t="shared" si="112"/>
        <v>0.18590613976651518</v>
      </c>
    </row>
    <row r="3139" spans="1:4" x14ac:dyDescent="0.3">
      <c r="A3139" s="1">
        <v>30505</v>
      </c>
      <c r="B3139">
        <v>319.57000699999998</v>
      </c>
      <c r="C3139">
        <f t="shared" si="113"/>
        <v>-1.4373402538428899E-3</v>
      </c>
      <c r="D3139">
        <f t="shared" ref="D3139:D3202" si="114">(C3139-avrtn)/sdrtn</f>
        <v>-0.15215926183904779</v>
      </c>
    </row>
    <row r="3140" spans="1:4" x14ac:dyDescent="0.3">
      <c r="A3140" s="1">
        <v>30508</v>
      </c>
      <c r="B3140">
        <v>320.38000499999998</v>
      </c>
      <c r="C3140">
        <f t="shared" ref="C3140:C3203" si="115">(B3140-B3139)/B3139</f>
        <v>2.5346496299948678E-3</v>
      </c>
      <c r="D3140">
        <f t="shared" si="114"/>
        <v>0.16558359594797742</v>
      </c>
    </row>
    <row r="3141" spans="1:4" x14ac:dyDescent="0.3">
      <c r="A3141" s="1">
        <v>30509</v>
      </c>
      <c r="B3141">
        <v>316.92999300000002</v>
      </c>
      <c r="C3141">
        <f t="shared" si="115"/>
        <v>-1.0768499738302828E-2</v>
      </c>
      <c r="D3141">
        <f t="shared" si="114"/>
        <v>-0.89861365063877319</v>
      </c>
    </row>
    <row r="3142" spans="1:4" x14ac:dyDescent="0.3">
      <c r="A3142" s="1">
        <v>30510</v>
      </c>
      <c r="B3142">
        <v>314.58999599999999</v>
      </c>
      <c r="C3142">
        <f t="shared" si="115"/>
        <v>-7.3833245564740198E-3</v>
      </c>
      <c r="D3142">
        <f t="shared" si="114"/>
        <v>-0.62781355601599098</v>
      </c>
    </row>
    <row r="3143" spans="1:4" x14ac:dyDescent="0.3">
      <c r="A3143" s="1">
        <v>30511</v>
      </c>
      <c r="B3143">
        <v>315.48998999999998</v>
      </c>
      <c r="C3143">
        <f t="shared" si="115"/>
        <v>2.8608474886149668E-3</v>
      </c>
      <c r="D3143">
        <f t="shared" si="114"/>
        <v>0.1916780833039759</v>
      </c>
    </row>
    <row r="3144" spans="1:4" x14ac:dyDescent="0.3">
      <c r="A3144" s="1">
        <v>30512</v>
      </c>
      <c r="B3144">
        <v>312.86999500000002</v>
      </c>
      <c r="C3144">
        <f t="shared" si="115"/>
        <v>-8.3045265556601668E-3</v>
      </c>
      <c r="D3144">
        <f t="shared" si="114"/>
        <v>-0.70150592794562794</v>
      </c>
    </row>
    <row r="3145" spans="1:4" x14ac:dyDescent="0.3">
      <c r="A3145" s="1">
        <v>30515</v>
      </c>
      <c r="B3145">
        <v>310.290009</v>
      </c>
      <c r="C3145">
        <f t="shared" si="115"/>
        <v>-8.2461918407996243E-3</v>
      </c>
      <c r="D3145">
        <f t="shared" si="114"/>
        <v>-0.69683939063056533</v>
      </c>
    </row>
    <row r="3146" spans="1:4" x14ac:dyDescent="0.3">
      <c r="A3146" s="1">
        <v>30516</v>
      </c>
      <c r="B3146">
        <v>311.17001299999998</v>
      </c>
      <c r="C3146">
        <f t="shared" si="115"/>
        <v>2.8360694011259169E-3</v>
      </c>
      <c r="D3146">
        <f t="shared" si="114"/>
        <v>0.18969593819295646</v>
      </c>
    </row>
    <row r="3147" spans="1:4" x14ac:dyDescent="0.3">
      <c r="A3147" s="1">
        <v>30517</v>
      </c>
      <c r="B3147">
        <v>316.76001000000002</v>
      </c>
      <c r="C3147">
        <f t="shared" si="115"/>
        <v>1.7964446336286393E-2</v>
      </c>
      <c r="D3147">
        <f t="shared" si="114"/>
        <v>1.3999038847481282</v>
      </c>
    </row>
    <row r="3148" spans="1:4" x14ac:dyDescent="0.3">
      <c r="A3148" s="1">
        <v>30518</v>
      </c>
      <c r="B3148">
        <v>319.290009</v>
      </c>
      <c r="C3148">
        <f t="shared" si="115"/>
        <v>7.987116176691544E-3</v>
      </c>
      <c r="D3148">
        <f t="shared" si="114"/>
        <v>0.60175849900730272</v>
      </c>
    </row>
    <row r="3149" spans="1:4" x14ac:dyDescent="0.3">
      <c r="A3149" s="1">
        <v>30519</v>
      </c>
      <c r="B3149">
        <v>320.709991</v>
      </c>
      <c r="C3149">
        <f t="shared" si="115"/>
        <v>4.4473110964145593E-3</v>
      </c>
      <c r="D3149">
        <f t="shared" si="114"/>
        <v>0.31858864835060813</v>
      </c>
    </row>
    <row r="3150" spans="1:4" x14ac:dyDescent="0.3">
      <c r="A3150" s="1">
        <v>30522</v>
      </c>
      <c r="B3150">
        <v>320.83999599999999</v>
      </c>
      <c r="C3150">
        <f t="shared" si="115"/>
        <v>4.0536623007788626E-4</v>
      </c>
      <c r="D3150">
        <f t="shared" si="114"/>
        <v>-4.7503203797234737E-3</v>
      </c>
    </row>
    <row r="3151" spans="1:4" x14ac:dyDescent="0.3">
      <c r="A3151" s="1">
        <v>30523</v>
      </c>
      <c r="B3151">
        <v>320.38000499999998</v>
      </c>
      <c r="C3151">
        <f t="shared" si="115"/>
        <v>-1.4337084083494449E-3</v>
      </c>
      <c r="D3151">
        <f t="shared" si="114"/>
        <v>-0.15186872913381011</v>
      </c>
    </row>
    <row r="3152" spans="1:4" x14ac:dyDescent="0.3">
      <c r="A3152" s="1">
        <v>30524</v>
      </c>
      <c r="B3152">
        <v>315.040009</v>
      </c>
      <c r="C3152">
        <f t="shared" si="115"/>
        <v>-1.6667694352523608E-2</v>
      </c>
      <c r="D3152">
        <f t="shared" si="114"/>
        <v>-1.3705249621432369</v>
      </c>
    </row>
    <row r="3153" spans="1:4" x14ac:dyDescent="0.3">
      <c r="A3153" s="1">
        <v>30525</v>
      </c>
      <c r="B3153">
        <v>308.47000100000002</v>
      </c>
      <c r="C3153">
        <f t="shared" si="115"/>
        <v>-2.0854519465176795E-2</v>
      </c>
      <c r="D3153">
        <f t="shared" si="114"/>
        <v>-1.7054537548277571</v>
      </c>
    </row>
    <row r="3154" spans="1:4" x14ac:dyDescent="0.3">
      <c r="A3154" s="1">
        <v>30526</v>
      </c>
      <c r="B3154">
        <v>303.959991</v>
      </c>
      <c r="C3154">
        <f t="shared" si="115"/>
        <v>-1.4620578939214326E-2</v>
      </c>
      <c r="D3154">
        <f t="shared" si="114"/>
        <v>-1.206764146867372</v>
      </c>
    </row>
    <row r="3155" spans="1:4" x14ac:dyDescent="0.3">
      <c r="A3155" s="1">
        <v>30529</v>
      </c>
      <c r="B3155">
        <v>302.07998700000002</v>
      </c>
      <c r="C3155">
        <f t="shared" si="115"/>
        <v>-6.1850376880685769E-3</v>
      </c>
      <c r="D3155">
        <f t="shared" si="114"/>
        <v>-0.53195553392860084</v>
      </c>
    </row>
    <row r="3156" spans="1:4" x14ac:dyDescent="0.3">
      <c r="A3156" s="1">
        <v>30530</v>
      </c>
      <c r="B3156">
        <v>303.17999300000002</v>
      </c>
      <c r="C3156">
        <f t="shared" si="115"/>
        <v>3.6414395105227792E-3</v>
      </c>
      <c r="D3156">
        <f t="shared" si="114"/>
        <v>0.25412223524302741</v>
      </c>
    </row>
    <row r="3157" spans="1:4" x14ac:dyDescent="0.3">
      <c r="A3157" s="1">
        <v>30531</v>
      </c>
      <c r="B3157">
        <v>303.85998499999999</v>
      </c>
      <c r="C3157">
        <f t="shared" si="115"/>
        <v>2.2428656761660725E-3</v>
      </c>
      <c r="D3157">
        <f t="shared" si="114"/>
        <v>0.14224207946446119</v>
      </c>
    </row>
    <row r="3158" spans="1:4" x14ac:dyDescent="0.3">
      <c r="A3158" s="1">
        <v>30532</v>
      </c>
      <c r="B3158">
        <v>299.70001200000002</v>
      </c>
      <c r="C3158">
        <f t="shared" si="115"/>
        <v>-1.3690427188035238E-2</v>
      </c>
      <c r="D3158">
        <f t="shared" si="114"/>
        <v>-1.1323558315799001</v>
      </c>
    </row>
    <row r="3159" spans="1:4" x14ac:dyDescent="0.3">
      <c r="A3159" s="1">
        <v>30533</v>
      </c>
      <c r="B3159">
        <v>300.20001200000002</v>
      </c>
      <c r="C3159">
        <f t="shared" si="115"/>
        <v>1.6683349348681374E-3</v>
      </c>
      <c r="D3159">
        <f t="shared" si="114"/>
        <v>9.628198264515099E-2</v>
      </c>
    </row>
    <row r="3160" spans="1:4" x14ac:dyDescent="0.3">
      <c r="A3160" s="1">
        <v>30536</v>
      </c>
      <c r="B3160">
        <v>294.92999300000002</v>
      </c>
      <c r="C3160">
        <f t="shared" si="115"/>
        <v>-1.7555025947167485E-2</v>
      </c>
      <c r="D3160">
        <f t="shared" si="114"/>
        <v>-1.4415078409854278</v>
      </c>
    </row>
    <row r="3161" spans="1:4" x14ac:dyDescent="0.3">
      <c r="A3161" s="1">
        <v>30537</v>
      </c>
      <c r="B3161">
        <v>294.26001000000002</v>
      </c>
      <c r="C3161">
        <f t="shared" si="115"/>
        <v>-2.2716679073057243E-3</v>
      </c>
      <c r="D3161">
        <f t="shared" si="114"/>
        <v>-0.21890204334026384</v>
      </c>
    </row>
    <row r="3162" spans="1:4" x14ac:dyDescent="0.3">
      <c r="A3162" s="1">
        <v>30538</v>
      </c>
      <c r="B3162">
        <v>296.64999399999999</v>
      </c>
      <c r="C3162">
        <f t="shared" si="115"/>
        <v>8.1220142689452431E-3</v>
      </c>
      <c r="D3162">
        <f t="shared" si="114"/>
        <v>0.61254979168332879</v>
      </c>
    </row>
    <row r="3163" spans="1:4" x14ac:dyDescent="0.3">
      <c r="A3163" s="1">
        <v>30539</v>
      </c>
      <c r="B3163">
        <v>297.55999800000001</v>
      </c>
      <c r="C3163">
        <f t="shared" si="115"/>
        <v>3.0676016126938298E-3</v>
      </c>
      <c r="D3163">
        <f t="shared" si="114"/>
        <v>0.20821756305224673</v>
      </c>
    </row>
    <row r="3164" spans="1:4" x14ac:dyDescent="0.3">
      <c r="A3164" s="1">
        <v>30540</v>
      </c>
      <c r="B3164">
        <v>299.57998700000002</v>
      </c>
      <c r="C3164">
        <f t="shared" si="115"/>
        <v>6.788509925988135E-3</v>
      </c>
      <c r="D3164">
        <f t="shared" si="114"/>
        <v>0.50587492764938302</v>
      </c>
    </row>
    <row r="3165" spans="1:4" x14ac:dyDescent="0.3">
      <c r="A3165" s="1">
        <v>30543</v>
      </c>
      <c r="B3165">
        <v>301.77999899999998</v>
      </c>
      <c r="C3165">
        <f t="shared" si="115"/>
        <v>7.3436547682337611E-3</v>
      </c>
      <c r="D3165">
        <f t="shared" si="114"/>
        <v>0.55028423225980172</v>
      </c>
    </row>
    <row r="3166" spans="1:4" x14ac:dyDescent="0.3">
      <c r="A3166" s="1">
        <v>30544</v>
      </c>
      <c r="B3166">
        <v>299.85000600000001</v>
      </c>
      <c r="C3166">
        <f t="shared" si="115"/>
        <v>-6.3953641937680829E-3</v>
      </c>
      <c r="D3166">
        <f t="shared" si="114"/>
        <v>-0.54878078951680209</v>
      </c>
    </row>
    <row r="3167" spans="1:4" x14ac:dyDescent="0.3">
      <c r="A3167" s="1">
        <v>30545</v>
      </c>
      <c r="B3167">
        <v>300.83999599999999</v>
      </c>
      <c r="C3167">
        <f t="shared" si="115"/>
        <v>3.3016174093389128E-3</v>
      </c>
      <c r="D3167">
        <f t="shared" si="114"/>
        <v>0.22693786450514772</v>
      </c>
    </row>
    <row r="3168" spans="1:4" x14ac:dyDescent="0.3">
      <c r="A3168" s="1">
        <v>30546</v>
      </c>
      <c r="B3168">
        <v>299.77999899999998</v>
      </c>
      <c r="C3168">
        <f t="shared" si="115"/>
        <v>-3.5234576987562848E-3</v>
      </c>
      <c r="D3168">
        <f t="shared" si="114"/>
        <v>-0.31904007926592931</v>
      </c>
    </row>
    <row r="3169" spans="1:4" x14ac:dyDescent="0.3">
      <c r="A3169" s="1">
        <v>30547</v>
      </c>
      <c r="B3169">
        <v>299.10000600000001</v>
      </c>
      <c r="C3169">
        <f t="shared" si="115"/>
        <v>-2.268306765855876E-3</v>
      </c>
      <c r="D3169">
        <f t="shared" si="114"/>
        <v>-0.21863316584537221</v>
      </c>
    </row>
    <row r="3170" spans="1:4" x14ac:dyDescent="0.3">
      <c r="A3170" s="1">
        <v>30550</v>
      </c>
      <c r="B3170">
        <v>298.76001000000002</v>
      </c>
      <c r="C3170">
        <f t="shared" si="115"/>
        <v>-1.1367301677686528E-3</v>
      </c>
      <c r="D3170">
        <f t="shared" si="114"/>
        <v>-0.12811169106916886</v>
      </c>
    </row>
    <row r="3171" spans="1:4" x14ac:dyDescent="0.3">
      <c r="A3171" s="1">
        <v>30551</v>
      </c>
      <c r="B3171">
        <v>293.66000400000001</v>
      </c>
      <c r="C3171">
        <f t="shared" si="115"/>
        <v>-1.7070577819300541E-2</v>
      </c>
      <c r="D3171">
        <f t="shared" si="114"/>
        <v>-1.4027539828186772</v>
      </c>
    </row>
    <row r="3172" spans="1:4" x14ac:dyDescent="0.3">
      <c r="A3172" s="1">
        <v>30552</v>
      </c>
      <c r="B3172">
        <v>290.85998499999999</v>
      </c>
      <c r="C3172">
        <f t="shared" si="115"/>
        <v>-9.5349007759327684E-3</v>
      </c>
      <c r="D3172">
        <f t="shared" si="114"/>
        <v>-0.79993080623841162</v>
      </c>
    </row>
    <row r="3173" spans="1:4" x14ac:dyDescent="0.3">
      <c r="A3173" s="1">
        <v>30553</v>
      </c>
      <c r="B3173">
        <v>289.52999899999998</v>
      </c>
      <c r="C3173">
        <f t="shared" si="115"/>
        <v>-4.5725987368115265E-3</v>
      </c>
      <c r="D3173">
        <f t="shared" si="114"/>
        <v>-0.40296704821662249</v>
      </c>
    </row>
    <row r="3174" spans="1:4" x14ac:dyDescent="0.3">
      <c r="A3174" s="1">
        <v>30554</v>
      </c>
      <c r="B3174">
        <v>290.30999800000001</v>
      </c>
      <c r="C3174">
        <f t="shared" si="115"/>
        <v>2.6940179003697375E-3</v>
      </c>
      <c r="D3174">
        <f t="shared" si="114"/>
        <v>0.17833240225172348</v>
      </c>
    </row>
    <row r="3175" spans="1:4" x14ac:dyDescent="0.3">
      <c r="A3175" s="1">
        <v>30557</v>
      </c>
      <c r="B3175">
        <v>289.35998499999999</v>
      </c>
      <c r="C3175">
        <f t="shared" si="115"/>
        <v>-3.2724088269258044E-3</v>
      </c>
      <c r="D3175">
        <f t="shared" si="114"/>
        <v>-0.29895720183862023</v>
      </c>
    </row>
    <row r="3176" spans="1:4" x14ac:dyDescent="0.3">
      <c r="A3176" s="1">
        <v>30558</v>
      </c>
      <c r="B3176">
        <v>289.85998499999999</v>
      </c>
      <c r="C3176">
        <f t="shared" si="115"/>
        <v>1.7279514304647202E-3</v>
      </c>
      <c r="D3176">
        <f t="shared" si="114"/>
        <v>0.10105105714838292</v>
      </c>
    </row>
    <row r="3177" spans="1:4" x14ac:dyDescent="0.3">
      <c r="A3177" s="1">
        <v>30559</v>
      </c>
      <c r="B3177">
        <v>292.42001299999998</v>
      </c>
      <c r="C3177">
        <f t="shared" si="115"/>
        <v>8.8319469139556753E-3</v>
      </c>
      <c r="D3177">
        <f t="shared" si="114"/>
        <v>0.66934148402368387</v>
      </c>
    </row>
    <row r="3178" spans="1:4" x14ac:dyDescent="0.3">
      <c r="A3178" s="1">
        <v>30560</v>
      </c>
      <c r="B3178">
        <v>294.54998799999998</v>
      </c>
      <c r="C3178">
        <f t="shared" si="115"/>
        <v>7.283957681788359E-3</v>
      </c>
      <c r="D3178">
        <f t="shared" si="114"/>
        <v>0.5455087108200557</v>
      </c>
    </row>
    <row r="3179" spans="1:4" x14ac:dyDescent="0.3">
      <c r="A3179" s="1">
        <v>30561</v>
      </c>
      <c r="B3179">
        <v>297.85000600000001</v>
      </c>
      <c r="C3179">
        <f t="shared" si="115"/>
        <v>1.1203592376313467E-2</v>
      </c>
      <c r="D3179">
        <f t="shared" si="114"/>
        <v>0.85906336874789391</v>
      </c>
    </row>
    <row r="3180" spans="1:4" x14ac:dyDescent="0.3">
      <c r="A3180" s="1">
        <v>30565</v>
      </c>
      <c r="B3180">
        <v>301.23001099999999</v>
      </c>
      <c r="C3180">
        <f t="shared" si="115"/>
        <v>1.134801051506436E-2</v>
      </c>
      <c r="D3180">
        <f t="shared" si="114"/>
        <v>0.87061622599703037</v>
      </c>
    </row>
    <row r="3181" spans="1:4" x14ac:dyDescent="0.3">
      <c r="A3181" s="1">
        <v>30566</v>
      </c>
      <c r="B3181">
        <v>300.76001000000002</v>
      </c>
      <c r="C3181">
        <f t="shared" si="115"/>
        <v>-1.5602728242106259E-3</v>
      </c>
      <c r="D3181">
        <f t="shared" si="114"/>
        <v>-0.16199336196671685</v>
      </c>
    </row>
    <row r="3182" spans="1:4" x14ac:dyDescent="0.3">
      <c r="A3182" s="1">
        <v>30567</v>
      </c>
      <c r="B3182">
        <v>301.790009</v>
      </c>
      <c r="C3182">
        <f t="shared" si="115"/>
        <v>3.4246540954695911E-3</v>
      </c>
      <c r="D3182">
        <f t="shared" si="114"/>
        <v>0.23678029346572554</v>
      </c>
    </row>
    <row r="3183" spans="1:4" x14ac:dyDescent="0.3">
      <c r="A3183" s="1">
        <v>30568</v>
      </c>
      <c r="B3183">
        <v>302.23001099999999</v>
      </c>
      <c r="C3183">
        <f t="shared" si="115"/>
        <v>1.4579740444621303E-3</v>
      </c>
      <c r="D3183">
        <f t="shared" si="114"/>
        <v>7.9453976421820394E-2</v>
      </c>
    </row>
    <row r="3184" spans="1:4" x14ac:dyDescent="0.3">
      <c r="A3184" s="1">
        <v>30571</v>
      </c>
      <c r="B3184">
        <v>300.76001000000002</v>
      </c>
      <c r="C3184">
        <f t="shared" si="115"/>
        <v>-4.8638485474560237E-3</v>
      </c>
      <c r="D3184">
        <f t="shared" si="114"/>
        <v>-0.4262658354418048</v>
      </c>
    </row>
    <row r="3185" spans="1:4" x14ac:dyDescent="0.3">
      <c r="A3185" s="1">
        <v>30572</v>
      </c>
      <c r="B3185">
        <v>297.92999300000002</v>
      </c>
      <c r="C3185">
        <f t="shared" si="115"/>
        <v>-9.40955215422422E-3</v>
      </c>
      <c r="D3185">
        <f t="shared" si="114"/>
        <v>-0.78990343193834001</v>
      </c>
    </row>
    <row r="3186" spans="1:4" x14ac:dyDescent="0.3">
      <c r="A3186" s="1">
        <v>30573</v>
      </c>
      <c r="B3186">
        <v>298.33999599999999</v>
      </c>
      <c r="C3186">
        <f t="shared" si="115"/>
        <v>1.3761722875613956E-3</v>
      </c>
      <c r="D3186">
        <f t="shared" si="114"/>
        <v>7.29101722405959E-2</v>
      </c>
    </row>
    <row r="3187" spans="1:4" x14ac:dyDescent="0.3">
      <c r="A3187" s="1">
        <v>30574</v>
      </c>
      <c r="B3187">
        <v>297.19000199999999</v>
      </c>
      <c r="C3187">
        <f t="shared" si="115"/>
        <v>-3.8546424060419728E-3</v>
      </c>
      <c r="D3187">
        <f t="shared" si="114"/>
        <v>-0.34553349400913075</v>
      </c>
    </row>
    <row r="3188" spans="1:4" x14ac:dyDescent="0.3">
      <c r="A3188" s="1">
        <v>30575</v>
      </c>
      <c r="B3188">
        <v>298.26998900000001</v>
      </c>
      <c r="C3188">
        <f t="shared" si="115"/>
        <v>3.6339950628622325E-3</v>
      </c>
      <c r="D3188">
        <f t="shared" si="114"/>
        <v>0.25352671004193539</v>
      </c>
    </row>
    <row r="3189" spans="1:4" x14ac:dyDescent="0.3">
      <c r="A3189" s="1">
        <v>30578</v>
      </c>
      <c r="B3189">
        <v>301.82998700000002</v>
      </c>
      <c r="C3189">
        <f t="shared" si="115"/>
        <v>1.1935488420861567E-2</v>
      </c>
      <c r="D3189">
        <f t="shared" si="114"/>
        <v>0.91761204273722385</v>
      </c>
    </row>
    <row r="3190" spans="1:4" x14ac:dyDescent="0.3">
      <c r="A3190" s="1">
        <v>30579</v>
      </c>
      <c r="B3190">
        <v>303.35998499999999</v>
      </c>
      <c r="C3190">
        <f t="shared" si="115"/>
        <v>5.0690722124968239E-3</v>
      </c>
      <c r="D3190">
        <f t="shared" si="114"/>
        <v>0.36832698094020311</v>
      </c>
    </row>
    <row r="3191" spans="1:4" x14ac:dyDescent="0.3">
      <c r="A3191" s="1">
        <v>30580</v>
      </c>
      <c r="B3191">
        <v>303.26001000000002</v>
      </c>
      <c r="C3191">
        <f t="shared" si="115"/>
        <v>-3.2955895616876486E-4</v>
      </c>
      <c r="D3191">
        <f t="shared" si="114"/>
        <v>-6.354131324903238E-2</v>
      </c>
    </row>
    <row r="3192" spans="1:4" x14ac:dyDescent="0.3">
      <c r="A3192" s="1">
        <v>30581</v>
      </c>
      <c r="B3192">
        <v>304.55999800000001</v>
      </c>
      <c r="C3192">
        <f t="shared" si="115"/>
        <v>4.2867109316522961E-3</v>
      </c>
      <c r="D3192">
        <f t="shared" si="114"/>
        <v>0.30574129556145058</v>
      </c>
    </row>
    <row r="3193" spans="1:4" x14ac:dyDescent="0.3">
      <c r="A3193" s="1">
        <v>30582</v>
      </c>
      <c r="B3193">
        <v>303.60998499999999</v>
      </c>
      <c r="C3193">
        <f t="shared" si="115"/>
        <v>-3.1192967107913252E-3</v>
      </c>
      <c r="D3193">
        <f t="shared" si="114"/>
        <v>-0.28670886214864549</v>
      </c>
    </row>
    <row r="3194" spans="1:4" x14ac:dyDescent="0.3">
      <c r="A3194" s="1">
        <v>30585</v>
      </c>
      <c r="B3194">
        <v>303.76998900000001</v>
      </c>
      <c r="C3194">
        <f t="shared" si="115"/>
        <v>5.2700506539669607E-4</v>
      </c>
      <c r="D3194">
        <f t="shared" si="114"/>
        <v>4.9802862639017759E-3</v>
      </c>
    </row>
    <row r="3195" spans="1:4" x14ac:dyDescent="0.3">
      <c r="A3195" s="1">
        <v>30586</v>
      </c>
      <c r="B3195">
        <v>300.77999899999998</v>
      </c>
      <c r="C3195">
        <f t="shared" si="115"/>
        <v>-9.8429407389550722E-3</v>
      </c>
      <c r="D3195">
        <f t="shared" si="114"/>
        <v>-0.82457273661229924</v>
      </c>
    </row>
    <row r="3196" spans="1:4" x14ac:dyDescent="0.3">
      <c r="A3196" s="1">
        <v>30587</v>
      </c>
      <c r="B3196">
        <v>299.76001000000002</v>
      </c>
      <c r="C3196">
        <f t="shared" si="115"/>
        <v>-3.3911463640903623E-3</v>
      </c>
      <c r="D3196">
        <f t="shared" si="114"/>
        <v>-0.30845571656011461</v>
      </c>
    </row>
    <row r="3197" spans="1:4" x14ac:dyDescent="0.3">
      <c r="A3197" s="1">
        <v>30588</v>
      </c>
      <c r="B3197">
        <v>299.290009</v>
      </c>
      <c r="C3197">
        <f t="shared" si="115"/>
        <v>-1.5679242871656722E-3</v>
      </c>
      <c r="D3197">
        <f t="shared" si="114"/>
        <v>-0.16260544754011685</v>
      </c>
    </row>
    <row r="3198" spans="1:4" x14ac:dyDescent="0.3">
      <c r="A3198" s="1">
        <v>30589</v>
      </c>
      <c r="B3198">
        <v>296.64999399999999</v>
      </c>
      <c r="C3198">
        <f t="shared" si="115"/>
        <v>-8.8209259267321722E-3</v>
      </c>
      <c r="D3198">
        <f t="shared" si="114"/>
        <v>-0.74281575418448642</v>
      </c>
    </row>
    <row r="3199" spans="1:4" x14ac:dyDescent="0.3">
      <c r="A3199" s="1">
        <v>30592</v>
      </c>
      <c r="B3199">
        <v>294.64001500000001</v>
      </c>
      <c r="C3199">
        <f t="shared" si="115"/>
        <v>-6.7755909005681189E-3</v>
      </c>
      <c r="D3199">
        <f t="shared" si="114"/>
        <v>-0.57919736255924426</v>
      </c>
    </row>
    <row r="3200" spans="1:4" x14ac:dyDescent="0.3">
      <c r="A3200" s="1">
        <v>30593</v>
      </c>
      <c r="B3200">
        <v>294.80999800000001</v>
      </c>
      <c r="C3200">
        <f t="shared" si="115"/>
        <v>5.7691756498180324E-4</v>
      </c>
      <c r="D3200">
        <f t="shared" si="114"/>
        <v>8.9730809892856894E-3</v>
      </c>
    </row>
    <row r="3201" spans="1:4" x14ac:dyDescent="0.3">
      <c r="A3201" s="1">
        <v>30594</v>
      </c>
      <c r="B3201">
        <v>294.57000699999998</v>
      </c>
      <c r="C3201">
        <f t="shared" si="115"/>
        <v>-8.1405312448064196E-4</v>
      </c>
      <c r="D3201">
        <f t="shared" si="114"/>
        <v>-0.10229885446205828</v>
      </c>
    </row>
    <row r="3202" spans="1:4" x14ac:dyDescent="0.3">
      <c r="A3202" s="1">
        <v>30595</v>
      </c>
      <c r="B3202">
        <v>295.77999899999998</v>
      </c>
      <c r="C3202">
        <f t="shared" si="115"/>
        <v>4.107655128649944E-3</v>
      </c>
      <c r="D3202">
        <f t="shared" si="114"/>
        <v>0.29141756760312382</v>
      </c>
    </row>
    <row r="3203" spans="1:4" x14ac:dyDescent="0.3">
      <c r="A3203" s="1">
        <v>30596</v>
      </c>
      <c r="B3203">
        <v>297.35998499999999</v>
      </c>
      <c r="C3203">
        <f t="shared" si="115"/>
        <v>5.3417607861984597E-3</v>
      </c>
      <c r="D3203">
        <f t="shared" ref="D3203:D3266" si="116">(C3203-avrtn)/sdrtn</f>
        <v>0.39014094553421885</v>
      </c>
    </row>
    <row r="3204" spans="1:4" x14ac:dyDescent="0.3">
      <c r="A3204" s="1">
        <v>30599</v>
      </c>
      <c r="B3204">
        <v>297.42001299999998</v>
      </c>
      <c r="C3204">
        <f t="shared" ref="C3204:C3267" si="117">(B3204-B3203)/B3203</f>
        <v>2.0186979764607005E-4</v>
      </c>
      <c r="D3204">
        <f t="shared" si="116"/>
        <v>-2.1029198191938641E-2</v>
      </c>
    </row>
    <row r="3205" spans="1:4" x14ac:dyDescent="0.3">
      <c r="A3205" s="1">
        <v>30600</v>
      </c>
      <c r="B3205">
        <v>295.41000400000001</v>
      </c>
      <c r="C3205">
        <f t="shared" si="117"/>
        <v>-6.758149795387065E-3</v>
      </c>
      <c r="D3205">
        <f t="shared" si="116"/>
        <v>-0.57780214586301304</v>
      </c>
    </row>
    <row r="3206" spans="1:4" x14ac:dyDescent="0.3">
      <c r="A3206" s="1">
        <v>30601</v>
      </c>
      <c r="B3206">
        <v>291.58999599999999</v>
      </c>
      <c r="C3206">
        <f t="shared" si="117"/>
        <v>-1.2931207299262721E-2</v>
      </c>
      <c r="D3206">
        <f t="shared" si="116"/>
        <v>-1.0716213624089355</v>
      </c>
    </row>
    <row r="3207" spans="1:4" x14ac:dyDescent="0.3">
      <c r="A3207" s="1">
        <v>30602</v>
      </c>
      <c r="B3207">
        <v>290.44000199999999</v>
      </c>
      <c r="C3207">
        <f t="shared" si="117"/>
        <v>-3.9438733007835852E-3</v>
      </c>
      <c r="D3207">
        <f t="shared" si="116"/>
        <v>-0.35267159866882813</v>
      </c>
    </row>
    <row r="3208" spans="1:4" x14ac:dyDescent="0.3">
      <c r="A3208" s="1">
        <v>30603</v>
      </c>
      <c r="B3208">
        <v>289.64999399999999</v>
      </c>
      <c r="C3208">
        <f t="shared" si="117"/>
        <v>-2.7200385434510508E-3</v>
      </c>
      <c r="D3208">
        <f t="shared" si="116"/>
        <v>-0.25476985052081752</v>
      </c>
    </row>
    <row r="3209" spans="1:4" x14ac:dyDescent="0.3">
      <c r="A3209" s="1">
        <v>30606</v>
      </c>
      <c r="B3209">
        <v>289.69000199999999</v>
      </c>
      <c r="C3209">
        <f t="shared" si="117"/>
        <v>1.3812532652771354E-4</v>
      </c>
      <c r="D3209">
        <f t="shared" si="116"/>
        <v>-2.6128493762575696E-2</v>
      </c>
    </row>
    <row r="3210" spans="1:4" x14ac:dyDescent="0.3">
      <c r="A3210" s="1">
        <v>30607</v>
      </c>
      <c r="B3210">
        <v>283.61999500000002</v>
      </c>
      <c r="C3210">
        <f t="shared" si="117"/>
        <v>-2.0953456999182097E-2</v>
      </c>
      <c r="D3210">
        <f t="shared" si="116"/>
        <v>-1.7133683507146105</v>
      </c>
    </row>
    <row r="3211" spans="1:4" x14ac:dyDescent="0.3">
      <c r="A3211" s="1">
        <v>30608</v>
      </c>
      <c r="B3211">
        <v>279.85000600000001</v>
      </c>
      <c r="C3211">
        <f t="shared" si="117"/>
        <v>-1.3292394987878091E-2</v>
      </c>
      <c r="D3211">
        <f t="shared" si="116"/>
        <v>-1.100514892285515</v>
      </c>
    </row>
    <row r="3212" spans="1:4" x14ac:dyDescent="0.3">
      <c r="A3212" s="1">
        <v>30609</v>
      </c>
      <c r="B3212">
        <v>281.25</v>
      </c>
      <c r="C3212">
        <f t="shared" si="117"/>
        <v>5.0026584598322019E-3</v>
      </c>
      <c r="D3212">
        <f t="shared" si="116"/>
        <v>0.36301415382201607</v>
      </c>
    </row>
    <row r="3213" spans="1:4" x14ac:dyDescent="0.3">
      <c r="A3213" s="1">
        <v>30610</v>
      </c>
      <c r="B3213">
        <v>279.48998999999998</v>
      </c>
      <c r="C3213">
        <f t="shared" si="117"/>
        <v>-6.257813333333413E-3</v>
      </c>
      <c r="D3213">
        <f t="shared" si="116"/>
        <v>-0.53777728629454624</v>
      </c>
    </row>
    <row r="3214" spans="1:4" x14ac:dyDescent="0.3">
      <c r="A3214" s="1">
        <v>30613</v>
      </c>
      <c r="B3214">
        <v>276.80999800000001</v>
      </c>
      <c r="C3214">
        <f t="shared" si="117"/>
        <v>-9.5888657765523921E-3</v>
      </c>
      <c r="D3214">
        <f t="shared" si="116"/>
        <v>-0.80424778438257294</v>
      </c>
    </row>
    <row r="3215" spans="1:4" x14ac:dyDescent="0.3">
      <c r="A3215" s="1">
        <v>30614</v>
      </c>
      <c r="B3215">
        <v>278.60000600000001</v>
      </c>
      <c r="C3215">
        <f t="shared" si="117"/>
        <v>6.4665583358011524E-3</v>
      </c>
      <c r="D3215">
        <f t="shared" si="116"/>
        <v>0.48012012430727369</v>
      </c>
    </row>
    <row r="3216" spans="1:4" x14ac:dyDescent="0.3">
      <c r="A3216" s="1">
        <v>30615</v>
      </c>
      <c r="B3216">
        <v>277.85000600000001</v>
      </c>
      <c r="C3216">
        <f t="shared" si="117"/>
        <v>-2.692031528527677E-3</v>
      </c>
      <c r="D3216">
        <f t="shared" si="116"/>
        <v>-0.25252940449248112</v>
      </c>
    </row>
    <row r="3217" spans="1:4" x14ac:dyDescent="0.3">
      <c r="A3217" s="1">
        <v>30616</v>
      </c>
      <c r="B3217">
        <v>277.5</v>
      </c>
      <c r="C3217">
        <f t="shared" si="117"/>
        <v>-1.2596940523370282E-3</v>
      </c>
      <c r="D3217">
        <f t="shared" si="116"/>
        <v>-0.13794829620412427</v>
      </c>
    </row>
    <row r="3218" spans="1:4" x14ac:dyDescent="0.3">
      <c r="A3218" s="1">
        <v>30617</v>
      </c>
      <c r="B3218">
        <v>276.14001500000001</v>
      </c>
      <c r="C3218">
        <f t="shared" si="117"/>
        <v>-4.9008468468468274E-3</v>
      </c>
      <c r="D3218">
        <f t="shared" si="116"/>
        <v>-0.42922554725515294</v>
      </c>
    </row>
    <row r="3219" spans="1:4" x14ac:dyDescent="0.3">
      <c r="A3219" s="1">
        <v>30620</v>
      </c>
      <c r="B3219">
        <v>274.54998799999998</v>
      </c>
      <c r="C3219">
        <f t="shared" si="117"/>
        <v>-5.7580463302285998E-3</v>
      </c>
      <c r="D3219">
        <f t="shared" si="116"/>
        <v>-0.49779798110035739</v>
      </c>
    </row>
    <row r="3220" spans="1:4" x14ac:dyDescent="0.3">
      <c r="A3220" s="1">
        <v>30621</v>
      </c>
      <c r="B3220">
        <v>273.040009</v>
      </c>
      <c r="C3220">
        <f t="shared" si="117"/>
        <v>-5.4998326934910923E-3</v>
      </c>
      <c r="D3220">
        <f t="shared" si="116"/>
        <v>-0.47714195194217546</v>
      </c>
    </row>
    <row r="3221" spans="1:4" x14ac:dyDescent="0.3">
      <c r="A3221" s="1">
        <v>30622</v>
      </c>
      <c r="B3221">
        <v>275.17999300000002</v>
      </c>
      <c r="C3221">
        <f t="shared" si="117"/>
        <v>7.8376206030671015E-3</v>
      </c>
      <c r="D3221">
        <f t="shared" si="116"/>
        <v>0.58979946784681914</v>
      </c>
    </row>
    <row r="3222" spans="1:4" x14ac:dyDescent="0.3">
      <c r="A3222" s="1">
        <v>30623</v>
      </c>
      <c r="B3222">
        <v>274.85998499999999</v>
      </c>
      <c r="C3222">
        <f t="shared" si="117"/>
        <v>-1.1629043104163092E-3</v>
      </c>
      <c r="D3222">
        <f t="shared" si="116"/>
        <v>-0.1302055148522637</v>
      </c>
    </row>
    <row r="3223" spans="1:4" x14ac:dyDescent="0.3">
      <c r="A3223" s="1">
        <v>30624</v>
      </c>
      <c r="B3223">
        <v>273.17001299999998</v>
      </c>
      <c r="C3223">
        <f t="shared" si="117"/>
        <v>-6.1484831995461675E-3</v>
      </c>
      <c r="D3223">
        <f t="shared" si="116"/>
        <v>-0.52903132515976303</v>
      </c>
    </row>
    <row r="3224" spans="1:4" x14ac:dyDescent="0.3">
      <c r="A3224" s="1">
        <v>30627</v>
      </c>
      <c r="B3224">
        <v>271.11999500000002</v>
      </c>
      <c r="C3224">
        <f t="shared" si="117"/>
        <v>-7.5045499229081415E-3</v>
      </c>
      <c r="D3224">
        <f t="shared" si="116"/>
        <v>-0.63751108684903546</v>
      </c>
    </row>
    <row r="3225" spans="1:4" x14ac:dyDescent="0.3">
      <c r="A3225" s="1">
        <v>30628</v>
      </c>
      <c r="B3225">
        <v>269.57000699999998</v>
      </c>
      <c r="C3225">
        <f t="shared" si="117"/>
        <v>-5.7169815158783898E-3</v>
      </c>
      <c r="D3225">
        <f t="shared" si="116"/>
        <v>-0.49451296481186618</v>
      </c>
    </row>
    <row r="3226" spans="1:4" x14ac:dyDescent="0.3">
      <c r="A3226" s="1">
        <v>30629</v>
      </c>
      <c r="B3226">
        <v>271</v>
      </c>
      <c r="C3226">
        <f t="shared" si="117"/>
        <v>5.3047184882108363E-3</v>
      </c>
      <c r="D3226">
        <f t="shared" si="116"/>
        <v>0.38717771401404844</v>
      </c>
    </row>
    <row r="3227" spans="1:4" x14ac:dyDescent="0.3">
      <c r="A3227" s="1">
        <v>30630</v>
      </c>
      <c r="B3227">
        <v>273.07998700000002</v>
      </c>
      <c r="C3227">
        <f t="shared" si="117"/>
        <v>7.6752287822878856E-3</v>
      </c>
      <c r="D3227">
        <f t="shared" si="116"/>
        <v>0.57680878994363893</v>
      </c>
    </row>
    <row r="3228" spans="1:4" x14ac:dyDescent="0.3">
      <c r="A3228" s="1">
        <v>30631</v>
      </c>
      <c r="B3228">
        <v>277.13000499999998</v>
      </c>
      <c r="C3228">
        <f t="shared" si="117"/>
        <v>1.4830885428451283E-2</v>
      </c>
      <c r="D3228">
        <f t="shared" si="116"/>
        <v>1.1492318974007651</v>
      </c>
    </row>
    <row r="3229" spans="1:4" x14ac:dyDescent="0.3">
      <c r="A3229" s="1">
        <v>30634</v>
      </c>
      <c r="B3229">
        <v>279.51001000000002</v>
      </c>
      <c r="C3229">
        <f t="shared" si="117"/>
        <v>8.5880451667441782E-3</v>
      </c>
      <c r="D3229">
        <f t="shared" si="116"/>
        <v>0.64983034717674137</v>
      </c>
    </row>
    <row r="3230" spans="1:4" x14ac:dyDescent="0.3">
      <c r="A3230" s="1">
        <v>30635</v>
      </c>
      <c r="B3230">
        <v>278.92001299999998</v>
      </c>
      <c r="C3230">
        <f t="shared" si="117"/>
        <v>-2.1108260129933786E-3</v>
      </c>
      <c r="D3230">
        <f t="shared" si="116"/>
        <v>-0.20603535318109753</v>
      </c>
    </row>
    <row r="3231" spans="1:4" x14ac:dyDescent="0.3">
      <c r="A3231" s="1">
        <v>30636</v>
      </c>
      <c r="B3231">
        <v>279.94000199999999</v>
      </c>
      <c r="C3231">
        <f t="shared" si="117"/>
        <v>3.6569229616377854E-3</v>
      </c>
      <c r="D3231">
        <f t="shared" si="116"/>
        <v>0.2553608476638965</v>
      </c>
    </row>
    <row r="3232" spans="1:4" x14ac:dyDescent="0.3">
      <c r="A3232" s="1">
        <v>30637</v>
      </c>
      <c r="B3232">
        <v>281.26001000000002</v>
      </c>
      <c r="C3232">
        <f t="shared" si="117"/>
        <v>4.715324678750377E-3</v>
      </c>
      <c r="D3232">
        <f t="shared" si="116"/>
        <v>0.34002863285903778</v>
      </c>
    </row>
    <row r="3233" spans="1:4" x14ac:dyDescent="0.3">
      <c r="A3233" s="1">
        <v>30638</v>
      </c>
      <c r="B3233">
        <v>281.27999899999998</v>
      </c>
      <c r="C3233">
        <f t="shared" si="117"/>
        <v>7.1069470558408706E-5</v>
      </c>
      <c r="D3233">
        <f t="shared" si="116"/>
        <v>-3.1492686504792755E-2</v>
      </c>
    </row>
    <row r="3234" spans="1:4" x14ac:dyDescent="0.3">
      <c r="A3234" s="1">
        <v>30641</v>
      </c>
      <c r="B3234">
        <v>283.04998799999998</v>
      </c>
      <c r="C3234">
        <f t="shared" si="117"/>
        <v>6.2926230314726706E-3</v>
      </c>
      <c r="D3234">
        <f t="shared" si="116"/>
        <v>0.4662060151872402</v>
      </c>
    </row>
    <row r="3235" spans="1:4" x14ac:dyDescent="0.3">
      <c r="A3235" s="1">
        <v>30642</v>
      </c>
      <c r="B3235">
        <v>284.54998799999998</v>
      </c>
      <c r="C3235">
        <f t="shared" si="117"/>
        <v>5.2994172887935263E-3</v>
      </c>
      <c r="D3235">
        <f t="shared" si="116"/>
        <v>0.38675363985932587</v>
      </c>
    </row>
    <row r="3236" spans="1:4" x14ac:dyDescent="0.3">
      <c r="A3236" s="1">
        <v>30643</v>
      </c>
      <c r="B3236">
        <v>284.69000199999999</v>
      </c>
      <c r="C3236">
        <f t="shared" si="117"/>
        <v>4.920541412920666E-4</v>
      </c>
      <c r="D3236">
        <f t="shared" si="116"/>
        <v>2.1843560545900921E-3</v>
      </c>
    </row>
    <row r="3237" spans="1:4" x14ac:dyDescent="0.3">
      <c r="A3237" s="1">
        <v>30645</v>
      </c>
      <c r="B3237">
        <v>285.48998999999998</v>
      </c>
      <c r="C3237">
        <f t="shared" si="117"/>
        <v>2.810031944852018E-3</v>
      </c>
      <c r="D3237">
        <f t="shared" si="116"/>
        <v>0.18761304875770451</v>
      </c>
    </row>
    <row r="3238" spans="1:4" x14ac:dyDescent="0.3">
      <c r="A3238" s="1">
        <v>30648</v>
      </c>
      <c r="B3238">
        <v>284.47000100000002</v>
      </c>
      <c r="C3238">
        <f t="shared" si="117"/>
        <v>-3.5727662465501954E-3</v>
      </c>
      <c r="D3238">
        <f t="shared" si="116"/>
        <v>-0.3229845603314821</v>
      </c>
    </row>
    <row r="3239" spans="1:4" x14ac:dyDescent="0.3">
      <c r="A3239" s="1">
        <v>30649</v>
      </c>
      <c r="B3239">
        <v>284.61999500000002</v>
      </c>
      <c r="C3239">
        <f t="shared" si="117"/>
        <v>5.2727528200765324E-4</v>
      </c>
      <c r="D3239">
        <f t="shared" si="116"/>
        <v>5.0019024816410056E-3</v>
      </c>
    </row>
    <row r="3240" spans="1:4" x14ac:dyDescent="0.3">
      <c r="A3240" s="1">
        <v>30650</v>
      </c>
      <c r="B3240">
        <v>285.67001299999998</v>
      </c>
      <c r="C3240">
        <f t="shared" si="117"/>
        <v>3.6891926724964136E-3</v>
      </c>
      <c r="D3240">
        <f t="shared" si="116"/>
        <v>0.25794229183874284</v>
      </c>
    </row>
    <row r="3241" spans="1:4" x14ac:dyDescent="0.3">
      <c r="A3241" s="1">
        <v>30651</v>
      </c>
      <c r="B3241">
        <v>286.07000699999998</v>
      </c>
      <c r="C3241">
        <f t="shared" si="117"/>
        <v>1.4001959666658903E-3</v>
      </c>
      <c r="D3241">
        <f t="shared" si="116"/>
        <v>7.4831967782996722E-2</v>
      </c>
    </row>
    <row r="3242" spans="1:4" x14ac:dyDescent="0.3">
      <c r="A3242" s="1">
        <v>30652</v>
      </c>
      <c r="B3242">
        <v>283.91000400000001</v>
      </c>
      <c r="C3242">
        <f t="shared" si="117"/>
        <v>-7.5506098058016995E-3</v>
      </c>
      <c r="D3242">
        <f t="shared" si="116"/>
        <v>-0.64119568808114991</v>
      </c>
    </row>
    <row r="3243" spans="1:4" x14ac:dyDescent="0.3">
      <c r="A3243" s="1">
        <v>30655</v>
      </c>
      <c r="B3243">
        <v>282.48998999999998</v>
      </c>
      <c r="C3243">
        <f t="shared" si="117"/>
        <v>-5.0016342502676916E-3</v>
      </c>
      <c r="D3243">
        <f t="shared" si="116"/>
        <v>-0.43728812508854281</v>
      </c>
    </row>
    <row r="3244" spans="1:4" x14ac:dyDescent="0.3">
      <c r="A3244" s="1">
        <v>30656</v>
      </c>
      <c r="B3244">
        <v>282.04998799999998</v>
      </c>
      <c r="C3244">
        <f t="shared" si="117"/>
        <v>-1.5575843944063035E-3</v>
      </c>
      <c r="D3244">
        <f t="shared" si="116"/>
        <v>-0.16177829863726048</v>
      </c>
    </row>
    <row r="3245" spans="1:4" x14ac:dyDescent="0.3">
      <c r="A3245" s="1">
        <v>30657</v>
      </c>
      <c r="B3245">
        <v>282.14999399999999</v>
      </c>
      <c r="C3245">
        <f t="shared" si="117"/>
        <v>3.5456835403236249E-4</v>
      </c>
      <c r="D3245">
        <f t="shared" si="116"/>
        <v>-8.8139415812509558E-3</v>
      </c>
    </row>
    <row r="3246" spans="1:4" x14ac:dyDescent="0.3">
      <c r="A3246" s="1">
        <v>30658</v>
      </c>
      <c r="B3246">
        <v>280.57000699999998</v>
      </c>
      <c r="C3246">
        <f t="shared" si="117"/>
        <v>-5.5998122757359228E-3</v>
      </c>
      <c r="D3246">
        <f t="shared" si="116"/>
        <v>-0.48513990740326318</v>
      </c>
    </row>
    <row r="3247" spans="1:4" x14ac:dyDescent="0.3">
      <c r="A3247" s="1">
        <v>30659</v>
      </c>
      <c r="B3247">
        <v>280.51001000000002</v>
      </c>
      <c r="C3247">
        <f t="shared" si="117"/>
        <v>-2.1383967816614486E-4</v>
      </c>
      <c r="D3247">
        <f t="shared" si="116"/>
        <v>-5.4284246849337178E-2</v>
      </c>
    </row>
    <row r="3248" spans="1:4" x14ac:dyDescent="0.3">
      <c r="A3248" s="1">
        <v>30662</v>
      </c>
      <c r="B3248">
        <v>279.94000199999999</v>
      </c>
      <c r="C3248">
        <f t="shared" si="117"/>
        <v>-2.0320415660034013E-3</v>
      </c>
      <c r="D3248">
        <f t="shared" si="116"/>
        <v>-0.19973292138548113</v>
      </c>
    </row>
    <row r="3249" spans="1:4" x14ac:dyDescent="0.3">
      <c r="A3249" s="1">
        <v>30663</v>
      </c>
      <c r="B3249">
        <v>278.92001299999998</v>
      </c>
      <c r="C3249">
        <f t="shared" si="117"/>
        <v>-3.6435986022462399E-3</v>
      </c>
      <c r="D3249">
        <f t="shared" si="116"/>
        <v>-0.32865085752277867</v>
      </c>
    </row>
    <row r="3250" spans="1:4" x14ac:dyDescent="0.3">
      <c r="A3250" s="1">
        <v>30664</v>
      </c>
      <c r="B3250">
        <v>276.42001299999998</v>
      </c>
      <c r="C3250">
        <f t="shared" si="117"/>
        <v>-8.9631431359498762E-3</v>
      </c>
      <c r="D3250">
        <f t="shared" si="116"/>
        <v>-0.75419254612124409</v>
      </c>
    </row>
    <row r="3251" spans="1:4" x14ac:dyDescent="0.3">
      <c r="A3251" s="1">
        <v>30665</v>
      </c>
      <c r="B3251">
        <v>275.35000600000001</v>
      </c>
      <c r="C3251">
        <f t="shared" si="117"/>
        <v>-3.8709462038842156E-3</v>
      </c>
      <c r="D3251">
        <f t="shared" si="116"/>
        <v>-0.34683773079489283</v>
      </c>
    </row>
    <row r="3252" spans="1:4" x14ac:dyDescent="0.3">
      <c r="A3252" s="1">
        <v>30666</v>
      </c>
      <c r="B3252">
        <v>276.01001000000002</v>
      </c>
      <c r="C3252">
        <f t="shared" si="117"/>
        <v>2.3969638119420086E-3</v>
      </c>
      <c r="D3252">
        <f t="shared" si="116"/>
        <v>0.15456929667121552</v>
      </c>
    </row>
    <row r="3253" spans="1:4" x14ac:dyDescent="0.3">
      <c r="A3253" s="1">
        <v>30669</v>
      </c>
      <c r="B3253">
        <v>275.57998700000002</v>
      </c>
      <c r="C3253">
        <f t="shared" si="117"/>
        <v>-1.5579978421797296E-3</v>
      </c>
      <c r="D3253">
        <f t="shared" si="116"/>
        <v>-0.16181137275902713</v>
      </c>
    </row>
    <row r="3254" spans="1:4" x14ac:dyDescent="0.3">
      <c r="A3254" s="1">
        <v>30670</v>
      </c>
      <c r="B3254">
        <v>274.51001000000002</v>
      </c>
      <c r="C3254">
        <f t="shared" si="117"/>
        <v>-3.8826368041014326E-3</v>
      </c>
      <c r="D3254">
        <f t="shared" si="116"/>
        <v>-0.34777293074023485</v>
      </c>
    </row>
    <row r="3255" spans="1:4" x14ac:dyDescent="0.3">
      <c r="A3255" s="1">
        <v>30671</v>
      </c>
      <c r="B3255">
        <v>275.63000499999998</v>
      </c>
      <c r="C3255">
        <f t="shared" si="117"/>
        <v>4.0799787228158286E-3</v>
      </c>
      <c r="D3255">
        <f t="shared" si="116"/>
        <v>0.28920356894245536</v>
      </c>
    </row>
    <row r="3256" spans="1:4" x14ac:dyDescent="0.3">
      <c r="A3256" s="1">
        <v>30672</v>
      </c>
      <c r="B3256">
        <v>276.209991</v>
      </c>
      <c r="C3256">
        <f t="shared" si="117"/>
        <v>2.10421938641992E-3</v>
      </c>
      <c r="D3256">
        <f t="shared" si="116"/>
        <v>0.13115094640171898</v>
      </c>
    </row>
    <row r="3257" spans="1:4" x14ac:dyDescent="0.3">
      <c r="A3257" s="1">
        <v>30673</v>
      </c>
      <c r="B3257">
        <v>276.540009</v>
      </c>
      <c r="C3257">
        <f t="shared" si="117"/>
        <v>1.1948083369656077E-3</v>
      </c>
      <c r="D3257">
        <f t="shared" si="116"/>
        <v>5.8401801965953876E-2</v>
      </c>
    </row>
    <row r="3258" spans="1:4" x14ac:dyDescent="0.3">
      <c r="A3258" s="1">
        <v>30677</v>
      </c>
      <c r="B3258">
        <v>276.67999300000002</v>
      </c>
      <c r="C3258">
        <f t="shared" si="117"/>
        <v>5.0619800189572839E-4</v>
      </c>
      <c r="D3258">
        <f t="shared" si="116"/>
        <v>3.3158067429807131E-3</v>
      </c>
    </row>
    <row r="3259" spans="1:4" x14ac:dyDescent="0.3">
      <c r="A3259" s="1">
        <v>30678</v>
      </c>
      <c r="B3259">
        <v>276.57000699999998</v>
      </c>
      <c r="C3259">
        <f t="shared" si="117"/>
        <v>-3.9752061147424196E-4</v>
      </c>
      <c r="D3259">
        <f t="shared" si="116"/>
        <v>-6.8977966213474087E-2</v>
      </c>
    </row>
    <row r="3260" spans="1:4" x14ac:dyDescent="0.3">
      <c r="A3260" s="1">
        <v>30679</v>
      </c>
      <c r="B3260">
        <v>277.05999800000001</v>
      </c>
      <c r="C3260">
        <f t="shared" si="117"/>
        <v>1.771670779905038E-3</v>
      </c>
      <c r="D3260">
        <f t="shared" si="116"/>
        <v>0.10454842532856926</v>
      </c>
    </row>
    <row r="3261" spans="1:4" x14ac:dyDescent="0.3">
      <c r="A3261" s="1">
        <v>30680</v>
      </c>
      <c r="B3261">
        <v>278.60000600000001</v>
      </c>
      <c r="C3261">
        <f t="shared" si="117"/>
        <v>5.5583917242358468E-3</v>
      </c>
      <c r="D3261">
        <f t="shared" si="116"/>
        <v>0.40747052978546994</v>
      </c>
    </row>
    <row r="3262" spans="1:4" x14ac:dyDescent="0.3">
      <c r="A3262" s="1">
        <v>30684</v>
      </c>
      <c r="B3262">
        <v>277.63000499999998</v>
      </c>
      <c r="C3262">
        <f t="shared" si="117"/>
        <v>-3.4816976996045893E-3</v>
      </c>
      <c r="D3262">
        <f t="shared" si="116"/>
        <v>-0.31569945105193631</v>
      </c>
    </row>
    <row r="3263" spans="1:4" x14ac:dyDescent="0.3">
      <c r="A3263" s="1">
        <v>30685</v>
      </c>
      <c r="B3263">
        <v>280.97000100000002</v>
      </c>
      <c r="C3263">
        <f t="shared" si="117"/>
        <v>1.2030385548565049E-2</v>
      </c>
      <c r="D3263">
        <f t="shared" si="116"/>
        <v>0.92520342273418155</v>
      </c>
    </row>
    <row r="3264" spans="1:4" x14ac:dyDescent="0.3">
      <c r="A3264" s="1">
        <v>30686</v>
      </c>
      <c r="B3264">
        <v>284.45001200000002</v>
      </c>
      <c r="C3264">
        <f t="shared" si="117"/>
        <v>1.2385703055893109E-2</v>
      </c>
      <c r="D3264">
        <f t="shared" si="116"/>
        <v>0.953627362246106</v>
      </c>
    </row>
    <row r="3265" spans="1:4" x14ac:dyDescent="0.3">
      <c r="A3265" s="1">
        <v>30687</v>
      </c>
      <c r="B3265">
        <v>287.89999399999999</v>
      </c>
      <c r="C3265">
        <f t="shared" si="117"/>
        <v>1.2128605570246828E-2</v>
      </c>
      <c r="D3265">
        <f t="shared" si="116"/>
        <v>0.93306062058558148</v>
      </c>
    </row>
    <row r="3266" spans="1:4" x14ac:dyDescent="0.3">
      <c r="A3266" s="1">
        <v>30690</v>
      </c>
      <c r="B3266">
        <v>287.26998900000001</v>
      </c>
      <c r="C3266">
        <f t="shared" si="117"/>
        <v>-2.1882772251811261E-3</v>
      </c>
      <c r="D3266">
        <f t="shared" si="116"/>
        <v>-0.21223113167482982</v>
      </c>
    </row>
    <row r="3267" spans="1:4" x14ac:dyDescent="0.3">
      <c r="A3267" s="1">
        <v>30691</v>
      </c>
      <c r="B3267">
        <v>287.63000499999998</v>
      </c>
      <c r="C3267">
        <f t="shared" si="117"/>
        <v>1.253232198926193E-3</v>
      </c>
      <c r="D3267">
        <f t="shared" ref="D3267:D3330" si="118">(C3267-avrtn)/sdrtn</f>
        <v>6.3075470682444831E-2</v>
      </c>
    </row>
    <row r="3268" spans="1:4" x14ac:dyDescent="0.3">
      <c r="A3268" s="1">
        <v>30692</v>
      </c>
      <c r="B3268">
        <v>287.67999300000002</v>
      </c>
      <c r="C3268">
        <f t="shared" ref="C3268:C3331" si="119">(B3268-B3267)/B3267</f>
        <v>1.7379271679267839E-4</v>
      </c>
      <c r="D3268">
        <f t="shared" si="118"/>
        <v>-2.3275249206563639E-2</v>
      </c>
    </row>
    <row r="3269" spans="1:4" x14ac:dyDescent="0.3">
      <c r="A3269" s="1">
        <v>30693</v>
      </c>
      <c r="B3269">
        <v>287.63000499999998</v>
      </c>
      <c r="C3269">
        <f t="shared" si="119"/>
        <v>-1.7376251813257539E-4</v>
      </c>
      <c r="D3269">
        <f t="shared" si="118"/>
        <v>-5.1078238844918383E-2</v>
      </c>
    </row>
    <row r="3270" spans="1:4" x14ac:dyDescent="0.3">
      <c r="A3270" s="1">
        <v>30694</v>
      </c>
      <c r="B3270">
        <v>286.85000600000001</v>
      </c>
      <c r="C3270">
        <f t="shared" si="119"/>
        <v>-2.711813741407039E-3</v>
      </c>
      <c r="D3270">
        <f t="shared" si="118"/>
        <v>-0.25411190017788465</v>
      </c>
    </row>
    <row r="3271" spans="1:4" x14ac:dyDescent="0.3">
      <c r="A3271" s="1">
        <v>30697</v>
      </c>
      <c r="B3271">
        <v>286.290009</v>
      </c>
      <c r="C3271">
        <f t="shared" si="119"/>
        <v>-1.9522293473475119E-3</v>
      </c>
      <c r="D3271">
        <f t="shared" si="118"/>
        <v>-0.19334827208281408</v>
      </c>
    </row>
    <row r="3272" spans="1:4" x14ac:dyDescent="0.3">
      <c r="A3272" s="1">
        <v>30698</v>
      </c>
      <c r="B3272">
        <v>286.85998499999999</v>
      </c>
      <c r="C3272">
        <f t="shared" si="119"/>
        <v>1.9909042651921429E-3</v>
      </c>
      <c r="D3272">
        <f t="shared" si="118"/>
        <v>0.1220862026580595</v>
      </c>
    </row>
    <row r="3273" spans="1:4" x14ac:dyDescent="0.3">
      <c r="A3273" s="1">
        <v>30699</v>
      </c>
      <c r="B3273">
        <v>287.209991</v>
      </c>
      <c r="C3273">
        <f t="shared" si="119"/>
        <v>1.2201283493757681E-3</v>
      </c>
      <c r="D3273">
        <f t="shared" si="118"/>
        <v>6.0427298842253563E-2</v>
      </c>
    </row>
    <row r="3274" spans="1:4" x14ac:dyDescent="0.3">
      <c r="A3274" s="1">
        <v>30700</v>
      </c>
      <c r="B3274">
        <v>286.48998999999998</v>
      </c>
      <c r="C3274">
        <f t="shared" si="119"/>
        <v>-2.5068800618430601E-3</v>
      </c>
      <c r="D3274">
        <f t="shared" si="118"/>
        <v>-0.23771804850509201</v>
      </c>
    </row>
    <row r="3275" spans="1:4" x14ac:dyDescent="0.3">
      <c r="A3275" s="1">
        <v>30701</v>
      </c>
      <c r="B3275">
        <v>284.41000400000001</v>
      </c>
      <c r="C3275">
        <f t="shared" si="119"/>
        <v>-7.2602397033137622E-3</v>
      </c>
      <c r="D3275">
        <f t="shared" si="118"/>
        <v>-0.61796727389111095</v>
      </c>
    </row>
    <row r="3276" spans="1:4" x14ac:dyDescent="0.3">
      <c r="A3276" s="1">
        <v>30704</v>
      </c>
      <c r="B3276">
        <v>280.20001200000002</v>
      </c>
      <c r="C3276">
        <f t="shared" si="119"/>
        <v>-1.4802545412572757E-2</v>
      </c>
      <c r="D3276">
        <f t="shared" si="118"/>
        <v>-1.2213207164854372</v>
      </c>
    </row>
    <row r="3277" spans="1:4" x14ac:dyDescent="0.3">
      <c r="A3277" s="1">
        <v>30705</v>
      </c>
      <c r="B3277">
        <v>278.82000699999998</v>
      </c>
      <c r="C3277">
        <f t="shared" si="119"/>
        <v>-4.9250711666637605E-3</v>
      </c>
      <c r="D3277">
        <f t="shared" si="118"/>
        <v>-0.43116339322950931</v>
      </c>
    </row>
    <row r="3278" spans="1:4" x14ac:dyDescent="0.3">
      <c r="A3278" s="1">
        <v>30706</v>
      </c>
      <c r="B3278">
        <v>277.35000600000001</v>
      </c>
      <c r="C3278">
        <f t="shared" si="119"/>
        <v>-5.2722220898587385E-3</v>
      </c>
      <c r="D3278">
        <f t="shared" si="118"/>
        <v>-0.45893403959198176</v>
      </c>
    </row>
    <row r="3279" spans="1:4" x14ac:dyDescent="0.3">
      <c r="A3279" s="1">
        <v>30707</v>
      </c>
      <c r="B3279">
        <v>275.60998499999999</v>
      </c>
      <c r="C3279">
        <f t="shared" si="119"/>
        <v>-6.2737370194973522E-3</v>
      </c>
      <c r="D3279">
        <f t="shared" si="118"/>
        <v>-0.5390511157090726</v>
      </c>
    </row>
    <row r="3280" spans="1:4" x14ac:dyDescent="0.3">
      <c r="A3280" s="1">
        <v>30708</v>
      </c>
      <c r="B3280">
        <v>273.17999300000002</v>
      </c>
      <c r="C3280">
        <f t="shared" si="119"/>
        <v>-8.8167778101361973E-3</v>
      </c>
      <c r="D3280">
        <f t="shared" si="118"/>
        <v>-0.74248392191396573</v>
      </c>
    </row>
    <row r="3281" spans="1:4" x14ac:dyDescent="0.3">
      <c r="A3281" s="1">
        <v>30711</v>
      </c>
      <c r="B3281">
        <v>269.23001099999999</v>
      </c>
      <c r="C3281">
        <f t="shared" si="119"/>
        <v>-1.4459265324016733E-2</v>
      </c>
      <c r="D3281">
        <f t="shared" si="118"/>
        <v>-1.1938597209771138</v>
      </c>
    </row>
    <row r="3282" spans="1:4" x14ac:dyDescent="0.3">
      <c r="A3282" s="1">
        <v>30712</v>
      </c>
      <c r="B3282">
        <v>268.42999300000002</v>
      </c>
      <c r="C3282">
        <f t="shared" si="119"/>
        <v>-2.9715037971749961E-3</v>
      </c>
      <c r="D3282">
        <f t="shared" si="118"/>
        <v>-0.27488603678743123</v>
      </c>
    </row>
    <row r="3283" spans="1:4" x14ac:dyDescent="0.3">
      <c r="A3283" s="1">
        <v>30713</v>
      </c>
      <c r="B3283">
        <v>266.42999300000002</v>
      </c>
      <c r="C3283">
        <f t="shared" si="119"/>
        <v>-7.4507322287193142E-3</v>
      </c>
      <c r="D3283">
        <f t="shared" si="118"/>
        <v>-0.63320589261361004</v>
      </c>
    </row>
    <row r="3284" spans="1:4" x14ac:dyDescent="0.3">
      <c r="A3284" s="1">
        <v>30714</v>
      </c>
      <c r="B3284">
        <v>266.16000400000001</v>
      </c>
      <c r="C3284">
        <f t="shared" si="119"/>
        <v>-1.0133581319427861E-3</v>
      </c>
      <c r="D3284">
        <f t="shared" si="118"/>
        <v>-0.11824243551194212</v>
      </c>
    </row>
    <row r="3285" spans="1:4" x14ac:dyDescent="0.3">
      <c r="A3285" s="1">
        <v>30715</v>
      </c>
      <c r="B3285">
        <v>264.01001000000002</v>
      </c>
      <c r="C3285">
        <f t="shared" si="119"/>
        <v>-8.0778252468015153E-3</v>
      </c>
      <c r="D3285">
        <f t="shared" si="118"/>
        <v>-0.68337075543828796</v>
      </c>
    </row>
    <row r="3286" spans="1:4" x14ac:dyDescent="0.3">
      <c r="A3286" s="1">
        <v>30718</v>
      </c>
      <c r="B3286">
        <v>258.64001500000001</v>
      </c>
      <c r="C3286">
        <f t="shared" si="119"/>
        <v>-2.034011892200609E-2</v>
      </c>
      <c r="D3286">
        <f t="shared" si="118"/>
        <v>-1.6643038266017731</v>
      </c>
    </row>
    <row r="3287" spans="1:4" x14ac:dyDescent="0.3">
      <c r="A3287" s="1">
        <v>30719</v>
      </c>
      <c r="B3287">
        <v>257.80999800000001</v>
      </c>
      <c r="C3287">
        <f t="shared" si="119"/>
        <v>-3.2091592633104278E-3</v>
      </c>
      <c r="D3287">
        <f t="shared" si="118"/>
        <v>-0.29389749683314975</v>
      </c>
    </row>
    <row r="3288" spans="1:4" x14ac:dyDescent="0.3">
      <c r="A3288" s="1">
        <v>30720</v>
      </c>
      <c r="B3288">
        <v>253.96000699999999</v>
      </c>
      <c r="C3288">
        <f t="shared" si="119"/>
        <v>-1.4933443349237437E-2</v>
      </c>
      <c r="D3288">
        <f t="shared" si="118"/>
        <v>-1.2317920131630797</v>
      </c>
    </row>
    <row r="3289" spans="1:4" x14ac:dyDescent="0.3">
      <c r="A3289" s="1">
        <v>30721</v>
      </c>
      <c r="B3289">
        <v>251.69000199999999</v>
      </c>
      <c r="C3289">
        <f t="shared" si="119"/>
        <v>-8.9384349402699369E-3</v>
      </c>
      <c r="D3289">
        <f t="shared" si="118"/>
        <v>-0.75221599206755663</v>
      </c>
    </row>
    <row r="3290" spans="1:4" x14ac:dyDescent="0.3">
      <c r="A3290" s="1">
        <v>30722</v>
      </c>
      <c r="B3290">
        <v>254.03999300000001</v>
      </c>
      <c r="C3290">
        <f t="shared" si="119"/>
        <v>9.3368468406624158E-3</v>
      </c>
      <c r="D3290">
        <f t="shared" si="118"/>
        <v>0.70973140199931894</v>
      </c>
    </row>
    <row r="3291" spans="1:4" x14ac:dyDescent="0.3">
      <c r="A3291" s="1">
        <v>30725</v>
      </c>
      <c r="B3291">
        <v>250.570007</v>
      </c>
      <c r="C3291">
        <f t="shared" si="119"/>
        <v>-1.3659211524226446E-2</v>
      </c>
      <c r="D3291">
        <f t="shared" si="118"/>
        <v>-1.1298587068347732</v>
      </c>
    </row>
    <row r="3292" spans="1:4" x14ac:dyDescent="0.3">
      <c r="A3292" s="1">
        <v>30726</v>
      </c>
      <c r="B3292">
        <v>252.429993</v>
      </c>
      <c r="C3292">
        <f t="shared" si="119"/>
        <v>7.423019308132885E-3</v>
      </c>
      <c r="D3292">
        <f t="shared" si="118"/>
        <v>0.55663306910279353</v>
      </c>
    </row>
    <row r="3293" spans="1:4" x14ac:dyDescent="0.3">
      <c r="A3293" s="1">
        <v>30727</v>
      </c>
      <c r="B3293">
        <v>252.729996</v>
      </c>
      <c r="C3293">
        <f t="shared" si="119"/>
        <v>1.1884602001316215E-3</v>
      </c>
      <c r="D3293">
        <f t="shared" si="118"/>
        <v>5.7893977122929624E-2</v>
      </c>
    </row>
    <row r="3294" spans="1:4" x14ac:dyDescent="0.3">
      <c r="A3294" s="1">
        <v>30728</v>
      </c>
      <c r="B3294">
        <v>251.83999600000001</v>
      </c>
      <c r="C3294">
        <f t="shared" si="119"/>
        <v>-3.5215447872676987E-3</v>
      </c>
      <c r="D3294">
        <f t="shared" si="118"/>
        <v>-0.31888705421278152</v>
      </c>
    </row>
    <row r="3295" spans="1:4" x14ac:dyDescent="0.3">
      <c r="A3295" s="1">
        <v>30729</v>
      </c>
      <c r="B3295">
        <v>251.33000200000001</v>
      </c>
      <c r="C3295">
        <f t="shared" si="119"/>
        <v>-2.0250715061161531E-3</v>
      </c>
      <c r="D3295">
        <f t="shared" si="118"/>
        <v>-0.1991753452555588</v>
      </c>
    </row>
    <row r="3296" spans="1:4" x14ac:dyDescent="0.3">
      <c r="A3296" s="1">
        <v>30733</v>
      </c>
      <c r="B3296">
        <v>249.96000699999999</v>
      </c>
      <c r="C3296">
        <f t="shared" si="119"/>
        <v>-5.4509807388614792E-3</v>
      </c>
      <c r="D3296">
        <f t="shared" si="118"/>
        <v>-0.47323399645224418</v>
      </c>
    </row>
    <row r="3297" spans="1:4" x14ac:dyDescent="0.3">
      <c r="A3297" s="1">
        <v>30734</v>
      </c>
      <c r="B3297">
        <v>249.16000399999999</v>
      </c>
      <c r="C3297">
        <f t="shared" si="119"/>
        <v>-3.2005239942244192E-3</v>
      </c>
      <c r="D3297">
        <f t="shared" si="118"/>
        <v>-0.29320671081470773</v>
      </c>
    </row>
    <row r="3298" spans="1:4" x14ac:dyDescent="0.3">
      <c r="A3298" s="1">
        <v>30735</v>
      </c>
      <c r="B3298">
        <v>247.08999600000001</v>
      </c>
      <c r="C3298">
        <f t="shared" si="119"/>
        <v>-8.3079465675396803E-3</v>
      </c>
      <c r="D3298">
        <f t="shared" si="118"/>
        <v>-0.70177951483281609</v>
      </c>
    </row>
    <row r="3299" spans="1:4" x14ac:dyDescent="0.3">
      <c r="A3299" s="1">
        <v>30736</v>
      </c>
      <c r="B3299">
        <v>251.44000199999999</v>
      </c>
      <c r="C3299">
        <f t="shared" si="119"/>
        <v>1.760494585138922E-2</v>
      </c>
      <c r="D3299">
        <f t="shared" si="118"/>
        <v>1.3711453242311813</v>
      </c>
    </row>
    <row r="3300" spans="1:4" x14ac:dyDescent="0.3">
      <c r="A3300" s="1">
        <v>30739</v>
      </c>
      <c r="B3300">
        <v>254.320007</v>
      </c>
      <c r="C3300">
        <f t="shared" si="119"/>
        <v>1.145404461140599E-2</v>
      </c>
      <c r="D3300">
        <f t="shared" si="118"/>
        <v>0.87909851768955138</v>
      </c>
    </row>
    <row r="3301" spans="1:4" x14ac:dyDescent="0.3">
      <c r="A3301" s="1">
        <v>30740</v>
      </c>
      <c r="B3301">
        <v>251.550003</v>
      </c>
      <c r="C3301">
        <f t="shared" si="119"/>
        <v>-1.0891805299454872E-2</v>
      </c>
      <c r="D3301">
        <f t="shared" si="118"/>
        <v>-0.90847758849543958</v>
      </c>
    </row>
    <row r="3302" spans="1:4" x14ac:dyDescent="0.3">
      <c r="A3302" s="1">
        <v>30741</v>
      </c>
      <c r="B3302">
        <v>252.570007</v>
      </c>
      <c r="C3302">
        <f t="shared" si="119"/>
        <v>4.0548757218659233E-3</v>
      </c>
      <c r="D3302">
        <f t="shared" si="118"/>
        <v>0.28719543209061965</v>
      </c>
    </row>
    <row r="3303" spans="1:4" x14ac:dyDescent="0.3">
      <c r="A3303" s="1">
        <v>30742</v>
      </c>
      <c r="B3303">
        <v>253.5</v>
      </c>
      <c r="C3303">
        <f t="shared" si="119"/>
        <v>3.6821197063196661E-3</v>
      </c>
      <c r="D3303">
        <f t="shared" si="118"/>
        <v>0.25737648362881371</v>
      </c>
    </row>
    <row r="3304" spans="1:4" x14ac:dyDescent="0.3">
      <c r="A3304" s="1">
        <v>30743</v>
      </c>
      <c r="B3304">
        <v>255.53999300000001</v>
      </c>
      <c r="C3304">
        <f t="shared" si="119"/>
        <v>8.0473096646943177E-3</v>
      </c>
      <c r="D3304">
        <f t="shared" si="118"/>
        <v>0.60657373053042296</v>
      </c>
    </row>
    <row r="3305" spans="1:4" x14ac:dyDescent="0.3">
      <c r="A3305" s="1">
        <v>30746</v>
      </c>
      <c r="B3305">
        <v>253.86000100000001</v>
      </c>
      <c r="C3305">
        <f t="shared" si="119"/>
        <v>-6.5742820929012022E-3</v>
      </c>
      <c r="D3305">
        <f t="shared" si="118"/>
        <v>-0.56309348573265428</v>
      </c>
    </row>
    <row r="3306" spans="1:4" x14ac:dyDescent="0.3">
      <c r="A3306" s="1">
        <v>30747</v>
      </c>
      <c r="B3306">
        <v>252.240005</v>
      </c>
      <c r="C3306">
        <f t="shared" si="119"/>
        <v>-6.3814543197768855E-3</v>
      </c>
      <c r="D3306">
        <f t="shared" si="118"/>
        <v>-0.54766805679524988</v>
      </c>
    </row>
    <row r="3307" spans="1:4" x14ac:dyDescent="0.3">
      <c r="A3307" s="1">
        <v>30748</v>
      </c>
      <c r="B3307">
        <v>249.16000399999999</v>
      </c>
      <c r="C3307">
        <f t="shared" si="119"/>
        <v>-1.2210596808384974E-2</v>
      </c>
      <c r="D3307">
        <f t="shared" si="118"/>
        <v>-1.0139754863067598</v>
      </c>
    </row>
    <row r="3308" spans="1:4" x14ac:dyDescent="0.3">
      <c r="A3308" s="1">
        <v>30749</v>
      </c>
      <c r="B3308">
        <v>249.66000399999999</v>
      </c>
      <c r="C3308">
        <f t="shared" si="119"/>
        <v>2.0067426231057534E-3</v>
      </c>
      <c r="D3308">
        <f t="shared" si="118"/>
        <v>0.12335320616343144</v>
      </c>
    </row>
    <row r="3309" spans="1:4" x14ac:dyDescent="0.3">
      <c r="A3309" s="1">
        <v>30750</v>
      </c>
      <c r="B3309">
        <v>249.009995</v>
      </c>
      <c r="C3309">
        <f t="shared" si="119"/>
        <v>-2.6035768228217402E-3</v>
      </c>
      <c r="D3309">
        <f t="shared" si="118"/>
        <v>-0.24545339176392941</v>
      </c>
    </row>
    <row r="3310" spans="1:4" x14ac:dyDescent="0.3">
      <c r="A3310" s="1">
        <v>30753</v>
      </c>
      <c r="B3310">
        <v>249.740005</v>
      </c>
      <c r="C3310">
        <f t="shared" si="119"/>
        <v>2.9316493902182238E-3</v>
      </c>
      <c r="D3310">
        <f t="shared" si="118"/>
        <v>0.19734194429307744</v>
      </c>
    </row>
    <row r="3311" spans="1:4" x14ac:dyDescent="0.3">
      <c r="A3311" s="1">
        <v>30754</v>
      </c>
      <c r="B3311">
        <v>250.66999799999999</v>
      </c>
      <c r="C3311">
        <f t="shared" si="119"/>
        <v>3.7238447240360872E-3</v>
      </c>
      <c r="D3311">
        <f t="shared" si="118"/>
        <v>0.26071431347182938</v>
      </c>
    </row>
    <row r="3312" spans="1:4" x14ac:dyDescent="0.3">
      <c r="A3312" s="1">
        <v>30755</v>
      </c>
      <c r="B3312">
        <v>250.25</v>
      </c>
      <c r="C3312">
        <f t="shared" si="119"/>
        <v>-1.6755016689312479E-3</v>
      </c>
      <c r="D3312">
        <f t="shared" si="118"/>
        <v>-0.1712111957205259</v>
      </c>
    </row>
    <row r="3313" spans="1:4" x14ac:dyDescent="0.3">
      <c r="A3313" s="1">
        <v>30756</v>
      </c>
      <c r="B3313">
        <v>251.050003</v>
      </c>
      <c r="C3313">
        <f t="shared" si="119"/>
        <v>3.1968151848152E-3</v>
      </c>
      <c r="D3313">
        <f t="shared" si="118"/>
        <v>0.21855411749257295</v>
      </c>
    </row>
    <row r="3314" spans="1:4" x14ac:dyDescent="0.3">
      <c r="A3314" s="1">
        <v>30757</v>
      </c>
      <c r="B3314">
        <v>253.36999499999999</v>
      </c>
      <c r="C3314">
        <f t="shared" si="119"/>
        <v>9.2411550379467022E-3</v>
      </c>
      <c r="D3314">
        <f t="shared" si="118"/>
        <v>0.70207645126910578</v>
      </c>
    </row>
    <row r="3315" spans="1:4" x14ac:dyDescent="0.3">
      <c r="A3315" s="1">
        <v>30760</v>
      </c>
      <c r="B3315">
        <v>251.64999399999999</v>
      </c>
      <c r="C3315">
        <f t="shared" si="119"/>
        <v>-6.7884952202015725E-3</v>
      </c>
      <c r="D3315">
        <f t="shared" si="118"/>
        <v>-0.58022965506704116</v>
      </c>
    </row>
    <row r="3316" spans="1:4" x14ac:dyDescent="0.3">
      <c r="A3316" s="1">
        <v>30761</v>
      </c>
      <c r="B3316">
        <v>252.740005</v>
      </c>
      <c r="C3316">
        <f t="shared" si="119"/>
        <v>4.331456491113622E-3</v>
      </c>
      <c r="D3316">
        <f t="shared" si="118"/>
        <v>0.30932075632351674</v>
      </c>
    </row>
    <row r="3317" spans="1:4" x14ac:dyDescent="0.3">
      <c r="A3317" s="1">
        <v>30762</v>
      </c>
      <c r="B3317">
        <v>252.490005</v>
      </c>
      <c r="C3317">
        <f t="shared" si="119"/>
        <v>-9.8915879977133029E-4</v>
      </c>
      <c r="D3317">
        <f t="shared" si="118"/>
        <v>-0.11630658844647414</v>
      </c>
    </row>
    <row r="3318" spans="1:4" x14ac:dyDescent="0.3">
      <c r="A3318" s="1">
        <v>30763</v>
      </c>
      <c r="B3318">
        <v>250.770004</v>
      </c>
      <c r="C3318">
        <f t="shared" si="119"/>
        <v>-6.8121548019296702E-3</v>
      </c>
      <c r="D3318">
        <f t="shared" si="118"/>
        <v>-0.58212232431650757</v>
      </c>
    </row>
    <row r="3319" spans="1:4" x14ac:dyDescent="0.3">
      <c r="A3319" s="1">
        <v>30764</v>
      </c>
      <c r="B3319">
        <v>249.979996</v>
      </c>
      <c r="C3319">
        <f t="shared" si="119"/>
        <v>-3.150328936470409E-3</v>
      </c>
      <c r="D3319">
        <f t="shared" si="118"/>
        <v>-0.2891913125976977</v>
      </c>
    </row>
    <row r="3320" spans="1:4" x14ac:dyDescent="0.3">
      <c r="A3320" s="1">
        <v>30767</v>
      </c>
      <c r="B3320">
        <v>249.300003</v>
      </c>
      <c r="C3320">
        <f t="shared" si="119"/>
        <v>-2.7201896586957143E-3</v>
      </c>
      <c r="D3320">
        <f t="shared" si="118"/>
        <v>-0.25478193911900099</v>
      </c>
    </row>
    <row r="3321" spans="1:4" x14ac:dyDescent="0.3">
      <c r="A3321" s="1">
        <v>30768</v>
      </c>
      <c r="B3321">
        <v>249.10000600000001</v>
      </c>
      <c r="C3321">
        <f t="shared" si="119"/>
        <v>-8.0223424626270942E-4</v>
      </c>
      <c r="D3321">
        <f t="shared" si="118"/>
        <v>-0.10135339280414128</v>
      </c>
    </row>
    <row r="3322" spans="1:4" x14ac:dyDescent="0.3">
      <c r="A3322" s="1">
        <v>30769</v>
      </c>
      <c r="B3322">
        <v>251.009995</v>
      </c>
      <c r="C3322">
        <f t="shared" si="119"/>
        <v>7.6675590284810986E-3</v>
      </c>
      <c r="D3322">
        <f t="shared" si="118"/>
        <v>0.57619524117731213</v>
      </c>
    </row>
    <row r="3323" spans="1:4" x14ac:dyDescent="0.3">
      <c r="A3323" s="1">
        <v>30770</v>
      </c>
      <c r="B3323">
        <v>251.63000500000001</v>
      </c>
      <c r="C3323">
        <f t="shared" si="119"/>
        <v>2.4700610029493356E-3</v>
      </c>
      <c r="D3323">
        <f t="shared" si="118"/>
        <v>0.16041677137435623</v>
      </c>
    </row>
    <row r="3324" spans="1:4" x14ac:dyDescent="0.3">
      <c r="A3324" s="1">
        <v>30771</v>
      </c>
      <c r="B3324">
        <v>250.779999</v>
      </c>
      <c r="C3324">
        <f t="shared" si="119"/>
        <v>-3.3779993765052285E-3</v>
      </c>
      <c r="D3324">
        <f t="shared" si="118"/>
        <v>-0.30740401161403991</v>
      </c>
    </row>
    <row r="3325" spans="1:4" x14ac:dyDescent="0.3">
      <c r="A3325" s="1">
        <v>30774</v>
      </c>
      <c r="B3325">
        <v>249.800003</v>
      </c>
      <c r="C3325">
        <f t="shared" si="119"/>
        <v>-3.907791705509975E-3</v>
      </c>
      <c r="D3325">
        <f t="shared" si="118"/>
        <v>-0.34978521941534557</v>
      </c>
    </row>
    <row r="3326" spans="1:4" x14ac:dyDescent="0.3">
      <c r="A3326" s="1">
        <v>30775</v>
      </c>
      <c r="B3326">
        <v>248.88000500000001</v>
      </c>
      <c r="C3326">
        <f t="shared" si="119"/>
        <v>-3.6829383064498704E-3</v>
      </c>
      <c r="D3326">
        <f t="shared" si="118"/>
        <v>-0.33179787209323885</v>
      </c>
    </row>
    <row r="3327" spans="1:4" x14ac:dyDescent="0.3">
      <c r="A3327" s="1">
        <v>30776</v>
      </c>
      <c r="B3327">
        <v>248.509995</v>
      </c>
      <c r="C3327">
        <f t="shared" si="119"/>
        <v>-1.4867003880042822E-3</v>
      </c>
      <c r="D3327">
        <f t="shared" si="118"/>
        <v>-0.15610786960187473</v>
      </c>
    </row>
    <row r="3328" spans="1:4" x14ac:dyDescent="0.3">
      <c r="A3328" s="1">
        <v>30777</v>
      </c>
      <c r="B3328">
        <v>245.740005</v>
      </c>
      <c r="C3328">
        <f t="shared" si="119"/>
        <v>-1.1146392723560302E-2</v>
      </c>
      <c r="D3328">
        <f t="shared" si="118"/>
        <v>-0.92884353555413068</v>
      </c>
    </row>
    <row r="3329" spans="1:4" x14ac:dyDescent="0.3">
      <c r="A3329" s="1">
        <v>30778</v>
      </c>
      <c r="B3329">
        <v>243.94000199999999</v>
      </c>
      <c r="C3329">
        <f t="shared" si="119"/>
        <v>-7.3248269039467295E-3</v>
      </c>
      <c r="D3329">
        <f t="shared" si="118"/>
        <v>-0.62313398435759237</v>
      </c>
    </row>
    <row r="3330" spans="1:4" x14ac:dyDescent="0.3">
      <c r="A3330" s="1">
        <v>30781</v>
      </c>
      <c r="B3330">
        <v>242.83999600000001</v>
      </c>
      <c r="C3330">
        <f t="shared" si="119"/>
        <v>-4.5093301261839754E-3</v>
      </c>
      <c r="D3330">
        <f t="shared" si="118"/>
        <v>-0.39790581952849985</v>
      </c>
    </row>
    <row r="3331" spans="1:4" x14ac:dyDescent="0.3">
      <c r="A3331" s="1">
        <v>30782</v>
      </c>
      <c r="B3331">
        <v>243.449997</v>
      </c>
      <c r="C3331">
        <f t="shared" si="119"/>
        <v>2.5119461787504833E-3</v>
      </c>
      <c r="D3331">
        <f t="shared" ref="D3331:D3394" si="120">(C3331-avrtn)/sdrtn</f>
        <v>0.163767413205576</v>
      </c>
    </row>
    <row r="3332" spans="1:4" x14ac:dyDescent="0.3">
      <c r="A3332" s="1">
        <v>30783</v>
      </c>
      <c r="B3332">
        <v>241.78999300000001</v>
      </c>
      <c r="C3332">
        <f t="shared" ref="C3332:C3395" si="121">(B3332-B3331)/B3331</f>
        <v>-6.8186651076442058E-3</v>
      </c>
      <c r="D3332">
        <f t="shared" si="120"/>
        <v>-0.5826431220031334</v>
      </c>
    </row>
    <row r="3333" spans="1:4" x14ac:dyDescent="0.3">
      <c r="A3333" s="1">
        <v>30784</v>
      </c>
      <c r="B3333">
        <v>242.55999800000001</v>
      </c>
      <c r="C3333">
        <f t="shared" si="121"/>
        <v>3.1846024330709072E-3</v>
      </c>
      <c r="D3333">
        <f t="shared" si="120"/>
        <v>0.21757714757216476</v>
      </c>
    </row>
    <row r="3334" spans="1:4" x14ac:dyDescent="0.3">
      <c r="A3334" s="1">
        <v>30785</v>
      </c>
      <c r="B3334">
        <v>244.009995</v>
      </c>
      <c r="C3334">
        <f t="shared" si="121"/>
        <v>5.9778900558862804E-3</v>
      </c>
      <c r="D3334">
        <f t="shared" si="120"/>
        <v>0.44102867133005763</v>
      </c>
    </row>
    <row r="3335" spans="1:4" x14ac:dyDescent="0.3">
      <c r="A3335" s="1">
        <v>30788</v>
      </c>
      <c r="B3335">
        <v>243.88000500000001</v>
      </c>
      <c r="C3335">
        <f t="shared" si="121"/>
        <v>-5.3272407960170765E-4</v>
      </c>
      <c r="D3335">
        <f t="shared" si="120"/>
        <v>-7.9793687703688401E-2</v>
      </c>
    </row>
    <row r="3336" spans="1:4" x14ac:dyDescent="0.3">
      <c r="A3336" s="1">
        <v>30789</v>
      </c>
      <c r="B3336">
        <v>245.58999600000001</v>
      </c>
      <c r="C3336">
        <f t="shared" si="121"/>
        <v>7.011608024200271E-3</v>
      </c>
      <c r="D3336">
        <f t="shared" si="120"/>
        <v>0.52372185812149241</v>
      </c>
    </row>
    <row r="3337" spans="1:4" x14ac:dyDescent="0.3">
      <c r="A3337" s="1">
        <v>30790</v>
      </c>
      <c r="B3337">
        <v>245.479996</v>
      </c>
      <c r="C3337">
        <f t="shared" si="121"/>
        <v>-4.4790098046181665E-4</v>
      </c>
      <c r="D3337">
        <f t="shared" si="120"/>
        <v>-7.3008188567164928E-2</v>
      </c>
    </row>
    <row r="3338" spans="1:4" x14ac:dyDescent="0.3">
      <c r="A3338" s="1">
        <v>30791</v>
      </c>
      <c r="B3338">
        <v>245.35000600000001</v>
      </c>
      <c r="C3338">
        <f t="shared" si="121"/>
        <v>-5.295339828830382E-4</v>
      </c>
      <c r="D3338">
        <f t="shared" si="120"/>
        <v>-7.9538493083950931E-2</v>
      </c>
    </row>
    <row r="3339" spans="1:4" x14ac:dyDescent="0.3">
      <c r="A3339" s="1">
        <v>30795</v>
      </c>
      <c r="B3339">
        <v>243.929993</v>
      </c>
      <c r="C3339">
        <f t="shared" si="121"/>
        <v>-5.7877031394896784E-3</v>
      </c>
      <c r="D3339">
        <f t="shared" si="120"/>
        <v>-0.5001704038917153</v>
      </c>
    </row>
    <row r="3340" spans="1:4" x14ac:dyDescent="0.3">
      <c r="A3340" s="1">
        <v>30796</v>
      </c>
      <c r="B3340">
        <v>244.05999800000001</v>
      </c>
      <c r="C3340">
        <f t="shared" si="121"/>
        <v>5.3296029078314796E-4</v>
      </c>
      <c r="D3340">
        <f t="shared" si="120"/>
        <v>5.4566798067848159E-3</v>
      </c>
    </row>
    <row r="3341" spans="1:4" x14ac:dyDescent="0.3">
      <c r="A3341" s="1">
        <v>30797</v>
      </c>
      <c r="B3341">
        <v>243.89999399999999</v>
      </c>
      <c r="C3341">
        <f t="shared" si="121"/>
        <v>-6.5559289236745346E-4</v>
      </c>
      <c r="D3341">
        <f t="shared" si="120"/>
        <v>-8.9622687485371055E-2</v>
      </c>
    </row>
    <row r="3342" spans="1:4" x14ac:dyDescent="0.3">
      <c r="A3342" s="1">
        <v>30798</v>
      </c>
      <c r="B3342">
        <v>245.929993</v>
      </c>
      <c r="C3342">
        <f t="shared" si="121"/>
        <v>8.3230793355411215E-3</v>
      </c>
      <c r="D3342">
        <f t="shared" si="120"/>
        <v>0.62863417022650503</v>
      </c>
    </row>
    <row r="3343" spans="1:4" x14ac:dyDescent="0.3">
      <c r="A3343" s="1">
        <v>30799</v>
      </c>
      <c r="B3343">
        <v>246.89999399999999</v>
      </c>
      <c r="C3343">
        <f t="shared" si="121"/>
        <v>3.9442159460395558E-3</v>
      </c>
      <c r="D3343">
        <f t="shared" si="120"/>
        <v>0.27834310506022741</v>
      </c>
    </row>
    <row r="3344" spans="1:4" x14ac:dyDescent="0.3">
      <c r="A3344" s="1">
        <v>30802</v>
      </c>
      <c r="B3344">
        <v>247.44000199999999</v>
      </c>
      <c r="C3344">
        <f t="shared" si="121"/>
        <v>2.187152746548873E-3</v>
      </c>
      <c r="D3344">
        <f t="shared" si="120"/>
        <v>0.1377852741880207</v>
      </c>
    </row>
    <row r="3345" spans="1:4" x14ac:dyDescent="0.3">
      <c r="A3345" s="1">
        <v>30803</v>
      </c>
      <c r="B3345">
        <v>250.259995</v>
      </c>
      <c r="C3345">
        <f t="shared" si="121"/>
        <v>1.139667384904083E-2</v>
      </c>
      <c r="D3345">
        <f t="shared" si="120"/>
        <v>0.87450909261032306</v>
      </c>
    </row>
    <row r="3346" spans="1:4" x14ac:dyDescent="0.3">
      <c r="A3346" s="1">
        <v>30804</v>
      </c>
      <c r="B3346">
        <v>253.009995</v>
      </c>
      <c r="C3346">
        <f t="shared" si="121"/>
        <v>1.0988572104782468E-2</v>
      </c>
      <c r="D3346">
        <f t="shared" si="120"/>
        <v>0.84186263119405358</v>
      </c>
    </row>
    <row r="3347" spans="1:4" x14ac:dyDescent="0.3">
      <c r="A3347" s="1">
        <v>30805</v>
      </c>
      <c r="B3347">
        <v>252.550003</v>
      </c>
      <c r="C3347">
        <f t="shared" si="121"/>
        <v>-1.8180783727536128E-3</v>
      </c>
      <c r="D3347">
        <f t="shared" si="120"/>
        <v>-0.18261674574740583</v>
      </c>
    </row>
    <row r="3348" spans="1:4" x14ac:dyDescent="0.3">
      <c r="A3348" s="1">
        <v>30806</v>
      </c>
      <c r="B3348">
        <v>250.88999899999999</v>
      </c>
      <c r="C3348">
        <f t="shared" si="121"/>
        <v>-6.5729716106953081E-3</v>
      </c>
      <c r="D3348">
        <f t="shared" si="120"/>
        <v>-0.56298865254491781</v>
      </c>
    </row>
    <row r="3349" spans="1:4" x14ac:dyDescent="0.3">
      <c r="A3349" s="1">
        <v>30809</v>
      </c>
      <c r="B3349">
        <v>251.35000600000001</v>
      </c>
      <c r="C3349">
        <f t="shared" si="121"/>
        <v>1.8335007446830063E-3</v>
      </c>
      <c r="D3349">
        <f t="shared" si="120"/>
        <v>0.10949456826447236</v>
      </c>
    </row>
    <row r="3350" spans="1:4" x14ac:dyDescent="0.3">
      <c r="A3350" s="1">
        <v>30810</v>
      </c>
      <c r="B3350">
        <v>252.41999799999999</v>
      </c>
      <c r="C3350">
        <f t="shared" si="121"/>
        <v>4.2569802047268896E-3</v>
      </c>
      <c r="D3350">
        <f t="shared" si="120"/>
        <v>0.30336295966089766</v>
      </c>
    </row>
    <row r="3351" spans="1:4" x14ac:dyDescent="0.3">
      <c r="A3351" s="1">
        <v>30811</v>
      </c>
      <c r="B3351">
        <v>252.60000600000001</v>
      </c>
      <c r="C3351">
        <f t="shared" si="121"/>
        <v>7.1312891778097171E-4</v>
      </c>
      <c r="D3351">
        <f t="shared" si="120"/>
        <v>1.98694291087897E-2</v>
      </c>
    </row>
    <row r="3352" spans="1:4" x14ac:dyDescent="0.3">
      <c r="A3352" s="1">
        <v>30812</v>
      </c>
      <c r="B3352">
        <v>252.91000399999999</v>
      </c>
      <c r="C3352">
        <f t="shared" si="121"/>
        <v>1.2272287911187891E-3</v>
      </c>
      <c r="D3352">
        <f t="shared" si="120"/>
        <v>6.0995304984504332E-2</v>
      </c>
    </row>
    <row r="3353" spans="1:4" x14ac:dyDescent="0.3">
      <c r="A3353" s="1">
        <v>30813</v>
      </c>
      <c r="B3353">
        <v>250.570007</v>
      </c>
      <c r="C3353">
        <f t="shared" si="121"/>
        <v>-9.2522911825978337E-3</v>
      </c>
      <c r="D3353">
        <f t="shared" si="120"/>
        <v>-0.77732320086920836</v>
      </c>
    </row>
    <row r="3354" spans="1:4" x14ac:dyDescent="0.3">
      <c r="A3354" s="1">
        <v>30816</v>
      </c>
      <c r="B3354">
        <v>248.86999499999999</v>
      </c>
      <c r="C3354">
        <f t="shared" si="121"/>
        <v>-6.7845789699802943E-3</v>
      </c>
      <c r="D3354">
        <f t="shared" si="120"/>
        <v>-0.57991637115305605</v>
      </c>
    </row>
    <row r="3355" spans="1:4" x14ac:dyDescent="0.3">
      <c r="A3355" s="1">
        <v>30817</v>
      </c>
      <c r="B3355">
        <v>249</v>
      </c>
      <c r="C3355">
        <f t="shared" si="121"/>
        <v>5.2238117335121602E-4</v>
      </c>
      <c r="D3355">
        <f t="shared" si="120"/>
        <v>4.6103939138210726E-3</v>
      </c>
    </row>
    <row r="3356" spans="1:4" x14ac:dyDescent="0.3">
      <c r="A3356" s="1">
        <v>30818</v>
      </c>
      <c r="B3356">
        <v>248.679993</v>
      </c>
      <c r="C3356">
        <f t="shared" si="121"/>
        <v>-1.2851686746988109E-3</v>
      </c>
      <c r="D3356">
        <f t="shared" si="120"/>
        <v>-0.13998616124079383</v>
      </c>
    </row>
    <row r="3357" spans="1:4" x14ac:dyDescent="0.3">
      <c r="A3357" s="1">
        <v>30819</v>
      </c>
      <c r="B3357">
        <v>246.11999499999999</v>
      </c>
      <c r="C3357">
        <f t="shared" si="121"/>
        <v>-1.0294346437431367E-2</v>
      </c>
      <c r="D3357">
        <f t="shared" si="120"/>
        <v>-0.86068333629907956</v>
      </c>
    </row>
    <row r="3358" spans="1:4" x14ac:dyDescent="0.3">
      <c r="A3358" s="1">
        <v>30820</v>
      </c>
      <c r="B3358">
        <v>244.61000100000001</v>
      </c>
      <c r="C3358">
        <f t="shared" si="121"/>
        <v>-6.1351943388426354E-3</v>
      </c>
      <c r="D3358">
        <f t="shared" si="120"/>
        <v>-0.52796827094760224</v>
      </c>
    </row>
    <row r="3359" spans="1:4" x14ac:dyDescent="0.3">
      <c r="A3359" s="1">
        <v>30823</v>
      </c>
      <c r="B3359">
        <v>243.14999399999999</v>
      </c>
      <c r="C3359">
        <f t="shared" si="121"/>
        <v>-5.9687134378451625E-3</v>
      </c>
      <c r="D3359">
        <f t="shared" si="120"/>
        <v>-0.51465048344135977</v>
      </c>
    </row>
    <row r="3360" spans="1:4" x14ac:dyDescent="0.3">
      <c r="A3360" s="1">
        <v>30824</v>
      </c>
      <c r="B3360">
        <v>240.800003</v>
      </c>
      <c r="C3360">
        <f t="shared" si="121"/>
        <v>-9.6647791815285371E-3</v>
      </c>
      <c r="D3360">
        <f t="shared" si="120"/>
        <v>-0.81032054462287806</v>
      </c>
    </row>
    <row r="3361" spans="1:4" x14ac:dyDescent="0.3">
      <c r="A3361" s="1">
        <v>30825</v>
      </c>
      <c r="B3361">
        <v>239.58000200000001</v>
      </c>
      <c r="C3361">
        <f t="shared" si="121"/>
        <v>-5.066449272427942E-3</v>
      </c>
      <c r="D3361">
        <f t="shared" si="120"/>
        <v>-0.44247306034039918</v>
      </c>
    </row>
    <row r="3362" spans="1:4" x14ac:dyDescent="0.3">
      <c r="A3362" s="1">
        <v>30826</v>
      </c>
      <c r="B3362">
        <v>235.38999899999999</v>
      </c>
      <c r="C3362">
        <f t="shared" si="121"/>
        <v>-1.7488951352458953E-2</v>
      </c>
      <c r="D3362">
        <f t="shared" si="120"/>
        <v>-1.4362221451091024</v>
      </c>
    </row>
    <row r="3363" spans="1:4" x14ac:dyDescent="0.3">
      <c r="A3363" s="1">
        <v>30827</v>
      </c>
      <c r="B3363">
        <v>235.229996</v>
      </c>
      <c r="C3363">
        <f t="shared" si="121"/>
        <v>-6.7973576056639957E-4</v>
      </c>
      <c r="D3363">
        <f t="shared" si="120"/>
        <v>-9.155401766521952E-2</v>
      </c>
    </row>
    <row r="3364" spans="1:4" x14ac:dyDescent="0.3">
      <c r="A3364" s="1">
        <v>30831</v>
      </c>
      <c r="B3364">
        <v>232.61000100000001</v>
      </c>
      <c r="C3364">
        <f t="shared" si="121"/>
        <v>-1.1138014048174319E-2</v>
      </c>
      <c r="D3364">
        <f t="shared" si="120"/>
        <v>-0.92817327597657118</v>
      </c>
    </row>
    <row r="3365" spans="1:4" x14ac:dyDescent="0.3">
      <c r="A3365" s="1">
        <v>30832</v>
      </c>
      <c r="B3365">
        <v>231.929993</v>
      </c>
      <c r="C3365">
        <f t="shared" si="121"/>
        <v>-2.9233824731380101E-3</v>
      </c>
      <c r="D3365">
        <f t="shared" si="120"/>
        <v>-0.27103652874053918</v>
      </c>
    </row>
    <row r="3366" spans="1:4" x14ac:dyDescent="0.3">
      <c r="A3366" s="1">
        <v>30833</v>
      </c>
      <c r="B3366">
        <v>232.820007</v>
      </c>
      <c r="C3366">
        <f t="shared" si="121"/>
        <v>3.8374252009743641E-3</v>
      </c>
      <c r="D3366">
        <f t="shared" si="120"/>
        <v>0.26980028458117966</v>
      </c>
    </row>
    <row r="3367" spans="1:4" x14ac:dyDescent="0.3">
      <c r="A3367" s="1">
        <v>30834</v>
      </c>
      <c r="B3367">
        <v>235.89999399999999</v>
      </c>
      <c r="C3367">
        <f t="shared" si="121"/>
        <v>1.322904779398958E-2</v>
      </c>
      <c r="D3367">
        <f t="shared" si="120"/>
        <v>1.0210914734395393</v>
      </c>
    </row>
    <row r="3368" spans="1:4" x14ac:dyDescent="0.3">
      <c r="A3368" s="1">
        <v>30837</v>
      </c>
      <c r="B3368">
        <v>238.75</v>
      </c>
      <c r="C3368">
        <f t="shared" si="121"/>
        <v>1.2081416161460384E-2</v>
      </c>
      <c r="D3368">
        <f t="shared" si="120"/>
        <v>0.92928566192667439</v>
      </c>
    </row>
    <row r="3369" spans="1:4" x14ac:dyDescent="0.3">
      <c r="A3369" s="1">
        <v>30838</v>
      </c>
      <c r="B3369">
        <v>238.429993</v>
      </c>
      <c r="C3369">
        <f t="shared" si="121"/>
        <v>-1.3403434554973986E-3</v>
      </c>
      <c r="D3369">
        <f t="shared" si="120"/>
        <v>-0.14439991682462652</v>
      </c>
    </row>
    <row r="3370" spans="1:4" x14ac:dyDescent="0.3">
      <c r="A3370" s="1">
        <v>30839</v>
      </c>
      <c r="B3370">
        <v>239.490005</v>
      </c>
      <c r="C3370">
        <f t="shared" si="121"/>
        <v>4.4457997362773085E-3</v>
      </c>
      <c r="D3370">
        <f t="shared" si="120"/>
        <v>0.31846774575437808</v>
      </c>
    </row>
    <row r="3371" spans="1:4" x14ac:dyDescent="0.3">
      <c r="A3371" s="1">
        <v>30840</v>
      </c>
      <c r="B3371">
        <v>239.88999899999999</v>
      </c>
      <c r="C3371">
        <f t="shared" si="121"/>
        <v>1.6701907872939935E-3</v>
      </c>
      <c r="D3371">
        <f t="shared" si="120"/>
        <v>9.6430443207908695E-2</v>
      </c>
    </row>
    <row r="3372" spans="1:4" x14ac:dyDescent="0.3">
      <c r="A3372" s="1">
        <v>30841</v>
      </c>
      <c r="B3372">
        <v>240.35000600000001</v>
      </c>
      <c r="C3372">
        <f t="shared" si="121"/>
        <v>1.9175747297411041E-3</v>
      </c>
      <c r="D3372">
        <f t="shared" si="120"/>
        <v>0.1162201413548279</v>
      </c>
    </row>
    <row r="3373" spans="1:4" x14ac:dyDescent="0.3">
      <c r="A3373" s="1">
        <v>30844</v>
      </c>
      <c r="B3373">
        <v>238.11999499999999</v>
      </c>
      <c r="C3373">
        <f t="shared" si="121"/>
        <v>-9.2781815865651315E-3</v>
      </c>
      <c r="D3373">
        <f t="shared" si="120"/>
        <v>-0.77939432672461495</v>
      </c>
    </row>
    <row r="3374" spans="1:4" x14ac:dyDescent="0.3">
      <c r="A3374" s="1">
        <v>30845</v>
      </c>
      <c r="B3374">
        <v>237.03999300000001</v>
      </c>
      <c r="C3374">
        <f t="shared" si="121"/>
        <v>-4.5355367994190455E-3</v>
      </c>
      <c r="D3374">
        <f t="shared" si="120"/>
        <v>-0.40000224562482117</v>
      </c>
    </row>
    <row r="3375" spans="1:4" x14ac:dyDescent="0.3">
      <c r="A3375" s="1">
        <v>30846</v>
      </c>
      <c r="B3375">
        <v>237.779999</v>
      </c>
      <c r="C3375">
        <f t="shared" si="121"/>
        <v>3.1218613814251754E-3</v>
      </c>
      <c r="D3375">
        <f t="shared" si="120"/>
        <v>0.21255812143325217</v>
      </c>
    </row>
    <row r="3376" spans="1:4" x14ac:dyDescent="0.3">
      <c r="A3376" s="1">
        <v>30847</v>
      </c>
      <c r="B3376">
        <v>235.61999499999999</v>
      </c>
      <c r="C3376">
        <f t="shared" si="121"/>
        <v>-9.0840441125580752E-3</v>
      </c>
      <c r="D3376">
        <f t="shared" si="120"/>
        <v>-0.7638641271021136</v>
      </c>
    </row>
    <row r="3377" spans="1:4" x14ac:dyDescent="0.3">
      <c r="A3377" s="1">
        <v>30848</v>
      </c>
      <c r="B3377">
        <v>235.63999899999999</v>
      </c>
      <c r="C3377">
        <f t="shared" si="121"/>
        <v>8.4899416112796931E-5</v>
      </c>
      <c r="D3377">
        <f t="shared" si="120"/>
        <v>-3.0386347729517624E-2</v>
      </c>
    </row>
    <row r="3378" spans="1:4" x14ac:dyDescent="0.3">
      <c r="A3378" s="1">
        <v>30851</v>
      </c>
      <c r="B3378">
        <v>236.820007</v>
      </c>
      <c r="C3378">
        <f t="shared" si="121"/>
        <v>5.0076727423514168E-3</v>
      </c>
      <c r="D3378">
        <f t="shared" si="120"/>
        <v>0.36341527580470034</v>
      </c>
    </row>
    <row r="3379" spans="1:4" x14ac:dyDescent="0.3">
      <c r="A3379" s="1">
        <v>30852</v>
      </c>
      <c r="B3379">
        <v>237.86999499999999</v>
      </c>
      <c r="C3379">
        <f t="shared" si="121"/>
        <v>4.4336963472853238E-3</v>
      </c>
      <c r="D3379">
        <f t="shared" si="120"/>
        <v>0.31749952440445223</v>
      </c>
    </row>
    <row r="3380" spans="1:4" x14ac:dyDescent="0.3">
      <c r="A3380" s="1">
        <v>30853</v>
      </c>
      <c r="B3380">
        <v>238.35000600000001</v>
      </c>
      <c r="C3380">
        <f t="shared" si="121"/>
        <v>2.0179552280228485E-3</v>
      </c>
      <c r="D3380">
        <f t="shared" si="120"/>
        <v>0.12425016845029214</v>
      </c>
    </row>
    <row r="3381" spans="1:4" x14ac:dyDescent="0.3">
      <c r="A3381" s="1">
        <v>30854</v>
      </c>
      <c r="B3381">
        <v>239.75</v>
      </c>
      <c r="C3381">
        <f t="shared" si="121"/>
        <v>5.8736898038928191E-3</v>
      </c>
      <c r="D3381">
        <f t="shared" si="120"/>
        <v>0.43269307964457721</v>
      </c>
    </row>
    <row r="3382" spans="1:4" x14ac:dyDescent="0.3">
      <c r="A3382" s="1">
        <v>30855</v>
      </c>
      <c r="B3382">
        <v>241.11000100000001</v>
      </c>
      <c r="C3382">
        <f t="shared" si="121"/>
        <v>5.6725797705944152E-3</v>
      </c>
      <c r="D3382">
        <f t="shared" si="120"/>
        <v>0.41660510395010314</v>
      </c>
    </row>
    <row r="3383" spans="1:4" x14ac:dyDescent="0.3">
      <c r="A3383" s="1">
        <v>30858</v>
      </c>
      <c r="B3383">
        <v>240.85000600000001</v>
      </c>
      <c r="C3383">
        <f t="shared" si="121"/>
        <v>-1.0783252412661368E-3</v>
      </c>
      <c r="D3383">
        <f t="shared" si="120"/>
        <v>-0.12343953711146038</v>
      </c>
    </row>
    <row r="3384" spans="1:4" x14ac:dyDescent="0.3">
      <c r="A3384" s="1">
        <v>30859</v>
      </c>
      <c r="B3384">
        <v>238.88000500000001</v>
      </c>
      <c r="C3384">
        <f t="shared" si="121"/>
        <v>-8.1793686980435303E-3</v>
      </c>
      <c r="D3384">
        <f t="shared" si="120"/>
        <v>-0.69149381398848264</v>
      </c>
    </row>
    <row r="3385" spans="1:4" x14ac:dyDescent="0.3">
      <c r="A3385" s="1">
        <v>30860</v>
      </c>
      <c r="B3385">
        <v>237.199997</v>
      </c>
      <c r="C3385">
        <f t="shared" si="121"/>
        <v>-7.0328531682675366E-3</v>
      </c>
      <c r="D3385">
        <f t="shared" si="120"/>
        <v>-0.59977728610643188</v>
      </c>
    </row>
    <row r="3386" spans="1:4" x14ac:dyDescent="0.3">
      <c r="A3386" s="1">
        <v>30861</v>
      </c>
      <c r="B3386">
        <v>238.320007</v>
      </c>
      <c r="C3386">
        <f t="shared" si="121"/>
        <v>4.7217960125016684E-3</v>
      </c>
      <c r="D3386">
        <f t="shared" si="120"/>
        <v>0.34054631294885773</v>
      </c>
    </row>
    <row r="3387" spans="1:4" x14ac:dyDescent="0.3">
      <c r="A3387" s="1">
        <v>30862</v>
      </c>
      <c r="B3387">
        <v>239.64999399999999</v>
      </c>
      <c r="C3387">
        <f t="shared" si="121"/>
        <v>5.5806770767675767E-3</v>
      </c>
      <c r="D3387">
        <f t="shared" si="120"/>
        <v>0.40925326635009113</v>
      </c>
    </row>
    <row r="3388" spans="1:4" x14ac:dyDescent="0.3">
      <c r="A3388" s="1">
        <v>30865</v>
      </c>
      <c r="B3388">
        <v>237.91000399999999</v>
      </c>
      <c r="C3388">
        <f t="shared" si="121"/>
        <v>-7.2605468122816062E-3</v>
      </c>
      <c r="D3388">
        <f t="shared" si="120"/>
        <v>-0.61799184134569884</v>
      </c>
    </row>
    <row r="3389" spans="1:4" x14ac:dyDescent="0.3">
      <c r="A3389" s="1">
        <v>30866</v>
      </c>
      <c r="B3389">
        <v>238.28999300000001</v>
      </c>
      <c r="C3389">
        <f t="shared" si="121"/>
        <v>1.5971963919601433E-3</v>
      </c>
      <c r="D3389">
        <f t="shared" si="120"/>
        <v>9.059119173594779E-2</v>
      </c>
    </row>
    <row r="3390" spans="1:4" x14ac:dyDescent="0.3">
      <c r="A3390" s="1">
        <v>30868</v>
      </c>
      <c r="B3390">
        <v>237.83000200000001</v>
      </c>
      <c r="C3390">
        <f t="shared" si="121"/>
        <v>-1.930383203292982E-3</v>
      </c>
      <c r="D3390">
        <f t="shared" si="120"/>
        <v>-0.19160067039033279</v>
      </c>
    </row>
    <row r="3391" spans="1:4" x14ac:dyDescent="0.3">
      <c r="A3391" s="1">
        <v>30869</v>
      </c>
      <c r="B3391">
        <v>236.720001</v>
      </c>
      <c r="C3391">
        <f t="shared" si="121"/>
        <v>-4.6672034254114465E-3</v>
      </c>
      <c r="D3391">
        <f t="shared" si="120"/>
        <v>-0.41053503428781207</v>
      </c>
    </row>
    <row r="3392" spans="1:4" x14ac:dyDescent="0.3">
      <c r="A3392" s="1">
        <v>30872</v>
      </c>
      <c r="B3392">
        <v>236.990005</v>
      </c>
      <c r="C3392">
        <f t="shared" si="121"/>
        <v>1.1406049292809869E-3</v>
      </c>
      <c r="D3392">
        <f t="shared" si="120"/>
        <v>5.4065752236928416E-2</v>
      </c>
    </row>
    <row r="3393" spans="1:4" x14ac:dyDescent="0.3">
      <c r="A3393" s="1">
        <v>30873</v>
      </c>
      <c r="B3393">
        <v>236.25</v>
      </c>
      <c r="C3393">
        <f t="shared" si="121"/>
        <v>-3.1225156520841312E-3</v>
      </c>
      <c r="D3393">
        <f t="shared" si="120"/>
        <v>-0.28696636421570426</v>
      </c>
    </row>
    <row r="3394" spans="1:4" x14ac:dyDescent="0.3">
      <c r="A3394" s="1">
        <v>30874</v>
      </c>
      <c r="B3394">
        <v>234.820007</v>
      </c>
      <c r="C3394">
        <f t="shared" si="121"/>
        <v>-6.0528804232804065E-3</v>
      </c>
      <c r="D3394">
        <f t="shared" si="120"/>
        <v>-0.52138349617946711</v>
      </c>
    </row>
    <row r="3395" spans="1:4" x14ac:dyDescent="0.3">
      <c r="A3395" s="1">
        <v>30875</v>
      </c>
      <c r="B3395">
        <v>234.220001</v>
      </c>
      <c r="C3395">
        <f t="shared" si="121"/>
        <v>-2.5551740997946889E-3</v>
      </c>
      <c r="D3395">
        <f t="shared" ref="D3395:D3458" si="122">(C3395-avrtn)/sdrtn</f>
        <v>-0.24158137295495166</v>
      </c>
    </row>
    <row r="3396" spans="1:4" x14ac:dyDescent="0.3">
      <c r="A3396" s="1">
        <v>30876</v>
      </c>
      <c r="B3396">
        <v>234.66999799999999</v>
      </c>
      <c r="C3396">
        <f t="shared" ref="C3396:C3459" si="123">(B3396-B3395)/B3395</f>
        <v>1.9212577836168491E-3</v>
      </c>
      <c r="D3396">
        <f t="shared" si="122"/>
        <v>0.11651477052007947</v>
      </c>
    </row>
    <row r="3397" spans="1:4" x14ac:dyDescent="0.3">
      <c r="A3397" s="1">
        <v>30879</v>
      </c>
      <c r="B3397">
        <v>233.69000199999999</v>
      </c>
      <c r="C3397">
        <f t="shared" si="123"/>
        <v>-4.1760600347386543E-3</v>
      </c>
      <c r="D3397">
        <f t="shared" si="122"/>
        <v>-0.37124558262767871</v>
      </c>
    </row>
    <row r="3398" spans="1:4" x14ac:dyDescent="0.3">
      <c r="A3398" s="1">
        <v>30880</v>
      </c>
      <c r="B3398">
        <v>233.5</v>
      </c>
      <c r="C3398">
        <f t="shared" si="123"/>
        <v>-8.1305147149595509E-4</v>
      </c>
      <c r="D3398">
        <f t="shared" si="122"/>
        <v>-0.10221872634210499</v>
      </c>
    </row>
    <row r="3399" spans="1:4" x14ac:dyDescent="0.3">
      <c r="A3399" s="1">
        <v>30881</v>
      </c>
      <c r="B3399">
        <v>232.229996</v>
      </c>
      <c r="C3399">
        <f t="shared" si="123"/>
        <v>-5.4389892933618851E-3</v>
      </c>
      <c r="D3399">
        <f t="shared" si="122"/>
        <v>-0.47227473012139515</v>
      </c>
    </row>
    <row r="3400" spans="1:4" x14ac:dyDescent="0.3">
      <c r="A3400" s="1">
        <v>30882</v>
      </c>
      <c r="B3400">
        <v>230.88999899999999</v>
      </c>
      <c r="C3400">
        <f t="shared" si="123"/>
        <v>-5.7701288510551025E-3</v>
      </c>
      <c r="D3400">
        <f t="shared" si="122"/>
        <v>-0.49876453308285512</v>
      </c>
    </row>
    <row r="3401" spans="1:4" x14ac:dyDescent="0.3">
      <c r="A3401" s="1">
        <v>30883</v>
      </c>
      <c r="B3401">
        <v>229.36999499999999</v>
      </c>
      <c r="C3401">
        <f t="shared" si="123"/>
        <v>-6.5832388002219199E-3</v>
      </c>
      <c r="D3401">
        <f t="shared" si="122"/>
        <v>-0.56380998548811112</v>
      </c>
    </row>
    <row r="3402" spans="1:4" x14ac:dyDescent="0.3">
      <c r="A3402" s="1">
        <v>30886</v>
      </c>
      <c r="B3402">
        <v>227.05999800000001</v>
      </c>
      <c r="C3402">
        <f t="shared" si="123"/>
        <v>-1.0071051359616508E-2</v>
      </c>
      <c r="D3402">
        <f t="shared" si="122"/>
        <v>-0.84282064826873726</v>
      </c>
    </row>
    <row r="3403" spans="1:4" x14ac:dyDescent="0.3">
      <c r="A3403" s="1">
        <v>30887</v>
      </c>
      <c r="B3403">
        <v>225.729996</v>
      </c>
      <c r="C3403">
        <f t="shared" si="123"/>
        <v>-5.8574914635558459E-3</v>
      </c>
      <c r="D3403">
        <f t="shared" si="122"/>
        <v>-0.50575318284570547</v>
      </c>
    </row>
    <row r="3404" spans="1:4" x14ac:dyDescent="0.3">
      <c r="A3404" s="1">
        <v>30888</v>
      </c>
      <c r="B3404">
        <v>225.300003</v>
      </c>
      <c r="C3404">
        <f t="shared" si="123"/>
        <v>-1.9048996926398568E-3</v>
      </c>
      <c r="D3404">
        <f t="shared" si="122"/>
        <v>-0.18956209432690474</v>
      </c>
    </row>
    <row r="3405" spans="1:4" x14ac:dyDescent="0.3">
      <c r="A3405" s="1">
        <v>30889</v>
      </c>
      <c r="B3405">
        <v>227.05999800000001</v>
      </c>
      <c r="C3405">
        <f t="shared" si="123"/>
        <v>7.8117841835980955E-3</v>
      </c>
      <c r="D3405">
        <f t="shared" si="122"/>
        <v>0.58773266052929041</v>
      </c>
    </row>
    <row r="3406" spans="1:4" x14ac:dyDescent="0.3">
      <c r="A3406" s="1">
        <v>30890</v>
      </c>
      <c r="B3406">
        <v>229.300003</v>
      </c>
      <c r="C3406">
        <f t="shared" si="123"/>
        <v>9.8652559663987855E-3</v>
      </c>
      <c r="D3406">
        <f t="shared" si="122"/>
        <v>0.75200195922692026</v>
      </c>
    </row>
    <row r="3407" spans="1:4" x14ac:dyDescent="0.3">
      <c r="A3407" s="1">
        <v>30893</v>
      </c>
      <c r="B3407">
        <v>228.949997</v>
      </c>
      <c r="C3407">
        <f t="shared" si="123"/>
        <v>-1.5264107955550597E-3</v>
      </c>
      <c r="D3407">
        <f t="shared" si="122"/>
        <v>-0.15928453891576538</v>
      </c>
    </row>
    <row r="3408" spans="1:4" x14ac:dyDescent="0.3">
      <c r="A3408" s="1">
        <v>30894</v>
      </c>
      <c r="B3408">
        <v>229.699997</v>
      </c>
      <c r="C3408">
        <f t="shared" si="123"/>
        <v>3.2758244587354156E-3</v>
      </c>
      <c r="D3408">
        <f t="shared" si="122"/>
        <v>0.22487453451811457</v>
      </c>
    </row>
    <row r="3409" spans="1:4" x14ac:dyDescent="0.3">
      <c r="A3409" s="1">
        <v>30895</v>
      </c>
      <c r="B3409">
        <v>233.35000600000001</v>
      </c>
      <c r="C3409">
        <f t="shared" si="123"/>
        <v>1.5890331073883348E-2</v>
      </c>
      <c r="D3409">
        <f t="shared" si="122"/>
        <v>1.2339831925688054</v>
      </c>
    </row>
    <row r="3410" spans="1:4" x14ac:dyDescent="0.3">
      <c r="A3410" s="1">
        <v>30896</v>
      </c>
      <c r="B3410">
        <v>238.86999499999999</v>
      </c>
      <c r="C3410">
        <f t="shared" si="123"/>
        <v>2.3655405434187052E-2</v>
      </c>
      <c r="D3410">
        <f t="shared" si="122"/>
        <v>1.8551572112165415</v>
      </c>
    </row>
    <row r="3411" spans="1:4" x14ac:dyDescent="0.3">
      <c r="A3411" s="1">
        <v>30897</v>
      </c>
      <c r="B3411">
        <v>246.240005</v>
      </c>
      <c r="C3411">
        <f t="shared" si="123"/>
        <v>3.0853644887462773E-2</v>
      </c>
      <c r="D3411">
        <f t="shared" si="122"/>
        <v>2.4309867681411044</v>
      </c>
    </row>
    <row r="3412" spans="1:4" x14ac:dyDescent="0.3">
      <c r="A3412" s="1">
        <v>30900</v>
      </c>
      <c r="B3412">
        <v>249.270004</v>
      </c>
      <c r="C3412">
        <f t="shared" si="123"/>
        <v>1.2305063915183091E-2</v>
      </c>
      <c r="D3412">
        <f t="shared" si="122"/>
        <v>0.9471765625794325</v>
      </c>
    </row>
    <row r="3413" spans="1:4" x14ac:dyDescent="0.3">
      <c r="A3413" s="1">
        <v>30901</v>
      </c>
      <c r="B3413">
        <v>249.08999600000001</v>
      </c>
      <c r="C3413">
        <f t="shared" si="123"/>
        <v>-7.2214063911190307E-4</v>
      </c>
      <c r="D3413">
        <f t="shared" si="122"/>
        <v>-9.4946233578957318E-2</v>
      </c>
    </row>
    <row r="3414" spans="1:4" x14ac:dyDescent="0.3">
      <c r="A3414" s="1">
        <v>30902</v>
      </c>
      <c r="B3414">
        <v>248.020004</v>
      </c>
      <c r="C3414">
        <f t="shared" si="123"/>
        <v>-4.2956040675355481E-3</v>
      </c>
      <c r="D3414">
        <f t="shared" si="122"/>
        <v>-0.38080861368343011</v>
      </c>
    </row>
    <row r="3415" spans="1:4" x14ac:dyDescent="0.3">
      <c r="A3415" s="1">
        <v>30903</v>
      </c>
      <c r="B3415">
        <v>250.33000200000001</v>
      </c>
      <c r="C3415">
        <f t="shared" si="123"/>
        <v>9.3137568048745258E-3</v>
      </c>
      <c r="D3415">
        <f t="shared" si="122"/>
        <v>0.70788429408308218</v>
      </c>
    </row>
    <row r="3416" spans="1:4" x14ac:dyDescent="0.3">
      <c r="A3416" s="1">
        <v>30904</v>
      </c>
      <c r="B3416">
        <v>252.429993</v>
      </c>
      <c r="C3416">
        <f t="shared" si="123"/>
        <v>8.3888905973003927E-3</v>
      </c>
      <c r="D3416">
        <f t="shared" si="122"/>
        <v>0.63389880054972136</v>
      </c>
    </row>
    <row r="3417" spans="1:4" x14ac:dyDescent="0.3">
      <c r="A3417" s="1">
        <v>30907</v>
      </c>
      <c r="B3417">
        <v>251.35000600000001</v>
      </c>
      <c r="C3417">
        <f t="shared" si="123"/>
        <v>-4.2783624369073627E-3</v>
      </c>
      <c r="D3417">
        <f t="shared" si="122"/>
        <v>-0.37942935413118406</v>
      </c>
    </row>
    <row r="3418" spans="1:4" x14ac:dyDescent="0.3">
      <c r="A3418" s="1">
        <v>30908</v>
      </c>
      <c r="B3418">
        <v>250.63000500000001</v>
      </c>
      <c r="C3418">
        <f t="shared" si="123"/>
        <v>-2.8645354398758056E-3</v>
      </c>
      <c r="D3418">
        <f t="shared" si="122"/>
        <v>-0.26632900806000948</v>
      </c>
    </row>
    <row r="3419" spans="1:4" x14ac:dyDescent="0.3">
      <c r="A3419" s="1">
        <v>30909</v>
      </c>
      <c r="B3419">
        <v>249.699997</v>
      </c>
      <c r="C3419">
        <f t="shared" si="123"/>
        <v>-3.7106810096421416E-3</v>
      </c>
      <c r="D3419">
        <f t="shared" si="122"/>
        <v>-0.33401717426994343</v>
      </c>
    </row>
    <row r="3420" spans="1:4" x14ac:dyDescent="0.3">
      <c r="A3420" s="1">
        <v>30910</v>
      </c>
      <c r="B3420">
        <v>250.33000200000001</v>
      </c>
      <c r="C3420">
        <f t="shared" si="123"/>
        <v>2.5230476875016191E-3</v>
      </c>
      <c r="D3420">
        <f t="shared" si="122"/>
        <v>0.16465548825599011</v>
      </c>
    </row>
    <row r="3421" spans="1:4" x14ac:dyDescent="0.3">
      <c r="A3421" s="1">
        <v>30911</v>
      </c>
      <c r="B3421">
        <v>250.36999499999999</v>
      </c>
      <c r="C3421">
        <f t="shared" si="123"/>
        <v>1.5976111405128856E-4</v>
      </c>
      <c r="D3421">
        <f t="shared" si="122"/>
        <v>-2.4397719727579592E-2</v>
      </c>
    </row>
    <row r="3422" spans="1:4" x14ac:dyDescent="0.3">
      <c r="A3422" s="1">
        <v>30914</v>
      </c>
      <c r="B3422">
        <v>250.220001</v>
      </c>
      <c r="C3422">
        <f t="shared" si="123"/>
        <v>-5.9908935972935744E-4</v>
      </c>
      <c r="D3422">
        <f t="shared" si="122"/>
        <v>-8.5102637218237895E-2</v>
      </c>
    </row>
    <row r="3423" spans="1:4" x14ac:dyDescent="0.3">
      <c r="A3423" s="1">
        <v>30915</v>
      </c>
      <c r="B3423">
        <v>253.33000200000001</v>
      </c>
      <c r="C3423">
        <f t="shared" si="123"/>
        <v>1.2429066371876529E-2</v>
      </c>
      <c r="D3423">
        <f t="shared" si="122"/>
        <v>0.9570962492137588</v>
      </c>
    </row>
    <row r="3424" spans="1:4" x14ac:dyDescent="0.3">
      <c r="A3424" s="1">
        <v>30916</v>
      </c>
      <c r="B3424">
        <v>253.86000100000001</v>
      </c>
      <c r="C3424">
        <f t="shared" si="123"/>
        <v>2.0921288272835667E-3</v>
      </c>
      <c r="D3424">
        <f t="shared" si="122"/>
        <v>0.13018375138748697</v>
      </c>
    </row>
    <row r="3425" spans="1:4" x14ac:dyDescent="0.3">
      <c r="A3425" s="1">
        <v>30917</v>
      </c>
      <c r="B3425">
        <v>254.11999499999999</v>
      </c>
      <c r="C3425">
        <f t="shared" si="123"/>
        <v>1.0241629204120961E-3</v>
      </c>
      <c r="D3425">
        <f t="shared" si="122"/>
        <v>4.475087033981863E-2</v>
      </c>
    </row>
    <row r="3426" spans="1:4" x14ac:dyDescent="0.3">
      <c r="A3426" s="1">
        <v>30918</v>
      </c>
      <c r="B3426">
        <v>254.779999</v>
      </c>
      <c r="C3426">
        <f t="shared" si="123"/>
        <v>2.5972139657881505E-3</v>
      </c>
      <c r="D3426">
        <f t="shared" si="122"/>
        <v>0.17058848554535402</v>
      </c>
    </row>
    <row r="3427" spans="1:4" x14ac:dyDescent="0.3">
      <c r="A3427" s="1">
        <v>30921</v>
      </c>
      <c r="B3427">
        <v>253.28999300000001</v>
      </c>
      <c r="C3427">
        <f t="shared" si="123"/>
        <v>-5.8482063185815222E-3</v>
      </c>
      <c r="D3427">
        <f t="shared" si="122"/>
        <v>-0.50501040942850384</v>
      </c>
    </row>
    <row r="3428" spans="1:4" x14ac:dyDescent="0.3">
      <c r="A3428" s="1">
        <v>30922</v>
      </c>
      <c r="B3428">
        <v>254.36999499999999</v>
      </c>
      <c r="C3428">
        <f t="shared" si="123"/>
        <v>4.2638952577963825E-3</v>
      </c>
      <c r="D3428">
        <f t="shared" si="122"/>
        <v>0.30391613547158897</v>
      </c>
    </row>
    <row r="3429" spans="1:4" x14ac:dyDescent="0.3">
      <c r="A3429" s="1">
        <v>30923</v>
      </c>
      <c r="B3429">
        <v>254.80999800000001</v>
      </c>
      <c r="C3429">
        <f t="shared" si="123"/>
        <v>1.7297755578444642E-3</v>
      </c>
      <c r="D3429">
        <f t="shared" si="122"/>
        <v>0.10119697983790583</v>
      </c>
    </row>
    <row r="3430" spans="1:4" x14ac:dyDescent="0.3">
      <c r="A3430" s="1">
        <v>30924</v>
      </c>
      <c r="B3430">
        <v>254.55999800000001</v>
      </c>
      <c r="C3430">
        <f t="shared" si="123"/>
        <v>-9.8112319752853647E-4</v>
      </c>
      <c r="D3430">
        <f t="shared" si="122"/>
        <v>-0.11566377330964449</v>
      </c>
    </row>
    <row r="3431" spans="1:4" x14ac:dyDescent="0.3">
      <c r="A3431" s="1">
        <v>30925</v>
      </c>
      <c r="B3431">
        <v>254.63999899999999</v>
      </c>
      <c r="C3431">
        <f t="shared" si="123"/>
        <v>3.1427168694423682E-4</v>
      </c>
      <c r="D3431">
        <f t="shared" si="122"/>
        <v>-1.2037509247415841E-2</v>
      </c>
    </row>
    <row r="3432" spans="1:4" x14ac:dyDescent="0.3">
      <c r="A3432" s="1">
        <v>30929</v>
      </c>
      <c r="B3432">
        <v>251.38999899999999</v>
      </c>
      <c r="C3432">
        <f t="shared" si="123"/>
        <v>-1.2763116606829708E-2</v>
      </c>
      <c r="D3432">
        <f t="shared" si="122"/>
        <v>-1.0581747982073517</v>
      </c>
    </row>
    <row r="3433" spans="1:4" x14ac:dyDescent="0.3">
      <c r="A3433" s="1">
        <v>30930</v>
      </c>
      <c r="B3433">
        <v>250.61000100000001</v>
      </c>
      <c r="C3433">
        <f t="shared" si="123"/>
        <v>-3.1027407737090518E-3</v>
      </c>
      <c r="D3433">
        <f t="shared" si="122"/>
        <v>-0.28538445526048367</v>
      </c>
    </row>
    <row r="3434" spans="1:4" x14ac:dyDescent="0.3">
      <c r="A3434" s="1">
        <v>30931</v>
      </c>
      <c r="B3434">
        <v>252.220001</v>
      </c>
      <c r="C3434">
        <f t="shared" si="123"/>
        <v>6.4243246222244147E-3</v>
      </c>
      <c r="D3434">
        <f t="shared" si="122"/>
        <v>0.47674160088720258</v>
      </c>
    </row>
    <row r="3435" spans="1:4" x14ac:dyDescent="0.3">
      <c r="A3435" s="1">
        <v>30932</v>
      </c>
      <c r="B3435">
        <v>251.679993</v>
      </c>
      <c r="C3435">
        <f t="shared" si="123"/>
        <v>-2.1410197361786559E-3</v>
      </c>
      <c r="D3435">
        <f t="shared" si="122"/>
        <v>-0.20845072687858809</v>
      </c>
    </row>
    <row r="3436" spans="1:4" x14ac:dyDescent="0.3">
      <c r="A3436" s="1">
        <v>30935</v>
      </c>
      <c r="B3436">
        <v>250.529999</v>
      </c>
      <c r="C3436">
        <f t="shared" si="123"/>
        <v>-4.5692706293105805E-3</v>
      </c>
      <c r="D3436">
        <f t="shared" si="122"/>
        <v>-0.40270081330180663</v>
      </c>
    </row>
    <row r="3437" spans="1:4" x14ac:dyDescent="0.3">
      <c r="A3437" s="1">
        <v>30936</v>
      </c>
      <c r="B3437">
        <v>251.800003</v>
      </c>
      <c r="C3437">
        <f t="shared" si="123"/>
        <v>5.069269169637446E-3</v>
      </c>
      <c r="D3437">
        <f t="shared" si="122"/>
        <v>0.36834273670156026</v>
      </c>
    </row>
    <row r="3438" spans="1:4" x14ac:dyDescent="0.3">
      <c r="A3438" s="1">
        <v>30937</v>
      </c>
      <c r="B3438">
        <v>251.449997</v>
      </c>
      <c r="C3438">
        <f t="shared" si="123"/>
        <v>-1.3900158690625893E-3</v>
      </c>
      <c r="D3438">
        <f t="shared" si="122"/>
        <v>-0.14837350565565674</v>
      </c>
    </row>
    <row r="3439" spans="1:4" x14ac:dyDescent="0.3">
      <c r="A3439" s="1">
        <v>30938</v>
      </c>
      <c r="B3439">
        <v>253.33999600000001</v>
      </c>
      <c r="C3439">
        <f t="shared" si="123"/>
        <v>7.5164009646021884E-3</v>
      </c>
      <c r="D3439">
        <f t="shared" si="122"/>
        <v>0.5641032176326719</v>
      </c>
    </row>
    <row r="3440" spans="1:4" x14ac:dyDescent="0.3">
      <c r="A3440" s="1">
        <v>30939</v>
      </c>
      <c r="B3440">
        <v>255.60000600000001</v>
      </c>
      <c r="C3440">
        <f t="shared" si="123"/>
        <v>8.9208574867112329E-3</v>
      </c>
      <c r="D3440">
        <f t="shared" si="122"/>
        <v>0.6764539642416687</v>
      </c>
    </row>
    <row r="3441" spans="1:4" x14ac:dyDescent="0.3">
      <c r="A3441" s="1">
        <v>30942</v>
      </c>
      <c r="B3441">
        <v>255.38999899999999</v>
      </c>
      <c r="C3441">
        <f t="shared" si="123"/>
        <v>-8.2162361138606033E-4</v>
      </c>
      <c r="D3441">
        <f t="shared" si="122"/>
        <v>-0.10290446228446357</v>
      </c>
    </row>
    <row r="3442" spans="1:4" x14ac:dyDescent="0.3">
      <c r="A3442" s="1">
        <v>30943</v>
      </c>
      <c r="B3442">
        <v>253.990005</v>
      </c>
      <c r="C3442">
        <f t="shared" si="123"/>
        <v>-5.4817886584509227E-3</v>
      </c>
      <c r="D3442">
        <f t="shared" si="122"/>
        <v>-0.47569850333647734</v>
      </c>
    </row>
    <row r="3443" spans="1:4" x14ac:dyDescent="0.3">
      <c r="A3443" s="1">
        <v>30944</v>
      </c>
      <c r="B3443">
        <v>253.009995</v>
      </c>
      <c r="C3443">
        <f t="shared" si="123"/>
        <v>-3.8584589184916663E-3</v>
      </c>
      <c r="D3443">
        <f t="shared" si="122"/>
        <v>-0.34583879931151323</v>
      </c>
    </row>
    <row r="3444" spans="1:4" x14ac:dyDescent="0.3">
      <c r="A3444" s="1">
        <v>30945</v>
      </c>
      <c r="B3444">
        <v>253.13000500000001</v>
      </c>
      <c r="C3444">
        <f t="shared" si="123"/>
        <v>4.7432908727581185E-4</v>
      </c>
      <c r="D3444">
        <f t="shared" si="122"/>
        <v>7.6642461914733695E-4</v>
      </c>
    </row>
    <row r="3445" spans="1:4" x14ac:dyDescent="0.3">
      <c r="A3445" s="1">
        <v>30946</v>
      </c>
      <c r="B3445">
        <v>252.679993</v>
      </c>
      <c r="C3445">
        <f t="shared" si="123"/>
        <v>-1.7777900332282424E-3</v>
      </c>
      <c r="D3445">
        <f t="shared" si="122"/>
        <v>-0.17939384425201821</v>
      </c>
    </row>
    <row r="3446" spans="1:4" x14ac:dyDescent="0.3">
      <c r="A3446" s="1">
        <v>30949</v>
      </c>
      <c r="B3446">
        <v>250.800003</v>
      </c>
      <c r="C3446">
        <f t="shared" si="123"/>
        <v>-7.4402012509157869E-3</v>
      </c>
      <c r="D3446">
        <f t="shared" si="122"/>
        <v>-0.63236345769296731</v>
      </c>
    </row>
    <row r="3447" spans="1:4" x14ac:dyDescent="0.3">
      <c r="A3447" s="1">
        <v>30950</v>
      </c>
      <c r="B3447">
        <v>250.009995</v>
      </c>
      <c r="C3447">
        <f t="shared" si="123"/>
        <v>-3.149952115431196E-3</v>
      </c>
      <c r="D3447">
        <f t="shared" si="122"/>
        <v>-0.28916116846405804</v>
      </c>
    </row>
    <row r="3448" spans="1:4" x14ac:dyDescent="0.3">
      <c r="A3448" s="1">
        <v>30951</v>
      </c>
      <c r="B3448">
        <v>250.229996</v>
      </c>
      <c r="C3448">
        <f t="shared" si="123"/>
        <v>8.7996881884660789E-4</v>
      </c>
      <c r="D3448">
        <f t="shared" si="122"/>
        <v>3.3215935144268106E-2</v>
      </c>
    </row>
    <row r="3449" spans="1:4" x14ac:dyDescent="0.3">
      <c r="A3449" s="1">
        <v>30952</v>
      </c>
      <c r="B3449">
        <v>250.28999300000001</v>
      </c>
      <c r="C3449">
        <f t="shared" si="123"/>
        <v>2.397674178119311E-4</v>
      </c>
      <c r="D3449">
        <f t="shared" si="122"/>
        <v>-1.7997544414615034E-2</v>
      </c>
    </row>
    <row r="3450" spans="1:4" x14ac:dyDescent="0.3">
      <c r="A3450" s="1">
        <v>30953</v>
      </c>
      <c r="B3450">
        <v>249.94000199999999</v>
      </c>
      <c r="C3450">
        <f t="shared" si="123"/>
        <v>-1.3983419624771696E-3</v>
      </c>
      <c r="D3450">
        <f t="shared" si="122"/>
        <v>-0.14903955889172246</v>
      </c>
    </row>
    <row r="3451" spans="1:4" x14ac:dyDescent="0.3">
      <c r="A3451" s="1">
        <v>30956</v>
      </c>
      <c r="B3451">
        <v>247.86000100000001</v>
      </c>
      <c r="C3451">
        <f t="shared" si="123"/>
        <v>-8.3220012137152077E-3</v>
      </c>
      <c r="D3451">
        <f t="shared" si="122"/>
        <v>-0.70290382873380786</v>
      </c>
    </row>
    <row r="3452" spans="1:4" x14ac:dyDescent="0.3">
      <c r="A3452" s="1">
        <v>30957</v>
      </c>
      <c r="B3452">
        <v>246.10000600000001</v>
      </c>
      <c r="C3452">
        <f t="shared" si="123"/>
        <v>-7.1007624985848505E-3</v>
      </c>
      <c r="D3452">
        <f t="shared" si="122"/>
        <v>-0.60520975328698223</v>
      </c>
    </row>
    <row r="3453" spans="1:4" x14ac:dyDescent="0.3">
      <c r="A3453" s="1">
        <v>30958</v>
      </c>
      <c r="B3453">
        <v>244.80999800000001</v>
      </c>
      <c r="C3453">
        <f t="shared" si="123"/>
        <v>-5.241804016859716E-3</v>
      </c>
      <c r="D3453">
        <f t="shared" si="122"/>
        <v>-0.4565007188319235</v>
      </c>
    </row>
    <row r="3454" spans="1:4" x14ac:dyDescent="0.3">
      <c r="A3454" s="1">
        <v>30959</v>
      </c>
      <c r="B3454">
        <v>245.199997</v>
      </c>
      <c r="C3454">
        <f t="shared" si="123"/>
        <v>1.5930681066383117E-3</v>
      </c>
      <c r="D3454">
        <f t="shared" si="122"/>
        <v>9.0260945885811933E-2</v>
      </c>
    </row>
    <row r="3455" spans="1:4" x14ac:dyDescent="0.3">
      <c r="A3455" s="1">
        <v>30960</v>
      </c>
      <c r="B3455">
        <v>245.46000699999999</v>
      </c>
      <c r="C3455">
        <f t="shared" si="123"/>
        <v>1.0603996867095968E-3</v>
      </c>
      <c r="D3455">
        <f t="shared" si="122"/>
        <v>4.7649662637145325E-2</v>
      </c>
    </row>
    <row r="3456" spans="1:4" x14ac:dyDescent="0.3">
      <c r="A3456" s="1">
        <v>30963</v>
      </c>
      <c r="B3456">
        <v>244.55999800000001</v>
      </c>
      <c r="C3456">
        <f t="shared" si="123"/>
        <v>-3.6666217482833486E-3</v>
      </c>
      <c r="D3456">
        <f t="shared" si="122"/>
        <v>-0.33049261453400525</v>
      </c>
    </row>
    <row r="3457" spans="1:4" x14ac:dyDescent="0.3">
      <c r="A3457" s="1">
        <v>30964</v>
      </c>
      <c r="B3457">
        <v>244.08999600000001</v>
      </c>
      <c r="C3457">
        <f t="shared" si="123"/>
        <v>-1.9218269702471695E-3</v>
      </c>
      <c r="D3457">
        <f t="shared" si="122"/>
        <v>-0.19091620693010833</v>
      </c>
    </row>
    <row r="3458" spans="1:4" x14ac:dyDescent="0.3">
      <c r="A3458" s="1">
        <v>30965</v>
      </c>
      <c r="B3458">
        <v>243.28999300000001</v>
      </c>
      <c r="C3458">
        <f t="shared" si="123"/>
        <v>-3.2774919624317736E-3</v>
      </c>
      <c r="D3458">
        <f t="shared" si="122"/>
        <v>-0.29936383177711967</v>
      </c>
    </row>
    <row r="3459" spans="1:4" x14ac:dyDescent="0.3">
      <c r="A3459" s="1">
        <v>30966</v>
      </c>
      <c r="B3459">
        <v>244.699997</v>
      </c>
      <c r="C3459">
        <f t="shared" si="123"/>
        <v>5.79556924069617E-3</v>
      </c>
      <c r="D3459">
        <f t="shared" ref="D3459:D3522" si="124">(C3459-avrtn)/sdrtn</f>
        <v>0.42644375582252059</v>
      </c>
    </row>
    <row r="3460" spans="1:4" x14ac:dyDescent="0.3">
      <c r="A3460" s="1">
        <v>30967</v>
      </c>
      <c r="B3460">
        <v>246.199997</v>
      </c>
      <c r="C3460">
        <f t="shared" ref="C3460:C3523" si="125">(B3460-B3459)/B3459</f>
        <v>6.1299551221490212E-3</v>
      </c>
      <c r="D3460">
        <f t="shared" si="124"/>
        <v>0.45319325133578814</v>
      </c>
    </row>
    <row r="3461" spans="1:4" x14ac:dyDescent="0.3">
      <c r="A3461" s="1">
        <v>30970</v>
      </c>
      <c r="B3461">
        <v>247.699997</v>
      </c>
      <c r="C3461">
        <f t="shared" si="125"/>
        <v>6.0926077103079738E-3</v>
      </c>
      <c r="D3461">
        <f t="shared" si="124"/>
        <v>0.4502056119619795</v>
      </c>
    </row>
    <row r="3462" spans="1:4" x14ac:dyDescent="0.3">
      <c r="A3462" s="1">
        <v>30971</v>
      </c>
      <c r="B3462">
        <v>247.300003</v>
      </c>
      <c r="C3462">
        <f t="shared" si="125"/>
        <v>-1.6148324781771895E-3</v>
      </c>
      <c r="D3462">
        <f t="shared" si="124"/>
        <v>-0.16635790993340427</v>
      </c>
    </row>
    <row r="3463" spans="1:4" x14ac:dyDescent="0.3">
      <c r="A3463" s="1">
        <v>30972</v>
      </c>
      <c r="B3463">
        <v>247.10000600000001</v>
      </c>
      <c r="C3463">
        <f t="shared" si="125"/>
        <v>-8.0872218994674334E-4</v>
      </c>
      <c r="D3463">
        <f t="shared" si="124"/>
        <v>-0.10187240162028018</v>
      </c>
    </row>
    <row r="3464" spans="1:4" x14ac:dyDescent="0.3">
      <c r="A3464" s="1">
        <v>30973</v>
      </c>
      <c r="B3464">
        <v>249.800003</v>
      </c>
      <c r="C3464">
        <f t="shared" si="125"/>
        <v>1.0926737897367741E-2</v>
      </c>
      <c r="D3464">
        <f t="shared" si="124"/>
        <v>0.83691614886465571</v>
      </c>
    </row>
    <row r="3465" spans="1:4" x14ac:dyDescent="0.3">
      <c r="A3465" s="1">
        <v>30974</v>
      </c>
      <c r="B3465">
        <v>251.199997</v>
      </c>
      <c r="C3465">
        <f t="shared" si="125"/>
        <v>5.6044595003467328E-3</v>
      </c>
      <c r="D3465">
        <f t="shared" si="124"/>
        <v>0.41115576244251351</v>
      </c>
    </row>
    <row r="3466" spans="1:4" x14ac:dyDescent="0.3">
      <c r="A3466" s="1">
        <v>30977</v>
      </c>
      <c r="B3466">
        <v>250.60000600000001</v>
      </c>
      <c r="C3466">
        <f t="shared" si="125"/>
        <v>-2.388499232346681E-3</v>
      </c>
      <c r="D3466">
        <f t="shared" si="124"/>
        <v>-0.22824806893026123</v>
      </c>
    </row>
    <row r="3467" spans="1:4" x14ac:dyDescent="0.3">
      <c r="A3467" s="1">
        <v>30978</v>
      </c>
      <c r="B3467">
        <v>250.60000600000001</v>
      </c>
      <c r="C3467">
        <f t="shared" si="125"/>
        <v>0</v>
      </c>
      <c r="D3467">
        <f t="shared" si="124"/>
        <v>-3.7177951910056316E-2</v>
      </c>
    </row>
    <row r="3468" spans="1:4" x14ac:dyDescent="0.3">
      <c r="A3468" s="1">
        <v>30979</v>
      </c>
      <c r="B3468">
        <v>250.800003</v>
      </c>
      <c r="C3468">
        <f t="shared" si="125"/>
        <v>7.9807260659042517E-4</v>
      </c>
      <c r="D3468">
        <f t="shared" si="124"/>
        <v>2.6664574923010501E-2</v>
      </c>
    </row>
    <row r="3469" spans="1:4" x14ac:dyDescent="0.3">
      <c r="A3469" s="1">
        <v>30980</v>
      </c>
      <c r="B3469">
        <v>249</v>
      </c>
      <c r="C3469">
        <f t="shared" si="125"/>
        <v>-7.1770453686956443E-3</v>
      </c>
      <c r="D3469">
        <f t="shared" si="124"/>
        <v>-0.61131206921880954</v>
      </c>
    </row>
    <row r="3470" spans="1:4" x14ac:dyDescent="0.3">
      <c r="A3470" s="1">
        <v>30981</v>
      </c>
      <c r="B3470">
        <v>247.39999399999999</v>
      </c>
      <c r="C3470">
        <f t="shared" si="125"/>
        <v>-6.4257269076305528E-3</v>
      </c>
      <c r="D3470">
        <f t="shared" si="124"/>
        <v>-0.55120968177357421</v>
      </c>
    </row>
    <row r="3471" spans="1:4" x14ac:dyDescent="0.3">
      <c r="A3471" s="1">
        <v>30984</v>
      </c>
      <c r="B3471">
        <v>246.5</v>
      </c>
      <c r="C3471">
        <f t="shared" si="125"/>
        <v>-3.6378093040697183E-3</v>
      </c>
      <c r="D3471">
        <f t="shared" si="124"/>
        <v>-0.32818773747439328</v>
      </c>
    </row>
    <row r="3472" spans="1:4" x14ac:dyDescent="0.3">
      <c r="A3472" s="1">
        <v>30985</v>
      </c>
      <c r="B3472">
        <v>247.5</v>
      </c>
      <c r="C3472">
        <f t="shared" si="125"/>
        <v>4.0567951318458417E-3</v>
      </c>
      <c r="D3472">
        <f t="shared" si="124"/>
        <v>0.28734897699635215</v>
      </c>
    </row>
    <row r="3473" spans="1:4" x14ac:dyDescent="0.3">
      <c r="A3473" s="1">
        <v>30986</v>
      </c>
      <c r="B3473">
        <v>247</v>
      </c>
      <c r="C3473">
        <f t="shared" si="125"/>
        <v>-2.0202020202020202E-3</v>
      </c>
      <c r="D3473">
        <f t="shared" si="124"/>
        <v>-0.19878580640587387</v>
      </c>
    </row>
    <row r="3474" spans="1:4" x14ac:dyDescent="0.3">
      <c r="A3474" s="1">
        <v>30987</v>
      </c>
      <c r="B3474">
        <v>248</v>
      </c>
      <c r="C3474">
        <f t="shared" si="125"/>
        <v>4.048582995951417E-3</v>
      </c>
      <c r="D3474">
        <f t="shared" si="124"/>
        <v>0.28669203989330272</v>
      </c>
    </row>
    <row r="3475" spans="1:4" x14ac:dyDescent="0.3">
      <c r="A3475" s="1">
        <v>30988</v>
      </c>
      <c r="B3475">
        <v>248</v>
      </c>
      <c r="C3475">
        <f t="shared" si="125"/>
        <v>0</v>
      </c>
      <c r="D3475">
        <f t="shared" si="124"/>
        <v>-3.7177951910056316E-2</v>
      </c>
    </row>
    <row r="3476" spans="1:4" x14ac:dyDescent="0.3">
      <c r="A3476" s="1">
        <v>30991</v>
      </c>
      <c r="B3476">
        <v>248.39999399999999</v>
      </c>
      <c r="C3476">
        <f t="shared" si="125"/>
        <v>1.6128790322580339E-3</v>
      </c>
      <c r="D3476">
        <f t="shared" si="124"/>
        <v>9.1845738472376814E-2</v>
      </c>
    </row>
    <row r="3477" spans="1:4" x14ac:dyDescent="0.3">
      <c r="A3477" s="1">
        <v>30992</v>
      </c>
      <c r="B3477">
        <v>250.5</v>
      </c>
      <c r="C3477">
        <f t="shared" si="125"/>
        <v>8.4541306389886942E-3</v>
      </c>
      <c r="D3477">
        <f t="shared" si="124"/>
        <v>0.63911773561613106</v>
      </c>
    </row>
    <row r="3478" spans="1:4" x14ac:dyDescent="0.3">
      <c r="A3478" s="1">
        <v>30993</v>
      </c>
      <c r="B3478">
        <v>249.800003</v>
      </c>
      <c r="C3478">
        <f t="shared" si="125"/>
        <v>-2.7943992015967913E-3</v>
      </c>
      <c r="D3478">
        <f t="shared" si="124"/>
        <v>-0.26071839739962338</v>
      </c>
    </row>
    <row r="3479" spans="1:4" x14ac:dyDescent="0.3">
      <c r="A3479" s="1">
        <v>30994</v>
      </c>
      <c r="B3479">
        <v>249.5</v>
      </c>
      <c r="C3479">
        <f t="shared" si="125"/>
        <v>-1.2009727637993814E-3</v>
      </c>
      <c r="D3479">
        <f t="shared" si="124"/>
        <v>-0.1332508345844938</v>
      </c>
    </row>
    <row r="3480" spans="1:4" x14ac:dyDescent="0.3">
      <c r="A3480" s="1">
        <v>30995</v>
      </c>
      <c r="B3480">
        <v>249.5</v>
      </c>
      <c r="C3480">
        <f t="shared" si="125"/>
        <v>0</v>
      </c>
      <c r="D3480">
        <f t="shared" si="124"/>
        <v>-3.7177951910056316E-2</v>
      </c>
    </row>
    <row r="3481" spans="1:4" x14ac:dyDescent="0.3">
      <c r="A3481" s="1">
        <v>30998</v>
      </c>
      <c r="B3481">
        <v>249.300003</v>
      </c>
      <c r="C3481">
        <f t="shared" si="125"/>
        <v>-8.015911823647143E-4</v>
      </c>
      <c r="D3481">
        <f t="shared" si="124"/>
        <v>-0.10130195033659624</v>
      </c>
    </row>
    <row r="3482" spans="1:4" x14ac:dyDescent="0.3">
      <c r="A3482" s="1">
        <v>30999</v>
      </c>
      <c r="B3482">
        <v>247.800003</v>
      </c>
      <c r="C3482">
        <f t="shared" si="125"/>
        <v>-6.0168470996769304E-3</v>
      </c>
      <c r="D3482">
        <f t="shared" si="124"/>
        <v>-0.5185009784611011</v>
      </c>
    </row>
    <row r="3483" spans="1:4" x14ac:dyDescent="0.3">
      <c r="A3483" s="1">
        <v>31000</v>
      </c>
      <c r="B3483">
        <v>247</v>
      </c>
      <c r="C3483">
        <f t="shared" si="125"/>
        <v>-3.2284220755235573E-3</v>
      </c>
      <c r="D3483">
        <f t="shared" si="124"/>
        <v>-0.29543844260104302</v>
      </c>
    </row>
    <row r="3484" spans="1:4" x14ac:dyDescent="0.3">
      <c r="A3484" s="1">
        <v>31001</v>
      </c>
      <c r="B3484">
        <v>246</v>
      </c>
      <c r="C3484">
        <f t="shared" si="125"/>
        <v>-4.048582995951417E-3</v>
      </c>
      <c r="D3484">
        <f t="shared" si="124"/>
        <v>-0.36104794371341536</v>
      </c>
    </row>
    <row r="3485" spans="1:4" x14ac:dyDescent="0.3">
      <c r="A3485" s="1">
        <v>31002</v>
      </c>
      <c r="B3485">
        <v>245.10000600000001</v>
      </c>
      <c r="C3485">
        <f t="shared" si="125"/>
        <v>-3.6585121951219204E-3</v>
      </c>
      <c r="D3485">
        <f t="shared" si="124"/>
        <v>-0.32984388362777284</v>
      </c>
    </row>
    <row r="3486" spans="1:4" x14ac:dyDescent="0.3">
      <c r="A3486" s="1">
        <v>31005</v>
      </c>
      <c r="B3486">
        <v>242.89999399999999</v>
      </c>
      <c r="C3486">
        <f t="shared" si="125"/>
        <v>-8.9759769324526863E-3</v>
      </c>
      <c r="D3486">
        <f t="shared" si="124"/>
        <v>-0.75521919706858232</v>
      </c>
    </row>
    <row r="3487" spans="1:4" x14ac:dyDescent="0.3">
      <c r="A3487" s="1">
        <v>31006</v>
      </c>
      <c r="B3487">
        <v>243.199997</v>
      </c>
      <c r="C3487">
        <f t="shared" si="125"/>
        <v>1.2350885443002679E-3</v>
      </c>
      <c r="D3487">
        <f t="shared" si="124"/>
        <v>6.1624052919524441E-2</v>
      </c>
    </row>
    <row r="3488" spans="1:4" x14ac:dyDescent="0.3">
      <c r="A3488" s="1">
        <v>31007</v>
      </c>
      <c r="B3488">
        <v>243</v>
      </c>
      <c r="C3488">
        <f t="shared" si="125"/>
        <v>-8.223560956704955E-4</v>
      </c>
      <c r="D3488">
        <f t="shared" si="124"/>
        <v>-0.10296305801522501</v>
      </c>
    </row>
    <row r="3489" spans="1:4" x14ac:dyDescent="0.3">
      <c r="A3489" s="1">
        <v>31009</v>
      </c>
      <c r="B3489">
        <v>245.300003</v>
      </c>
      <c r="C3489">
        <f t="shared" si="125"/>
        <v>9.4650329218107145E-3</v>
      </c>
      <c r="D3489">
        <f t="shared" si="124"/>
        <v>0.71998576138686754</v>
      </c>
    </row>
    <row r="3490" spans="1:4" x14ac:dyDescent="0.3">
      <c r="A3490" s="1">
        <v>31012</v>
      </c>
      <c r="B3490">
        <v>244.89999399999999</v>
      </c>
      <c r="C3490">
        <f t="shared" si="125"/>
        <v>-1.6306930090009472E-3</v>
      </c>
      <c r="D3490">
        <f t="shared" si="124"/>
        <v>-0.16762668718041243</v>
      </c>
    </row>
    <row r="3491" spans="1:4" x14ac:dyDescent="0.3">
      <c r="A3491" s="1">
        <v>31013</v>
      </c>
      <c r="B3491">
        <v>252.300003</v>
      </c>
      <c r="C3491">
        <f t="shared" si="125"/>
        <v>3.0216452353200186E-2</v>
      </c>
      <c r="D3491">
        <f t="shared" si="124"/>
        <v>2.3800139855514542</v>
      </c>
    </row>
    <row r="3492" spans="1:4" x14ac:dyDescent="0.3">
      <c r="A3492" s="1">
        <v>31014</v>
      </c>
      <c r="B3492">
        <v>250.699997</v>
      </c>
      <c r="C3492">
        <f t="shared" si="125"/>
        <v>-6.3416804636344283E-3</v>
      </c>
      <c r="D3492">
        <f t="shared" si="124"/>
        <v>-0.54448631185492702</v>
      </c>
    </row>
    <row r="3493" spans="1:4" x14ac:dyDescent="0.3">
      <c r="A3493" s="1">
        <v>31015</v>
      </c>
      <c r="B3493">
        <v>243.5</v>
      </c>
      <c r="C3493">
        <f t="shared" si="125"/>
        <v>-2.8719573538726433E-2</v>
      </c>
      <c r="D3493">
        <f t="shared" si="124"/>
        <v>-2.3346257394161309</v>
      </c>
    </row>
    <row r="3494" spans="1:4" x14ac:dyDescent="0.3">
      <c r="A3494" s="1">
        <v>31016</v>
      </c>
      <c r="B3494">
        <v>242.39999399999999</v>
      </c>
      <c r="C3494">
        <f t="shared" si="125"/>
        <v>-4.5174784394250824E-3</v>
      </c>
      <c r="D3494">
        <f t="shared" si="124"/>
        <v>-0.39855765108172414</v>
      </c>
    </row>
    <row r="3495" spans="1:4" x14ac:dyDescent="0.3">
      <c r="A3495" s="1">
        <v>31019</v>
      </c>
      <c r="B3495">
        <v>240.89999399999999</v>
      </c>
      <c r="C3495">
        <f t="shared" si="125"/>
        <v>-6.1881189650524497E-3</v>
      </c>
      <c r="D3495">
        <f t="shared" si="124"/>
        <v>-0.53220202341702394</v>
      </c>
    </row>
    <row r="3496" spans="1:4" x14ac:dyDescent="0.3">
      <c r="A3496" s="1">
        <v>31020</v>
      </c>
      <c r="B3496">
        <v>240.800003</v>
      </c>
      <c r="C3496">
        <f t="shared" si="125"/>
        <v>-4.1507265458872789E-4</v>
      </c>
      <c r="D3496">
        <f t="shared" si="124"/>
        <v>-7.0382057488200409E-2</v>
      </c>
    </row>
    <row r="3497" spans="1:4" x14ac:dyDescent="0.3">
      <c r="A3497" s="1">
        <v>31021</v>
      </c>
      <c r="B3497">
        <v>238.699997</v>
      </c>
      <c r="C3497">
        <f t="shared" si="125"/>
        <v>-8.7209550408519198E-3</v>
      </c>
      <c r="D3497">
        <f t="shared" si="124"/>
        <v>-0.73481849439680524</v>
      </c>
    </row>
    <row r="3498" spans="1:4" x14ac:dyDescent="0.3">
      <c r="A3498" s="1">
        <v>31022</v>
      </c>
      <c r="B3498">
        <v>238.89999399999999</v>
      </c>
      <c r="C3498">
        <f t="shared" si="125"/>
        <v>8.3785924806692067E-4</v>
      </c>
      <c r="D3498">
        <f t="shared" si="124"/>
        <v>2.9847342637482819E-2</v>
      </c>
    </row>
    <row r="3499" spans="1:4" x14ac:dyDescent="0.3">
      <c r="A3499" s="1">
        <v>31023</v>
      </c>
      <c r="B3499">
        <v>239.300003</v>
      </c>
      <c r="C3499">
        <f t="shared" si="125"/>
        <v>1.6743784430568525E-3</v>
      </c>
      <c r="D3499">
        <f t="shared" si="124"/>
        <v>9.6765438449194024E-2</v>
      </c>
    </row>
    <row r="3500" spans="1:4" x14ac:dyDescent="0.3">
      <c r="A3500" s="1">
        <v>31026</v>
      </c>
      <c r="B3500">
        <v>250.199997</v>
      </c>
      <c r="C3500">
        <f t="shared" si="125"/>
        <v>4.5549493787511539E-2</v>
      </c>
      <c r="D3500">
        <f t="shared" si="124"/>
        <v>3.6065942504532473</v>
      </c>
    </row>
    <row r="3501" spans="1:4" x14ac:dyDescent="0.3">
      <c r="A3501" s="1">
        <v>31027</v>
      </c>
      <c r="B3501">
        <v>238.800003</v>
      </c>
      <c r="C3501">
        <f t="shared" si="125"/>
        <v>-4.5563525726181331E-2</v>
      </c>
      <c r="D3501">
        <f t="shared" si="124"/>
        <v>-3.6820726516672662</v>
      </c>
    </row>
    <row r="3502" spans="1:4" x14ac:dyDescent="0.3">
      <c r="A3502" s="1">
        <v>31028</v>
      </c>
      <c r="B3502">
        <v>238.5</v>
      </c>
      <c r="C3502">
        <f t="shared" si="125"/>
        <v>-1.2562939540666747E-3</v>
      </c>
      <c r="D3502">
        <f t="shared" si="124"/>
        <v>-0.13767630232378364</v>
      </c>
    </row>
    <row r="3503" spans="1:4" x14ac:dyDescent="0.3">
      <c r="A3503" s="1">
        <v>31029</v>
      </c>
      <c r="B3503">
        <v>238.10000600000001</v>
      </c>
      <c r="C3503">
        <f t="shared" si="125"/>
        <v>-1.6771236897274314E-3</v>
      </c>
      <c r="D3503">
        <f t="shared" si="124"/>
        <v>-0.17134095071443123</v>
      </c>
    </row>
    <row r="3504" spans="1:4" x14ac:dyDescent="0.3">
      <c r="A3504" s="1">
        <v>31030</v>
      </c>
      <c r="B3504">
        <v>239</v>
      </c>
      <c r="C3504">
        <f t="shared" si="125"/>
        <v>3.7798991067643753E-3</v>
      </c>
      <c r="D3504">
        <f t="shared" si="124"/>
        <v>0.26519843359309336</v>
      </c>
    </row>
    <row r="3505" spans="1:4" x14ac:dyDescent="0.3">
      <c r="A3505" s="1">
        <v>31033</v>
      </c>
      <c r="B3505">
        <v>238.5</v>
      </c>
      <c r="C3505">
        <f t="shared" si="125"/>
        <v>-2.0920502092050207E-3</v>
      </c>
      <c r="D3505">
        <f t="shared" si="124"/>
        <v>-0.20453336608459541</v>
      </c>
    </row>
    <row r="3506" spans="1:4" x14ac:dyDescent="0.3">
      <c r="A3506" s="1">
        <v>31034</v>
      </c>
      <c r="B3506">
        <v>243.300003</v>
      </c>
      <c r="C3506">
        <f t="shared" si="125"/>
        <v>2.0125798742138382E-2</v>
      </c>
      <c r="D3506">
        <f t="shared" si="124"/>
        <v>1.5728031896820893</v>
      </c>
    </row>
    <row r="3507" spans="1:4" x14ac:dyDescent="0.3">
      <c r="A3507" s="1">
        <v>31035</v>
      </c>
      <c r="B3507">
        <v>245.39999399999999</v>
      </c>
      <c r="C3507">
        <f t="shared" si="125"/>
        <v>8.6312822610199007E-3</v>
      </c>
      <c r="D3507">
        <f t="shared" si="124"/>
        <v>0.65328913692680513</v>
      </c>
    </row>
    <row r="3508" spans="1:4" x14ac:dyDescent="0.3">
      <c r="A3508" s="1">
        <v>31036</v>
      </c>
      <c r="B3508">
        <v>244.5</v>
      </c>
      <c r="C3508">
        <f t="shared" si="125"/>
        <v>-3.6674573023827883E-3</v>
      </c>
      <c r="D3508">
        <f t="shared" si="124"/>
        <v>-0.3305594554261414</v>
      </c>
    </row>
    <row r="3509" spans="1:4" x14ac:dyDescent="0.3">
      <c r="A3509" s="1">
        <v>31037</v>
      </c>
      <c r="B3509">
        <v>244.800003</v>
      </c>
      <c r="C3509">
        <f t="shared" si="125"/>
        <v>1.2270061349693407E-3</v>
      </c>
      <c r="D3509">
        <f t="shared" si="124"/>
        <v>6.0977493408116021E-2</v>
      </c>
    </row>
    <row r="3510" spans="1:4" x14ac:dyDescent="0.3">
      <c r="A3510" s="1">
        <v>31040</v>
      </c>
      <c r="B3510">
        <v>245.800003</v>
      </c>
      <c r="C3510">
        <f t="shared" si="125"/>
        <v>4.0849672702005643E-3</v>
      </c>
      <c r="D3510">
        <f t="shared" si="124"/>
        <v>0.28960263222020483</v>
      </c>
    </row>
    <row r="3511" spans="1:4" x14ac:dyDescent="0.3">
      <c r="A3511" s="1">
        <v>31042</v>
      </c>
      <c r="B3511">
        <v>246.60000600000001</v>
      </c>
      <c r="C3511">
        <f t="shared" si="125"/>
        <v>3.2546907658093224E-3</v>
      </c>
      <c r="D3511">
        <f t="shared" si="124"/>
        <v>0.22318392598629166</v>
      </c>
    </row>
    <row r="3512" spans="1:4" x14ac:dyDescent="0.3">
      <c r="A3512" s="1">
        <v>31043</v>
      </c>
      <c r="B3512">
        <v>245.39999399999999</v>
      </c>
      <c r="C3512">
        <f t="shared" si="125"/>
        <v>-4.8662285920626257E-3</v>
      </c>
      <c r="D3512">
        <f t="shared" si="124"/>
        <v>-0.42645622922353105</v>
      </c>
    </row>
    <row r="3513" spans="1:4" x14ac:dyDescent="0.3">
      <c r="A3513" s="1">
        <v>31044</v>
      </c>
      <c r="B3513">
        <v>245.89999399999999</v>
      </c>
      <c r="C3513">
        <f t="shared" si="125"/>
        <v>2.0374898623673155E-3</v>
      </c>
      <c r="D3513">
        <f t="shared" si="124"/>
        <v>0.12581285887095311</v>
      </c>
    </row>
    <row r="3514" spans="1:4" x14ac:dyDescent="0.3">
      <c r="A3514" s="1">
        <v>31047</v>
      </c>
      <c r="B3514">
        <v>247.10000600000001</v>
      </c>
      <c r="C3514">
        <f t="shared" si="125"/>
        <v>4.8800814529504025E-3</v>
      </c>
      <c r="D3514">
        <f t="shared" si="124"/>
        <v>0.35320849731113618</v>
      </c>
    </row>
    <row r="3515" spans="1:4" x14ac:dyDescent="0.3">
      <c r="A3515" s="1">
        <v>31049</v>
      </c>
      <c r="B3515">
        <v>245.89999399999999</v>
      </c>
      <c r="C3515">
        <f t="shared" si="125"/>
        <v>-4.8563819136451785E-3</v>
      </c>
      <c r="D3515">
        <f t="shared" si="124"/>
        <v>-0.42566853543991889</v>
      </c>
    </row>
    <row r="3516" spans="1:4" x14ac:dyDescent="0.3">
      <c r="A3516" s="1">
        <v>31050</v>
      </c>
      <c r="B3516">
        <v>246.39999399999999</v>
      </c>
      <c r="C3516">
        <f t="shared" si="125"/>
        <v>2.0333469385932562E-3</v>
      </c>
      <c r="D3516">
        <f t="shared" si="124"/>
        <v>0.12548144200483272</v>
      </c>
    </row>
    <row r="3517" spans="1:4" x14ac:dyDescent="0.3">
      <c r="A3517" s="1">
        <v>31051</v>
      </c>
      <c r="B3517">
        <v>246.10000600000001</v>
      </c>
      <c r="C3517">
        <f t="shared" si="125"/>
        <v>-1.2174837958802258E-3</v>
      </c>
      <c r="D3517">
        <f t="shared" si="124"/>
        <v>-0.13457164925719176</v>
      </c>
    </row>
    <row r="3518" spans="1:4" x14ac:dyDescent="0.3">
      <c r="A3518" s="1">
        <v>31054</v>
      </c>
      <c r="B3518">
        <v>245.89999399999999</v>
      </c>
      <c r="C3518">
        <f t="shared" si="125"/>
        <v>-8.1272651411481544E-4</v>
      </c>
      <c r="D3518">
        <f t="shared" si="124"/>
        <v>-0.10219273108784657</v>
      </c>
    </row>
    <row r="3519" spans="1:4" x14ac:dyDescent="0.3">
      <c r="A3519" s="1">
        <v>31055</v>
      </c>
      <c r="B3519">
        <v>246</v>
      </c>
      <c r="C3519">
        <f t="shared" si="125"/>
        <v>4.066937878819452E-4</v>
      </c>
      <c r="D3519">
        <f t="shared" si="124"/>
        <v>-4.6441212143490673E-3</v>
      </c>
    </row>
    <row r="3520" spans="1:4" x14ac:dyDescent="0.3">
      <c r="A3520" s="1">
        <v>31056</v>
      </c>
      <c r="B3520">
        <v>247.300003</v>
      </c>
      <c r="C3520">
        <f t="shared" si="125"/>
        <v>5.284565040650422E-3</v>
      </c>
      <c r="D3520">
        <f t="shared" si="124"/>
        <v>0.38556552108068687</v>
      </c>
    </row>
    <row r="3521" spans="1:4" x14ac:dyDescent="0.3">
      <c r="A3521" s="1">
        <v>31057</v>
      </c>
      <c r="B3521">
        <v>250.699997</v>
      </c>
      <c r="C3521">
        <f t="shared" si="125"/>
        <v>1.3748459194317084E-2</v>
      </c>
      <c r="D3521">
        <f t="shared" si="124"/>
        <v>1.0626422496332995</v>
      </c>
    </row>
    <row r="3522" spans="1:4" x14ac:dyDescent="0.3">
      <c r="A3522" s="1">
        <v>31058</v>
      </c>
      <c r="B3522">
        <v>252.199997</v>
      </c>
      <c r="C3522">
        <f t="shared" si="125"/>
        <v>5.9832469802542521E-3</v>
      </c>
      <c r="D3522">
        <f t="shared" si="124"/>
        <v>0.44145720325169074</v>
      </c>
    </row>
    <row r="3523" spans="1:4" x14ac:dyDescent="0.3">
      <c r="A3523" s="1">
        <v>31061</v>
      </c>
      <c r="B3523">
        <v>255.5</v>
      </c>
      <c r="C3523">
        <f t="shared" si="125"/>
        <v>1.3084865342008723E-2</v>
      </c>
      <c r="D3523">
        <f t="shared" ref="D3523:D3586" si="126">(C3523-avrtn)/sdrtn</f>
        <v>1.009557470162856</v>
      </c>
    </row>
    <row r="3524" spans="1:4" x14ac:dyDescent="0.3">
      <c r="A3524" s="1">
        <v>31062</v>
      </c>
      <c r="B3524">
        <v>257.79998799999998</v>
      </c>
      <c r="C3524">
        <f t="shared" ref="C3524:C3587" si="127">(B3524-B3523)/B3523</f>
        <v>9.0019099804304684E-3</v>
      </c>
      <c r="D3524">
        <f t="shared" si="126"/>
        <v>0.68293783044936196</v>
      </c>
    </row>
    <row r="3525" spans="1:4" x14ac:dyDescent="0.3">
      <c r="A3525" s="1">
        <v>31063</v>
      </c>
      <c r="B3525">
        <v>260.20001200000002</v>
      </c>
      <c r="C3525">
        <f t="shared" si="127"/>
        <v>9.3096358096030271E-3</v>
      </c>
      <c r="D3525">
        <f t="shared" si="126"/>
        <v>0.70755463140699615</v>
      </c>
    </row>
    <row r="3526" spans="1:4" x14ac:dyDescent="0.3">
      <c r="A3526" s="1">
        <v>31064</v>
      </c>
      <c r="B3526">
        <v>261.20001200000002</v>
      </c>
      <c r="C3526">
        <f t="shared" si="127"/>
        <v>3.8431973631115742E-3</v>
      </c>
      <c r="D3526">
        <f t="shared" si="126"/>
        <v>0.27026203381688391</v>
      </c>
    </row>
    <row r="3527" spans="1:4" x14ac:dyDescent="0.3">
      <c r="A3527" s="1">
        <v>31065</v>
      </c>
      <c r="B3527">
        <v>263.10000600000001</v>
      </c>
      <c r="C3527">
        <f t="shared" si="127"/>
        <v>7.2740961436096423E-3</v>
      </c>
      <c r="D3527">
        <f t="shared" si="126"/>
        <v>0.54471982831664567</v>
      </c>
    </row>
    <row r="3528" spans="1:4" x14ac:dyDescent="0.3">
      <c r="A3528" s="1">
        <v>31068</v>
      </c>
      <c r="B3528">
        <v>266.39999399999999</v>
      </c>
      <c r="C3528">
        <f t="shared" si="127"/>
        <v>1.2542713510998494E-2</v>
      </c>
      <c r="D3528">
        <f t="shared" si="126"/>
        <v>0.96618755302368764</v>
      </c>
    </row>
    <row r="3529" spans="1:4" x14ac:dyDescent="0.3">
      <c r="A3529" s="1">
        <v>31069</v>
      </c>
      <c r="B3529">
        <v>268.39999399999999</v>
      </c>
      <c r="C3529">
        <f t="shared" si="127"/>
        <v>7.5075076765955184E-3</v>
      </c>
      <c r="D3529">
        <f t="shared" si="126"/>
        <v>0.56339179116155713</v>
      </c>
    </row>
    <row r="3530" spans="1:4" x14ac:dyDescent="0.3">
      <c r="A3530" s="1">
        <v>31070</v>
      </c>
      <c r="B3530">
        <v>270.70001200000002</v>
      </c>
      <c r="C3530">
        <f t="shared" si="127"/>
        <v>8.5693668085552299E-3</v>
      </c>
      <c r="D3530">
        <f t="shared" si="126"/>
        <v>0.64833615532749334</v>
      </c>
    </row>
    <row r="3531" spans="1:4" x14ac:dyDescent="0.3">
      <c r="A3531" s="1">
        <v>31071</v>
      </c>
      <c r="B3531">
        <v>272.29998799999998</v>
      </c>
      <c r="C3531">
        <f t="shared" si="127"/>
        <v>5.9105132215508342E-3</v>
      </c>
      <c r="D3531">
        <f t="shared" si="126"/>
        <v>0.43563880163842023</v>
      </c>
    </row>
    <row r="3532" spans="1:4" x14ac:dyDescent="0.3">
      <c r="A3532" s="1">
        <v>31072</v>
      </c>
      <c r="B3532">
        <v>274</v>
      </c>
      <c r="C3532">
        <f t="shared" si="127"/>
        <v>6.2431585564374512E-3</v>
      </c>
      <c r="D3532">
        <f t="shared" si="126"/>
        <v>0.4622490605835593</v>
      </c>
    </row>
    <row r="3533" spans="1:4" x14ac:dyDescent="0.3">
      <c r="A3533" s="1">
        <v>31075</v>
      </c>
      <c r="B3533">
        <v>275</v>
      </c>
      <c r="C3533">
        <f t="shared" si="127"/>
        <v>3.6496350364963502E-3</v>
      </c>
      <c r="D3533">
        <f t="shared" si="126"/>
        <v>0.25477784362070893</v>
      </c>
    </row>
    <row r="3534" spans="1:4" x14ac:dyDescent="0.3">
      <c r="A3534" s="1">
        <v>31076</v>
      </c>
      <c r="B3534">
        <v>276.20001200000002</v>
      </c>
      <c r="C3534">
        <f t="shared" si="127"/>
        <v>4.3636800000000555E-3</v>
      </c>
      <c r="D3534">
        <f t="shared" si="126"/>
        <v>0.31189850453057111</v>
      </c>
    </row>
    <row r="3535" spans="1:4" x14ac:dyDescent="0.3">
      <c r="A3535" s="1">
        <v>31077</v>
      </c>
      <c r="B3535">
        <v>278.60000600000001</v>
      </c>
      <c r="C3535">
        <f t="shared" si="127"/>
        <v>8.6893334385517423E-3</v>
      </c>
      <c r="D3535">
        <f t="shared" si="126"/>
        <v>0.65793299242148418</v>
      </c>
    </row>
    <row r="3536" spans="1:4" x14ac:dyDescent="0.3">
      <c r="A3536" s="1">
        <v>31078</v>
      </c>
      <c r="B3536">
        <v>278.70001200000002</v>
      </c>
      <c r="C3536">
        <f t="shared" si="127"/>
        <v>3.5895907338927903E-4</v>
      </c>
      <c r="D3536">
        <f t="shared" si="126"/>
        <v>-8.4627020874435098E-3</v>
      </c>
    </row>
    <row r="3537" spans="1:4" x14ac:dyDescent="0.3">
      <c r="A3537" s="1">
        <v>31079</v>
      </c>
      <c r="B3537">
        <v>278.39999399999999</v>
      </c>
      <c r="C3537">
        <f t="shared" si="127"/>
        <v>-1.0764908040263117E-3</v>
      </c>
      <c r="D3537">
        <f t="shared" si="126"/>
        <v>-0.12329278967552537</v>
      </c>
    </row>
    <row r="3538" spans="1:4" x14ac:dyDescent="0.3">
      <c r="A3538" s="1">
        <v>31082</v>
      </c>
      <c r="B3538">
        <v>280.79998799999998</v>
      </c>
      <c r="C3538">
        <f t="shared" si="127"/>
        <v>8.6206682892385131E-3</v>
      </c>
      <c r="D3538">
        <f t="shared" si="126"/>
        <v>0.65244006282920686</v>
      </c>
    </row>
    <row r="3539" spans="1:4" x14ac:dyDescent="0.3">
      <c r="A3539" s="1">
        <v>31083</v>
      </c>
      <c r="B3539">
        <v>282.60000600000001</v>
      </c>
      <c r="C3539">
        <f t="shared" si="127"/>
        <v>6.4103207867659273E-3</v>
      </c>
      <c r="D3539">
        <f t="shared" si="126"/>
        <v>0.47562135163463909</v>
      </c>
    </row>
    <row r="3540" spans="1:4" x14ac:dyDescent="0.3">
      <c r="A3540" s="1">
        <v>31084</v>
      </c>
      <c r="B3540">
        <v>284.5</v>
      </c>
      <c r="C3540">
        <f t="shared" si="127"/>
        <v>6.7232624191805304E-3</v>
      </c>
      <c r="D3540">
        <f t="shared" si="126"/>
        <v>0.50065539540412574</v>
      </c>
    </row>
    <row r="3541" spans="1:4" x14ac:dyDescent="0.3">
      <c r="A3541" s="1">
        <v>31085</v>
      </c>
      <c r="B3541">
        <v>287.10000600000001</v>
      </c>
      <c r="C3541">
        <f t="shared" si="127"/>
        <v>9.1388611599297273E-3</v>
      </c>
      <c r="D3541">
        <f t="shared" si="126"/>
        <v>0.69389336166268756</v>
      </c>
    </row>
    <row r="3542" spans="1:4" x14ac:dyDescent="0.3">
      <c r="A3542" s="1">
        <v>31086</v>
      </c>
      <c r="B3542">
        <v>288.39999399999999</v>
      </c>
      <c r="C3542">
        <f t="shared" si="127"/>
        <v>4.5279971188854134E-3</v>
      </c>
      <c r="D3542">
        <f t="shared" si="126"/>
        <v>0.32504319836536955</v>
      </c>
    </row>
    <row r="3543" spans="1:4" x14ac:dyDescent="0.3">
      <c r="A3543" s="1">
        <v>31089</v>
      </c>
      <c r="B3543">
        <v>287.39999399999999</v>
      </c>
      <c r="C3543">
        <f t="shared" si="127"/>
        <v>-3.467406452165183E-3</v>
      </c>
      <c r="D3543">
        <f t="shared" si="126"/>
        <v>-0.31455621002274442</v>
      </c>
    </row>
    <row r="3544" spans="1:4" x14ac:dyDescent="0.3">
      <c r="A3544" s="1">
        <v>31090</v>
      </c>
      <c r="B3544">
        <v>286.60000600000001</v>
      </c>
      <c r="C3544">
        <f t="shared" si="127"/>
        <v>-2.7835352007696454E-3</v>
      </c>
      <c r="D3544">
        <f t="shared" si="126"/>
        <v>-0.25984932200649008</v>
      </c>
    </row>
    <row r="3545" spans="1:4" x14ac:dyDescent="0.3">
      <c r="A3545" s="1">
        <v>31091</v>
      </c>
      <c r="B3545">
        <v>288.29998799999998</v>
      </c>
      <c r="C3545">
        <f t="shared" si="127"/>
        <v>5.9315490733101283E-3</v>
      </c>
      <c r="D3545">
        <f t="shared" si="126"/>
        <v>0.43732158327922444</v>
      </c>
    </row>
    <row r="3546" spans="1:4" x14ac:dyDescent="0.3">
      <c r="A3546" s="1">
        <v>31092</v>
      </c>
      <c r="B3546">
        <v>288.39999399999999</v>
      </c>
      <c r="C3546">
        <f t="shared" si="127"/>
        <v>3.4688173486849955E-4</v>
      </c>
      <c r="D3546">
        <f t="shared" si="126"/>
        <v>-9.4288395067931262E-3</v>
      </c>
    </row>
    <row r="3547" spans="1:4" x14ac:dyDescent="0.3">
      <c r="A3547" s="1">
        <v>31093</v>
      </c>
      <c r="B3547">
        <v>287.70001200000002</v>
      </c>
      <c r="C3547">
        <f t="shared" si="127"/>
        <v>-2.4271221031994103E-3</v>
      </c>
      <c r="D3547">
        <f t="shared" si="126"/>
        <v>-0.23133773978028563</v>
      </c>
    </row>
    <row r="3548" spans="1:4" x14ac:dyDescent="0.3">
      <c r="A3548" s="1">
        <v>31097</v>
      </c>
      <c r="B3548">
        <v>286.89999399999999</v>
      </c>
      <c r="C3548">
        <f t="shared" si="127"/>
        <v>-2.7807367627083125E-3</v>
      </c>
      <c r="D3548">
        <f t="shared" si="126"/>
        <v>-0.25962545846882951</v>
      </c>
    </row>
    <row r="3549" spans="1:4" x14ac:dyDescent="0.3">
      <c r="A3549" s="1">
        <v>31098</v>
      </c>
      <c r="B3549">
        <v>287.29998799999998</v>
      </c>
      <c r="C3549">
        <f t="shared" si="127"/>
        <v>1.3941931277976689E-3</v>
      </c>
      <c r="D3549">
        <f t="shared" si="126"/>
        <v>7.4351765357359934E-2</v>
      </c>
    </row>
    <row r="3550" spans="1:4" x14ac:dyDescent="0.3">
      <c r="A3550" s="1">
        <v>31099</v>
      </c>
      <c r="B3550">
        <v>287</v>
      </c>
      <c r="C3550">
        <f t="shared" si="127"/>
        <v>-1.0441629395403415E-3</v>
      </c>
      <c r="D3550">
        <f t="shared" si="126"/>
        <v>-0.12070669344962083</v>
      </c>
    </row>
    <row r="3551" spans="1:4" x14ac:dyDescent="0.3">
      <c r="A3551" s="1">
        <v>31100</v>
      </c>
      <c r="B3551">
        <v>286.20001200000002</v>
      </c>
      <c r="C3551">
        <f t="shared" si="127"/>
        <v>-2.7874146341462886E-3</v>
      </c>
      <c r="D3551">
        <f t="shared" si="126"/>
        <v>-0.26015966072429614</v>
      </c>
    </row>
    <row r="3552" spans="1:4" x14ac:dyDescent="0.3">
      <c r="A3552" s="1">
        <v>31103</v>
      </c>
      <c r="B3552">
        <v>284</v>
      </c>
      <c r="C3552">
        <f t="shared" si="127"/>
        <v>-7.6869738216503464E-3</v>
      </c>
      <c r="D3552">
        <f t="shared" si="126"/>
        <v>-0.65210424861685801</v>
      </c>
    </row>
    <row r="3553" spans="1:4" x14ac:dyDescent="0.3">
      <c r="A3553" s="1">
        <v>31104</v>
      </c>
      <c r="B3553">
        <v>285</v>
      </c>
      <c r="C3553">
        <f t="shared" si="127"/>
        <v>3.5211267605633804E-3</v>
      </c>
      <c r="D3553">
        <f t="shared" si="126"/>
        <v>0.24449770997525946</v>
      </c>
    </row>
    <row r="3554" spans="1:4" x14ac:dyDescent="0.3">
      <c r="A3554" s="1">
        <v>31105</v>
      </c>
      <c r="B3554">
        <v>284.10000600000001</v>
      </c>
      <c r="C3554">
        <f t="shared" si="127"/>
        <v>-3.1578736842104997E-3</v>
      </c>
      <c r="D3554">
        <f t="shared" si="126"/>
        <v>-0.28979486139271687</v>
      </c>
    </row>
    <row r="3555" spans="1:4" x14ac:dyDescent="0.3">
      <c r="A3555" s="1">
        <v>31106</v>
      </c>
      <c r="B3555">
        <v>284.20001200000002</v>
      </c>
      <c r="C3555">
        <f t="shared" si="127"/>
        <v>3.5200984825043471E-4</v>
      </c>
      <c r="D3555">
        <f t="shared" si="126"/>
        <v>-9.0186115231665406E-3</v>
      </c>
    </row>
    <row r="3556" spans="1:4" x14ac:dyDescent="0.3">
      <c r="A3556" s="1">
        <v>31107</v>
      </c>
      <c r="B3556">
        <v>287.20001200000002</v>
      </c>
      <c r="C3556">
        <f t="shared" si="127"/>
        <v>1.0555946070825641E-2</v>
      </c>
      <c r="D3556">
        <f t="shared" si="126"/>
        <v>0.80725432744638881</v>
      </c>
    </row>
    <row r="3557" spans="1:4" x14ac:dyDescent="0.3">
      <c r="A3557" s="1">
        <v>31110</v>
      </c>
      <c r="B3557">
        <v>287.10000600000001</v>
      </c>
      <c r="C3557">
        <f t="shared" si="127"/>
        <v>-3.482102918575351E-4</v>
      </c>
      <c r="D3557">
        <f t="shared" si="126"/>
        <v>-6.5033343409383368E-2</v>
      </c>
    </row>
    <row r="3558" spans="1:4" x14ac:dyDescent="0.3">
      <c r="A3558" s="1">
        <v>31111</v>
      </c>
      <c r="B3558">
        <v>287.10000600000001</v>
      </c>
      <c r="C3558">
        <f t="shared" si="127"/>
        <v>0</v>
      </c>
      <c r="D3558">
        <f t="shared" si="126"/>
        <v>-3.7177951910056316E-2</v>
      </c>
    </row>
    <row r="3559" spans="1:4" x14ac:dyDescent="0.3">
      <c r="A3559" s="1">
        <v>31112</v>
      </c>
      <c r="B3559">
        <v>285.5</v>
      </c>
      <c r="C3559">
        <f t="shared" si="127"/>
        <v>-5.5729918723861245E-3</v>
      </c>
      <c r="D3559">
        <f t="shared" si="126"/>
        <v>-0.48299438542143686</v>
      </c>
    </row>
    <row r="3560" spans="1:4" x14ac:dyDescent="0.3">
      <c r="A3560" s="1">
        <v>31113</v>
      </c>
      <c r="B3560">
        <v>283.20001200000002</v>
      </c>
      <c r="C3560">
        <f t="shared" si="127"/>
        <v>-8.0559999999999469E-3</v>
      </c>
      <c r="D3560">
        <f t="shared" si="126"/>
        <v>-0.6816248254401136</v>
      </c>
    </row>
    <row r="3561" spans="1:4" x14ac:dyDescent="0.3">
      <c r="A3561" s="1">
        <v>31114</v>
      </c>
      <c r="B3561">
        <v>282.39999399999999</v>
      </c>
      <c r="C3561">
        <f t="shared" si="127"/>
        <v>-2.8249221966841678E-3</v>
      </c>
      <c r="D3561">
        <f t="shared" si="126"/>
        <v>-0.26316011149530777</v>
      </c>
    </row>
    <row r="3562" spans="1:4" x14ac:dyDescent="0.3">
      <c r="A3562" s="1">
        <v>31117</v>
      </c>
      <c r="B3562">
        <v>281.20001200000002</v>
      </c>
      <c r="C3562">
        <f t="shared" si="127"/>
        <v>-4.2492281356067496E-3</v>
      </c>
      <c r="D3562">
        <f t="shared" si="126"/>
        <v>-0.37709872982809783</v>
      </c>
    </row>
    <row r="3563" spans="1:4" x14ac:dyDescent="0.3">
      <c r="A3563" s="1">
        <v>31118</v>
      </c>
      <c r="B3563">
        <v>281.39999399999999</v>
      </c>
      <c r="C3563">
        <f t="shared" si="127"/>
        <v>7.111735116141361E-4</v>
      </c>
      <c r="D3563">
        <f t="shared" si="126"/>
        <v>1.9713004656121056E-2</v>
      </c>
    </row>
    <row r="3564" spans="1:4" x14ac:dyDescent="0.3">
      <c r="A3564" s="1">
        <v>31119</v>
      </c>
      <c r="B3564">
        <v>278.20001200000002</v>
      </c>
      <c r="C3564">
        <f t="shared" si="127"/>
        <v>-1.1371649140831103E-2</v>
      </c>
      <c r="D3564">
        <f t="shared" si="126"/>
        <v>-0.94686312267587236</v>
      </c>
    </row>
    <row r="3565" spans="1:4" x14ac:dyDescent="0.3">
      <c r="A3565" s="1">
        <v>31120</v>
      </c>
      <c r="B3565">
        <v>277.5</v>
      </c>
      <c r="C3565">
        <f t="shared" si="127"/>
        <v>-2.5162184392717251E-3</v>
      </c>
      <c r="D3565">
        <f t="shared" si="126"/>
        <v>-0.23846508029974778</v>
      </c>
    </row>
    <row r="3566" spans="1:4" x14ac:dyDescent="0.3">
      <c r="A3566" s="1">
        <v>31121</v>
      </c>
      <c r="B3566">
        <v>278</v>
      </c>
      <c r="C3566">
        <f t="shared" si="127"/>
        <v>1.8018018018018018E-3</v>
      </c>
      <c r="D3566">
        <f t="shared" si="126"/>
        <v>0.10695878318080798</v>
      </c>
    </row>
    <row r="3567" spans="1:4" x14ac:dyDescent="0.3">
      <c r="A3567" s="1">
        <v>31124</v>
      </c>
      <c r="B3567">
        <v>277.10000600000001</v>
      </c>
      <c r="C3567">
        <f t="shared" si="127"/>
        <v>-3.2373884892086058E-3</v>
      </c>
      <c r="D3567">
        <f t="shared" si="126"/>
        <v>-0.29615571882573349</v>
      </c>
    </row>
    <row r="3568" spans="1:4" x14ac:dyDescent="0.3">
      <c r="A3568" s="1">
        <v>31125</v>
      </c>
      <c r="B3568">
        <v>278.89999399999999</v>
      </c>
      <c r="C3568">
        <f t="shared" si="127"/>
        <v>6.4958064273733171E-3</v>
      </c>
      <c r="D3568">
        <f t="shared" si="126"/>
        <v>0.48245985136417568</v>
      </c>
    </row>
    <row r="3569" spans="1:4" x14ac:dyDescent="0.3">
      <c r="A3569" s="1">
        <v>31126</v>
      </c>
      <c r="B3569">
        <v>278.79998799999998</v>
      </c>
      <c r="C3569">
        <f t="shared" si="127"/>
        <v>-3.5857297293454796E-4</v>
      </c>
      <c r="D3569">
        <f t="shared" si="126"/>
        <v>-6.5862315283945191E-2</v>
      </c>
    </row>
    <row r="3570" spans="1:4" x14ac:dyDescent="0.3">
      <c r="A3570" s="1">
        <v>31127</v>
      </c>
      <c r="B3570">
        <v>279</v>
      </c>
      <c r="C3570">
        <f t="shared" si="127"/>
        <v>7.1740318726274549E-4</v>
      </c>
      <c r="D3570">
        <f t="shared" si="126"/>
        <v>2.0211353091430476E-2</v>
      </c>
    </row>
    <row r="3571" spans="1:4" x14ac:dyDescent="0.3">
      <c r="A3571" s="1">
        <v>31128</v>
      </c>
      <c r="B3571">
        <v>278.89999399999999</v>
      </c>
      <c r="C3571">
        <f t="shared" si="127"/>
        <v>-3.5844444444447165E-4</v>
      </c>
      <c r="D3571">
        <f t="shared" si="126"/>
        <v>-6.5852033533251406E-2</v>
      </c>
    </row>
    <row r="3572" spans="1:4" x14ac:dyDescent="0.3">
      <c r="A3572" s="1">
        <v>31131</v>
      </c>
      <c r="B3572">
        <v>276.29998799999998</v>
      </c>
      <c r="C3572">
        <f t="shared" si="127"/>
        <v>-9.3223594691077966E-3</v>
      </c>
      <c r="D3572">
        <f t="shared" si="126"/>
        <v>-0.78292837566748974</v>
      </c>
    </row>
    <row r="3573" spans="1:4" x14ac:dyDescent="0.3">
      <c r="A3573" s="1">
        <v>31132</v>
      </c>
      <c r="B3573">
        <v>276.20001200000002</v>
      </c>
      <c r="C3573">
        <f t="shared" si="127"/>
        <v>-3.6183859696718355E-4</v>
      </c>
      <c r="D3573">
        <f t="shared" si="126"/>
        <v>-6.6123551778229775E-2</v>
      </c>
    </row>
    <row r="3574" spans="1:4" x14ac:dyDescent="0.3">
      <c r="A3574" s="1">
        <v>31133</v>
      </c>
      <c r="B3574">
        <v>277.60000600000001</v>
      </c>
      <c r="C3574">
        <f t="shared" si="127"/>
        <v>5.0687687877435444E-3</v>
      </c>
      <c r="D3574">
        <f t="shared" si="126"/>
        <v>0.36830270820763078</v>
      </c>
    </row>
    <row r="3575" spans="1:4" x14ac:dyDescent="0.3">
      <c r="A3575" s="1">
        <v>31134</v>
      </c>
      <c r="B3575">
        <v>278.20001200000002</v>
      </c>
      <c r="C3575">
        <f t="shared" si="127"/>
        <v>2.1614048524192307E-3</v>
      </c>
      <c r="D3575">
        <f t="shared" si="126"/>
        <v>0.13572554853362259</v>
      </c>
    </row>
    <row r="3576" spans="1:4" x14ac:dyDescent="0.3">
      <c r="A3576" s="1">
        <v>31135</v>
      </c>
      <c r="B3576">
        <v>279.20001200000002</v>
      </c>
      <c r="C3576">
        <f t="shared" si="127"/>
        <v>3.5945361497683901E-3</v>
      </c>
      <c r="D3576">
        <f t="shared" si="126"/>
        <v>0.25037015925044814</v>
      </c>
    </row>
    <row r="3577" spans="1:4" x14ac:dyDescent="0.3">
      <c r="A3577" s="1">
        <v>31138</v>
      </c>
      <c r="B3577">
        <v>280.29998799999998</v>
      </c>
      <c r="C3577">
        <f t="shared" si="127"/>
        <v>3.9397419510138476E-3</v>
      </c>
      <c r="D3577">
        <f t="shared" si="126"/>
        <v>0.2779852038553482</v>
      </c>
    </row>
    <row r="3578" spans="1:4" x14ac:dyDescent="0.3">
      <c r="A3578" s="1">
        <v>31139</v>
      </c>
      <c r="B3578">
        <v>279.70001200000002</v>
      </c>
      <c r="C3578">
        <f t="shared" si="127"/>
        <v>-2.1404781508587494E-3</v>
      </c>
      <c r="D3578">
        <f t="shared" si="126"/>
        <v>-0.20840740228000773</v>
      </c>
    </row>
    <row r="3579" spans="1:4" x14ac:dyDescent="0.3">
      <c r="A3579" s="1">
        <v>31140</v>
      </c>
      <c r="B3579">
        <v>277.89999399999999</v>
      </c>
      <c r="C3579">
        <f t="shared" si="127"/>
        <v>-6.4355306498879335E-3</v>
      </c>
      <c r="D3579">
        <f t="shared" si="126"/>
        <v>-0.55199394084093567</v>
      </c>
    </row>
    <row r="3580" spans="1:4" x14ac:dyDescent="0.3">
      <c r="A3580" s="1">
        <v>31141</v>
      </c>
      <c r="B3580">
        <v>277.39999399999999</v>
      </c>
      <c r="C3580">
        <f t="shared" si="127"/>
        <v>-1.7992083871725454E-3</v>
      </c>
      <c r="D3580">
        <f t="shared" si="126"/>
        <v>-0.1811072244947648</v>
      </c>
    </row>
    <row r="3581" spans="1:4" x14ac:dyDescent="0.3">
      <c r="A3581" s="1">
        <v>31145</v>
      </c>
      <c r="B3581">
        <v>276.5</v>
      </c>
      <c r="C3581">
        <f t="shared" si="127"/>
        <v>-3.2443908416234226E-3</v>
      </c>
      <c r="D3581">
        <f t="shared" si="126"/>
        <v>-0.29671587822507367</v>
      </c>
    </row>
    <row r="3582" spans="1:4" x14ac:dyDescent="0.3">
      <c r="A3582" s="1">
        <v>31146</v>
      </c>
      <c r="B3582">
        <v>276.60000600000001</v>
      </c>
      <c r="C3582">
        <f t="shared" si="127"/>
        <v>3.6168535262208891E-4</v>
      </c>
      <c r="D3582">
        <f t="shared" si="126"/>
        <v>-8.2446109593459112E-3</v>
      </c>
    </row>
    <row r="3583" spans="1:4" x14ac:dyDescent="0.3">
      <c r="A3583" s="1">
        <v>31147</v>
      </c>
      <c r="B3583">
        <v>278.79998799999998</v>
      </c>
      <c r="C3583">
        <f t="shared" si="127"/>
        <v>7.9536585404122416E-3</v>
      </c>
      <c r="D3583">
        <f t="shared" si="126"/>
        <v>0.59908202568358093</v>
      </c>
    </row>
    <row r="3584" spans="1:4" x14ac:dyDescent="0.3">
      <c r="A3584" s="1">
        <v>31148</v>
      </c>
      <c r="B3584">
        <v>280.10000600000001</v>
      </c>
      <c r="C3584">
        <f t="shared" si="127"/>
        <v>4.662905509163877E-3</v>
      </c>
      <c r="D3584">
        <f t="shared" si="126"/>
        <v>0.33583531484103107</v>
      </c>
    </row>
    <row r="3585" spans="1:4" x14ac:dyDescent="0.3">
      <c r="A3585" s="1">
        <v>31149</v>
      </c>
      <c r="B3585">
        <v>280.60000600000001</v>
      </c>
      <c r="C3585">
        <f t="shared" si="127"/>
        <v>1.7850767200626194E-3</v>
      </c>
      <c r="D3585">
        <f t="shared" si="126"/>
        <v>0.10562084541562045</v>
      </c>
    </row>
    <row r="3586" spans="1:4" x14ac:dyDescent="0.3">
      <c r="A3586" s="1">
        <v>31152</v>
      </c>
      <c r="B3586">
        <v>281.10000600000001</v>
      </c>
      <c r="C3586">
        <f t="shared" si="127"/>
        <v>1.7818958991754261E-3</v>
      </c>
      <c r="D3586">
        <f t="shared" si="126"/>
        <v>0.10536639282425862</v>
      </c>
    </row>
    <row r="3587" spans="1:4" x14ac:dyDescent="0.3">
      <c r="A3587" s="1">
        <v>31153</v>
      </c>
      <c r="B3587">
        <v>282.29998799999998</v>
      </c>
      <c r="C3587">
        <f t="shared" si="127"/>
        <v>4.268879311229816E-3</v>
      </c>
      <c r="D3587">
        <f t="shared" ref="D3587:D3650" si="128">(C3587-avrtn)/sdrtn</f>
        <v>0.30431483925171343</v>
      </c>
    </row>
    <row r="3588" spans="1:4" x14ac:dyDescent="0.3">
      <c r="A3588" s="1">
        <v>31154</v>
      </c>
      <c r="B3588">
        <v>283.29998799999998</v>
      </c>
      <c r="C3588">
        <f t="shared" ref="C3588:C3651" si="129">(B3588-B3587)/B3587</f>
        <v>3.5423310042790369E-3</v>
      </c>
      <c r="D3588">
        <f t="shared" si="128"/>
        <v>0.24619396228014084</v>
      </c>
    </row>
    <row r="3589" spans="1:4" x14ac:dyDescent="0.3">
      <c r="A3589" s="1">
        <v>31155</v>
      </c>
      <c r="B3589">
        <v>283.10000600000001</v>
      </c>
      <c r="C3589">
        <f t="shared" si="129"/>
        <v>-7.0590190070878944E-4</v>
      </c>
      <c r="D3589">
        <f t="shared" si="128"/>
        <v>-9.3647201280799536E-2</v>
      </c>
    </row>
    <row r="3590" spans="1:4" x14ac:dyDescent="0.3">
      <c r="A3590" s="1">
        <v>31156</v>
      </c>
      <c r="B3590">
        <v>282.79998799999998</v>
      </c>
      <c r="C3590">
        <f t="shared" si="129"/>
        <v>-1.0597597797296506E-3</v>
      </c>
      <c r="D3590">
        <f t="shared" si="128"/>
        <v>-0.12195437653017548</v>
      </c>
    </row>
    <row r="3591" spans="1:4" x14ac:dyDescent="0.3">
      <c r="A3591" s="1">
        <v>31159</v>
      </c>
      <c r="B3591">
        <v>281.79998799999998</v>
      </c>
      <c r="C3591">
        <f t="shared" si="129"/>
        <v>-3.5360680425488562E-3</v>
      </c>
      <c r="D3591">
        <f t="shared" si="128"/>
        <v>-0.3200488549152915</v>
      </c>
    </row>
    <row r="3592" spans="1:4" x14ac:dyDescent="0.3">
      <c r="A3592" s="1">
        <v>31160</v>
      </c>
      <c r="B3592">
        <v>282.60000600000001</v>
      </c>
      <c r="C3592">
        <f t="shared" si="129"/>
        <v>2.838956827776809E-3</v>
      </c>
      <c r="D3592">
        <f t="shared" si="128"/>
        <v>0.18992692045185852</v>
      </c>
    </row>
    <row r="3593" spans="1:4" x14ac:dyDescent="0.3">
      <c r="A3593" s="1">
        <v>31161</v>
      </c>
      <c r="B3593">
        <v>283.10000600000001</v>
      </c>
      <c r="C3593">
        <f t="shared" si="129"/>
        <v>1.7692851712112136E-3</v>
      </c>
      <c r="D3593">
        <f t="shared" si="128"/>
        <v>0.10435758644274486</v>
      </c>
    </row>
    <row r="3594" spans="1:4" x14ac:dyDescent="0.3">
      <c r="A3594" s="1">
        <v>31162</v>
      </c>
      <c r="B3594">
        <v>284</v>
      </c>
      <c r="C3594">
        <f t="shared" si="129"/>
        <v>3.1790673999490923E-3</v>
      </c>
      <c r="D3594">
        <f t="shared" si="128"/>
        <v>0.21713436768261177</v>
      </c>
    </row>
    <row r="3595" spans="1:4" x14ac:dyDescent="0.3">
      <c r="A3595" s="1">
        <v>31163</v>
      </c>
      <c r="B3595">
        <v>284.10000600000001</v>
      </c>
      <c r="C3595">
        <f t="shared" si="129"/>
        <v>3.5213380281692814E-4</v>
      </c>
      <c r="D3595">
        <f t="shared" si="128"/>
        <v>-9.0086956675512891E-3</v>
      </c>
    </row>
    <row r="3596" spans="1:4" x14ac:dyDescent="0.3">
      <c r="A3596" s="1">
        <v>31166</v>
      </c>
      <c r="B3596">
        <v>282.10000600000001</v>
      </c>
      <c r="C3596">
        <f t="shared" si="129"/>
        <v>-7.0397745785334472E-3</v>
      </c>
      <c r="D3596">
        <f t="shared" si="128"/>
        <v>-0.6003309704666957</v>
      </c>
    </row>
    <row r="3597" spans="1:4" x14ac:dyDescent="0.3">
      <c r="A3597" s="1">
        <v>31167</v>
      </c>
      <c r="B3597">
        <v>280.60000600000001</v>
      </c>
      <c r="C3597">
        <f t="shared" si="129"/>
        <v>-5.3172632686863536E-3</v>
      </c>
      <c r="D3597">
        <f t="shared" si="128"/>
        <v>-0.46253714868775697</v>
      </c>
    </row>
    <row r="3598" spans="1:4" x14ac:dyDescent="0.3">
      <c r="A3598" s="1">
        <v>31168</v>
      </c>
      <c r="B3598">
        <v>279.60000600000001</v>
      </c>
      <c r="C3598">
        <f t="shared" si="129"/>
        <v>-3.5637917983508522E-3</v>
      </c>
      <c r="D3598">
        <f t="shared" si="128"/>
        <v>-0.32226664137868616</v>
      </c>
    </row>
    <row r="3599" spans="1:4" x14ac:dyDescent="0.3">
      <c r="A3599" s="1">
        <v>31169</v>
      </c>
      <c r="B3599">
        <v>279</v>
      </c>
      <c r="C3599">
        <f t="shared" si="129"/>
        <v>-2.1459441599583069E-3</v>
      </c>
      <c r="D3599">
        <f t="shared" si="128"/>
        <v>-0.20884466053160861</v>
      </c>
    </row>
    <row r="3600" spans="1:4" x14ac:dyDescent="0.3">
      <c r="A3600" s="1">
        <v>31170</v>
      </c>
      <c r="B3600">
        <v>280.29998799999998</v>
      </c>
      <c r="C3600">
        <f t="shared" si="129"/>
        <v>4.6594551971325619E-3</v>
      </c>
      <c r="D3600">
        <f t="shared" si="128"/>
        <v>0.33555930406629375</v>
      </c>
    </row>
    <row r="3601" spans="1:4" x14ac:dyDescent="0.3">
      <c r="A3601" s="1">
        <v>31173</v>
      </c>
      <c r="B3601">
        <v>279.89999399999999</v>
      </c>
      <c r="C3601">
        <f t="shared" si="129"/>
        <v>-1.4270211099687684E-3</v>
      </c>
      <c r="D3601">
        <f t="shared" si="128"/>
        <v>-0.15133377276169124</v>
      </c>
    </row>
    <row r="3602" spans="1:4" x14ac:dyDescent="0.3">
      <c r="A3602" s="1">
        <v>31174</v>
      </c>
      <c r="B3602">
        <v>280.89999399999999</v>
      </c>
      <c r="C3602">
        <f t="shared" si="129"/>
        <v>3.5727046139200705E-3</v>
      </c>
      <c r="D3602">
        <f t="shared" si="128"/>
        <v>0.2486237261543944</v>
      </c>
    </row>
    <row r="3603" spans="1:4" x14ac:dyDescent="0.3">
      <c r="A3603" s="1">
        <v>31175</v>
      </c>
      <c r="B3603">
        <v>281.10000600000001</v>
      </c>
      <c r="C3603">
        <f t="shared" si="129"/>
        <v>7.1203988704967788E-4</v>
      </c>
      <c r="D3603">
        <f t="shared" si="128"/>
        <v>1.978231112840732E-2</v>
      </c>
    </row>
    <row r="3604" spans="1:4" x14ac:dyDescent="0.3">
      <c r="A3604" s="1">
        <v>31176</v>
      </c>
      <c r="B3604">
        <v>283.29998799999998</v>
      </c>
      <c r="C3604">
        <f t="shared" si="129"/>
        <v>7.8263320990465471E-3</v>
      </c>
      <c r="D3604">
        <f t="shared" si="128"/>
        <v>0.58889643394378066</v>
      </c>
    </row>
    <row r="3605" spans="1:4" x14ac:dyDescent="0.3">
      <c r="A3605" s="1">
        <v>31177</v>
      </c>
      <c r="B3605">
        <v>287.5</v>
      </c>
      <c r="C3605">
        <f t="shared" si="129"/>
        <v>1.4825316547489637E-2</v>
      </c>
      <c r="D3605">
        <f t="shared" si="128"/>
        <v>1.1487864098232088</v>
      </c>
    </row>
    <row r="3606" spans="1:4" x14ac:dyDescent="0.3">
      <c r="A3606" s="1">
        <v>31180</v>
      </c>
      <c r="B3606">
        <v>288.10000600000001</v>
      </c>
      <c r="C3606">
        <f t="shared" si="129"/>
        <v>2.0869773913043742E-3</v>
      </c>
      <c r="D3606">
        <f t="shared" si="128"/>
        <v>0.12977165769198287</v>
      </c>
    </row>
    <row r="3607" spans="1:4" x14ac:dyDescent="0.3">
      <c r="A3607" s="1">
        <v>31181</v>
      </c>
      <c r="B3607">
        <v>287.70001200000002</v>
      </c>
      <c r="C3607">
        <f t="shared" si="129"/>
        <v>-1.3883859481765939E-3</v>
      </c>
      <c r="D3607">
        <f t="shared" si="128"/>
        <v>-0.14824311868705184</v>
      </c>
    </row>
    <row r="3608" spans="1:4" x14ac:dyDescent="0.3">
      <c r="A3608" s="1">
        <v>31182</v>
      </c>
      <c r="B3608">
        <v>288.5</v>
      </c>
      <c r="C3608">
        <f t="shared" si="129"/>
        <v>2.7806324874257732E-3</v>
      </c>
      <c r="D3608">
        <f t="shared" si="128"/>
        <v>0.18526121305489621</v>
      </c>
    </row>
    <row r="3609" spans="1:4" x14ac:dyDescent="0.3">
      <c r="A3609" s="1">
        <v>31183</v>
      </c>
      <c r="B3609">
        <v>289.79998799999998</v>
      </c>
      <c r="C3609">
        <f t="shared" si="129"/>
        <v>4.5060242634314901E-3</v>
      </c>
      <c r="D3609">
        <f t="shared" si="128"/>
        <v>0.32328546028197719</v>
      </c>
    </row>
    <row r="3610" spans="1:4" x14ac:dyDescent="0.3">
      <c r="A3610" s="1">
        <v>31184</v>
      </c>
      <c r="B3610">
        <v>291.70001200000002</v>
      </c>
      <c r="C3610">
        <f t="shared" si="129"/>
        <v>6.5563287738991567E-3</v>
      </c>
      <c r="D3610">
        <f t="shared" si="128"/>
        <v>0.48730139021686686</v>
      </c>
    </row>
    <row r="3611" spans="1:4" x14ac:dyDescent="0.3">
      <c r="A3611" s="1">
        <v>31187</v>
      </c>
      <c r="B3611">
        <v>294.5</v>
      </c>
      <c r="C3611">
        <f t="shared" si="129"/>
        <v>9.5988614494811365E-3</v>
      </c>
      <c r="D3611">
        <f t="shared" si="128"/>
        <v>0.73069149329430738</v>
      </c>
    </row>
    <row r="3612" spans="1:4" x14ac:dyDescent="0.3">
      <c r="A3612" s="1">
        <v>31188</v>
      </c>
      <c r="B3612">
        <v>293.89999399999999</v>
      </c>
      <c r="C3612">
        <f t="shared" si="129"/>
        <v>-2.0373718166383959E-3</v>
      </c>
      <c r="D3612">
        <f t="shared" si="128"/>
        <v>-0.2001593195181591</v>
      </c>
    </row>
    <row r="3613" spans="1:4" x14ac:dyDescent="0.3">
      <c r="A3613" s="1">
        <v>31189</v>
      </c>
      <c r="B3613">
        <v>293</v>
      </c>
      <c r="C3613">
        <f t="shared" si="129"/>
        <v>-3.0622457243057732E-3</v>
      </c>
      <c r="D3613">
        <f t="shared" si="128"/>
        <v>-0.28214501782485951</v>
      </c>
    </row>
    <row r="3614" spans="1:4" x14ac:dyDescent="0.3">
      <c r="A3614" s="1">
        <v>31190</v>
      </c>
      <c r="B3614">
        <v>292.20001200000002</v>
      </c>
      <c r="C3614">
        <f t="shared" si="129"/>
        <v>-2.7303344709897091E-3</v>
      </c>
      <c r="D3614">
        <f t="shared" si="128"/>
        <v>-0.25559348238680318</v>
      </c>
    </row>
    <row r="3615" spans="1:4" x14ac:dyDescent="0.3">
      <c r="A3615" s="1">
        <v>31191</v>
      </c>
      <c r="B3615">
        <v>292.10000600000001</v>
      </c>
      <c r="C3615">
        <f t="shared" si="129"/>
        <v>-3.4225186821692388E-4</v>
      </c>
      <c r="D3615">
        <f t="shared" si="128"/>
        <v>-6.4556694019318878E-2</v>
      </c>
    </row>
    <row r="3616" spans="1:4" x14ac:dyDescent="0.3">
      <c r="A3616" s="1">
        <v>31195</v>
      </c>
      <c r="B3616">
        <v>290.89999399999999</v>
      </c>
      <c r="C3616">
        <f t="shared" si="129"/>
        <v>-4.1082231268424387E-3</v>
      </c>
      <c r="D3616">
        <f t="shared" si="128"/>
        <v>-0.3658189089430135</v>
      </c>
    </row>
    <row r="3617" spans="1:4" x14ac:dyDescent="0.3">
      <c r="A3617" s="1">
        <v>31196</v>
      </c>
      <c r="B3617">
        <v>290.60000600000001</v>
      </c>
      <c r="C3617">
        <f t="shared" si="129"/>
        <v>-1.0312409975504668E-3</v>
      </c>
      <c r="D3617">
        <f t="shared" si="128"/>
        <v>-0.11967299122577381</v>
      </c>
    </row>
    <row r="3618" spans="1:4" x14ac:dyDescent="0.3">
      <c r="A3618" s="1">
        <v>31197</v>
      </c>
      <c r="B3618">
        <v>289.89999399999999</v>
      </c>
      <c r="C3618">
        <f t="shared" si="129"/>
        <v>-2.4088506040843482E-3</v>
      </c>
      <c r="D3618">
        <f t="shared" si="128"/>
        <v>-0.22987609498393397</v>
      </c>
    </row>
    <row r="3619" spans="1:4" x14ac:dyDescent="0.3">
      <c r="A3619" s="1">
        <v>31198</v>
      </c>
      <c r="B3619">
        <v>290.79998799999998</v>
      </c>
      <c r="C3619">
        <f t="shared" si="129"/>
        <v>3.1044981670471936E-3</v>
      </c>
      <c r="D3619">
        <f t="shared" si="128"/>
        <v>0.21116913568097775</v>
      </c>
    </row>
    <row r="3620" spans="1:4" x14ac:dyDescent="0.3">
      <c r="A3620" s="1">
        <v>31201</v>
      </c>
      <c r="B3620">
        <v>290.60000600000001</v>
      </c>
      <c r="C3620">
        <f t="shared" si="129"/>
        <v>-6.8769603938215174E-4</v>
      </c>
      <c r="D3620">
        <f t="shared" si="128"/>
        <v>-9.219080723761762E-2</v>
      </c>
    </row>
    <row r="3621" spans="1:4" x14ac:dyDescent="0.3">
      <c r="A3621" s="1">
        <v>31202</v>
      </c>
      <c r="B3621">
        <v>291</v>
      </c>
      <c r="C3621">
        <f t="shared" si="129"/>
        <v>1.3764418160404043E-3</v>
      </c>
      <c r="D3621">
        <f t="shared" si="128"/>
        <v>7.2931733410608865E-2</v>
      </c>
    </row>
    <row r="3622" spans="1:4" x14ac:dyDescent="0.3">
      <c r="A3622" s="1">
        <v>31203</v>
      </c>
      <c r="B3622">
        <v>291.79998799999998</v>
      </c>
      <c r="C3622">
        <f t="shared" si="129"/>
        <v>2.7490996563573362E-3</v>
      </c>
      <c r="D3622">
        <f t="shared" si="128"/>
        <v>0.18273871623319737</v>
      </c>
    </row>
    <row r="3623" spans="1:4" x14ac:dyDescent="0.3">
      <c r="A3623" s="1">
        <v>31204</v>
      </c>
      <c r="B3623">
        <v>291.89999399999999</v>
      </c>
      <c r="C3623">
        <f t="shared" si="129"/>
        <v>3.4272105590356497E-4</v>
      </c>
      <c r="D3623">
        <f t="shared" si="128"/>
        <v>-9.7616767151737609E-3</v>
      </c>
    </row>
    <row r="3624" spans="1:4" x14ac:dyDescent="0.3">
      <c r="A3624" s="1">
        <v>31205</v>
      </c>
      <c r="B3624">
        <v>291</v>
      </c>
      <c r="C3624">
        <f t="shared" si="129"/>
        <v>-3.0832271959553123E-3</v>
      </c>
      <c r="D3624">
        <f t="shared" si="128"/>
        <v>-0.28382344928049569</v>
      </c>
    </row>
    <row r="3625" spans="1:4" x14ac:dyDescent="0.3">
      <c r="A3625" s="1">
        <v>31208</v>
      </c>
      <c r="B3625">
        <v>290.70001200000002</v>
      </c>
      <c r="C3625">
        <f t="shared" si="129"/>
        <v>-1.0308865979380922E-3</v>
      </c>
      <c r="D3625">
        <f t="shared" si="128"/>
        <v>-0.11964464071408376</v>
      </c>
    </row>
    <row r="3626" spans="1:4" x14ac:dyDescent="0.3">
      <c r="A3626" s="1">
        <v>31209</v>
      </c>
      <c r="B3626">
        <v>290.5</v>
      </c>
      <c r="C3626">
        <f t="shared" si="129"/>
        <v>-6.8803574731195801E-4</v>
      </c>
      <c r="D3626">
        <f t="shared" si="128"/>
        <v>-9.2217982475114757E-2</v>
      </c>
    </row>
    <row r="3627" spans="1:4" x14ac:dyDescent="0.3">
      <c r="A3627" s="1">
        <v>31210</v>
      </c>
      <c r="B3627">
        <v>289.70001200000002</v>
      </c>
      <c r="C3627">
        <f t="shared" si="129"/>
        <v>-2.7538313253011528E-3</v>
      </c>
      <c r="D3627">
        <f t="shared" si="128"/>
        <v>-0.2574731341120764</v>
      </c>
    </row>
    <row r="3628" spans="1:4" x14ac:dyDescent="0.3">
      <c r="A3628" s="1">
        <v>31211</v>
      </c>
      <c r="B3628">
        <v>286.89999399999999</v>
      </c>
      <c r="C3628">
        <f t="shared" si="129"/>
        <v>-9.6652325993000741E-3</v>
      </c>
      <c r="D3628">
        <f t="shared" si="128"/>
        <v>-0.81035681618013611</v>
      </c>
    </row>
    <row r="3629" spans="1:4" x14ac:dyDescent="0.3">
      <c r="A3629" s="1">
        <v>31212</v>
      </c>
      <c r="B3629">
        <v>288</v>
      </c>
      <c r="C3629">
        <f t="shared" si="129"/>
        <v>3.8341095259834951E-3</v>
      </c>
      <c r="D3629">
        <f t="shared" si="128"/>
        <v>0.26953504421604713</v>
      </c>
    </row>
    <row r="3630" spans="1:4" x14ac:dyDescent="0.3">
      <c r="A3630" s="1">
        <v>31215</v>
      </c>
      <c r="B3630">
        <v>287.39999399999999</v>
      </c>
      <c r="C3630">
        <f t="shared" si="129"/>
        <v>-2.083354166666693E-3</v>
      </c>
      <c r="D3630">
        <f t="shared" si="128"/>
        <v>-0.20383771843986975</v>
      </c>
    </row>
    <row r="3631" spans="1:4" x14ac:dyDescent="0.3">
      <c r="A3631" s="1">
        <v>31216</v>
      </c>
      <c r="B3631">
        <v>287.89999399999999</v>
      </c>
      <c r="C3631">
        <f t="shared" si="129"/>
        <v>1.7397355965150091E-3</v>
      </c>
      <c r="D3631">
        <f t="shared" si="128"/>
        <v>0.10199374197562569</v>
      </c>
    </row>
    <row r="3632" spans="1:4" x14ac:dyDescent="0.3">
      <c r="A3632" s="1">
        <v>31217</v>
      </c>
      <c r="B3632">
        <v>288.20001200000002</v>
      </c>
      <c r="C3632">
        <f t="shared" si="129"/>
        <v>1.0420910255386209E-3</v>
      </c>
      <c r="D3632">
        <f t="shared" si="128"/>
        <v>4.6185045029131837E-2</v>
      </c>
    </row>
    <row r="3633" spans="1:4" x14ac:dyDescent="0.3">
      <c r="A3633" s="1">
        <v>31218</v>
      </c>
      <c r="B3633">
        <v>287.39999399999999</v>
      </c>
      <c r="C3633">
        <f t="shared" si="129"/>
        <v>-2.7759124451390473E-3</v>
      </c>
      <c r="D3633">
        <f t="shared" si="128"/>
        <v>-0.25923953290100066</v>
      </c>
    </row>
    <row r="3634" spans="1:4" x14ac:dyDescent="0.3">
      <c r="A3634" s="1">
        <v>31219</v>
      </c>
      <c r="B3634">
        <v>288.70001200000002</v>
      </c>
      <c r="C3634">
        <f t="shared" si="129"/>
        <v>4.523375181420577E-3</v>
      </c>
      <c r="D3634">
        <f t="shared" si="128"/>
        <v>0.32467346237370309</v>
      </c>
    </row>
    <row r="3635" spans="1:4" x14ac:dyDescent="0.3">
      <c r="A3635" s="1">
        <v>31222</v>
      </c>
      <c r="B3635">
        <v>290</v>
      </c>
      <c r="C3635">
        <f t="shared" si="129"/>
        <v>4.5029024799624348E-3</v>
      </c>
      <c r="D3635">
        <f t="shared" si="128"/>
        <v>0.32303573044130313</v>
      </c>
    </row>
    <row r="3636" spans="1:4" x14ac:dyDescent="0.3">
      <c r="A3636" s="1">
        <v>31223</v>
      </c>
      <c r="B3636">
        <v>292.29998799999998</v>
      </c>
      <c r="C3636">
        <f t="shared" si="129"/>
        <v>7.930993103448223E-3</v>
      </c>
      <c r="D3636">
        <f t="shared" si="128"/>
        <v>0.59726888392729316</v>
      </c>
    </row>
    <row r="3637" spans="1:4" x14ac:dyDescent="0.3">
      <c r="A3637" s="1">
        <v>31224</v>
      </c>
      <c r="B3637">
        <v>293.39999399999999</v>
      </c>
      <c r="C3637">
        <f t="shared" si="129"/>
        <v>3.7632776091664007E-3</v>
      </c>
      <c r="D3637">
        <f t="shared" si="128"/>
        <v>0.26386878213326193</v>
      </c>
    </row>
    <row r="3638" spans="1:4" x14ac:dyDescent="0.3">
      <c r="A3638" s="1">
        <v>31225</v>
      </c>
      <c r="B3638">
        <v>295.29998799999998</v>
      </c>
      <c r="C3638">
        <f t="shared" si="129"/>
        <v>6.475780636859837E-3</v>
      </c>
      <c r="D3638">
        <f t="shared" si="128"/>
        <v>0.4808578704696399</v>
      </c>
    </row>
    <row r="3639" spans="1:4" x14ac:dyDescent="0.3">
      <c r="A3639" s="1">
        <v>31226</v>
      </c>
      <c r="B3639">
        <v>296.20001200000002</v>
      </c>
      <c r="C3639">
        <f t="shared" si="129"/>
        <v>3.0478294499626949E-3</v>
      </c>
      <c r="D3639">
        <f t="shared" si="128"/>
        <v>0.20663587133737488</v>
      </c>
    </row>
    <row r="3640" spans="1:4" x14ac:dyDescent="0.3">
      <c r="A3640" s="1">
        <v>31229</v>
      </c>
      <c r="B3640">
        <v>296.5</v>
      </c>
      <c r="C3640">
        <f t="shared" si="129"/>
        <v>1.0127886152819766E-3</v>
      </c>
      <c r="D3640">
        <f t="shared" si="128"/>
        <v>4.3840972700831232E-2</v>
      </c>
    </row>
    <row r="3641" spans="1:4" x14ac:dyDescent="0.3">
      <c r="A3641" s="1">
        <v>31230</v>
      </c>
      <c r="B3641">
        <v>296.89999399999999</v>
      </c>
      <c r="C3641">
        <f t="shared" si="129"/>
        <v>1.3490522765598396E-3</v>
      </c>
      <c r="D3641">
        <f t="shared" si="128"/>
        <v>7.0740682878622993E-2</v>
      </c>
    </row>
    <row r="3642" spans="1:4" x14ac:dyDescent="0.3">
      <c r="A3642" s="1">
        <v>31231</v>
      </c>
      <c r="B3642">
        <v>297.29998799999998</v>
      </c>
      <c r="C3642">
        <f t="shared" si="129"/>
        <v>1.3472347864041804E-3</v>
      </c>
      <c r="D3642">
        <f t="shared" si="128"/>
        <v>7.0595291139734437E-2</v>
      </c>
    </row>
    <row r="3643" spans="1:4" x14ac:dyDescent="0.3">
      <c r="A3643" s="1">
        <v>31233</v>
      </c>
      <c r="B3643">
        <v>298.60000600000001</v>
      </c>
      <c r="C3643">
        <f t="shared" si="129"/>
        <v>4.372748242425166E-3</v>
      </c>
      <c r="D3643">
        <f t="shared" si="128"/>
        <v>0.31262392663574429</v>
      </c>
    </row>
    <row r="3644" spans="1:4" x14ac:dyDescent="0.3">
      <c r="A3644" s="1">
        <v>31236</v>
      </c>
      <c r="B3644">
        <v>297.79998799999998</v>
      </c>
      <c r="C3644">
        <f t="shared" si="129"/>
        <v>-2.6792296849452264E-3</v>
      </c>
      <c r="D3644">
        <f t="shared" si="128"/>
        <v>-0.25150530964738044</v>
      </c>
    </row>
    <row r="3645" spans="1:4" x14ac:dyDescent="0.3">
      <c r="A3645" s="1">
        <v>31237</v>
      </c>
      <c r="B3645">
        <v>297.20001200000002</v>
      </c>
      <c r="C3645">
        <f t="shared" si="129"/>
        <v>-2.0146945069721414E-3</v>
      </c>
      <c r="D3645">
        <f t="shared" si="128"/>
        <v>-0.19834522799451329</v>
      </c>
    </row>
    <row r="3646" spans="1:4" x14ac:dyDescent="0.3">
      <c r="A3646" s="1">
        <v>31238</v>
      </c>
      <c r="B3646">
        <v>298.5</v>
      </c>
      <c r="C3646">
        <f t="shared" si="129"/>
        <v>4.3741182621486055E-3</v>
      </c>
      <c r="D3646">
        <f t="shared" si="128"/>
        <v>0.3127335225800647</v>
      </c>
    </row>
    <row r="3647" spans="1:4" x14ac:dyDescent="0.3">
      <c r="A3647" s="1">
        <v>31239</v>
      </c>
      <c r="B3647">
        <v>300.5</v>
      </c>
      <c r="C3647">
        <f t="shared" si="129"/>
        <v>6.7001675041876048E-3</v>
      </c>
      <c r="D3647">
        <f t="shared" si="128"/>
        <v>0.49880789717154961</v>
      </c>
    </row>
    <row r="3648" spans="1:4" x14ac:dyDescent="0.3">
      <c r="A3648" s="1">
        <v>31240</v>
      </c>
      <c r="B3648">
        <v>302.39999399999999</v>
      </c>
      <c r="C3648">
        <f t="shared" si="129"/>
        <v>6.3227753743760147E-3</v>
      </c>
      <c r="D3648">
        <f t="shared" si="128"/>
        <v>0.46861807863233285</v>
      </c>
    </row>
    <row r="3649" spans="1:4" x14ac:dyDescent="0.3">
      <c r="A3649" s="1">
        <v>31243</v>
      </c>
      <c r="B3649">
        <v>303</v>
      </c>
      <c r="C3649">
        <f t="shared" si="129"/>
        <v>1.9841468647648439E-3</v>
      </c>
      <c r="D3649">
        <f t="shared" si="128"/>
        <v>0.12154563841047217</v>
      </c>
    </row>
    <row r="3650" spans="1:4" x14ac:dyDescent="0.3">
      <c r="A3650" s="1">
        <v>31244</v>
      </c>
      <c r="B3650">
        <v>305.20001200000002</v>
      </c>
      <c r="C3650">
        <f t="shared" si="129"/>
        <v>7.260765676567707E-3</v>
      </c>
      <c r="D3650">
        <f t="shared" si="128"/>
        <v>0.54365344576849883</v>
      </c>
    </row>
    <row r="3651" spans="1:4" x14ac:dyDescent="0.3">
      <c r="A3651" s="1">
        <v>31245</v>
      </c>
      <c r="B3651">
        <v>307.79998799999998</v>
      </c>
      <c r="C3651">
        <f t="shared" si="129"/>
        <v>8.5189249599373195E-3</v>
      </c>
      <c r="D3651">
        <f t="shared" ref="D3651:D3714" si="130">(C3651-avrtn)/sdrtn</f>
        <v>0.64430101485618141</v>
      </c>
    </row>
    <row r="3652" spans="1:4" x14ac:dyDescent="0.3">
      <c r="A3652" s="1">
        <v>31246</v>
      </c>
      <c r="B3652">
        <v>306.89999399999999</v>
      </c>
      <c r="C3652">
        <f t="shared" ref="C3652:C3715" si="131">(B3652-B3651)/B3651</f>
        <v>-2.9239572290041559E-3</v>
      </c>
      <c r="D3652">
        <f t="shared" si="130"/>
        <v>-0.2710825068464206</v>
      </c>
    </row>
    <row r="3653" spans="1:4" x14ac:dyDescent="0.3">
      <c r="A3653" s="1">
        <v>31247</v>
      </c>
      <c r="B3653">
        <v>307.79998799999998</v>
      </c>
      <c r="C3653">
        <f t="shared" si="131"/>
        <v>2.9325318266379386E-3</v>
      </c>
      <c r="D3653">
        <f t="shared" si="130"/>
        <v>0.19741253557805438</v>
      </c>
    </row>
    <row r="3654" spans="1:4" x14ac:dyDescent="0.3">
      <c r="A3654" s="1">
        <v>31250</v>
      </c>
      <c r="B3654">
        <v>306.79998799999998</v>
      </c>
      <c r="C3654">
        <f t="shared" si="131"/>
        <v>-3.2488630246470316E-3</v>
      </c>
      <c r="D3654">
        <f t="shared" si="130"/>
        <v>-0.29707363447723595</v>
      </c>
    </row>
    <row r="3655" spans="1:4" x14ac:dyDescent="0.3">
      <c r="A3655" s="1">
        <v>31251</v>
      </c>
      <c r="B3655">
        <v>306.20001200000002</v>
      </c>
      <c r="C3655">
        <f t="shared" si="131"/>
        <v>-1.9555932968288435E-3</v>
      </c>
      <c r="D3655">
        <f t="shared" si="130"/>
        <v>-0.19361737420867769</v>
      </c>
    </row>
    <row r="3656" spans="1:4" x14ac:dyDescent="0.3">
      <c r="A3656" s="1">
        <v>31252</v>
      </c>
      <c r="B3656">
        <v>303.70001200000002</v>
      </c>
      <c r="C3656">
        <f t="shared" si="131"/>
        <v>-8.1645979817923705E-3</v>
      </c>
      <c r="D3656">
        <f t="shared" si="130"/>
        <v>-0.69031221742593807</v>
      </c>
    </row>
    <row r="3657" spans="1:4" x14ac:dyDescent="0.3">
      <c r="A3657" s="1">
        <v>31253</v>
      </c>
      <c r="B3657">
        <v>304.39999399999999</v>
      </c>
      <c r="C3657">
        <f t="shared" si="131"/>
        <v>2.3048467973059454E-3</v>
      </c>
      <c r="D3657">
        <f t="shared" si="130"/>
        <v>0.14720031428775798</v>
      </c>
    </row>
    <row r="3658" spans="1:4" x14ac:dyDescent="0.3">
      <c r="A3658" s="1">
        <v>31254</v>
      </c>
      <c r="B3658">
        <v>304.60000600000001</v>
      </c>
      <c r="C3658">
        <f t="shared" si="131"/>
        <v>6.5706965815516799E-4</v>
      </c>
      <c r="D3658">
        <f t="shared" si="130"/>
        <v>1.5384918855778378E-2</v>
      </c>
    </row>
    <row r="3659" spans="1:4" x14ac:dyDescent="0.3">
      <c r="A3659" s="1">
        <v>31257</v>
      </c>
      <c r="B3659">
        <v>300.89999399999999</v>
      </c>
      <c r="C3659">
        <f t="shared" si="131"/>
        <v>-1.2147117291915008E-2</v>
      </c>
      <c r="D3659">
        <f t="shared" si="130"/>
        <v>-1.008897386018494</v>
      </c>
    </row>
    <row r="3660" spans="1:4" x14ac:dyDescent="0.3">
      <c r="A3660" s="1">
        <v>31258</v>
      </c>
      <c r="B3660">
        <v>300.60000600000001</v>
      </c>
      <c r="C3660">
        <f t="shared" si="131"/>
        <v>-9.9696911260152717E-4</v>
      </c>
      <c r="D3660">
        <f t="shared" si="130"/>
        <v>-0.11693138135669162</v>
      </c>
    </row>
    <row r="3661" spans="1:4" x14ac:dyDescent="0.3">
      <c r="A3661" s="1">
        <v>31259</v>
      </c>
      <c r="B3661">
        <v>301.29998799999998</v>
      </c>
      <c r="C3661">
        <f t="shared" si="131"/>
        <v>2.328616054651633E-3</v>
      </c>
      <c r="D3661">
        <f t="shared" si="130"/>
        <v>0.14910175713564278</v>
      </c>
    </row>
    <row r="3662" spans="1:4" x14ac:dyDescent="0.3">
      <c r="A3662" s="1">
        <v>31260</v>
      </c>
      <c r="B3662">
        <v>304</v>
      </c>
      <c r="C3662">
        <f t="shared" si="131"/>
        <v>8.9612084551427707E-3</v>
      </c>
      <c r="D3662">
        <f t="shared" si="130"/>
        <v>0.67968187579201811</v>
      </c>
    </row>
    <row r="3663" spans="1:4" x14ac:dyDescent="0.3">
      <c r="A3663" s="1">
        <v>31261</v>
      </c>
      <c r="B3663">
        <v>304.5</v>
      </c>
      <c r="C3663">
        <f t="shared" si="131"/>
        <v>1.6447368421052631E-3</v>
      </c>
      <c r="D3663">
        <f t="shared" si="130"/>
        <v>9.4394232260058289E-2</v>
      </c>
    </row>
    <row r="3664" spans="1:4" x14ac:dyDescent="0.3">
      <c r="A3664" s="1">
        <v>31264</v>
      </c>
      <c r="B3664">
        <v>302.10000600000001</v>
      </c>
      <c r="C3664">
        <f t="shared" si="131"/>
        <v>-7.8817536945812554E-3</v>
      </c>
      <c r="D3664">
        <f t="shared" si="130"/>
        <v>-0.6676858375117074</v>
      </c>
    </row>
    <row r="3665" spans="1:4" x14ac:dyDescent="0.3">
      <c r="A3665" s="1">
        <v>31265</v>
      </c>
      <c r="B3665">
        <v>300.20001200000002</v>
      </c>
      <c r="C3665">
        <f t="shared" si="131"/>
        <v>-6.2892881902160318E-3</v>
      </c>
      <c r="D3665">
        <f t="shared" si="130"/>
        <v>-0.54029514541977086</v>
      </c>
    </row>
    <row r="3666" spans="1:4" x14ac:dyDescent="0.3">
      <c r="A3666" s="1">
        <v>31266</v>
      </c>
      <c r="B3666">
        <v>298.20001200000002</v>
      </c>
      <c r="C3666">
        <f t="shared" si="131"/>
        <v>-6.6622249168997363E-3</v>
      </c>
      <c r="D3666">
        <f t="shared" si="130"/>
        <v>-0.57012855002948393</v>
      </c>
    </row>
    <row r="3667" spans="1:4" x14ac:dyDescent="0.3">
      <c r="A3667" s="1">
        <v>31267</v>
      </c>
      <c r="B3667">
        <v>298.70001200000002</v>
      </c>
      <c r="C3667">
        <f t="shared" si="131"/>
        <v>1.6767269613657829E-3</v>
      </c>
      <c r="D3667">
        <f t="shared" si="130"/>
        <v>9.6953310256743475E-2</v>
      </c>
    </row>
    <row r="3668" spans="1:4" x14ac:dyDescent="0.3">
      <c r="A3668" s="1">
        <v>31268</v>
      </c>
      <c r="B3668">
        <v>299.10000600000001</v>
      </c>
      <c r="C3668">
        <f t="shared" si="131"/>
        <v>1.3391161162725109E-3</v>
      </c>
      <c r="D3668">
        <f t="shared" si="130"/>
        <v>6.9945830913371948E-2</v>
      </c>
    </row>
    <row r="3669" spans="1:4" x14ac:dyDescent="0.3">
      <c r="A3669" s="1">
        <v>31271</v>
      </c>
      <c r="B3669">
        <v>298.29998799999998</v>
      </c>
      <c r="C3669">
        <f t="shared" si="131"/>
        <v>-2.6747508657690325E-3</v>
      </c>
      <c r="D3669">
        <f t="shared" si="130"/>
        <v>-0.25114702253029941</v>
      </c>
    </row>
    <row r="3670" spans="1:4" x14ac:dyDescent="0.3">
      <c r="A3670" s="1">
        <v>31272</v>
      </c>
      <c r="B3670">
        <v>297</v>
      </c>
      <c r="C3670">
        <f t="shared" si="131"/>
        <v>-4.3579887773913849E-3</v>
      </c>
      <c r="D3670">
        <f t="shared" si="130"/>
        <v>-0.38579913394443732</v>
      </c>
    </row>
    <row r="3671" spans="1:4" x14ac:dyDescent="0.3">
      <c r="A3671" s="1">
        <v>31273</v>
      </c>
      <c r="B3671">
        <v>297.60000600000001</v>
      </c>
      <c r="C3671">
        <f t="shared" si="131"/>
        <v>2.0202222222222479E-3</v>
      </c>
      <c r="D3671">
        <f t="shared" si="130"/>
        <v>0.12443151866430824</v>
      </c>
    </row>
    <row r="3672" spans="1:4" x14ac:dyDescent="0.3">
      <c r="A3672" s="1">
        <v>31274</v>
      </c>
      <c r="B3672">
        <v>297.60000600000001</v>
      </c>
      <c r="C3672">
        <f t="shared" si="131"/>
        <v>0</v>
      </c>
      <c r="D3672">
        <f t="shared" si="130"/>
        <v>-3.7177951910056316E-2</v>
      </c>
    </row>
    <row r="3673" spans="1:4" x14ac:dyDescent="0.3">
      <c r="A3673" s="1">
        <v>31275</v>
      </c>
      <c r="B3673">
        <v>296.5</v>
      </c>
      <c r="C3673">
        <f t="shared" si="131"/>
        <v>-3.6962566459088297E-3</v>
      </c>
      <c r="D3673">
        <f t="shared" si="130"/>
        <v>-0.3328632844846165</v>
      </c>
    </row>
    <row r="3674" spans="1:4" x14ac:dyDescent="0.3">
      <c r="A3674" s="1">
        <v>31278</v>
      </c>
      <c r="B3674">
        <v>295.60000600000001</v>
      </c>
      <c r="C3674">
        <f t="shared" si="131"/>
        <v>-3.035392917369283E-3</v>
      </c>
      <c r="D3674">
        <f t="shared" si="130"/>
        <v>-0.27999690368934221</v>
      </c>
    </row>
    <row r="3675" spans="1:4" x14ac:dyDescent="0.3">
      <c r="A3675" s="1">
        <v>31279</v>
      </c>
      <c r="B3675">
        <v>296.39999399999999</v>
      </c>
      <c r="C3675">
        <f t="shared" si="131"/>
        <v>2.7063192955415053E-3</v>
      </c>
      <c r="D3675">
        <f t="shared" si="130"/>
        <v>0.17931646328182571</v>
      </c>
    </row>
    <row r="3676" spans="1:4" x14ac:dyDescent="0.3">
      <c r="A3676" s="1">
        <v>31280</v>
      </c>
      <c r="B3676">
        <v>297.70001200000002</v>
      </c>
      <c r="C3676">
        <f t="shared" si="131"/>
        <v>4.3860257298116642E-3</v>
      </c>
      <c r="D3676">
        <f t="shared" si="130"/>
        <v>0.31368607102930979</v>
      </c>
    </row>
    <row r="3677" spans="1:4" x14ac:dyDescent="0.3">
      <c r="A3677" s="1">
        <v>31281</v>
      </c>
      <c r="B3677">
        <v>296.89999399999999</v>
      </c>
      <c r="C3677">
        <f t="shared" si="131"/>
        <v>-2.687329418045246E-3</v>
      </c>
      <c r="D3677">
        <f t="shared" si="130"/>
        <v>-0.25215325498908048</v>
      </c>
    </row>
    <row r="3678" spans="1:4" x14ac:dyDescent="0.3">
      <c r="A3678" s="1">
        <v>31282</v>
      </c>
      <c r="B3678">
        <v>296.70001200000002</v>
      </c>
      <c r="C3678">
        <f t="shared" si="131"/>
        <v>-6.7356687113970519E-4</v>
      </c>
      <c r="D3678">
        <f t="shared" si="130"/>
        <v>-9.1060531877708864E-2</v>
      </c>
    </row>
    <row r="3679" spans="1:4" x14ac:dyDescent="0.3">
      <c r="A3679" s="1">
        <v>31285</v>
      </c>
      <c r="B3679">
        <v>296.29998799999998</v>
      </c>
      <c r="C3679">
        <f t="shared" si="131"/>
        <v>-1.3482439629966389E-3</v>
      </c>
      <c r="D3679">
        <f t="shared" si="130"/>
        <v>-0.14503192493748479</v>
      </c>
    </row>
    <row r="3680" spans="1:4" x14ac:dyDescent="0.3">
      <c r="A3680" s="1">
        <v>31286</v>
      </c>
      <c r="B3680">
        <v>296</v>
      </c>
      <c r="C3680">
        <f t="shared" si="131"/>
        <v>-1.01244688541798E-3</v>
      </c>
      <c r="D3680">
        <f t="shared" si="130"/>
        <v>-0.11816953953702573</v>
      </c>
    </row>
    <row r="3681" spans="1:4" x14ac:dyDescent="0.3">
      <c r="A3681" s="1">
        <v>31287</v>
      </c>
      <c r="B3681">
        <v>297</v>
      </c>
      <c r="C3681">
        <f t="shared" si="131"/>
        <v>3.3783783783783786E-3</v>
      </c>
      <c r="D3681">
        <f t="shared" si="130"/>
        <v>0.23307842638531423</v>
      </c>
    </row>
    <row r="3682" spans="1:4" x14ac:dyDescent="0.3">
      <c r="A3682" s="1">
        <v>31288</v>
      </c>
      <c r="B3682">
        <v>297.29998799999998</v>
      </c>
      <c r="C3682">
        <f t="shared" si="131"/>
        <v>1.0100606060605549E-3</v>
      </c>
      <c r="D3682">
        <f t="shared" si="130"/>
        <v>4.3622743180758455E-2</v>
      </c>
    </row>
    <row r="3683" spans="1:4" x14ac:dyDescent="0.3">
      <c r="A3683" s="1">
        <v>31289</v>
      </c>
      <c r="B3683">
        <v>297.70001200000002</v>
      </c>
      <c r="C3683">
        <f t="shared" si="131"/>
        <v>1.3455230950094434E-3</v>
      </c>
      <c r="D3683">
        <f t="shared" si="130"/>
        <v>7.045836286667255E-2</v>
      </c>
    </row>
    <row r="3684" spans="1:4" x14ac:dyDescent="0.3">
      <c r="A3684" s="1">
        <v>31293</v>
      </c>
      <c r="B3684">
        <v>296.60000600000001</v>
      </c>
      <c r="C3684">
        <f t="shared" si="131"/>
        <v>-3.6950149669460123E-3</v>
      </c>
      <c r="D3684">
        <f t="shared" si="130"/>
        <v>-0.33276395527340552</v>
      </c>
    </row>
    <row r="3685" spans="1:4" x14ac:dyDescent="0.3">
      <c r="A3685" s="1">
        <v>31294</v>
      </c>
      <c r="B3685">
        <v>295.60000600000001</v>
      </c>
      <c r="C3685">
        <f t="shared" si="131"/>
        <v>-3.3715440990247317E-3</v>
      </c>
      <c r="D3685">
        <f t="shared" si="130"/>
        <v>-0.30688761595985981</v>
      </c>
    </row>
    <row r="3686" spans="1:4" x14ac:dyDescent="0.3">
      <c r="A3686" s="1">
        <v>31295</v>
      </c>
      <c r="B3686">
        <v>295.29998799999998</v>
      </c>
      <c r="C3686">
        <f t="shared" si="131"/>
        <v>-1.0149458522000934E-3</v>
      </c>
      <c r="D3686">
        <f t="shared" si="130"/>
        <v>-0.118369446603782</v>
      </c>
    </row>
    <row r="3687" spans="1:4" x14ac:dyDescent="0.3">
      <c r="A3687" s="1">
        <v>31296</v>
      </c>
      <c r="B3687">
        <v>296.20001200000002</v>
      </c>
      <c r="C3687">
        <f t="shared" si="131"/>
        <v>3.0478294499626949E-3</v>
      </c>
      <c r="D3687">
        <f t="shared" si="130"/>
        <v>0.20663587133737488</v>
      </c>
    </row>
    <row r="3688" spans="1:4" x14ac:dyDescent="0.3">
      <c r="A3688" s="1">
        <v>31299</v>
      </c>
      <c r="B3688">
        <v>296.10000600000001</v>
      </c>
      <c r="C3688">
        <f t="shared" si="131"/>
        <v>-3.376299660649831E-4</v>
      </c>
      <c r="D3688">
        <f t="shared" si="130"/>
        <v>-6.4186960852538832E-2</v>
      </c>
    </row>
    <row r="3689" spans="1:4" x14ac:dyDescent="0.3">
      <c r="A3689" s="1">
        <v>31300</v>
      </c>
      <c r="B3689">
        <v>294.5</v>
      </c>
      <c r="C3689">
        <f t="shared" si="131"/>
        <v>-5.4036000255940813E-3</v>
      </c>
      <c r="D3689">
        <f t="shared" si="130"/>
        <v>-0.46944373422150942</v>
      </c>
    </row>
    <row r="3690" spans="1:4" x14ac:dyDescent="0.3">
      <c r="A3690" s="1">
        <v>31301</v>
      </c>
      <c r="B3690">
        <v>291.39999399999999</v>
      </c>
      <c r="C3690">
        <f t="shared" si="131"/>
        <v>-1.0526336162988141E-2</v>
      </c>
      <c r="D3690">
        <f t="shared" si="130"/>
        <v>-0.87924156039616996</v>
      </c>
    </row>
    <row r="3691" spans="1:4" x14ac:dyDescent="0.3">
      <c r="A3691" s="1">
        <v>31302</v>
      </c>
      <c r="B3691">
        <v>289.89999399999999</v>
      </c>
      <c r="C3691">
        <f t="shared" si="131"/>
        <v>-5.1475635926059764E-3</v>
      </c>
      <c r="D3691">
        <f t="shared" si="130"/>
        <v>-0.4489618724105644</v>
      </c>
    </row>
    <row r="3692" spans="1:4" x14ac:dyDescent="0.3">
      <c r="A3692" s="1">
        <v>31303</v>
      </c>
      <c r="B3692">
        <v>287.20001200000002</v>
      </c>
      <c r="C3692">
        <f t="shared" si="131"/>
        <v>-9.3134945011415816E-3</v>
      </c>
      <c r="D3692">
        <f t="shared" si="130"/>
        <v>-0.78221921468315858</v>
      </c>
    </row>
    <row r="3693" spans="1:4" x14ac:dyDescent="0.3">
      <c r="A3693" s="1">
        <v>31306</v>
      </c>
      <c r="B3693">
        <v>285.39999399999999</v>
      </c>
      <c r="C3693">
        <f t="shared" si="131"/>
        <v>-6.2674718829747915E-3</v>
      </c>
      <c r="D3693">
        <f t="shared" si="130"/>
        <v>-0.53854993054966305</v>
      </c>
    </row>
    <row r="3694" spans="1:4" x14ac:dyDescent="0.3">
      <c r="A3694" s="1">
        <v>31307</v>
      </c>
      <c r="B3694">
        <v>281.10000600000001</v>
      </c>
      <c r="C3694">
        <f t="shared" si="131"/>
        <v>-1.5066531501048261E-2</v>
      </c>
      <c r="D3694">
        <f t="shared" si="130"/>
        <v>-1.2424385180461954</v>
      </c>
    </row>
    <row r="3695" spans="1:4" x14ac:dyDescent="0.3">
      <c r="A3695" s="1">
        <v>31308</v>
      </c>
      <c r="B3695">
        <v>281</v>
      </c>
      <c r="C3695">
        <f t="shared" si="131"/>
        <v>-3.5576662349842708E-4</v>
      </c>
      <c r="D3695">
        <f t="shared" si="130"/>
        <v>-6.5637818868833367E-2</v>
      </c>
    </row>
    <row r="3696" spans="1:4" x14ac:dyDescent="0.3">
      <c r="A3696" s="1">
        <v>31309</v>
      </c>
      <c r="B3696">
        <v>283.60000600000001</v>
      </c>
      <c r="C3696">
        <f t="shared" si="131"/>
        <v>9.2526903914591022E-3</v>
      </c>
      <c r="D3696">
        <f t="shared" si="130"/>
        <v>0.70299923211644066</v>
      </c>
    </row>
    <row r="3697" spans="1:4" x14ac:dyDescent="0.3">
      <c r="A3697" s="1">
        <v>31310</v>
      </c>
      <c r="B3697">
        <v>284.39999399999999</v>
      </c>
      <c r="C3697">
        <f t="shared" si="131"/>
        <v>2.8208320982898174E-3</v>
      </c>
      <c r="D3697">
        <f t="shared" si="130"/>
        <v>0.18847701662223215</v>
      </c>
    </row>
    <row r="3698" spans="1:4" x14ac:dyDescent="0.3">
      <c r="A3698" s="1">
        <v>31313</v>
      </c>
      <c r="B3698">
        <v>286.10000600000001</v>
      </c>
      <c r="C3698">
        <f t="shared" si="131"/>
        <v>5.9775388040268921E-3</v>
      </c>
      <c r="D3698">
        <f t="shared" si="130"/>
        <v>0.44100057262566289</v>
      </c>
    </row>
    <row r="3699" spans="1:4" x14ac:dyDescent="0.3">
      <c r="A3699" s="1">
        <v>31314</v>
      </c>
      <c r="B3699">
        <v>284.10000600000001</v>
      </c>
      <c r="C3699">
        <f t="shared" si="131"/>
        <v>-6.9905625936966947E-3</v>
      </c>
      <c r="D3699">
        <f t="shared" si="130"/>
        <v>-0.5963942140406463</v>
      </c>
    </row>
    <row r="3700" spans="1:4" x14ac:dyDescent="0.3">
      <c r="A3700" s="1">
        <v>31315</v>
      </c>
      <c r="B3700">
        <v>281.79998799999998</v>
      </c>
      <c r="C3700">
        <f t="shared" si="131"/>
        <v>-8.095804123284752E-3</v>
      </c>
      <c r="D3700">
        <f t="shared" si="130"/>
        <v>-0.68480899162736497</v>
      </c>
    </row>
    <row r="3701" spans="1:4" x14ac:dyDescent="0.3">
      <c r="A3701" s="1">
        <v>31316</v>
      </c>
      <c r="B3701">
        <v>280.20001200000002</v>
      </c>
      <c r="C3701">
        <f t="shared" si="131"/>
        <v>-5.677700738581897E-3</v>
      </c>
      <c r="D3701">
        <f t="shared" si="130"/>
        <v>-0.49137066415166814</v>
      </c>
    </row>
    <row r="3702" spans="1:4" x14ac:dyDescent="0.3">
      <c r="A3702" s="1">
        <v>31320</v>
      </c>
      <c r="B3702">
        <v>280.29998799999998</v>
      </c>
      <c r="C3702">
        <f t="shared" si="131"/>
        <v>3.5680226880207855E-4</v>
      </c>
      <c r="D3702">
        <f t="shared" si="130"/>
        <v>-8.6352375855860922E-3</v>
      </c>
    </row>
    <row r="3703" spans="1:4" x14ac:dyDescent="0.3">
      <c r="A3703" s="1">
        <v>31321</v>
      </c>
      <c r="B3703">
        <v>281.79998799999998</v>
      </c>
      <c r="C3703">
        <f t="shared" si="131"/>
        <v>5.3514094335244851E-3</v>
      </c>
      <c r="D3703">
        <f t="shared" si="130"/>
        <v>0.390912797644826</v>
      </c>
    </row>
    <row r="3704" spans="1:4" x14ac:dyDescent="0.3">
      <c r="A3704" s="1">
        <v>31322</v>
      </c>
      <c r="B3704">
        <v>281.20001200000002</v>
      </c>
      <c r="C3704">
        <f t="shared" si="131"/>
        <v>-2.1290845477252812E-3</v>
      </c>
      <c r="D3704">
        <f t="shared" si="130"/>
        <v>-0.2074959608801063</v>
      </c>
    </row>
    <row r="3705" spans="1:4" x14ac:dyDescent="0.3">
      <c r="A3705" s="1">
        <v>31323</v>
      </c>
      <c r="B3705">
        <v>281.39999399999999</v>
      </c>
      <c r="C3705">
        <f t="shared" si="131"/>
        <v>7.111735116141361E-4</v>
      </c>
      <c r="D3705">
        <f t="shared" si="130"/>
        <v>1.9713004656121056E-2</v>
      </c>
    </row>
    <row r="3706" spans="1:4" x14ac:dyDescent="0.3">
      <c r="A3706" s="1">
        <v>31324</v>
      </c>
      <c r="B3706">
        <v>280.5</v>
      </c>
      <c r="C3706">
        <f t="shared" si="131"/>
        <v>-3.1982729893021691E-3</v>
      </c>
      <c r="D3706">
        <f t="shared" si="130"/>
        <v>-0.29302663967711529</v>
      </c>
    </row>
    <row r="3707" spans="1:4" x14ac:dyDescent="0.3">
      <c r="A3707" s="1">
        <v>31327</v>
      </c>
      <c r="B3707">
        <v>278.29998799999998</v>
      </c>
      <c r="C3707">
        <f t="shared" si="131"/>
        <v>-7.8431800356506785E-3</v>
      </c>
      <c r="D3707">
        <f t="shared" si="130"/>
        <v>-0.6646001034130945</v>
      </c>
    </row>
    <row r="3708" spans="1:4" x14ac:dyDescent="0.3">
      <c r="A3708" s="1">
        <v>31328</v>
      </c>
      <c r="B3708">
        <v>277</v>
      </c>
      <c r="C3708">
        <f t="shared" si="131"/>
        <v>-4.6711751924329399E-3</v>
      </c>
      <c r="D3708">
        <f t="shared" si="130"/>
        <v>-0.41085275931752802</v>
      </c>
    </row>
    <row r="3709" spans="1:4" x14ac:dyDescent="0.3">
      <c r="A3709" s="1">
        <v>31329</v>
      </c>
      <c r="B3709">
        <v>278.29998799999998</v>
      </c>
      <c r="C3709">
        <f t="shared" si="131"/>
        <v>4.6930974729241333E-3</v>
      </c>
      <c r="D3709">
        <f t="shared" si="130"/>
        <v>0.33825054779175479</v>
      </c>
    </row>
    <row r="3710" spans="1:4" x14ac:dyDescent="0.3">
      <c r="A3710" s="1">
        <v>31330</v>
      </c>
      <c r="B3710">
        <v>279.39999399999999</v>
      </c>
      <c r="C3710">
        <f t="shared" si="131"/>
        <v>3.9525908998602173E-3</v>
      </c>
      <c r="D3710">
        <f t="shared" si="130"/>
        <v>0.27901306692786443</v>
      </c>
    </row>
    <row r="3711" spans="1:4" x14ac:dyDescent="0.3">
      <c r="A3711" s="1">
        <v>31331</v>
      </c>
      <c r="B3711">
        <v>281.79998799999998</v>
      </c>
      <c r="C3711">
        <f t="shared" si="131"/>
        <v>8.589814071363196E-3</v>
      </c>
      <c r="D3711">
        <f t="shared" si="130"/>
        <v>0.64997185227248355</v>
      </c>
    </row>
    <row r="3712" spans="1:4" x14ac:dyDescent="0.3">
      <c r="A3712" s="1">
        <v>31334</v>
      </c>
      <c r="B3712">
        <v>284.29998799999998</v>
      </c>
      <c r="C3712">
        <f t="shared" si="131"/>
        <v>8.8715404771415388E-3</v>
      </c>
      <c r="D3712">
        <f t="shared" si="130"/>
        <v>0.67250880626884824</v>
      </c>
    </row>
    <row r="3713" spans="1:4" x14ac:dyDescent="0.3">
      <c r="A3713" s="1">
        <v>31335</v>
      </c>
      <c r="B3713">
        <v>285</v>
      </c>
      <c r="C3713">
        <f t="shared" si="131"/>
        <v>2.4622301426196866E-3</v>
      </c>
      <c r="D3713">
        <f t="shared" si="130"/>
        <v>0.15979033474867438</v>
      </c>
    </row>
    <row r="3714" spans="1:4" x14ac:dyDescent="0.3">
      <c r="A3714" s="1">
        <v>31336</v>
      </c>
      <c r="B3714">
        <v>286.70001200000002</v>
      </c>
      <c r="C3714">
        <f t="shared" si="131"/>
        <v>5.9649543859649655E-3</v>
      </c>
      <c r="D3714">
        <f t="shared" si="130"/>
        <v>0.43999387092814501</v>
      </c>
    </row>
    <row r="3715" spans="1:4" x14ac:dyDescent="0.3">
      <c r="A3715" s="1">
        <v>31337</v>
      </c>
      <c r="B3715">
        <v>288.29998799999998</v>
      </c>
      <c r="C3715">
        <f t="shared" si="131"/>
        <v>5.5806624800558762E-3</v>
      </c>
      <c r="D3715">
        <f t="shared" ref="D3715:D3778" si="132">(C3715-avrtn)/sdrtn</f>
        <v>0.40925209867317713</v>
      </c>
    </row>
    <row r="3716" spans="1:4" x14ac:dyDescent="0.3">
      <c r="A3716" s="1">
        <v>31338</v>
      </c>
      <c r="B3716">
        <v>288.39999399999999</v>
      </c>
      <c r="C3716">
        <f t="shared" ref="C3716:C3779" si="133">(B3716-B3715)/B3715</f>
        <v>3.4688173486849955E-4</v>
      </c>
      <c r="D3716">
        <f t="shared" si="132"/>
        <v>-9.4288395067931262E-3</v>
      </c>
    </row>
    <row r="3717" spans="1:4" x14ac:dyDescent="0.3">
      <c r="A3717" s="1">
        <v>31341</v>
      </c>
      <c r="B3717">
        <v>287.70001200000002</v>
      </c>
      <c r="C3717">
        <f t="shared" si="133"/>
        <v>-2.4271221031994103E-3</v>
      </c>
      <c r="D3717">
        <f t="shared" si="132"/>
        <v>-0.23133773978028563</v>
      </c>
    </row>
    <row r="3718" spans="1:4" x14ac:dyDescent="0.3">
      <c r="A3718" s="1">
        <v>31342</v>
      </c>
      <c r="B3718">
        <v>288.5</v>
      </c>
      <c r="C3718">
        <f t="shared" si="133"/>
        <v>2.7806324874257732E-3</v>
      </c>
      <c r="D3718">
        <f t="shared" si="132"/>
        <v>0.18526121305489621</v>
      </c>
    </row>
    <row r="3719" spans="1:4" x14ac:dyDescent="0.3">
      <c r="A3719" s="1">
        <v>31343</v>
      </c>
      <c r="B3719">
        <v>289.79998799999998</v>
      </c>
      <c r="C3719">
        <f t="shared" si="133"/>
        <v>4.5060242634314901E-3</v>
      </c>
      <c r="D3719">
        <f t="shared" si="132"/>
        <v>0.32328546028197719</v>
      </c>
    </row>
    <row r="3720" spans="1:4" x14ac:dyDescent="0.3">
      <c r="A3720" s="1">
        <v>31344</v>
      </c>
      <c r="B3720">
        <v>290.60000600000001</v>
      </c>
      <c r="C3720">
        <f t="shared" si="133"/>
        <v>2.7605867257662646E-3</v>
      </c>
      <c r="D3720">
        <f t="shared" si="132"/>
        <v>0.1836576345508</v>
      </c>
    </row>
    <row r="3721" spans="1:4" x14ac:dyDescent="0.3">
      <c r="A3721" s="1">
        <v>31345</v>
      </c>
      <c r="B3721">
        <v>289.5</v>
      </c>
      <c r="C3721">
        <f t="shared" si="133"/>
        <v>-3.7852924201247523E-3</v>
      </c>
      <c r="D3721">
        <f t="shared" si="132"/>
        <v>-0.33998578030459908</v>
      </c>
    </row>
    <row r="3722" spans="1:4" x14ac:dyDescent="0.3">
      <c r="A3722" s="1">
        <v>31348</v>
      </c>
      <c r="B3722">
        <v>289.20001200000002</v>
      </c>
      <c r="C3722">
        <f t="shared" si="133"/>
        <v>-1.036227979274559E-3</v>
      </c>
      <c r="D3722">
        <f t="shared" si="132"/>
        <v>-0.12007192925710981</v>
      </c>
    </row>
    <row r="3723" spans="1:4" x14ac:dyDescent="0.3">
      <c r="A3723" s="1">
        <v>31349</v>
      </c>
      <c r="B3723">
        <v>291.10000600000001</v>
      </c>
      <c r="C3723">
        <f t="shared" si="133"/>
        <v>6.5698268366599939E-3</v>
      </c>
      <c r="D3723">
        <f t="shared" si="132"/>
        <v>0.48838117973336814</v>
      </c>
    </row>
    <row r="3724" spans="1:4" x14ac:dyDescent="0.3">
      <c r="A3724" s="1">
        <v>31350</v>
      </c>
      <c r="B3724">
        <v>292.29998799999998</v>
      </c>
      <c r="C3724">
        <f t="shared" si="133"/>
        <v>4.122232824687668E-3</v>
      </c>
      <c r="D3724">
        <f t="shared" si="132"/>
        <v>0.29258372334229743</v>
      </c>
    </row>
    <row r="3725" spans="1:4" x14ac:dyDescent="0.3">
      <c r="A3725" s="1">
        <v>31351</v>
      </c>
      <c r="B3725">
        <v>292.5</v>
      </c>
      <c r="C3725">
        <f t="shared" si="133"/>
        <v>6.8426961413359754E-4</v>
      </c>
      <c r="D3725">
        <f t="shared" si="132"/>
        <v>1.7560803487165447E-2</v>
      </c>
    </row>
    <row r="3726" spans="1:4" x14ac:dyDescent="0.3">
      <c r="A3726" s="1">
        <v>31352</v>
      </c>
      <c r="B3726">
        <v>294.10000600000001</v>
      </c>
      <c r="C3726">
        <f t="shared" si="133"/>
        <v>5.4701059829060086E-3</v>
      </c>
      <c r="D3726">
        <f t="shared" si="132"/>
        <v>0.40040803351222043</v>
      </c>
    </row>
    <row r="3727" spans="1:4" x14ac:dyDescent="0.3">
      <c r="A3727" s="1">
        <v>31355</v>
      </c>
      <c r="B3727">
        <v>294.20001200000002</v>
      </c>
      <c r="C3727">
        <f t="shared" si="133"/>
        <v>3.4004079551092423E-4</v>
      </c>
      <c r="D3727">
        <f t="shared" si="132"/>
        <v>-9.9760865252884311E-3</v>
      </c>
    </row>
    <row r="3728" spans="1:4" x14ac:dyDescent="0.3">
      <c r="A3728" s="1">
        <v>31356</v>
      </c>
      <c r="B3728">
        <v>295.29998799999998</v>
      </c>
      <c r="C3728">
        <f t="shared" si="133"/>
        <v>3.7388713634721729E-3</v>
      </c>
      <c r="D3728">
        <f t="shared" si="132"/>
        <v>0.26191638283680563</v>
      </c>
    </row>
    <row r="3729" spans="1:4" x14ac:dyDescent="0.3">
      <c r="A3729" s="1">
        <v>31357</v>
      </c>
      <c r="B3729">
        <v>296.70001200000002</v>
      </c>
      <c r="C3729">
        <f t="shared" si="133"/>
        <v>4.7410228814504067E-3</v>
      </c>
      <c r="D3729">
        <f t="shared" si="132"/>
        <v>0.34208438340339925</v>
      </c>
    </row>
    <row r="3730" spans="1:4" x14ac:dyDescent="0.3">
      <c r="A3730" s="1">
        <v>31358</v>
      </c>
      <c r="B3730">
        <v>297.5</v>
      </c>
      <c r="C3730">
        <f t="shared" si="133"/>
        <v>2.6962857015320404E-3</v>
      </c>
      <c r="D3730">
        <f t="shared" si="132"/>
        <v>0.17851381701945362</v>
      </c>
    </row>
    <row r="3731" spans="1:4" x14ac:dyDescent="0.3">
      <c r="A3731" s="1">
        <v>31359</v>
      </c>
      <c r="B3731">
        <v>300</v>
      </c>
      <c r="C3731">
        <f t="shared" si="133"/>
        <v>8.4033613445378148E-3</v>
      </c>
      <c r="D3731">
        <f t="shared" si="132"/>
        <v>0.63505640082464698</v>
      </c>
    </row>
    <row r="3732" spans="1:4" x14ac:dyDescent="0.3">
      <c r="A3732" s="1">
        <v>31362</v>
      </c>
      <c r="B3732">
        <v>302.29998799999998</v>
      </c>
      <c r="C3732">
        <f t="shared" si="133"/>
        <v>7.6666266666666162E-3</v>
      </c>
      <c r="D3732">
        <f t="shared" si="132"/>
        <v>0.57612065606604823</v>
      </c>
    </row>
    <row r="3733" spans="1:4" x14ac:dyDescent="0.3">
      <c r="A3733" s="1">
        <v>31363</v>
      </c>
      <c r="B3733">
        <v>304.39999399999999</v>
      </c>
      <c r="C3733">
        <f t="shared" si="133"/>
        <v>6.9467617709598048E-3</v>
      </c>
      <c r="D3733">
        <f t="shared" si="132"/>
        <v>0.51853442451164178</v>
      </c>
    </row>
    <row r="3734" spans="1:4" x14ac:dyDescent="0.3">
      <c r="A3734" s="1">
        <v>31364</v>
      </c>
      <c r="B3734">
        <v>303.89999399999999</v>
      </c>
      <c r="C3734">
        <f t="shared" si="133"/>
        <v>-1.6425755908523441E-3</v>
      </c>
      <c r="D3734">
        <f t="shared" si="132"/>
        <v>-0.16857724486705566</v>
      </c>
    </row>
    <row r="3735" spans="1:4" x14ac:dyDescent="0.3">
      <c r="A3735" s="1">
        <v>31365</v>
      </c>
      <c r="B3735">
        <v>305.20001200000002</v>
      </c>
      <c r="C3735">
        <f t="shared" si="133"/>
        <v>4.2777822496436867E-3</v>
      </c>
      <c r="D3735">
        <f t="shared" si="132"/>
        <v>0.30502703771572159</v>
      </c>
    </row>
    <row r="3736" spans="1:4" x14ac:dyDescent="0.3">
      <c r="A3736" s="1">
        <v>31366</v>
      </c>
      <c r="B3736">
        <v>306.20001200000002</v>
      </c>
      <c r="C3736">
        <f t="shared" si="133"/>
        <v>3.2765398449591146E-3</v>
      </c>
      <c r="D3736">
        <f t="shared" si="132"/>
        <v>0.22493176247432475</v>
      </c>
    </row>
    <row r="3737" spans="1:4" x14ac:dyDescent="0.3">
      <c r="A3737" s="1">
        <v>31369</v>
      </c>
      <c r="B3737">
        <v>306.10000600000001</v>
      </c>
      <c r="C3737">
        <f t="shared" si="133"/>
        <v>-3.2660351430687591E-4</v>
      </c>
      <c r="D3737">
        <f t="shared" si="132"/>
        <v>-6.3304890052930801E-2</v>
      </c>
    </row>
    <row r="3738" spans="1:4" x14ac:dyDescent="0.3">
      <c r="A3738" s="1">
        <v>31370</v>
      </c>
      <c r="B3738">
        <v>306.89999399999999</v>
      </c>
      <c r="C3738">
        <f t="shared" si="133"/>
        <v>2.6134857377297302E-3</v>
      </c>
      <c r="D3738">
        <f t="shared" si="132"/>
        <v>0.17189016039075436</v>
      </c>
    </row>
    <row r="3739" spans="1:4" x14ac:dyDescent="0.3">
      <c r="A3739" s="1">
        <v>31371</v>
      </c>
      <c r="B3739">
        <v>307</v>
      </c>
      <c r="C3739">
        <f t="shared" si="133"/>
        <v>3.2585859222925755E-4</v>
      </c>
      <c r="D3739">
        <f t="shared" si="132"/>
        <v>-1.1110604470253409E-2</v>
      </c>
    </row>
    <row r="3740" spans="1:4" x14ac:dyDescent="0.3">
      <c r="A3740" s="1">
        <v>31372</v>
      </c>
      <c r="B3740">
        <v>309.29998799999998</v>
      </c>
      <c r="C3740">
        <f t="shared" si="133"/>
        <v>7.4918175895764974E-3</v>
      </c>
      <c r="D3740">
        <f t="shared" si="132"/>
        <v>0.5621366487180588</v>
      </c>
    </row>
    <row r="3741" spans="1:4" x14ac:dyDescent="0.3">
      <c r="A3741" s="1">
        <v>31373</v>
      </c>
      <c r="B3741">
        <v>310.79998799999998</v>
      </c>
      <c r="C3741">
        <f t="shared" si="133"/>
        <v>4.8496607119170015E-3</v>
      </c>
      <c r="D3741">
        <f t="shared" si="132"/>
        <v>0.35077496311929868</v>
      </c>
    </row>
    <row r="3742" spans="1:4" x14ac:dyDescent="0.3">
      <c r="A3742" s="1">
        <v>31376</v>
      </c>
      <c r="B3742">
        <v>309.79998799999998</v>
      </c>
      <c r="C3742">
        <f t="shared" si="133"/>
        <v>-3.217503341731146E-3</v>
      </c>
      <c r="D3742">
        <f t="shared" si="132"/>
        <v>-0.29456498879575177</v>
      </c>
    </row>
    <row r="3743" spans="1:4" x14ac:dyDescent="0.3">
      <c r="A3743" s="1">
        <v>31377</v>
      </c>
      <c r="B3743">
        <v>310.5</v>
      </c>
      <c r="C3743">
        <f t="shared" si="133"/>
        <v>2.2595610946247527E-3</v>
      </c>
      <c r="D3743">
        <f t="shared" si="132"/>
        <v>0.14357764428918468</v>
      </c>
    </row>
    <row r="3744" spans="1:4" x14ac:dyDescent="0.3">
      <c r="A3744" s="1">
        <v>31378</v>
      </c>
      <c r="B3744">
        <v>313</v>
      </c>
      <c r="C3744">
        <f t="shared" si="133"/>
        <v>8.0515297906602248E-3</v>
      </c>
      <c r="D3744">
        <f t="shared" si="132"/>
        <v>0.60691132325443387</v>
      </c>
    </row>
    <row r="3745" spans="1:4" x14ac:dyDescent="0.3">
      <c r="A3745" s="1">
        <v>31380</v>
      </c>
      <c r="B3745">
        <v>314</v>
      </c>
      <c r="C3745">
        <f t="shared" si="133"/>
        <v>3.1948881789137379E-3</v>
      </c>
      <c r="D3745">
        <f t="shared" si="132"/>
        <v>0.2183999649443516</v>
      </c>
    </row>
    <row r="3746" spans="1:4" x14ac:dyDescent="0.3">
      <c r="A3746" s="1">
        <v>31383</v>
      </c>
      <c r="B3746">
        <v>313</v>
      </c>
      <c r="C3746">
        <f t="shared" si="133"/>
        <v>-3.1847133757961785E-3</v>
      </c>
      <c r="D3746">
        <f t="shared" si="132"/>
        <v>-0.29194192635409993</v>
      </c>
    </row>
    <row r="3747" spans="1:4" x14ac:dyDescent="0.3">
      <c r="A3747" s="1">
        <v>31384</v>
      </c>
      <c r="B3747">
        <v>313.10000600000001</v>
      </c>
      <c r="C3747">
        <f t="shared" si="133"/>
        <v>3.1950798722047151E-4</v>
      </c>
      <c r="D3747">
        <f t="shared" si="132"/>
        <v>-1.1618626757112459E-2</v>
      </c>
    </row>
    <row r="3748" spans="1:4" x14ac:dyDescent="0.3">
      <c r="A3748" s="1">
        <v>31385</v>
      </c>
      <c r="B3748">
        <v>316.70001200000002</v>
      </c>
      <c r="C3748">
        <f t="shared" si="133"/>
        <v>1.1497942928816193E-2</v>
      </c>
      <c r="D3748">
        <f t="shared" si="132"/>
        <v>0.88261020257140776</v>
      </c>
    </row>
    <row r="3749" spans="1:4" x14ac:dyDescent="0.3">
      <c r="A3749" s="1">
        <v>31386</v>
      </c>
      <c r="B3749">
        <v>318.20001200000002</v>
      </c>
      <c r="C3749">
        <f t="shared" si="133"/>
        <v>4.7363433633213752E-3</v>
      </c>
      <c r="D3749">
        <f t="shared" si="132"/>
        <v>0.34171004119537024</v>
      </c>
    </row>
    <row r="3750" spans="1:4" x14ac:dyDescent="0.3">
      <c r="A3750" s="1">
        <v>31387</v>
      </c>
      <c r="B3750">
        <v>316.60000600000001</v>
      </c>
      <c r="C3750">
        <f t="shared" si="133"/>
        <v>-5.0283027644889202E-3</v>
      </c>
      <c r="D3750">
        <f t="shared" si="132"/>
        <v>-0.4394214965646554</v>
      </c>
    </row>
    <row r="3751" spans="1:4" x14ac:dyDescent="0.3">
      <c r="A3751" s="1">
        <v>31390</v>
      </c>
      <c r="B3751">
        <v>316.89999399999999</v>
      </c>
      <c r="C3751">
        <f t="shared" si="133"/>
        <v>9.4752998836009127E-4</v>
      </c>
      <c r="D3751">
        <f t="shared" si="132"/>
        <v>3.8620550892157733E-2</v>
      </c>
    </row>
    <row r="3752" spans="1:4" x14ac:dyDescent="0.3">
      <c r="A3752" s="1">
        <v>31391</v>
      </c>
      <c r="B3752">
        <v>317.29998799999998</v>
      </c>
      <c r="C3752">
        <f t="shared" si="133"/>
        <v>1.262208922604121E-3</v>
      </c>
      <c r="D3752">
        <f t="shared" si="132"/>
        <v>6.3793571664170753E-2</v>
      </c>
    </row>
    <row r="3753" spans="1:4" x14ac:dyDescent="0.3">
      <c r="A3753" s="1">
        <v>31392</v>
      </c>
      <c r="B3753">
        <v>318.89999399999999</v>
      </c>
      <c r="C3753">
        <f t="shared" si="133"/>
        <v>5.0425655862300495E-3</v>
      </c>
      <c r="D3753">
        <f t="shared" si="132"/>
        <v>0.36620655983475964</v>
      </c>
    </row>
    <row r="3754" spans="1:4" x14ac:dyDescent="0.3">
      <c r="A3754" s="1">
        <v>31393</v>
      </c>
      <c r="B3754">
        <v>320.60000600000001</v>
      </c>
      <c r="C3754">
        <f t="shared" si="133"/>
        <v>5.3308624395898086E-3</v>
      </c>
      <c r="D3754">
        <f t="shared" si="132"/>
        <v>0.38926912261979579</v>
      </c>
    </row>
    <row r="3755" spans="1:4" x14ac:dyDescent="0.3">
      <c r="A3755" s="1">
        <v>31394</v>
      </c>
      <c r="B3755">
        <v>324</v>
      </c>
      <c r="C3755">
        <f t="shared" si="133"/>
        <v>1.0605096495225869E-2</v>
      </c>
      <c r="D3755">
        <f t="shared" si="132"/>
        <v>0.8111861592906543</v>
      </c>
    </row>
    <row r="3756" spans="1:4" x14ac:dyDescent="0.3">
      <c r="A3756" s="1">
        <v>31397</v>
      </c>
      <c r="B3756">
        <v>325.20001200000002</v>
      </c>
      <c r="C3756">
        <f t="shared" si="133"/>
        <v>3.7037407407407878E-3</v>
      </c>
      <c r="D3756">
        <f t="shared" si="132"/>
        <v>0.25910607747627867</v>
      </c>
    </row>
    <row r="3757" spans="1:4" x14ac:dyDescent="0.3">
      <c r="A3757" s="1">
        <v>31398</v>
      </c>
      <c r="B3757">
        <v>323.29998799999998</v>
      </c>
      <c r="C3757">
        <f t="shared" si="133"/>
        <v>-5.8426320107270793E-3</v>
      </c>
      <c r="D3757">
        <f t="shared" si="132"/>
        <v>-0.50456448772183926</v>
      </c>
    </row>
    <row r="3758" spans="1:4" x14ac:dyDescent="0.3">
      <c r="A3758" s="1">
        <v>31399</v>
      </c>
      <c r="B3758">
        <v>322.5</v>
      </c>
      <c r="C3758">
        <f t="shared" si="133"/>
        <v>-2.4744448799669761E-3</v>
      </c>
      <c r="D3758">
        <f t="shared" si="132"/>
        <v>-0.23512336732927011</v>
      </c>
    </row>
    <row r="3759" spans="1:4" x14ac:dyDescent="0.3">
      <c r="A3759" s="1">
        <v>31400</v>
      </c>
      <c r="B3759">
        <v>322.70001200000002</v>
      </c>
      <c r="C3759">
        <f t="shared" si="133"/>
        <v>6.2019224806206252E-4</v>
      </c>
      <c r="D3759">
        <f t="shared" si="132"/>
        <v>1.2434877689146334E-2</v>
      </c>
    </row>
    <row r="3760" spans="1:4" x14ac:dyDescent="0.3">
      <c r="A3760" s="1">
        <v>31401</v>
      </c>
      <c r="B3760">
        <v>323.10000600000001</v>
      </c>
      <c r="C3760">
        <f t="shared" si="133"/>
        <v>1.2395227304794535E-3</v>
      </c>
      <c r="D3760">
        <f t="shared" si="132"/>
        <v>6.197876958037677E-2</v>
      </c>
    </row>
    <row r="3761" spans="1:4" x14ac:dyDescent="0.3">
      <c r="A3761" s="1">
        <v>31404</v>
      </c>
      <c r="B3761">
        <v>321.60000600000001</v>
      </c>
      <c r="C3761">
        <f t="shared" si="133"/>
        <v>-4.6425254476782649E-3</v>
      </c>
      <c r="D3761">
        <f t="shared" si="132"/>
        <v>-0.40856089754560837</v>
      </c>
    </row>
    <row r="3762" spans="1:4" x14ac:dyDescent="0.3">
      <c r="A3762" s="1">
        <v>31405</v>
      </c>
      <c r="B3762">
        <v>320.20001200000002</v>
      </c>
      <c r="C3762">
        <f t="shared" si="133"/>
        <v>-4.3532150929126304E-3</v>
      </c>
      <c r="D3762">
        <f t="shared" si="132"/>
        <v>-0.38541725881564481</v>
      </c>
    </row>
    <row r="3763" spans="1:4" x14ac:dyDescent="0.3">
      <c r="A3763" s="1">
        <v>31407</v>
      </c>
      <c r="B3763">
        <v>320.29998799999998</v>
      </c>
      <c r="C3763">
        <f t="shared" si="133"/>
        <v>3.1222984463838698E-4</v>
      </c>
      <c r="D3763">
        <f t="shared" si="132"/>
        <v>-1.2200848235778099E-2</v>
      </c>
    </row>
    <row r="3764" spans="1:4" x14ac:dyDescent="0.3">
      <c r="A3764" s="1">
        <v>31408</v>
      </c>
      <c r="B3764">
        <v>322.79998799999998</v>
      </c>
      <c r="C3764">
        <f t="shared" si="133"/>
        <v>7.8051829336940222E-3</v>
      </c>
      <c r="D3764">
        <f t="shared" si="132"/>
        <v>0.58720458768146633</v>
      </c>
    </row>
    <row r="3765" spans="1:4" x14ac:dyDescent="0.3">
      <c r="A3765" s="1">
        <v>31411</v>
      </c>
      <c r="B3765">
        <v>323.10000600000001</v>
      </c>
      <c r="C3765">
        <f t="shared" si="133"/>
        <v>9.2942382637270352E-4</v>
      </c>
      <c r="D3765">
        <f t="shared" si="132"/>
        <v>3.7172132386149685E-2</v>
      </c>
    </row>
    <row r="3766" spans="1:4" x14ac:dyDescent="0.3">
      <c r="A3766" s="1">
        <v>31412</v>
      </c>
      <c r="B3766">
        <v>324.89999399999999</v>
      </c>
      <c r="C3766">
        <f t="shared" si="133"/>
        <v>5.570993397010289E-3</v>
      </c>
      <c r="D3766">
        <f t="shared" si="132"/>
        <v>0.40847861178903722</v>
      </c>
    </row>
    <row r="3767" spans="1:4" x14ac:dyDescent="0.3">
      <c r="A3767" s="1">
        <v>31414</v>
      </c>
      <c r="B3767">
        <v>325</v>
      </c>
      <c r="C3767">
        <f t="shared" si="133"/>
        <v>3.078054842931379E-4</v>
      </c>
      <c r="D3767">
        <f t="shared" si="132"/>
        <v>-1.2554778870319578E-2</v>
      </c>
    </row>
    <row r="3768" spans="1:4" x14ac:dyDescent="0.3">
      <c r="A3768" s="1">
        <v>31415</v>
      </c>
      <c r="B3768">
        <v>325.70001200000002</v>
      </c>
      <c r="C3768">
        <f t="shared" si="133"/>
        <v>2.1538830769231238E-3</v>
      </c>
      <c r="D3768">
        <f t="shared" si="132"/>
        <v>0.13512383742365969</v>
      </c>
    </row>
    <row r="3769" spans="1:4" x14ac:dyDescent="0.3">
      <c r="A3769" s="1">
        <v>31418</v>
      </c>
      <c r="B3769">
        <v>326</v>
      </c>
      <c r="C3769">
        <f t="shared" si="133"/>
        <v>9.2105615273967145E-4</v>
      </c>
      <c r="D3769">
        <f t="shared" si="132"/>
        <v>3.6502752903586691E-2</v>
      </c>
    </row>
    <row r="3770" spans="1:4" x14ac:dyDescent="0.3">
      <c r="A3770" s="1">
        <v>31419</v>
      </c>
      <c r="B3770">
        <v>329.70001200000002</v>
      </c>
      <c r="C3770">
        <f t="shared" si="133"/>
        <v>1.134973006134974E-2</v>
      </c>
      <c r="D3770">
        <f t="shared" si="132"/>
        <v>0.87075378262904424</v>
      </c>
    </row>
    <row r="3771" spans="1:4" x14ac:dyDescent="0.3">
      <c r="A3771" s="1">
        <v>31420</v>
      </c>
      <c r="B3771">
        <v>328.10000600000001</v>
      </c>
      <c r="C3771">
        <f t="shared" si="133"/>
        <v>-4.8529145943737714E-3</v>
      </c>
      <c r="D3771">
        <f t="shared" si="132"/>
        <v>-0.42539116415590833</v>
      </c>
    </row>
    <row r="3772" spans="1:4" x14ac:dyDescent="0.3">
      <c r="A3772" s="1">
        <v>31421</v>
      </c>
      <c r="B3772">
        <v>323</v>
      </c>
      <c r="C3772">
        <f t="shared" si="133"/>
        <v>-1.5544059453628927E-2</v>
      </c>
      <c r="D3772">
        <f t="shared" si="132"/>
        <v>-1.2806387906459746</v>
      </c>
    </row>
    <row r="3773" spans="1:4" x14ac:dyDescent="0.3">
      <c r="A3773" s="1">
        <v>31422</v>
      </c>
      <c r="B3773">
        <v>324.39999399999999</v>
      </c>
      <c r="C3773">
        <f t="shared" si="133"/>
        <v>4.3343467492259827E-3</v>
      </c>
      <c r="D3773">
        <f t="shared" si="132"/>
        <v>0.30955196508769323</v>
      </c>
    </row>
    <row r="3774" spans="1:4" x14ac:dyDescent="0.3">
      <c r="A3774" s="1">
        <v>31425</v>
      </c>
      <c r="B3774">
        <v>324.20001200000002</v>
      </c>
      <c r="C3774">
        <f t="shared" si="133"/>
        <v>-6.1646733569291389E-4</v>
      </c>
      <c r="D3774">
        <f t="shared" si="132"/>
        <v>-8.6492803836658264E-2</v>
      </c>
    </row>
    <row r="3775" spans="1:4" x14ac:dyDescent="0.3">
      <c r="A3775" s="1">
        <v>31426</v>
      </c>
      <c r="B3775">
        <v>324.79998799999998</v>
      </c>
      <c r="C3775">
        <f t="shared" si="133"/>
        <v>1.8506353417407327E-3</v>
      </c>
      <c r="D3775">
        <f t="shared" si="132"/>
        <v>0.11086526557120638</v>
      </c>
    </row>
    <row r="3776" spans="1:4" x14ac:dyDescent="0.3">
      <c r="A3776" s="1">
        <v>31427</v>
      </c>
      <c r="B3776">
        <v>328.20001200000002</v>
      </c>
      <c r="C3776">
        <f t="shared" si="133"/>
        <v>1.0468054573942997E-2</v>
      </c>
      <c r="D3776">
        <f t="shared" si="132"/>
        <v>0.80022336910777203</v>
      </c>
    </row>
    <row r="3777" spans="1:4" x14ac:dyDescent="0.3">
      <c r="A3777" s="1">
        <v>31428</v>
      </c>
      <c r="B3777">
        <v>330</v>
      </c>
      <c r="C3777">
        <f t="shared" si="133"/>
        <v>5.4844239310996266E-3</v>
      </c>
      <c r="D3777">
        <f t="shared" si="132"/>
        <v>0.40155341049195509</v>
      </c>
    </row>
    <row r="3778" spans="1:4" x14ac:dyDescent="0.3">
      <c r="A3778" s="1">
        <v>31429</v>
      </c>
      <c r="B3778">
        <v>330.70001200000002</v>
      </c>
      <c r="C3778">
        <f t="shared" si="133"/>
        <v>2.1212484848485307E-3</v>
      </c>
      <c r="D3778">
        <f t="shared" si="132"/>
        <v>0.13251320425193672</v>
      </c>
    </row>
    <row r="3779" spans="1:4" x14ac:dyDescent="0.3">
      <c r="A3779" s="1">
        <v>31432</v>
      </c>
      <c r="B3779">
        <v>329.5</v>
      </c>
      <c r="C3779">
        <f t="shared" si="133"/>
        <v>-3.6287026200652666E-3</v>
      </c>
      <c r="D3779">
        <f t="shared" ref="D3779:D3842" si="134">(C3779-avrtn)/sdrtn</f>
        <v>-0.32745924020094558</v>
      </c>
    </row>
    <row r="3780" spans="1:4" x14ac:dyDescent="0.3">
      <c r="A3780" s="1">
        <v>31433</v>
      </c>
      <c r="B3780">
        <v>328.5</v>
      </c>
      <c r="C3780">
        <f t="shared" ref="C3780:C3843" si="135">(B3780-B3779)/B3779</f>
        <v>-3.0349013657056147E-3</v>
      </c>
      <c r="D3780">
        <f t="shared" si="134"/>
        <v>-0.27995758157752126</v>
      </c>
    </row>
    <row r="3781" spans="1:4" x14ac:dyDescent="0.3">
      <c r="A3781" s="1">
        <v>31434</v>
      </c>
      <c r="B3781">
        <v>326.79998799999998</v>
      </c>
      <c r="C3781">
        <f t="shared" si="135"/>
        <v>-5.1750745814307924E-3</v>
      </c>
      <c r="D3781">
        <f t="shared" si="134"/>
        <v>-0.45116263839068765</v>
      </c>
    </row>
    <row r="3782" spans="1:4" x14ac:dyDescent="0.3">
      <c r="A3782" s="1">
        <v>31435</v>
      </c>
      <c r="B3782">
        <v>326.70001200000002</v>
      </c>
      <c r="C3782">
        <f t="shared" si="135"/>
        <v>-3.0592412384045022E-4</v>
      </c>
      <c r="D3782">
        <f t="shared" si="134"/>
        <v>-6.1650623849778444E-2</v>
      </c>
    </row>
    <row r="3783" spans="1:4" x14ac:dyDescent="0.3">
      <c r="A3783" s="1">
        <v>31436</v>
      </c>
      <c r="B3783">
        <v>328.89999399999999</v>
      </c>
      <c r="C3783">
        <f t="shared" si="135"/>
        <v>6.7339513902435278E-3</v>
      </c>
      <c r="D3783">
        <f t="shared" si="134"/>
        <v>0.50151046913585395</v>
      </c>
    </row>
    <row r="3784" spans="1:4" x14ac:dyDescent="0.3">
      <c r="A3784" s="1">
        <v>31439</v>
      </c>
      <c r="B3784">
        <v>330.20001200000002</v>
      </c>
      <c r="C3784">
        <f t="shared" si="135"/>
        <v>3.9526239699476029E-3</v>
      </c>
      <c r="D3784">
        <f t="shared" si="134"/>
        <v>0.27901571239887024</v>
      </c>
    </row>
    <row r="3785" spans="1:4" x14ac:dyDescent="0.3">
      <c r="A3785" s="1">
        <v>31440</v>
      </c>
      <c r="B3785">
        <v>332.60000600000001</v>
      </c>
      <c r="C3785">
        <f t="shared" si="135"/>
        <v>7.2683037940046843E-3</v>
      </c>
      <c r="D3785">
        <f t="shared" si="134"/>
        <v>0.54425646416653295</v>
      </c>
    </row>
    <row r="3786" spans="1:4" x14ac:dyDescent="0.3">
      <c r="A3786" s="1">
        <v>31441</v>
      </c>
      <c r="B3786">
        <v>334.70001200000002</v>
      </c>
      <c r="C3786">
        <f t="shared" si="135"/>
        <v>6.3139084850167065E-3</v>
      </c>
      <c r="D3786">
        <f t="shared" si="134"/>
        <v>0.46790876394445508</v>
      </c>
    </row>
    <row r="3787" spans="1:4" x14ac:dyDescent="0.3">
      <c r="A3787" s="1">
        <v>31442</v>
      </c>
      <c r="B3787">
        <v>334.29998799999998</v>
      </c>
      <c r="C3787">
        <f t="shared" si="135"/>
        <v>-1.1951717527874794E-3</v>
      </c>
      <c r="D3787">
        <f t="shared" si="134"/>
        <v>-0.13278677755744145</v>
      </c>
    </row>
    <row r="3788" spans="1:4" x14ac:dyDescent="0.3">
      <c r="A3788" s="1">
        <v>31443</v>
      </c>
      <c r="B3788">
        <v>335.79998799999998</v>
      </c>
      <c r="C3788">
        <f t="shared" si="135"/>
        <v>4.4869878966313339E-3</v>
      </c>
      <c r="D3788">
        <f t="shared" si="134"/>
        <v>0.32176262921597271</v>
      </c>
    </row>
    <row r="3789" spans="1:4" x14ac:dyDescent="0.3">
      <c r="A3789" s="1">
        <v>31446</v>
      </c>
      <c r="B3789">
        <v>337.5</v>
      </c>
      <c r="C3789">
        <f t="shared" si="135"/>
        <v>5.0625731410092103E-3</v>
      </c>
      <c r="D3789">
        <f t="shared" si="134"/>
        <v>0.36780708194553563</v>
      </c>
    </row>
    <row r="3790" spans="1:4" x14ac:dyDescent="0.3">
      <c r="A3790" s="1">
        <v>31447</v>
      </c>
      <c r="B3790">
        <v>337.89999399999999</v>
      </c>
      <c r="C3790">
        <f t="shared" si="135"/>
        <v>1.1851674074073849E-3</v>
      </c>
      <c r="D3790">
        <f t="shared" si="134"/>
        <v>5.7630567245035284E-2</v>
      </c>
    </row>
    <row r="3791" spans="1:4" x14ac:dyDescent="0.3">
      <c r="A3791" s="1">
        <v>31448</v>
      </c>
      <c r="B3791">
        <v>338.89999399999999</v>
      </c>
      <c r="C3791">
        <f t="shared" si="135"/>
        <v>2.9594555127455849E-3</v>
      </c>
      <c r="D3791">
        <f t="shared" si="134"/>
        <v>0.1995663197558073</v>
      </c>
    </row>
    <row r="3792" spans="1:4" x14ac:dyDescent="0.3">
      <c r="A3792" s="1">
        <v>31449</v>
      </c>
      <c r="B3792">
        <v>340.79998799999998</v>
      </c>
      <c r="C3792">
        <f t="shared" si="135"/>
        <v>5.6063559564418063E-3</v>
      </c>
      <c r="D3792">
        <f t="shared" si="134"/>
        <v>0.41130747113184535</v>
      </c>
    </row>
    <row r="3793" spans="1:4" x14ac:dyDescent="0.3">
      <c r="A3793" s="1">
        <v>31450</v>
      </c>
      <c r="B3793">
        <v>342.20001200000002</v>
      </c>
      <c r="C3793">
        <f t="shared" si="135"/>
        <v>4.1080517878422885E-3</v>
      </c>
      <c r="D3793">
        <f t="shared" si="134"/>
        <v>0.29144929870743902</v>
      </c>
    </row>
    <row r="3794" spans="1:4" x14ac:dyDescent="0.3">
      <c r="A3794" s="1">
        <v>31453</v>
      </c>
      <c r="B3794">
        <v>344</v>
      </c>
      <c r="C3794">
        <f t="shared" si="135"/>
        <v>5.2600465718276616E-3</v>
      </c>
      <c r="D3794">
        <f t="shared" si="134"/>
        <v>0.38360414439541224</v>
      </c>
    </row>
    <row r="3795" spans="1:4" x14ac:dyDescent="0.3">
      <c r="A3795" s="1">
        <v>31454</v>
      </c>
      <c r="B3795">
        <v>344.89999399999999</v>
      </c>
      <c r="C3795">
        <f t="shared" si="135"/>
        <v>2.6162616279069547E-3</v>
      </c>
      <c r="D3795">
        <f t="shared" si="134"/>
        <v>0.1721122201904037</v>
      </c>
    </row>
    <row r="3796" spans="1:4" x14ac:dyDescent="0.3">
      <c r="A3796" s="1">
        <v>31455</v>
      </c>
      <c r="B3796">
        <v>346.29998799999998</v>
      </c>
      <c r="C3796">
        <f t="shared" si="135"/>
        <v>4.0591302532756567E-3</v>
      </c>
      <c r="D3796">
        <f t="shared" si="134"/>
        <v>0.28753577710866063</v>
      </c>
    </row>
    <row r="3797" spans="1:4" x14ac:dyDescent="0.3">
      <c r="A3797" s="1">
        <v>31456</v>
      </c>
      <c r="B3797">
        <v>347.89999399999999</v>
      </c>
      <c r="C3797">
        <f t="shared" si="135"/>
        <v>4.6202889270674985E-3</v>
      </c>
      <c r="D3797">
        <f t="shared" si="134"/>
        <v>0.33242616351375348</v>
      </c>
    </row>
    <row r="3798" spans="1:4" x14ac:dyDescent="0.3">
      <c r="A3798" s="1">
        <v>31457</v>
      </c>
      <c r="B3798">
        <v>350.20001200000002</v>
      </c>
      <c r="C3798">
        <f t="shared" si="135"/>
        <v>6.6111469953058491E-3</v>
      </c>
      <c r="D3798">
        <f t="shared" si="134"/>
        <v>0.49168662251552891</v>
      </c>
    </row>
    <row r="3799" spans="1:4" x14ac:dyDescent="0.3">
      <c r="A3799" s="1">
        <v>31461</v>
      </c>
      <c r="B3799">
        <v>352.39999399999999</v>
      </c>
      <c r="C3799">
        <f t="shared" si="135"/>
        <v>6.2820728858226796E-3</v>
      </c>
      <c r="D3799">
        <f t="shared" si="134"/>
        <v>0.465362046917699</v>
      </c>
    </row>
    <row r="3800" spans="1:4" x14ac:dyDescent="0.3">
      <c r="A3800" s="1">
        <v>31462</v>
      </c>
      <c r="B3800">
        <v>352.10000600000001</v>
      </c>
      <c r="C3800">
        <f t="shared" si="135"/>
        <v>-8.5127129712716403E-4</v>
      </c>
      <c r="D3800">
        <f t="shared" si="134"/>
        <v>-0.10527615523173965</v>
      </c>
    </row>
    <row r="3801" spans="1:4" x14ac:dyDescent="0.3">
      <c r="A3801" s="1">
        <v>31463</v>
      </c>
      <c r="B3801">
        <v>353.10000600000001</v>
      </c>
      <c r="C3801">
        <f t="shared" si="135"/>
        <v>2.8401021952836887E-3</v>
      </c>
      <c r="D3801">
        <f t="shared" si="134"/>
        <v>0.19001854514262956</v>
      </c>
    </row>
    <row r="3802" spans="1:4" x14ac:dyDescent="0.3">
      <c r="A3802" s="1">
        <v>31464</v>
      </c>
      <c r="B3802">
        <v>355.64999399999999</v>
      </c>
      <c r="C3802">
        <f t="shared" si="135"/>
        <v>7.2217161049835405E-3</v>
      </c>
      <c r="D3802">
        <f t="shared" si="134"/>
        <v>0.54052964061456332</v>
      </c>
    </row>
    <row r="3803" spans="1:4" x14ac:dyDescent="0.3">
      <c r="A3803" s="1">
        <v>31467</v>
      </c>
      <c r="B3803">
        <v>355.29998799999998</v>
      </c>
      <c r="C3803">
        <f t="shared" si="135"/>
        <v>-9.8413048194795588E-4</v>
      </c>
      <c r="D3803">
        <f t="shared" si="134"/>
        <v>-0.11590434369717062</v>
      </c>
    </row>
    <row r="3804" spans="1:4" x14ac:dyDescent="0.3">
      <c r="A3804" s="1">
        <v>31468</v>
      </c>
      <c r="B3804">
        <v>354.89999399999999</v>
      </c>
      <c r="C3804">
        <f t="shared" si="135"/>
        <v>-1.1257923262299476E-3</v>
      </c>
      <c r="D3804">
        <f t="shared" si="134"/>
        <v>-0.12723670872274559</v>
      </c>
    </row>
    <row r="3805" spans="1:4" x14ac:dyDescent="0.3">
      <c r="A3805" s="1">
        <v>31469</v>
      </c>
      <c r="B3805">
        <v>355.29998799999998</v>
      </c>
      <c r="C3805">
        <f t="shared" si="135"/>
        <v>1.127061163038488E-3</v>
      </c>
      <c r="D3805">
        <f t="shared" si="134"/>
        <v>5.2982306629828065E-2</v>
      </c>
    </row>
    <row r="3806" spans="1:4" x14ac:dyDescent="0.3">
      <c r="A3806" s="1">
        <v>31470</v>
      </c>
      <c r="B3806">
        <v>358.10000600000001</v>
      </c>
      <c r="C3806">
        <f t="shared" si="135"/>
        <v>7.8807151549918509E-3</v>
      </c>
      <c r="D3806">
        <f t="shared" si="134"/>
        <v>0.59324685479494277</v>
      </c>
    </row>
    <row r="3807" spans="1:4" x14ac:dyDescent="0.3">
      <c r="A3807" s="1">
        <v>31471</v>
      </c>
      <c r="B3807">
        <v>359.5</v>
      </c>
      <c r="C3807">
        <f t="shared" si="135"/>
        <v>3.9095056591537513E-3</v>
      </c>
      <c r="D3807">
        <f t="shared" si="134"/>
        <v>0.27556642483891552</v>
      </c>
    </row>
    <row r="3808" spans="1:4" x14ac:dyDescent="0.3">
      <c r="A3808" s="1">
        <v>31474</v>
      </c>
      <c r="B3808">
        <v>359.79998799999998</v>
      </c>
      <c r="C3808">
        <f t="shared" si="135"/>
        <v>8.3445897079272556E-4</v>
      </c>
      <c r="D3808">
        <f t="shared" si="134"/>
        <v>2.9575334437570908E-2</v>
      </c>
    </row>
    <row r="3809" spans="1:4" x14ac:dyDescent="0.3">
      <c r="A3809" s="1">
        <v>31475</v>
      </c>
      <c r="B3809">
        <v>362</v>
      </c>
      <c r="C3809">
        <f t="shared" si="135"/>
        <v>6.1145416158268889E-3</v>
      </c>
      <c r="D3809">
        <f t="shared" si="134"/>
        <v>0.45196023421073428</v>
      </c>
    </row>
    <row r="3810" spans="1:4" x14ac:dyDescent="0.3">
      <c r="A3810" s="1">
        <v>31476</v>
      </c>
      <c r="B3810">
        <v>359.79998799999998</v>
      </c>
      <c r="C3810">
        <f t="shared" si="135"/>
        <v>-6.0773812154696549E-3</v>
      </c>
      <c r="D3810">
        <f t="shared" si="134"/>
        <v>-0.52334345880674749</v>
      </c>
    </row>
    <row r="3811" spans="1:4" x14ac:dyDescent="0.3">
      <c r="A3811" s="1">
        <v>31477</v>
      </c>
      <c r="B3811">
        <v>361.5</v>
      </c>
      <c r="C3811">
        <f t="shared" si="135"/>
        <v>4.7248806467442553E-3</v>
      </c>
      <c r="D3811">
        <f t="shared" si="134"/>
        <v>0.34079307100417289</v>
      </c>
    </row>
    <row r="3812" spans="1:4" x14ac:dyDescent="0.3">
      <c r="A3812" s="1">
        <v>31478</v>
      </c>
      <c r="B3812">
        <v>362.20001200000002</v>
      </c>
      <c r="C3812">
        <f t="shared" si="135"/>
        <v>1.9364094052559202E-3</v>
      </c>
      <c r="D3812">
        <f t="shared" si="134"/>
        <v>0.1177268379473647</v>
      </c>
    </row>
    <row r="3813" spans="1:4" x14ac:dyDescent="0.3">
      <c r="A3813" s="1">
        <v>31481</v>
      </c>
      <c r="B3813">
        <v>363.89999399999999</v>
      </c>
      <c r="C3813">
        <f t="shared" si="135"/>
        <v>4.6934896291499217E-3</v>
      </c>
      <c r="D3813">
        <f t="shared" si="134"/>
        <v>0.33828191867726182</v>
      </c>
    </row>
    <row r="3814" spans="1:4" x14ac:dyDescent="0.3">
      <c r="A3814" s="1">
        <v>31482</v>
      </c>
      <c r="B3814">
        <v>367.39999399999999</v>
      </c>
      <c r="C3814">
        <f t="shared" si="135"/>
        <v>9.6180270890578803E-3</v>
      </c>
      <c r="D3814">
        <f t="shared" si="134"/>
        <v>0.73222466565086597</v>
      </c>
    </row>
    <row r="3815" spans="1:4" x14ac:dyDescent="0.3">
      <c r="A3815" s="1">
        <v>31483</v>
      </c>
      <c r="B3815">
        <v>369.70001200000002</v>
      </c>
      <c r="C3815">
        <f t="shared" si="135"/>
        <v>6.260255954168641E-3</v>
      </c>
      <c r="D3815">
        <f t="shared" si="134"/>
        <v>0.46361678209713492</v>
      </c>
    </row>
    <row r="3816" spans="1:4" x14ac:dyDescent="0.3">
      <c r="A3816" s="1">
        <v>31484</v>
      </c>
      <c r="B3816">
        <v>370.39999399999999</v>
      </c>
      <c r="C3816">
        <f t="shared" si="135"/>
        <v>1.8933783534742683E-3</v>
      </c>
      <c r="D3816">
        <f t="shared" si="134"/>
        <v>0.11428453074957476</v>
      </c>
    </row>
    <row r="3817" spans="1:4" x14ac:dyDescent="0.3">
      <c r="A3817" s="1">
        <v>31485</v>
      </c>
      <c r="B3817">
        <v>371.79998799999998</v>
      </c>
      <c r="C3817">
        <f t="shared" si="135"/>
        <v>3.7796814867118826E-3</v>
      </c>
      <c r="D3817">
        <f t="shared" si="134"/>
        <v>0.26518102488375295</v>
      </c>
    </row>
    <row r="3818" spans="1:4" x14ac:dyDescent="0.3">
      <c r="A3818" s="1">
        <v>31488</v>
      </c>
      <c r="B3818">
        <v>370</v>
      </c>
      <c r="C3818">
        <f t="shared" si="135"/>
        <v>-4.8412804144576382E-3</v>
      </c>
      <c r="D3818">
        <f t="shared" si="134"/>
        <v>-0.42446047760265138</v>
      </c>
    </row>
    <row r="3819" spans="1:4" x14ac:dyDescent="0.3">
      <c r="A3819" s="1">
        <v>31489</v>
      </c>
      <c r="B3819">
        <v>371.5</v>
      </c>
      <c r="C3819">
        <f t="shared" si="135"/>
        <v>4.0540540540540543E-3</v>
      </c>
      <c r="D3819">
        <f t="shared" si="134"/>
        <v>0.28712970204438837</v>
      </c>
    </row>
    <row r="3820" spans="1:4" x14ac:dyDescent="0.3">
      <c r="A3820" s="1">
        <v>31490</v>
      </c>
      <c r="B3820">
        <v>371.70001200000002</v>
      </c>
      <c r="C3820">
        <f t="shared" si="135"/>
        <v>5.3839030955589548E-4</v>
      </c>
      <c r="D3820">
        <f t="shared" si="134"/>
        <v>5.891058980234007E-3</v>
      </c>
    </row>
    <row r="3821" spans="1:4" x14ac:dyDescent="0.3">
      <c r="A3821" s="1">
        <v>31491</v>
      </c>
      <c r="B3821">
        <v>372.70001200000002</v>
      </c>
      <c r="C3821">
        <f t="shared" si="135"/>
        <v>2.6903415865372638E-3</v>
      </c>
      <c r="D3821">
        <f t="shared" si="134"/>
        <v>0.17803831226221839</v>
      </c>
    </row>
    <row r="3822" spans="1:4" x14ac:dyDescent="0.3">
      <c r="A3822" s="1">
        <v>31492</v>
      </c>
      <c r="B3822">
        <v>372.60000600000001</v>
      </c>
      <c r="C3822">
        <f t="shared" si="135"/>
        <v>-2.6832840563473763E-4</v>
      </c>
      <c r="D3822">
        <f t="shared" si="134"/>
        <v>-5.8643120987838443E-2</v>
      </c>
    </row>
    <row r="3823" spans="1:4" x14ac:dyDescent="0.3">
      <c r="A3823" s="1">
        <v>31495</v>
      </c>
      <c r="B3823">
        <v>370.70001200000002</v>
      </c>
      <c r="C3823">
        <f t="shared" si="135"/>
        <v>-5.099286015577768E-3</v>
      </c>
      <c r="D3823">
        <f t="shared" si="134"/>
        <v>-0.44509986476689067</v>
      </c>
    </row>
    <row r="3824" spans="1:4" x14ac:dyDescent="0.3">
      <c r="A3824" s="1">
        <v>31496</v>
      </c>
      <c r="B3824">
        <v>369.29998799999998</v>
      </c>
      <c r="C3824">
        <f t="shared" si="135"/>
        <v>-3.7767034115985683E-3</v>
      </c>
      <c r="D3824">
        <f t="shared" si="134"/>
        <v>-0.33929869494071846</v>
      </c>
    </row>
    <row r="3825" spans="1:4" x14ac:dyDescent="0.3">
      <c r="A3825" s="1">
        <v>31497</v>
      </c>
      <c r="B3825">
        <v>370.60000600000001</v>
      </c>
      <c r="C3825">
        <f t="shared" si="135"/>
        <v>3.5202221560863491E-3</v>
      </c>
      <c r="D3825">
        <f t="shared" si="134"/>
        <v>0.24442534533685281</v>
      </c>
    </row>
    <row r="3826" spans="1:4" x14ac:dyDescent="0.3">
      <c r="A3826" s="1">
        <v>31498</v>
      </c>
      <c r="B3826">
        <v>373.29998799999998</v>
      </c>
      <c r="C3826">
        <f t="shared" si="135"/>
        <v>7.285434312702027E-3</v>
      </c>
      <c r="D3826">
        <f t="shared" si="134"/>
        <v>0.54562683522120659</v>
      </c>
    </row>
    <row r="3827" spans="1:4" x14ac:dyDescent="0.3">
      <c r="A3827" s="1">
        <v>31502</v>
      </c>
      <c r="B3827">
        <v>374.70001200000002</v>
      </c>
      <c r="C3827">
        <f t="shared" si="135"/>
        <v>3.7503992633399989E-3</v>
      </c>
      <c r="D3827">
        <f t="shared" si="134"/>
        <v>0.26283856742322426</v>
      </c>
    </row>
    <row r="3828" spans="1:4" x14ac:dyDescent="0.3">
      <c r="A3828" s="1">
        <v>31503</v>
      </c>
      <c r="B3828">
        <v>374.20001200000002</v>
      </c>
      <c r="C3828">
        <f t="shared" si="135"/>
        <v>-1.3344008112815325E-3</v>
      </c>
      <c r="D3828">
        <f t="shared" si="134"/>
        <v>-0.14392452972365627</v>
      </c>
    </row>
    <row r="3829" spans="1:4" x14ac:dyDescent="0.3">
      <c r="A3829" s="1">
        <v>31504</v>
      </c>
      <c r="B3829">
        <v>374.10000600000001</v>
      </c>
      <c r="C3829">
        <f t="shared" si="135"/>
        <v>-2.6725279741575099E-4</v>
      </c>
      <c r="D3829">
        <f t="shared" si="134"/>
        <v>-5.8557076753246937E-2</v>
      </c>
    </row>
    <row r="3830" spans="1:4" x14ac:dyDescent="0.3">
      <c r="A3830" s="1">
        <v>31505</v>
      </c>
      <c r="B3830">
        <v>374.5</v>
      </c>
      <c r="C3830">
        <f t="shared" si="135"/>
        <v>1.0692167698067143E-3</v>
      </c>
      <c r="D3830">
        <f t="shared" si="134"/>
        <v>4.8354993028852392E-2</v>
      </c>
    </row>
    <row r="3831" spans="1:4" x14ac:dyDescent="0.3">
      <c r="A3831" s="1">
        <v>31506</v>
      </c>
      <c r="B3831">
        <v>372.20001200000002</v>
      </c>
      <c r="C3831">
        <f t="shared" si="135"/>
        <v>-6.1414899866488242E-3</v>
      </c>
      <c r="D3831">
        <f t="shared" si="134"/>
        <v>-0.52847189688423879</v>
      </c>
    </row>
    <row r="3832" spans="1:4" x14ac:dyDescent="0.3">
      <c r="A3832" s="1">
        <v>31509</v>
      </c>
      <c r="B3832">
        <v>369.10000600000001</v>
      </c>
      <c r="C3832">
        <f t="shared" si="135"/>
        <v>-8.3288713058934753E-3</v>
      </c>
      <c r="D3832">
        <f t="shared" si="134"/>
        <v>-0.70345340785808141</v>
      </c>
    </row>
    <row r="3833" spans="1:4" x14ac:dyDescent="0.3">
      <c r="A3833" s="1">
        <v>31510</v>
      </c>
      <c r="B3833">
        <v>373.10000600000001</v>
      </c>
      <c r="C3833">
        <f t="shared" si="135"/>
        <v>1.0837171322072533E-2</v>
      </c>
      <c r="D3833">
        <f t="shared" si="134"/>
        <v>0.82975119114099727</v>
      </c>
    </row>
    <row r="3834" spans="1:4" x14ac:dyDescent="0.3">
      <c r="A3834" s="1">
        <v>31511</v>
      </c>
      <c r="B3834">
        <v>374.20001200000002</v>
      </c>
      <c r="C3834">
        <f t="shared" si="135"/>
        <v>2.9482872750208628E-3</v>
      </c>
      <c r="D3834">
        <f t="shared" si="134"/>
        <v>0.19867290666189746</v>
      </c>
    </row>
    <row r="3835" spans="1:4" x14ac:dyDescent="0.3">
      <c r="A3835" s="1">
        <v>31512</v>
      </c>
      <c r="B3835">
        <v>377.20001200000002</v>
      </c>
      <c r="C3835">
        <f t="shared" si="135"/>
        <v>8.0171028962981433E-3</v>
      </c>
      <c r="D3835">
        <f t="shared" si="134"/>
        <v>0.60415731326970279</v>
      </c>
    </row>
    <row r="3836" spans="1:4" x14ac:dyDescent="0.3">
      <c r="A3836" s="1">
        <v>31513</v>
      </c>
      <c r="B3836">
        <v>378.89999399999999</v>
      </c>
      <c r="C3836">
        <f t="shared" si="135"/>
        <v>4.5068450315955376E-3</v>
      </c>
      <c r="D3836">
        <f t="shared" si="134"/>
        <v>0.32335111836008218</v>
      </c>
    </row>
    <row r="3837" spans="1:4" x14ac:dyDescent="0.3">
      <c r="A3837" s="1">
        <v>31516</v>
      </c>
      <c r="B3837">
        <v>380.79998799999998</v>
      </c>
      <c r="C3837">
        <f t="shared" si="135"/>
        <v>5.0144999474452156E-3</v>
      </c>
      <c r="D3837">
        <f t="shared" si="134"/>
        <v>0.36396142413856919</v>
      </c>
    </row>
    <row r="3838" spans="1:4" x14ac:dyDescent="0.3">
      <c r="A3838" s="1">
        <v>31517</v>
      </c>
      <c r="B3838">
        <v>381.70001200000002</v>
      </c>
      <c r="C3838">
        <f t="shared" si="135"/>
        <v>2.3635084778417335E-3</v>
      </c>
      <c r="D3838">
        <f t="shared" si="134"/>
        <v>0.15189300751234933</v>
      </c>
    </row>
    <row r="3839" spans="1:4" x14ac:dyDescent="0.3">
      <c r="A3839" s="1">
        <v>31518</v>
      </c>
      <c r="B3839">
        <v>387.60000600000001</v>
      </c>
      <c r="C3839">
        <f t="shared" si="135"/>
        <v>1.545714910797538E-2</v>
      </c>
      <c r="D3839">
        <f t="shared" si="134"/>
        <v>1.1993304165510552</v>
      </c>
    </row>
    <row r="3840" spans="1:4" x14ac:dyDescent="0.3">
      <c r="A3840" s="1">
        <v>31519</v>
      </c>
      <c r="B3840">
        <v>390</v>
      </c>
      <c r="C3840">
        <f t="shared" si="135"/>
        <v>6.191934888669719E-3</v>
      </c>
      <c r="D3840">
        <f t="shared" si="134"/>
        <v>0.45815137779512122</v>
      </c>
    </row>
    <row r="3841" spans="1:4" x14ac:dyDescent="0.3">
      <c r="A3841" s="1">
        <v>31520</v>
      </c>
      <c r="B3841">
        <v>390.10000600000001</v>
      </c>
      <c r="C3841">
        <f t="shared" si="135"/>
        <v>2.5642564102566046E-4</v>
      </c>
      <c r="D3841">
        <f t="shared" si="134"/>
        <v>-1.6664955056539837E-2</v>
      </c>
    </row>
    <row r="3842" spans="1:4" x14ac:dyDescent="0.3">
      <c r="A3842" s="1">
        <v>31523</v>
      </c>
      <c r="B3842">
        <v>391</v>
      </c>
      <c r="C3842">
        <f t="shared" si="135"/>
        <v>2.3070853272429644E-3</v>
      </c>
      <c r="D3842">
        <f t="shared" si="134"/>
        <v>0.14737938747782942</v>
      </c>
    </row>
    <row r="3843" spans="1:4" x14ac:dyDescent="0.3">
      <c r="A3843" s="1">
        <v>31524</v>
      </c>
      <c r="B3843">
        <v>390.5</v>
      </c>
      <c r="C3843">
        <f t="shared" si="135"/>
        <v>-1.2787723785166241E-3</v>
      </c>
      <c r="D3843">
        <f t="shared" ref="D3843:D3906" si="136">(C3843-avrtn)/sdrtn</f>
        <v>-0.13947448384794595</v>
      </c>
    </row>
    <row r="3844" spans="1:4" x14ac:dyDescent="0.3">
      <c r="A3844" s="1">
        <v>31525</v>
      </c>
      <c r="B3844">
        <v>389.10000600000001</v>
      </c>
      <c r="C3844">
        <f t="shared" ref="C3844:C3907" si="137">(B3844-B3843)/B3843</f>
        <v>-3.5851318822022853E-3</v>
      </c>
      <c r="D3844">
        <f t="shared" si="136"/>
        <v>-0.32397376033585173</v>
      </c>
    </row>
    <row r="3845" spans="1:4" x14ac:dyDescent="0.3">
      <c r="A3845" s="1">
        <v>31526</v>
      </c>
      <c r="B3845">
        <v>391.5</v>
      </c>
      <c r="C3845">
        <f t="shared" si="137"/>
        <v>6.1680646697291298E-3</v>
      </c>
      <c r="D3845">
        <f t="shared" si="136"/>
        <v>0.45624185843480086</v>
      </c>
    </row>
    <row r="3846" spans="1:4" x14ac:dyDescent="0.3">
      <c r="A3846" s="1">
        <v>31527</v>
      </c>
      <c r="B3846">
        <v>392.29998799999998</v>
      </c>
      <c r="C3846">
        <f t="shared" si="137"/>
        <v>2.0433920817368705E-3</v>
      </c>
      <c r="D3846">
        <f t="shared" si="136"/>
        <v>0.12628501215044644</v>
      </c>
    </row>
    <row r="3847" spans="1:4" x14ac:dyDescent="0.3">
      <c r="A3847" s="1">
        <v>31530</v>
      </c>
      <c r="B3847">
        <v>391.39999399999999</v>
      </c>
      <c r="C3847">
        <f t="shared" si="137"/>
        <v>-2.2941474063975561E-3</v>
      </c>
      <c r="D3847">
        <f t="shared" si="136"/>
        <v>-0.2207003108313578</v>
      </c>
    </row>
    <row r="3848" spans="1:4" x14ac:dyDescent="0.3">
      <c r="A3848" s="1">
        <v>31531</v>
      </c>
      <c r="B3848">
        <v>389.20001200000002</v>
      </c>
      <c r="C3848">
        <f t="shared" si="137"/>
        <v>-5.6208023345038103E-3</v>
      </c>
      <c r="D3848">
        <f t="shared" si="136"/>
        <v>-0.4868190257930568</v>
      </c>
    </row>
    <row r="3849" spans="1:4" x14ac:dyDescent="0.3">
      <c r="A3849" s="1">
        <v>31532</v>
      </c>
      <c r="B3849">
        <v>383.20001200000002</v>
      </c>
      <c r="C3849">
        <f t="shared" si="137"/>
        <v>-1.541623796250037E-2</v>
      </c>
      <c r="D3849">
        <f t="shared" si="136"/>
        <v>-1.2704135969608024</v>
      </c>
    </row>
    <row r="3850" spans="1:4" x14ac:dyDescent="0.3">
      <c r="A3850" s="1">
        <v>31533</v>
      </c>
      <c r="B3850">
        <v>381.70001200000002</v>
      </c>
      <c r="C3850">
        <f t="shared" si="137"/>
        <v>-3.9144048878578842E-3</v>
      </c>
      <c r="D3850">
        <f t="shared" si="136"/>
        <v>-0.35031424680961004</v>
      </c>
    </row>
    <row r="3851" spans="1:4" x14ac:dyDescent="0.3">
      <c r="A3851" s="1">
        <v>31534</v>
      </c>
      <c r="B3851">
        <v>383.20001200000002</v>
      </c>
      <c r="C3851">
        <f t="shared" si="137"/>
        <v>3.9297876679134083E-3</v>
      </c>
      <c r="D3851">
        <f t="shared" si="136"/>
        <v>0.27718890213956976</v>
      </c>
    </row>
    <row r="3852" spans="1:4" x14ac:dyDescent="0.3">
      <c r="A3852" s="1">
        <v>31537</v>
      </c>
      <c r="B3852">
        <v>386</v>
      </c>
      <c r="C3852">
        <f t="shared" si="137"/>
        <v>7.306857808762242E-3</v>
      </c>
      <c r="D3852">
        <f t="shared" si="136"/>
        <v>0.54734062681208162</v>
      </c>
    </row>
    <row r="3853" spans="1:4" x14ac:dyDescent="0.3">
      <c r="A3853" s="1">
        <v>31538</v>
      </c>
      <c r="B3853">
        <v>386.29998799999998</v>
      </c>
      <c r="C3853">
        <f t="shared" si="137"/>
        <v>7.7717098445591922E-4</v>
      </c>
      <c r="D3853">
        <f t="shared" si="136"/>
        <v>2.4992531100233802E-2</v>
      </c>
    </row>
    <row r="3854" spans="1:4" x14ac:dyDescent="0.3">
      <c r="A3854" s="1">
        <v>31539</v>
      </c>
      <c r="B3854">
        <v>385.29998799999998</v>
      </c>
      <c r="C3854">
        <f t="shared" si="137"/>
        <v>-2.5886617423348198E-3</v>
      </c>
      <c r="D3854">
        <f t="shared" si="136"/>
        <v>-0.2442602466561532</v>
      </c>
    </row>
    <row r="3855" spans="1:4" x14ac:dyDescent="0.3">
      <c r="A3855" s="1">
        <v>31540</v>
      </c>
      <c r="B3855">
        <v>387.39999399999999</v>
      </c>
      <c r="C3855">
        <f t="shared" si="137"/>
        <v>5.4503142107546797E-3</v>
      </c>
      <c r="D3855">
        <f t="shared" si="136"/>
        <v>0.39882477312436748</v>
      </c>
    </row>
    <row r="3856" spans="1:4" x14ac:dyDescent="0.3">
      <c r="A3856" s="1">
        <v>31541</v>
      </c>
      <c r="B3856">
        <v>389.10000600000001</v>
      </c>
      <c r="C3856">
        <f t="shared" si="137"/>
        <v>4.3882602641444933E-3</v>
      </c>
      <c r="D3856">
        <f t="shared" si="136"/>
        <v>0.31386482458747605</v>
      </c>
    </row>
    <row r="3857" spans="1:4" x14ac:dyDescent="0.3">
      <c r="A3857" s="1">
        <v>31544</v>
      </c>
      <c r="B3857">
        <v>388.10000600000001</v>
      </c>
      <c r="C3857">
        <f t="shared" si="137"/>
        <v>-2.570033370803906E-3</v>
      </c>
      <c r="D3857">
        <f t="shared" si="136"/>
        <v>-0.24277005353400155</v>
      </c>
    </row>
    <row r="3858" spans="1:4" x14ac:dyDescent="0.3">
      <c r="A3858" s="1">
        <v>31545</v>
      </c>
      <c r="B3858">
        <v>386.70001200000002</v>
      </c>
      <c r="C3858">
        <f t="shared" si="137"/>
        <v>-3.6073021859216164E-3</v>
      </c>
      <c r="D3858">
        <f t="shared" si="136"/>
        <v>-0.32574729346856457</v>
      </c>
    </row>
    <row r="3859" spans="1:4" x14ac:dyDescent="0.3">
      <c r="A3859" s="1">
        <v>31546</v>
      </c>
      <c r="B3859">
        <v>387.29998799999998</v>
      </c>
      <c r="C3859">
        <f t="shared" si="137"/>
        <v>1.5515282683776323E-3</v>
      </c>
      <c r="D3859">
        <f t="shared" si="136"/>
        <v>8.6937929637793163E-2</v>
      </c>
    </row>
    <row r="3860" spans="1:4" x14ac:dyDescent="0.3">
      <c r="A3860" s="1">
        <v>31547</v>
      </c>
      <c r="B3860">
        <v>385.60000600000001</v>
      </c>
      <c r="C3860">
        <f t="shared" si="137"/>
        <v>-4.3893159118816635E-3</v>
      </c>
      <c r="D3860">
        <f t="shared" si="136"/>
        <v>-0.38830517588571289</v>
      </c>
    </row>
    <row r="3861" spans="1:4" x14ac:dyDescent="0.3">
      <c r="A3861" s="1">
        <v>31548</v>
      </c>
      <c r="B3861">
        <v>384.70001200000002</v>
      </c>
      <c r="C3861">
        <f t="shared" si="137"/>
        <v>-2.3340092997819932E-3</v>
      </c>
      <c r="D3861">
        <f t="shared" si="136"/>
        <v>-0.22388909838902774</v>
      </c>
    </row>
    <row r="3862" spans="1:4" x14ac:dyDescent="0.3">
      <c r="A3862" s="1">
        <v>31551</v>
      </c>
      <c r="B3862">
        <v>383.70001200000002</v>
      </c>
      <c r="C3862">
        <f t="shared" si="137"/>
        <v>-2.5994280447280047E-3</v>
      </c>
      <c r="D3862">
        <f t="shared" si="136"/>
        <v>-0.24512150657630802</v>
      </c>
    </row>
    <row r="3863" spans="1:4" x14ac:dyDescent="0.3">
      <c r="A3863" s="1">
        <v>31552</v>
      </c>
      <c r="B3863">
        <v>385.29998799999998</v>
      </c>
      <c r="C3863">
        <f t="shared" si="137"/>
        <v>4.1698617408434417E-3</v>
      </c>
      <c r="D3863">
        <f t="shared" si="136"/>
        <v>0.29639384078348585</v>
      </c>
    </row>
    <row r="3864" spans="1:4" x14ac:dyDescent="0.3">
      <c r="A3864" s="1">
        <v>31553</v>
      </c>
      <c r="B3864">
        <v>386.10000600000001</v>
      </c>
      <c r="C3864">
        <f t="shared" si="137"/>
        <v>2.0763509600732789E-3</v>
      </c>
      <c r="D3864">
        <f t="shared" si="136"/>
        <v>0.12892158688964159</v>
      </c>
    </row>
    <row r="3865" spans="1:4" x14ac:dyDescent="0.3">
      <c r="A3865" s="1">
        <v>31554</v>
      </c>
      <c r="B3865">
        <v>389.60000600000001</v>
      </c>
      <c r="C3865">
        <f t="shared" si="137"/>
        <v>9.0650089241386851E-3</v>
      </c>
      <c r="D3865">
        <f t="shared" si="136"/>
        <v>0.6879854864816124</v>
      </c>
    </row>
    <row r="3866" spans="1:4" x14ac:dyDescent="0.3">
      <c r="A3866" s="1">
        <v>31555</v>
      </c>
      <c r="B3866">
        <v>391.89999399999999</v>
      </c>
      <c r="C3866">
        <f t="shared" si="137"/>
        <v>5.9034598680164927E-3</v>
      </c>
      <c r="D3866">
        <f t="shared" si="136"/>
        <v>0.43507456235923592</v>
      </c>
    </row>
    <row r="3867" spans="1:4" x14ac:dyDescent="0.3">
      <c r="A3867" s="1">
        <v>31559</v>
      </c>
      <c r="B3867">
        <v>394.89999399999999</v>
      </c>
      <c r="C3867">
        <f t="shared" si="137"/>
        <v>7.655014151390878E-3</v>
      </c>
      <c r="D3867">
        <f t="shared" si="136"/>
        <v>0.57519170259493724</v>
      </c>
    </row>
    <row r="3868" spans="1:4" x14ac:dyDescent="0.3">
      <c r="A3868" s="1">
        <v>31560</v>
      </c>
      <c r="B3868">
        <v>397.20001200000002</v>
      </c>
      <c r="C3868">
        <f t="shared" si="137"/>
        <v>5.8243049758061605E-3</v>
      </c>
      <c r="D3868">
        <f t="shared" si="136"/>
        <v>0.42874249646927098</v>
      </c>
    </row>
    <row r="3869" spans="1:4" x14ac:dyDescent="0.3">
      <c r="A3869" s="1">
        <v>31561</v>
      </c>
      <c r="B3869">
        <v>398</v>
      </c>
      <c r="C3869">
        <f t="shared" si="137"/>
        <v>2.0140684185074617E-3</v>
      </c>
      <c r="D3869">
        <f t="shared" si="136"/>
        <v>0.12393923967171742</v>
      </c>
    </row>
    <row r="3870" spans="1:4" x14ac:dyDescent="0.3">
      <c r="A3870" s="1">
        <v>31562</v>
      </c>
      <c r="B3870">
        <v>400.20001200000002</v>
      </c>
      <c r="C3870">
        <f t="shared" si="137"/>
        <v>5.527668341708581E-3</v>
      </c>
      <c r="D3870">
        <f t="shared" si="136"/>
        <v>0.40501278551859249</v>
      </c>
    </row>
    <row r="3871" spans="1:4" x14ac:dyDescent="0.3">
      <c r="A3871" s="1">
        <v>31565</v>
      </c>
      <c r="B3871">
        <v>399.39999399999999</v>
      </c>
      <c r="C3871">
        <f t="shared" si="137"/>
        <v>-1.9990454173200345E-3</v>
      </c>
      <c r="D3871">
        <f t="shared" si="136"/>
        <v>-0.19709336517178588</v>
      </c>
    </row>
    <row r="3872" spans="1:4" x14ac:dyDescent="0.3">
      <c r="A3872" s="1">
        <v>31566</v>
      </c>
      <c r="B3872">
        <v>399.5</v>
      </c>
      <c r="C3872">
        <f t="shared" si="137"/>
        <v>2.5039058964033831E-4</v>
      </c>
      <c r="D3872">
        <f t="shared" si="136"/>
        <v>-1.714773435108603E-2</v>
      </c>
    </row>
    <row r="3873" spans="1:4" x14ac:dyDescent="0.3">
      <c r="A3873" s="1">
        <v>31567</v>
      </c>
      <c r="B3873">
        <v>399.10000600000001</v>
      </c>
      <c r="C3873">
        <f t="shared" si="137"/>
        <v>-1.0012365456820837E-3</v>
      </c>
      <c r="D3873">
        <f t="shared" si="136"/>
        <v>-0.11727275845534646</v>
      </c>
    </row>
    <row r="3874" spans="1:4" x14ac:dyDescent="0.3">
      <c r="A3874" s="1">
        <v>31568</v>
      </c>
      <c r="B3874">
        <v>400</v>
      </c>
      <c r="C3874">
        <f t="shared" si="137"/>
        <v>2.2550588485834109E-3</v>
      </c>
      <c r="D3874">
        <f t="shared" si="136"/>
        <v>0.14321748311922367</v>
      </c>
    </row>
    <row r="3875" spans="1:4" x14ac:dyDescent="0.3">
      <c r="A3875" s="1">
        <v>31569</v>
      </c>
      <c r="B3875">
        <v>400.29998799999998</v>
      </c>
      <c r="C3875">
        <f t="shared" si="137"/>
        <v>7.4996999999996203E-4</v>
      </c>
      <c r="D3875">
        <f t="shared" si="136"/>
        <v>2.2816564194873646E-2</v>
      </c>
    </row>
    <row r="3876" spans="1:4" x14ac:dyDescent="0.3">
      <c r="A3876" s="1">
        <v>31572</v>
      </c>
      <c r="B3876">
        <v>394.70001200000002</v>
      </c>
      <c r="C3876">
        <f t="shared" si="137"/>
        <v>-1.39894483334333E-2</v>
      </c>
      <c r="D3876">
        <f t="shared" si="136"/>
        <v>-1.1562762936294479</v>
      </c>
    </row>
    <row r="3877" spans="1:4" x14ac:dyDescent="0.3">
      <c r="A3877" s="1">
        <v>31573</v>
      </c>
      <c r="B3877">
        <v>392.79998799999998</v>
      </c>
      <c r="C3877">
        <f t="shared" si="137"/>
        <v>-4.8138432790319503E-3</v>
      </c>
      <c r="D3877">
        <f t="shared" si="136"/>
        <v>-0.4222656195907713</v>
      </c>
    </row>
    <row r="3878" spans="1:4" x14ac:dyDescent="0.3">
      <c r="A3878" s="1">
        <v>31574</v>
      </c>
      <c r="B3878">
        <v>395.39999399999999</v>
      </c>
      <c r="C3878">
        <f t="shared" si="137"/>
        <v>6.6191600800150933E-3</v>
      </c>
      <c r="D3878">
        <f t="shared" si="136"/>
        <v>0.49232763634226728</v>
      </c>
    </row>
    <row r="3879" spans="1:4" x14ac:dyDescent="0.3">
      <c r="A3879" s="1">
        <v>31575</v>
      </c>
      <c r="B3879">
        <v>396.5</v>
      </c>
      <c r="C3879">
        <f t="shared" si="137"/>
        <v>2.782008135285929E-3</v>
      </c>
      <c r="D3879">
        <f t="shared" si="136"/>
        <v>0.18537125922701089</v>
      </c>
    </row>
    <row r="3880" spans="1:4" x14ac:dyDescent="0.3">
      <c r="A3880" s="1">
        <v>31576</v>
      </c>
      <c r="B3880">
        <v>399.60000600000001</v>
      </c>
      <c r="C3880">
        <f t="shared" si="137"/>
        <v>7.8184262295082161E-3</v>
      </c>
      <c r="D3880">
        <f t="shared" si="136"/>
        <v>0.58826399688984399</v>
      </c>
    </row>
    <row r="3881" spans="1:4" x14ac:dyDescent="0.3">
      <c r="A3881" s="1">
        <v>31579</v>
      </c>
      <c r="B3881">
        <v>398.5</v>
      </c>
      <c r="C3881">
        <f t="shared" si="137"/>
        <v>-2.752767726434938E-3</v>
      </c>
      <c r="D3881">
        <f t="shared" si="136"/>
        <v>-0.25738805057632391</v>
      </c>
    </row>
    <row r="3882" spans="1:4" x14ac:dyDescent="0.3">
      <c r="A3882" s="1">
        <v>31580</v>
      </c>
      <c r="B3882">
        <v>396.29998799999998</v>
      </c>
      <c r="C3882">
        <f t="shared" si="137"/>
        <v>-5.5207327478043041E-3</v>
      </c>
      <c r="D3882">
        <f t="shared" si="136"/>
        <v>-0.47881387034569556</v>
      </c>
    </row>
    <row r="3883" spans="1:4" x14ac:dyDescent="0.3">
      <c r="A3883" s="1">
        <v>31581</v>
      </c>
      <c r="B3883">
        <v>395.20001200000002</v>
      </c>
      <c r="C3883">
        <f t="shared" si="137"/>
        <v>-2.7756145175557505E-3</v>
      </c>
      <c r="D3883">
        <f t="shared" si="136"/>
        <v>-0.25921569991942245</v>
      </c>
    </row>
    <row r="3884" spans="1:4" x14ac:dyDescent="0.3">
      <c r="A3884" s="1">
        <v>31582</v>
      </c>
      <c r="B3884">
        <v>396.39999399999999</v>
      </c>
      <c r="C3884">
        <f t="shared" si="137"/>
        <v>3.036391608206675E-3</v>
      </c>
      <c r="D3884">
        <f t="shared" si="136"/>
        <v>0.20572089102957963</v>
      </c>
    </row>
    <row r="3885" spans="1:4" x14ac:dyDescent="0.3">
      <c r="A3885" s="1">
        <v>31583</v>
      </c>
      <c r="B3885">
        <v>396.89999399999999</v>
      </c>
      <c r="C3885">
        <f t="shared" si="137"/>
        <v>1.2613521886178434E-3</v>
      </c>
      <c r="D3885">
        <f t="shared" si="136"/>
        <v>6.3725036468179744E-2</v>
      </c>
    </row>
    <row r="3886" spans="1:4" x14ac:dyDescent="0.3">
      <c r="A3886" s="1">
        <v>31586</v>
      </c>
      <c r="B3886">
        <v>396.79998799999998</v>
      </c>
      <c r="C3886">
        <f t="shared" si="137"/>
        <v>-2.5196775387204364E-4</v>
      </c>
      <c r="D3886">
        <f t="shared" si="136"/>
        <v>-5.7334336122224959E-2</v>
      </c>
    </row>
    <row r="3887" spans="1:4" x14ac:dyDescent="0.3">
      <c r="A3887" s="1">
        <v>31587</v>
      </c>
      <c r="B3887">
        <v>398.89999399999999</v>
      </c>
      <c r="C3887">
        <f t="shared" si="137"/>
        <v>5.2923539906962087E-3</v>
      </c>
      <c r="D3887">
        <f t="shared" si="136"/>
        <v>0.38618860505599584</v>
      </c>
    </row>
    <row r="3888" spans="1:4" x14ac:dyDescent="0.3">
      <c r="A3888" s="1">
        <v>31588</v>
      </c>
      <c r="B3888">
        <v>402.20001200000002</v>
      </c>
      <c r="C3888">
        <f t="shared" si="137"/>
        <v>8.2727953111977805E-3</v>
      </c>
      <c r="D3888">
        <f t="shared" si="136"/>
        <v>0.62461165504818128</v>
      </c>
    </row>
    <row r="3889" spans="1:4" x14ac:dyDescent="0.3">
      <c r="A3889" s="1">
        <v>31589</v>
      </c>
      <c r="B3889">
        <v>402.89999399999999</v>
      </c>
      <c r="C3889">
        <f t="shared" si="137"/>
        <v>1.7403828421565964E-3</v>
      </c>
      <c r="D3889">
        <f t="shared" si="136"/>
        <v>0.1020455189654627</v>
      </c>
    </row>
    <row r="3890" spans="1:4" x14ac:dyDescent="0.3">
      <c r="A3890" s="1">
        <v>31590</v>
      </c>
      <c r="B3890">
        <v>403.60000600000001</v>
      </c>
      <c r="C3890">
        <f t="shared" si="137"/>
        <v>1.7374336322278903E-3</v>
      </c>
      <c r="D3890">
        <f t="shared" si="136"/>
        <v>0.1018095942983899</v>
      </c>
    </row>
    <row r="3891" spans="1:4" x14ac:dyDescent="0.3">
      <c r="A3891" s="1">
        <v>31593</v>
      </c>
      <c r="B3891">
        <v>405.5</v>
      </c>
      <c r="C3891">
        <f t="shared" si="137"/>
        <v>4.7076163819482018E-3</v>
      </c>
      <c r="D3891">
        <f t="shared" si="136"/>
        <v>0.33941200081156964</v>
      </c>
    </row>
    <row r="3892" spans="1:4" x14ac:dyDescent="0.3">
      <c r="A3892" s="1">
        <v>31594</v>
      </c>
      <c r="B3892">
        <v>407.60000600000001</v>
      </c>
      <c r="C3892">
        <f t="shared" si="137"/>
        <v>5.1788064118372563E-3</v>
      </c>
      <c r="D3892">
        <f t="shared" si="136"/>
        <v>0.3771052656577138</v>
      </c>
    </row>
    <row r="3893" spans="1:4" x14ac:dyDescent="0.3">
      <c r="A3893" s="1">
        <v>31595</v>
      </c>
      <c r="B3893">
        <v>409.5</v>
      </c>
      <c r="C3893">
        <f t="shared" si="137"/>
        <v>4.6614179883009924E-3</v>
      </c>
      <c r="D3893">
        <f t="shared" si="136"/>
        <v>0.33571631928872264</v>
      </c>
    </row>
    <row r="3894" spans="1:4" x14ac:dyDescent="0.3">
      <c r="A3894" s="1">
        <v>31596</v>
      </c>
      <c r="B3894">
        <v>411.20001200000002</v>
      </c>
      <c r="C3894">
        <f t="shared" si="137"/>
        <v>4.1514334554334925E-3</v>
      </c>
      <c r="D3894">
        <f t="shared" si="136"/>
        <v>0.2949196537282523</v>
      </c>
    </row>
    <row r="3895" spans="1:4" x14ac:dyDescent="0.3">
      <c r="A3895" s="1">
        <v>31600</v>
      </c>
      <c r="B3895">
        <v>401</v>
      </c>
      <c r="C3895">
        <f t="shared" si="137"/>
        <v>-2.4805475929801323E-2</v>
      </c>
      <c r="D3895">
        <f t="shared" si="136"/>
        <v>-2.0215140255676607</v>
      </c>
    </row>
    <row r="3896" spans="1:4" x14ac:dyDescent="0.3">
      <c r="A3896" s="1">
        <v>31601</v>
      </c>
      <c r="B3896">
        <v>390.70001200000002</v>
      </c>
      <c r="C3896">
        <f t="shared" si="137"/>
        <v>-2.5685755610972531E-2</v>
      </c>
      <c r="D3896">
        <f t="shared" si="136"/>
        <v>-2.0919327803296794</v>
      </c>
    </row>
    <row r="3897" spans="1:4" x14ac:dyDescent="0.3">
      <c r="A3897" s="1">
        <v>31602</v>
      </c>
      <c r="B3897">
        <v>393.39999399999999</v>
      </c>
      <c r="C3897">
        <f t="shared" si="137"/>
        <v>6.9106268673469534E-3</v>
      </c>
      <c r="D3897">
        <f t="shared" si="136"/>
        <v>0.51564378081022511</v>
      </c>
    </row>
    <row r="3898" spans="1:4" x14ac:dyDescent="0.3">
      <c r="A3898" s="1">
        <v>31603</v>
      </c>
      <c r="B3898">
        <v>392</v>
      </c>
      <c r="C3898">
        <f t="shared" si="137"/>
        <v>-3.5587036638337938E-3</v>
      </c>
      <c r="D3898">
        <f t="shared" si="136"/>
        <v>-0.32185961153985565</v>
      </c>
    </row>
    <row r="3899" spans="1:4" x14ac:dyDescent="0.3">
      <c r="A3899" s="1">
        <v>31604</v>
      </c>
      <c r="B3899">
        <v>391.60000600000001</v>
      </c>
      <c r="C3899">
        <f t="shared" si="137"/>
        <v>-1.0203928571428378E-3</v>
      </c>
      <c r="D3899">
        <f t="shared" si="136"/>
        <v>-0.1188051846009834</v>
      </c>
    </row>
    <row r="3900" spans="1:4" x14ac:dyDescent="0.3">
      <c r="A3900" s="1">
        <v>31607</v>
      </c>
      <c r="B3900">
        <v>384.79998799999998</v>
      </c>
      <c r="C3900">
        <f t="shared" si="137"/>
        <v>-1.7364703513308991E-2</v>
      </c>
      <c r="D3900">
        <f t="shared" si="136"/>
        <v>-1.4262828288872726</v>
      </c>
    </row>
    <row r="3901" spans="1:4" x14ac:dyDescent="0.3">
      <c r="A3901" s="1">
        <v>31608</v>
      </c>
      <c r="B3901">
        <v>378.70001200000002</v>
      </c>
      <c r="C3901">
        <f t="shared" si="137"/>
        <v>-1.5852328976683778E-2</v>
      </c>
      <c r="D3901">
        <f t="shared" si="136"/>
        <v>-1.3052990848785098</v>
      </c>
    </row>
    <row r="3902" spans="1:4" x14ac:dyDescent="0.3">
      <c r="A3902" s="1">
        <v>31609</v>
      </c>
      <c r="B3902">
        <v>379.70001200000002</v>
      </c>
      <c r="C3902">
        <f t="shared" si="137"/>
        <v>2.6406125384543159E-3</v>
      </c>
      <c r="D3902">
        <f t="shared" si="136"/>
        <v>0.17406019290265012</v>
      </c>
    </row>
    <row r="3903" spans="1:4" x14ac:dyDescent="0.3">
      <c r="A3903" s="1">
        <v>31610</v>
      </c>
      <c r="B3903">
        <v>381.60000600000001</v>
      </c>
      <c r="C3903">
        <f t="shared" si="137"/>
        <v>5.0039345271339951E-3</v>
      </c>
      <c r="D3903">
        <f t="shared" si="136"/>
        <v>0.36311623395893944</v>
      </c>
    </row>
    <row r="3904" spans="1:4" x14ac:dyDescent="0.3">
      <c r="A3904" s="1">
        <v>31611</v>
      </c>
      <c r="B3904">
        <v>381.10000600000001</v>
      </c>
      <c r="C3904">
        <f t="shared" si="137"/>
        <v>-1.3102725160858619E-3</v>
      </c>
      <c r="D3904">
        <f t="shared" si="136"/>
        <v>-0.14199436532414531</v>
      </c>
    </row>
    <row r="3905" spans="1:4" x14ac:dyDescent="0.3">
      <c r="A3905" s="1">
        <v>31614</v>
      </c>
      <c r="B3905">
        <v>379.5</v>
      </c>
      <c r="C3905">
        <f t="shared" si="137"/>
        <v>-4.1983888082122141E-3</v>
      </c>
      <c r="D3905">
        <f t="shared" si="136"/>
        <v>-0.37303179268909836</v>
      </c>
    </row>
    <row r="3906" spans="1:4" x14ac:dyDescent="0.3">
      <c r="A3906" s="1">
        <v>31615</v>
      </c>
      <c r="B3906">
        <v>379.89999399999999</v>
      </c>
      <c r="C3906">
        <f t="shared" si="137"/>
        <v>1.0540026350460932E-3</v>
      </c>
      <c r="D3906">
        <f t="shared" si="136"/>
        <v>4.7137924808898661E-2</v>
      </c>
    </row>
    <row r="3907" spans="1:4" x14ac:dyDescent="0.3">
      <c r="A3907" s="1">
        <v>31616</v>
      </c>
      <c r="B3907">
        <v>379.89999399999999</v>
      </c>
      <c r="C3907">
        <f t="shared" si="137"/>
        <v>0</v>
      </c>
      <c r="D3907">
        <f t="shared" ref="D3907:D3970" si="138">(C3907-avrtn)/sdrtn</f>
        <v>-3.7177951910056316E-2</v>
      </c>
    </row>
    <row r="3908" spans="1:4" x14ac:dyDescent="0.3">
      <c r="A3908" s="1">
        <v>31617</v>
      </c>
      <c r="B3908">
        <v>378.70001200000002</v>
      </c>
      <c r="C3908">
        <f t="shared" ref="C3908:C3971" si="139">(B3908-B3907)/B3907</f>
        <v>-3.1586786495184237E-3</v>
      </c>
      <c r="D3908">
        <f t="shared" si="138"/>
        <v>-0.28985925530731366</v>
      </c>
    </row>
    <row r="3909" spans="1:4" x14ac:dyDescent="0.3">
      <c r="A3909" s="1">
        <v>31618</v>
      </c>
      <c r="B3909">
        <v>379.79998799999998</v>
      </c>
      <c r="C3909">
        <f t="shared" si="139"/>
        <v>2.9046104175987448E-3</v>
      </c>
      <c r="D3909">
        <f t="shared" si="138"/>
        <v>0.19517893766843888</v>
      </c>
    </row>
    <row r="3910" spans="1:4" x14ac:dyDescent="0.3">
      <c r="A3910" s="1">
        <v>31621</v>
      </c>
      <c r="B3910">
        <v>374.79998799999998</v>
      </c>
      <c r="C3910">
        <f t="shared" si="139"/>
        <v>-1.3164824007314082E-2</v>
      </c>
      <c r="D3910">
        <f t="shared" si="138"/>
        <v>-1.0903097384154008</v>
      </c>
    </row>
    <row r="3911" spans="1:4" x14ac:dyDescent="0.3">
      <c r="A3911" s="1">
        <v>31622</v>
      </c>
      <c r="B3911">
        <v>372</v>
      </c>
      <c r="C3911">
        <f t="shared" si="139"/>
        <v>-7.4706192359856342E-3</v>
      </c>
      <c r="D3911">
        <f t="shared" si="138"/>
        <v>-0.63479677141905322</v>
      </c>
    </row>
    <row r="3912" spans="1:4" x14ac:dyDescent="0.3">
      <c r="A3912" s="1">
        <v>31623</v>
      </c>
      <c r="B3912">
        <v>370.79998799999998</v>
      </c>
      <c r="C3912">
        <f t="shared" si="139"/>
        <v>-3.22583870967746E-3</v>
      </c>
      <c r="D3912">
        <f t="shared" si="138"/>
        <v>-0.29523178395621907</v>
      </c>
    </row>
    <row r="3913" spans="1:4" x14ac:dyDescent="0.3">
      <c r="A3913" s="1">
        <v>31624</v>
      </c>
      <c r="B3913">
        <v>371.39999399999999</v>
      </c>
      <c r="C3913">
        <f t="shared" si="139"/>
        <v>1.6181392109430371E-3</v>
      </c>
      <c r="D3913">
        <f t="shared" si="138"/>
        <v>9.2266531137193061E-2</v>
      </c>
    </row>
    <row r="3914" spans="1:4" x14ac:dyDescent="0.3">
      <c r="A3914" s="1">
        <v>31625</v>
      </c>
      <c r="B3914">
        <v>370.70001200000002</v>
      </c>
      <c r="C3914">
        <f t="shared" si="139"/>
        <v>-1.8847119313630824E-3</v>
      </c>
      <c r="D3914">
        <f t="shared" si="138"/>
        <v>-0.1879471564373332</v>
      </c>
    </row>
    <row r="3915" spans="1:4" x14ac:dyDescent="0.3">
      <c r="A3915" s="1">
        <v>31628</v>
      </c>
      <c r="B3915">
        <v>366.70001200000002</v>
      </c>
      <c r="C3915">
        <f t="shared" si="139"/>
        <v>-1.0790396197775142E-2</v>
      </c>
      <c r="D3915">
        <f t="shared" si="138"/>
        <v>-0.90036527735777894</v>
      </c>
    </row>
    <row r="3916" spans="1:4" x14ac:dyDescent="0.3">
      <c r="A3916" s="1">
        <v>31629</v>
      </c>
      <c r="B3916">
        <v>366.79998799999998</v>
      </c>
      <c r="C3916">
        <f t="shared" si="139"/>
        <v>2.7263702407506231E-4</v>
      </c>
      <c r="D3916">
        <f t="shared" si="138"/>
        <v>-1.5368111074193107E-2</v>
      </c>
    </row>
    <row r="3917" spans="1:4" x14ac:dyDescent="0.3">
      <c r="A3917" s="1">
        <v>31630</v>
      </c>
      <c r="B3917">
        <v>364.70001200000002</v>
      </c>
      <c r="C3917">
        <f t="shared" si="139"/>
        <v>-5.7251255962417584E-3</v>
      </c>
      <c r="D3917">
        <f t="shared" si="138"/>
        <v>-0.49516445775227713</v>
      </c>
    </row>
    <row r="3918" spans="1:4" x14ac:dyDescent="0.3">
      <c r="A3918" s="1">
        <v>31631</v>
      </c>
      <c r="B3918">
        <v>365.10000600000001</v>
      </c>
      <c r="C3918">
        <f t="shared" si="139"/>
        <v>1.0967753957737529E-3</v>
      </c>
      <c r="D3918">
        <f t="shared" si="138"/>
        <v>5.0559569784468378E-2</v>
      </c>
    </row>
    <row r="3919" spans="1:4" x14ac:dyDescent="0.3">
      <c r="A3919" s="1">
        <v>31632</v>
      </c>
      <c r="B3919">
        <v>365.79998799999998</v>
      </c>
      <c r="C3919">
        <f t="shared" si="139"/>
        <v>1.9172336031130529E-3</v>
      </c>
      <c r="D3919">
        <f t="shared" si="138"/>
        <v>0.11619285262730489</v>
      </c>
    </row>
    <row r="3920" spans="1:4" x14ac:dyDescent="0.3">
      <c r="A3920" s="1">
        <v>31635</v>
      </c>
      <c r="B3920">
        <v>369.89999399999999</v>
      </c>
      <c r="C3920">
        <f t="shared" si="139"/>
        <v>1.1208327322307097E-2</v>
      </c>
      <c r="D3920">
        <f t="shared" si="138"/>
        <v>0.85944214495716997</v>
      </c>
    </row>
    <row r="3921" spans="1:4" x14ac:dyDescent="0.3">
      <c r="A3921" s="1">
        <v>31636</v>
      </c>
      <c r="B3921">
        <v>373.29998799999998</v>
      </c>
      <c r="C3921">
        <f t="shared" si="139"/>
        <v>9.1916573537440833E-3</v>
      </c>
      <c r="D3921">
        <f t="shared" si="138"/>
        <v>0.69811684006858987</v>
      </c>
    </row>
    <row r="3922" spans="1:4" x14ac:dyDescent="0.3">
      <c r="A3922" s="1">
        <v>31637</v>
      </c>
      <c r="B3922">
        <v>376.89999399999999</v>
      </c>
      <c r="C3922">
        <f t="shared" si="139"/>
        <v>9.6437345719925602E-3</v>
      </c>
      <c r="D3922">
        <f t="shared" si="138"/>
        <v>0.73428115857583898</v>
      </c>
    </row>
    <row r="3923" spans="1:4" x14ac:dyDescent="0.3">
      <c r="A3923" s="1">
        <v>31638</v>
      </c>
      <c r="B3923">
        <v>379.5</v>
      </c>
      <c r="C3923">
        <f t="shared" si="139"/>
        <v>6.8983975627232505E-3</v>
      </c>
      <c r="D3923">
        <f t="shared" si="138"/>
        <v>0.51466548672752999</v>
      </c>
    </row>
    <row r="3924" spans="1:4" x14ac:dyDescent="0.3">
      <c r="A3924" s="1">
        <v>31639</v>
      </c>
      <c r="B3924">
        <v>380.20001200000002</v>
      </c>
      <c r="C3924">
        <f t="shared" si="139"/>
        <v>1.8445638998682878E-3</v>
      </c>
      <c r="D3924">
        <f t="shared" si="138"/>
        <v>0.11037957518732894</v>
      </c>
    </row>
    <row r="3925" spans="1:4" x14ac:dyDescent="0.3">
      <c r="A3925" s="1">
        <v>31642</v>
      </c>
      <c r="B3925">
        <v>379.29998799999998</v>
      </c>
      <c r="C3925">
        <f t="shared" si="139"/>
        <v>-2.3672382209183893E-3</v>
      </c>
      <c r="D3925">
        <f t="shared" si="138"/>
        <v>-0.22654727544179926</v>
      </c>
    </row>
    <row r="3926" spans="1:4" x14ac:dyDescent="0.3">
      <c r="A3926" s="1">
        <v>31643</v>
      </c>
      <c r="B3926">
        <v>378.79998799999998</v>
      </c>
      <c r="C3926">
        <f t="shared" si="139"/>
        <v>-1.3182178112802893E-3</v>
      </c>
      <c r="D3926">
        <f t="shared" si="138"/>
        <v>-0.14262995626845043</v>
      </c>
    </row>
    <row r="3927" spans="1:4" x14ac:dyDescent="0.3">
      <c r="A3927" s="1">
        <v>31644</v>
      </c>
      <c r="B3927">
        <v>380.89999399999999</v>
      </c>
      <c r="C3927">
        <f t="shared" si="139"/>
        <v>5.5438386127932178E-3</v>
      </c>
      <c r="D3927">
        <f t="shared" si="138"/>
        <v>0.40630634071281141</v>
      </c>
    </row>
    <row r="3928" spans="1:4" x14ac:dyDescent="0.3">
      <c r="A3928" s="1">
        <v>31645</v>
      </c>
      <c r="B3928">
        <v>381.20001200000002</v>
      </c>
      <c r="C3928">
        <f t="shared" si="139"/>
        <v>7.8765556504582876E-4</v>
      </c>
      <c r="D3928">
        <f t="shared" si="138"/>
        <v>2.583125443457357E-2</v>
      </c>
    </row>
    <row r="3929" spans="1:4" x14ac:dyDescent="0.3">
      <c r="A3929" s="1">
        <v>31646</v>
      </c>
      <c r="B3929">
        <v>381.5</v>
      </c>
      <c r="C3929">
        <f t="shared" si="139"/>
        <v>7.8695695319124176E-4</v>
      </c>
      <c r="D3929">
        <f t="shared" si="138"/>
        <v>2.577536835891572E-2</v>
      </c>
    </row>
    <row r="3930" spans="1:4" x14ac:dyDescent="0.3">
      <c r="A3930" s="1">
        <v>31649</v>
      </c>
      <c r="B3930">
        <v>379.29998799999998</v>
      </c>
      <c r="C3930">
        <f t="shared" si="139"/>
        <v>-5.7667418086501049E-3</v>
      </c>
      <c r="D3930">
        <f t="shared" si="138"/>
        <v>-0.4984935836180569</v>
      </c>
    </row>
    <row r="3931" spans="1:4" x14ac:dyDescent="0.3">
      <c r="A3931" s="1">
        <v>31650</v>
      </c>
      <c r="B3931">
        <v>380.5</v>
      </c>
      <c r="C3931">
        <f t="shared" si="139"/>
        <v>3.1637543843002053E-3</v>
      </c>
      <c r="D3931">
        <f t="shared" si="138"/>
        <v>0.2159093893981974</v>
      </c>
    </row>
    <row r="3932" spans="1:4" x14ac:dyDescent="0.3">
      <c r="A3932" s="1">
        <v>31651</v>
      </c>
      <c r="B3932">
        <v>381.70001200000002</v>
      </c>
      <c r="C3932">
        <f t="shared" si="139"/>
        <v>3.1537766097240873E-3</v>
      </c>
      <c r="D3932">
        <f t="shared" si="138"/>
        <v>0.21511120846096218</v>
      </c>
    </row>
    <row r="3933" spans="1:4" x14ac:dyDescent="0.3">
      <c r="A3933" s="1">
        <v>31652</v>
      </c>
      <c r="B3933">
        <v>382.39999399999999</v>
      </c>
      <c r="C3933">
        <f t="shared" si="139"/>
        <v>1.8338537542408493E-3</v>
      </c>
      <c r="D3933">
        <f t="shared" si="138"/>
        <v>0.10952280757751583</v>
      </c>
    </row>
    <row r="3934" spans="1:4" x14ac:dyDescent="0.3">
      <c r="A3934" s="1">
        <v>31653</v>
      </c>
      <c r="B3934">
        <v>382.89999399999999</v>
      </c>
      <c r="C3934">
        <f t="shared" si="139"/>
        <v>1.3075314012687982E-3</v>
      </c>
      <c r="D3934">
        <f t="shared" si="138"/>
        <v>6.7419183590199064E-2</v>
      </c>
    </row>
    <row r="3935" spans="1:4" x14ac:dyDescent="0.3">
      <c r="A3935" s="1">
        <v>31657</v>
      </c>
      <c r="B3935">
        <v>380.10000600000001</v>
      </c>
      <c r="C3935">
        <f t="shared" si="139"/>
        <v>-7.3125830344097234E-3</v>
      </c>
      <c r="D3935">
        <f t="shared" si="138"/>
        <v>-0.6221545251417242</v>
      </c>
    </row>
    <row r="3936" spans="1:4" x14ac:dyDescent="0.3">
      <c r="A3936" s="1">
        <v>31658</v>
      </c>
      <c r="B3936">
        <v>378.89999399999999</v>
      </c>
      <c r="C3936">
        <f t="shared" si="139"/>
        <v>-3.157095451348178E-3</v>
      </c>
      <c r="D3936">
        <f t="shared" si="138"/>
        <v>-0.28973260596384381</v>
      </c>
    </row>
    <row r="3937" spans="1:4" x14ac:dyDescent="0.3">
      <c r="A3937" s="1">
        <v>31659</v>
      </c>
      <c r="B3937">
        <v>381</v>
      </c>
      <c r="C3937">
        <f t="shared" si="139"/>
        <v>5.5423753846773815E-3</v>
      </c>
      <c r="D3937">
        <f t="shared" si="138"/>
        <v>0.4061892884803745</v>
      </c>
    </row>
    <row r="3938" spans="1:4" x14ac:dyDescent="0.3">
      <c r="A3938" s="1">
        <v>31660</v>
      </c>
      <c r="B3938">
        <v>378.39999399999999</v>
      </c>
      <c r="C3938">
        <f t="shared" si="139"/>
        <v>-6.8241627296588125E-3</v>
      </c>
      <c r="D3938">
        <f t="shared" si="138"/>
        <v>-0.58308290915794514</v>
      </c>
    </row>
    <row r="3939" spans="1:4" x14ac:dyDescent="0.3">
      <c r="A3939" s="1">
        <v>31663</v>
      </c>
      <c r="B3939">
        <v>372</v>
      </c>
      <c r="C3939">
        <f t="shared" si="139"/>
        <v>-1.6913303650845174E-2</v>
      </c>
      <c r="D3939">
        <f t="shared" si="138"/>
        <v>-1.3901726960574929</v>
      </c>
    </row>
    <row r="3940" spans="1:4" x14ac:dyDescent="0.3">
      <c r="A3940" s="1">
        <v>31664</v>
      </c>
      <c r="B3940">
        <v>369.60000600000001</v>
      </c>
      <c r="C3940">
        <f t="shared" si="139"/>
        <v>-6.4515967741935283E-3</v>
      </c>
      <c r="D3940">
        <f t="shared" si="138"/>
        <v>-0.55327916472108529</v>
      </c>
    </row>
    <row r="3941" spans="1:4" x14ac:dyDescent="0.3">
      <c r="A3941" s="1">
        <v>31665</v>
      </c>
      <c r="B3941">
        <v>366.79998799999998</v>
      </c>
      <c r="C3941">
        <f t="shared" si="139"/>
        <v>-7.5758061540724727E-3</v>
      </c>
      <c r="D3941">
        <f t="shared" si="138"/>
        <v>-0.64321129233480856</v>
      </c>
    </row>
    <row r="3942" spans="1:4" x14ac:dyDescent="0.3">
      <c r="A3942" s="1">
        <v>31666</v>
      </c>
      <c r="B3942">
        <v>353.29998799999998</v>
      </c>
      <c r="C3942">
        <f t="shared" si="139"/>
        <v>-3.6804799459262801E-2</v>
      </c>
      <c r="D3942">
        <f t="shared" si="138"/>
        <v>-2.9814105664113981</v>
      </c>
    </row>
    <row r="3943" spans="1:4" x14ac:dyDescent="0.3">
      <c r="A3943" s="1">
        <v>31667</v>
      </c>
      <c r="B3943">
        <v>346.79998799999998</v>
      </c>
      <c r="C3943">
        <f t="shared" si="139"/>
        <v>-1.8397962696788998E-2</v>
      </c>
      <c r="D3943">
        <f t="shared" si="138"/>
        <v>-1.5089393147785233</v>
      </c>
    </row>
    <row r="3944" spans="1:4" x14ac:dyDescent="0.3">
      <c r="A3944" s="1">
        <v>31670</v>
      </c>
      <c r="B3944">
        <v>345.89999399999999</v>
      </c>
      <c r="C3944">
        <f t="shared" si="139"/>
        <v>-2.5951384981016566E-3</v>
      </c>
      <c r="D3944">
        <f t="shared" si="138"/>
        <v>-0.2447783604849213</v>
      </c>
    </row>
    <row r="3945" spans="1:4" x14ac:dyDescent="0.3">
      <c r="A3945" s="1">
        <v>31671</v>
      </c>
      <c r="B3945">
        <v>343.70001200000002</v>
      </c>
      <c r="C3945">
        <f t="shared" si="139"/>
        <v>-6.3601677888435503E-3</v>
      </c>
      <c r="D3945">
        <f t="shared" si="138"/>
        <v>-0.54596522185132135</v>
      </c>
    </row>
    <row r="3946" spans="1:4" x14ac:dyDescent="0.3">
      <c r="A3946" s="1">
        <v>31672</v>
      </c>
      <c r="B3946">
        <v>346.89999399999999</v>
      </c>
      <c r="C3946">
        <f t="shared" si="139"/>
        <v>9.3103924593403182E-3</v>
      </c>
      <c r="D3946">
        <f t="shared" si="138"/>
        <v>0.70761516027461713</v>
      </c>
    </row>
    <row r="3947" spans="1:4" x14ac:dyDescent="0.3">
      <c r="A3947" s="1">
        <v>31673</v>
      </c>
      <c r="B3947">
        <v>348.60000600000001</v>
      </c>
      <c r="C3947">
        <f t="shared" si="139"/>
        <v>4.9005823851355134E-3</v>
      </c>
      <c r="D3947">
        <f t="shared" si="138"/>
        <v>0.35484848758560822</v>
      </c>
    </row>
    <row r="3948" spans="1:4" x14ac:dyDescent="0.3">
      <c r="A3948" s="1">
        <v>31674</v>
      </c>
      <c r="B3948">
        <v>349.39999399999999</v>
      </c>
      <c r="C3948">
        <f t="shared" si="139"/>
        <v>2.2948593982525197E-3</v>
      </c>
      <c r="D3948">
        <f t="shared" si="138"/>
        <v>0.14640136343191423</v>
      </c>
    </row>
    <row r="3949" spans="1:4" x14ac:dyDescent="0.3">
      <c r="A3949" s="1">
        <v>31677</v>
      </c>
      <c r="B3949">
        <v>352.60000600000001</v>
      </c>
      <c r="C3949">
        <f t="shared" si="139"/>
        <v>9.1585920290542851E-3</v>
      </c>
      <c r="D3949">
        <f t="shared" si="138"/>
        <v>0.69547175005883355</v>
      </c>
    </row>
    <row r="3950" spans="1:4" x14ac:dyDescent="0.3">
      <c r="A3950" s="1">
        <v>31678</v>
      </c>
      <c r="B3950">
        <v>353.39999399999999</v>
      </c>
      <c r="C3950">
        <f t="shared" si="139"/>
        <v>2.2688258263954333E-3</v>
      </c>
      <c r="D3950">
        <f t="shared" si="138"/>
        <v>0.14431878473403445</v>
      </c>
    </row>
    <row r="3951" spans="1:4" x14ac:dyDescent="0.3">
      <c r="A3951" s="1">
        <v>31679</v>
      </c>
      <c r="B3951">
        <v>354.5</v>
      </c>
      <c r="C3951">
        <f t="shared" si="139"/>
        <v>3.1126372911030884E-3</v>
      </c>
      <c r="D3951">
        <f t="shared" si="138"/>
        <v>0.21182023213717124</v>
      </c>
    </row>
    <row r="3952" spans="1:4" x14ac:dyDescent="0.3">
      <c r="A3952" s="1">
        <v>31680</v>
      </c>
      <c r="B3952">
        <v>351.5</v>
      </c>
      <c r="C3952">
        <f t="shared" si="139"/>
        <v>-8.4626234132581107E-3</v>
      </c>
      <c r="D3952">
        <f t="shared" si="138"/>
        <v>-0.71415302645530043</v>
      </c>
    </row>
    <row r="3953" spans="1:4" x14ac:dyDescent="0.3">
      <c r="A3953" s="1">
        <v>31681</v>
      </c>
      <c r="B3953">
        <v>351.60000600000001</v>
      </c>
      <c r="C3953">
        <f t="shared" si="139"/>
        <v>2.8451209103842843E-4</v>
      </c>
      <c r="D3953">
        <f t="shared" si="138"/>
        <v>-1.4418154547690945E-2</v>
      </c>
    </row>
    <row r="3954" spans="1:4" x14ac:dyDescent="0.3">
      <c r="A3954" s="1">
        <v>31684</v>
      </c>
      <c r="B3954">
        <v>347.79998799999998</v>
      </c>
      <c r="C3954">
        <f t="shared" si="139"/>
        <v>-1.0807787073814848E-2</v>
      </c>
      <c r="D3954">
        <f t="shared" si="138"/>
        <v>-0.90175647592924579</v>
      </c>
    </row>
    <row r="3955" spans="1:4" x14ac:dyDescent="0.3">
      <c r="A3955" s="1">
        <v>31685</v>
      </c>
      <c r="B3955">
        <v>350.70001200000002</v>
      </c>
      <c r="C3955">
        <f t="shared" si="139"/>
        <v>8.3381946522667234E-3</v>
      </c>
      <c r="D3955">
        <f t="shared" si="138"/>
        <v>0.62984333340999943</v>
      </c>
    </row>
    <row r="3956" spans="1:4" x14ac:dyDescent="0.3">
      <c r="A3956" s="1">
        <v>31686</v>
      </c>
      <c r="B3956">
        <v>352.29998799999998</v>
      </c>
      <c r="C3956">
        <f t="shared" si="139"/>
        <v>4.5622353728347453E-3</v>
      </c>
      <c r="D3956">
        <f t="shared" si="138"/>
        <v>0.32778211789277462</v>
      </c>
    </row>
    <row r="3957" spans="1:4" x14ac:dyDescent="0.3">
      <c r="A3957" s="1">
        <v>31687</v>
      </c>
      <c r="B3957">
        <v>352.60000600000001</v>
      </c>
      <c r="C3957">
        <f t="shared" si="139"/>
        <v>8.5159809883394826E-4</v>
      </c>
      <c r="D3957">
        <f t="shared" si="138"/>
        <v>3.0946394204353102E-2</v>
      </c>
    </row>
    <row r="3958" spans="1:4" x14ac:dyDescent="0.3">
      <c r="A3958" s="1">
        <v>31688</v>
      </c>
      <c r="B3958">
        <v>352.79998799999998</v>
      </c>
      <c r="C3958">
        <f t="shared" si="139"/>
        <v>5.6716391547644279E-4</v>
      </c>
      <c r="D3958">
        <f t="shared" si="138"/>
        <v>8.1928291361032697E-3</v>
      </c>
    </row>
    <row r="3959" spans="1:4" x14ac:dyDescent="0.3">
      <c r="A3959" s="1">
        <v>31691</v>
      </c>
      <c r="B3959">
        <v>353.20001200000002</v>
      </c>
      <c r="C3959">
        <f t="shared" si="139"/>
        <v>1.1338549138500264E-3</v>
      </c>
      <c r="D3959">
        <f t="shared" si="138"/>
        <v>5.3525778758680871E-2</v>
      </c>
    </row>
    <row r="3960" spans="1:4" x14ac:dyDescent="0.3">
      <c r="A3960" s="1">
        <v>31692</v>
      </c>
      <c r="B3960">
        <v>352.39999399999999</v>
      </c>
      <c r="C3960">
        <f t="shared" si="139"/>
        <v>-2.2650565481861385E-3</v>
      </c>
      <c r="D3960">
        <f t="shared" si="138"/>
        <v>-0.21837316179676811</v>
      </c>
    </row>
    <row r="3961" spans="1:4" x14ac:dyDescent="0.3">
      <c r="A3961" s="1">
        <v>31693</v>
      </c>
      <c r="B3961">
        <v>352.89999399999999</v>
      </c>
      <c r="C3961">
        <f t="shared" si="139"/>
        <v>1.4188422489019678E-3</v>
      </c>
      <c r="D3961">
        <f t="shared" si="138"/>
        <v>7.6323593687912222E-2</v>
      </c>
    </row>
    <row r="3962" spans="1:4" x14ac:dyDescent="0.3">
      <c r="A3962" s="1">
        <v>31694</v>
      </c>
      <c r="B3962">
        <v>353.10000600000001</v>
      </c>
      <c r="C3962">
        <f t="shared" si="139"/>
        <v>5.6676679909497304E-4</v>
      </c>
      <c r="D3962">
        <f t="shared" si="138"/>
        <v>8.1610614585380086E-3</v>
      </c>
    </row>
    <row r="3963" spans="1:4" x14ac:dyDescent="0.3">
      <c r="A3963" s="1">
        <v>31695</v>
      </c>
      <c r="B3963">
        <v>353.5</v>
      </c>
      <c r="C3963">
        <f t="shared" si="139"/>
        <v>1.1328065511275931E-3</v>
      </c>
      <c r="D3963">
        <f t="shared" si="138"/>
        <v>5.3441914051779484E-2</v>
      </c>
    </row>
    <row r="3964" spans="1:4" x14ac:dyDescent="0.3">
      <c r="A3964" s="1">
        <v>31698</v>
      </c>
      <c r="B3964">
        <v>354.10000600000001</v>
      </c>
      <c r="C3964">
        <f t="shared" si="139"/>
        <v>1.6973295615276029E-3</v>
      </c>
      <c r="D3964">
        <f t="shared" si="138"/>
        <v>9.8601433551290987E-2</v>
      </c>
    </row>
    <row r="3965" spans="1:4" x14ac:dyDescent="0.3">
      <c r="A3965" s="1">
        <v>31699</v>
      </c>
      <c r="B3965">
        <v>353.79998799999998</v>
      </c>
      <c r="C3965">
        <f t="shared" si="139"/>
        <v>-8.472691186568993E-4</v>
      </c>
      <c r="D3965">
        <f t="shared" si="138"/>
        <v>-0.10495599741117467</v>
      </c>
    </row>
    <row r="3966" spans="1:4" x14ac:dyDescent="0.3">
      <c r="A3966" s="1">
        <v>31700</v>
      </c>
      <c r="B3966">
        <v>355.70001200000002</v>
      </c>
      <c r="C3966">
        <f t="shared" si="139"/>
        <v>5.3703337039119128E-3</v>
      </c>
      <c r="D3966">
        <f t="shared" si="138"/>
        <v>0.39242666145875543</v>
      </c>
    </row>
    <row r="3967" spans="1:4" x14ac:dyDescent="0.3">
      <c r="A3967" s="1">
        <v>31701</v>
      </c>
      <c r="B3967">
        <v>356.39999399999999</v>
      </c>
      <c r="C3967">
        <f t="shared" si="139"/>
        <v>1.96789984926955E-3</v>
      </c>
      <c r="D3967">
        <f t="shared" si="138"/>
        <v>0.12024594397897558</v>
      </c>
    </row>
    <row r="3968" spans="1:4" x14ac:dyDescent="0.3">
      <c r="A3968" s="1">
        <v>31702</v>
      </c>
      <c r="B3968">
        <v>355.70001200000002</v>
      </c>
      <c r="C3968">
        <f t="shared" si="139"/>
        <v>-1.964034825432621E-3</v>
      </c>
      <c r="D3968">
        <f t="shared" si="138"/>
        <v>-0.19429266178520688</v>
      </c>
    </row>
    <row r="3969" spans="1:4" x14ac:dyDescent="0.3">
      <c r="A3969" s="1">
        <v>31705</v>
      </c>
      <c r="B3969">
        <v>353.5</v>
      </c>
      <c r="C3969">
        <f t="shared" si="139"/>
        <v>-6.1850208765245E-3</v>
      </c>
      <c r="D3969">
        <f t="shared" si="138"/>
        <v>-0.53195418907420411</v>
      </c>
    </row>
    <row r="3970" spans="1:4" x14ac:dyDescent="0.3">
      <c r="A3970" s="1">
        <v>31706</v>
      </c>
      <c r="B3970">
        <v>353.10000600000001</v>
      </c>
      <c r="C3970">
        <f t="shared" si="139"/>
        <v>-1.1315247524752261E-3</v>
      </c>
      <c r="D3970">
        <f t="shared" si="138"/>
        <v>-0.12769527925049029</v>
      </c>
    </row>
    <row r="3971" spans="1:4" x14ac:dyDescent="0.3">
      <c r="A3971" s="1">
        <v>31707</v>
      </c>
      <c r="B3971">
        <v>353.89999399999999</v>
      </c>
      <c r="C3971">
        <f t="shared" si="139"/>
        <v>2.2656131022551862E-3</v>
      </c>
      <c r="D3971">
        <f t="shared" ref="D3971:D4034" si="140">(C3971-avrtn)/sdrtn</f>
        <v>0.14406178001361528</v>
      </c>
    </row>
    <row r="3972" spans="1:4" x14ac:dyDescent="0.3">
      <c r="A3972" s="1">
        <v>31708</v>
      </c>
      <c r="B3972">
        <v>356.20001200000002</v>
      </c>
      <c r="C3972">
        <f t="shared" ref="C3972:C4035" si="141">(B3972-B3971)/B3971</f>
        <v>6.4990619920723223E-3</v>
      </c>
      <c r="D3972">
        <f t="shared" si="140"/>
        <v>0.48272028315313403</v>
      </c>
    </row>
    <row r="3973" spans="1:4" x14ac:dyDescent="0.3">
      <c r="A3973" s="1">
        <v>31709</v>
      </c>
      <c r="B3973">
        <v>356.70001200000002</v>
      </c>
      <c r="C3973">
        <f t="shared" si="141"/>
        <v>1.4037057359784703E-3</v>
      </c>
      <c r="D3973">
        <f t="shared" si="140"/>
        <v>7.5112734895745478E-2</v>
      </c>
    </row>
    <row r="3974" spans="1:4" x14ac:dyDescent="0.3">
      <c r="A3974" s="1">
        <v>31712</v>
      </c>
      <c r="B3974">
        <v>356.60000600000001</v>
      </c>
      <c r="C3974">
        <f t="shared" si="141"/>
        <v>-2.8036444248846168E-4</v>
      </c>
      <c r="D3974">
        <f t="shared" si="140"/>
        <v>-5.96059544436571E-2</v>
      </c>
    </row>
    <row r="3975" spans="1:4" x14ac:dyDescent="0.3">
      <c r="A3975" s="1">
        <v>31713</v>
      </c>
      <c r="B3975">
        <v>357.20001200000002</v>
      </c>
      <c r="C3975">
        <f t="shared" si="141"/>
        <v>1.6825742846454342E-3</v>
      </c>
      <c r="D3975">
        <f t="shared" si="140"/>
        <v>9.7421072074778584E-2</v>
      </c>
    </row>
    <row r="3976" spans="1:4" x14ac:dyDescent="0.3">
      <c r="A3976" s="1">
        <v>31714</v>
      </c>
      <c r="B3976">
        <v>358.5</v>
      </c>
      <c r="C3976">
        <f t="shared" si="141"/>
        <v>3.639383976280451E-3</v>
      </c>
      <c r="D3976">
        <f t="shared" si="140"/>
        <v>0.25395780095604847</v>
      </c>
    </row>
    <row r="3977" spans="1:4" x14ac:dyDescent="0.3">
      <c r="A3977" s="1">
        <v>31715</v>
      </c>
      <c r="B3977">
        <v>361.10000600000001</v>
      </c>
      <c r="C3977">
        <f t="shared" si="141"/>
        <v>7.2524574616457671E-3</v>
      </c>
      <c r="D3977">
        <f t="shared" si="140"/>
        <v>0.5429888227383276</v>
      </c>
    </row>
    <row r="3978" spans="1:4" x14ac:dyDescent="0.3">
      <c r="A3978" s="1">
        <v>31716</v>
      </c>
      <c r="B3978">
        <v>360.79998799999998</v>
      </c>
      <c r="C3978">
        <f t="shared" si="141"/>
        <v>-8.3084462756841592E-4</v>
      </c>
      <c r="D3978">
        <f t="shared" si="140"/>
        <v>-0.10364210566200691</v>
      </c>
    </row>
    <row r="3979" spans="1:4" x14ac:dyDescent="0.3">
      <c r="A3979" s="1">
        <v>31719</v>
      </c>
      <c r="B3979">
        <v>361.10000600000001</v>
      </c>
      <c r="C3979">
        <f t="shared" si="141"/>
        <v>8.3153550437485818E-4</v>
      </c>
      <c r="D3979">
        <f t="shared" si="140"/>
        <v>2.9341469145507258E-2</v>
      </c>
    </row>
    <row r="3980" spans="1:4" x14ac:dyDescent="0.3">
      <c r="A3980" s="1">
        <v>31720</v>
      </c>
      <c r="B3980">
        <v>361.89999399999999</v>
      </c>
      <c r="C3980">
        <f t="shared" si="141"/>
        <v>2.2154195145595895E-3</v>
      </c>
      <c r="D3980">
        <f t="shared" si="140"/>
        <v>0.14004649939523342</v>
      </c>
    </row>
    <row r="3981" spans="1:4" x14ac:dyDescent="0.3">
      <c r="A3981" s="1">
        <v>31721</v>
      </c>
      <c r="B3981">
        <v>362.10000600000001</v>
      </c>
      <c r="C3981">
        <f t="shared" si="141"/>
        <v>5.5267201800510439E-4</v>
      </c>
      <c r="D3981">
        <f t="shared" si="140"/>
        <v>7.0335369294346707E-3</v>
      </c>
    </row>
    <row r="3982" spans="1:4" x14ac:dyDescent="0.3">
      <c r="A3982" s="1">
        <v>31722</v>
      </c>
      <c r="B3982">
        <v>361.20001200000002</v>
      </c>
      <c r="C3982">
        <f t="shared" si="141"/>
        <v>-2.4854846315578143E-3</v>
      </c>
      <c r="D3982">
        <f t="shared" si="140"/>
        <v>-0.23600650206080737</v>
      </c>
    </row>
    <row r="3983" spans="1:4" x14ac:dyDescent="0.3">
      <c r="A3983" s="1">
        <v>31723</v>
      </c>
      <c r="B3983">
        <v>361</v>
      </c>
      <c r="C3983">
        <f t="shared" si="141"/>
        <v>-5.5374306023006214E-4</v>
      </c>
      <c r="D3983">
        <f t="shared" si="140"/>
        <v>-8.1475119723391984E-2</v>
      </c>
    </row>
    <row r="3984" spans="1:4" x14ac:dyDescent="0.3">
      <c r="A3984" s="1">
        <v>31726</v>
      </c>
      <c r="B3984">
        <v>360</v>
      </c>
      <c r="C3984">
        <f t="shared" si="141"/>
        <v>-2.7700831024930748E-3</v>
      </c>
      <c r="D3984">
        <f t="shared" si="140"/>
        <v>-0.25877320945972304</v>
      </c>
    </row>
    <row r="3985" spans="1:4" x14ac:dyDescent="0.3">
      <c r="A3985" s="1">
        <v>31727</v>
      </c>
      <c r="B3985">
        <v>361.29998799999998</v>
      </c>
      <c r="C3985">
        <f t="shared" si="141"/>
        <v>3.6110777777777357E-3</v>
      </c>
      <c r="D3985">
        <f t="shared" si="140"/>
        <v>0.251693421471615</v>
      </c>
    </row>
    <row r="3986" spans="1:4" x14ac:dyDescent="0.3">
      <c r="A3986" s="1">
        <v>31728</v>
      </c>
      <c r="B3986">
        <v>361.20001200000002</v>
      </c>
      <c r="C3986">
        <f t="shared" si="141"/>
        <v>-2.7671188297955228E-4</v>
      </c>
      <c r="D3986">
        <f t="shared" si="140"/>
        <v>-5.9313764702358787E-2</v>
      </c>
    </row>
    <row r="3987" spans="1:4" x14ac:dyDescent="0.3">
      <c r="A3987" s="1">
        <v>31729</v>
      </c>
      <c r="B3987">
        <v>358</v>
      </c>
      <c r="C3987">
        <f t="shared" si="141"/>
        <v>-8.8593906248264874E-3</v>
      </c>
      <c r="D3987">
        <f t="shared" si="140"/>
        <v>-0.74589277186424796</v>
      </c>
    </row>
    <row r="3988" spans="1:4" x14ac:dyDescent="0.3">
      <c r="A3988" s="1">
        <v>31730</v>
      </c>
      <c r="B3988">
        <v>358.5</v>
      </c>
      <c r="C3988">
        <f t="shared" si="141"/>
        <v>1.3966480446927375E-3</v>
      </c>
      <c r="D3988">
        <f t="shared" si="140"/>
        <v>7.4548148614286824E-2</v>
      </c>
    </row>
    <row r="3989" spans="1:4" x14ac:dyDescent="0.3">
      <c r="A3989" s="1">
        <v>31733</v>
      </c>
      <c r="B3989">
        <v>357.10000600000001</v>
      </c>
      <c r="C3989">
        <f t="shared" si="141"/>
        <v>-3.9051436541143441E-3</v>
      </c>
      <c r="D3989">
        <f t="shared" si="140"/>
        <v>-0.34957338619254752</v>
      </c>
    </row>
    <row r="3990" spans="1:4" x14ac:dyDescent="0.3">
      <c r="A3990" s="1">
        <v>31734</v>
      </c>
      <c r="B3990">
        <v>352.60000600000001</v>
      </c>
      <c r="C3990">
        <f t="shared" si="141"/>
        <v>-1.2601511969730967E-2</v>
      </c>
      <c r="D3990">
        <f t="shared" si="140"/>
        <v>-1.0452470917616909</v>
      </c>
    </row>
    <row r="3991" spans="1:4" x14ac:dyDescent="0.3">
      <c r="A3991" s="1">
        <v>31735</v>
      </c>
      <c r="B3991">
        <v>349.79998799999998</v>
      </c>
      <c r="C3991">
        <f t="shared" si="141"/>
        <v>-7.9410605568736789E-3</v>
      </c>
      <c r="D3991">
        <f t="shared" si="140"/>
        <v>-0.67243014262382639</v>
      </c>
    </row>
    <row r="3992" spans="1:4" x14ac:dyDescent="0.3">
      <c r="A3992" s="1">
        <v>31736</v>
      </c>
      <c r="B3992">
        <v>352.20001200000002</v>
      </c>
      <c r="C3992">
        <f t="shared" si="141"/>
        <v>6.8611323108451064E-3</v>
      </c>
      <c r="D3992">
        <f t="shared" si="140"/>
        <v>0.5116844198129098</v>
      </c>
    </row>
    <row r="3993" spans="1:4" x14ac:dyDescent="0.3">
      <c r="A3993" s="1">
        <v>31737</v>
      </c>
      <c r="B3993">
        <v>354.70001200000002</v>
      </c>
      <c r="C3993">
        <f t="shared" si="141"/>
        <v>7.0982393947221101E-3</v>
      </c>
      <c r="D3993">
        <f t="shared" si="140"/>
        <v>0.53065201153291541</v>
      </c>
    </row>
    <row r="3994" spans="1:4" x14ac:dyDescent="0.3">
      <c r="A3994" s="1">
        <v>31740</v>
      </c>
      <c r="B3994">
        <v>356.10000600000001</v>
      </c>
      <c r="C3994">
        <f t="shared" si="141"/>
        <v>3.9469804134091551E-3</v>
      </c>
      <c r="D3994">
        <f t="shared" si="140"/>
        <v>0.27856425108223759</v>
      </c>
    </row>
    <row r="3995" spans="1:4" x14ac:dyDescent="0.3">
      <c r="A3995" s="1">
        <v>31741</v>
      </c>
      <c r="B3995">
        <v>357</v>
      </c>
      <c r="C3995">
        <f t="shared" si="141"/>
        <v>2.5273630576686718E-3</v>
      </c>
      <c r="D3995">
        <f t="shared" si="140"/>
        <v>0.16500070012444618</v>
      </c>
    </row>
    <row r="3996" spans="1:4" x14ac:dyDescent="0.3">
      <c r="A3996" s="1">
        <v>31742</v>
      </c>
      <c r="B3996">
        <v>358.20001200000002</v>
      </c>
      <c r="C3996">
        <f t="shared" si="141"/>
        <v>3.3613781512605466E-3</v>
      </c>
      <c r="D3996">
        <f t="shared" si="140"/>
        <v>0.2317184781212393</v>
      </c>
    </row>
    <row r="3997" spans="1:4" x14ac:dyDescent="0.3">
      <c r="A3997" s="1">
        <v>31744</v>
      </c>
      <c r="B3997">
        <v>359.60000600000001</v>
      </c>
      <c r="C3997">
        <f t="shared" si="141"/>
        <v>3.9084141627555068E-3</v>
      </c>
      <c r="D3997">
        <f t="shared" si="140"/>
        <v>0.27547910961531602</v>
      </c>
    </row>
    <row r="3998" spans="1:4" x14ac:dyDescent="0.3">
      <c r="A3998" s="1">
        <v>31747</v>
      </c>
      <c r="B3998">
        <v>357.89999399999999</v>
      </c>
      <c r="C3998">
        <f t="shared" si="141"/>
        <v>-4.7275082637234858E-3</v>
      </c>
      <c r="D3998">
        <f t="shared" si="140"/>
        <v>-0.41535917337779837</v>
      </c>
    </row>
    <row r="3999" spans="1:4" x14ac:dyDescent="0.3">
      <c r="A3999" s="1">
        <v>31748</v>
      </c>
      <c r="B3999">
        <v>360.70001200000002</v>
      </c>
      <c r="C3999">
        <f t="shared" si="141"/>
        <v>7.8234647860877665E-3</v>
      </c>
      <c r="D3999">
        <f t="shared" si="140"/>
        <v>0.5886670606975396</v>
      </c>
    </row>
    <row r="4000" spans="1:4" x14ac:dyDescent="0.3">
      <c r="A4000" s="1">
        <v>31749</v>
      </c>
      <c r="B4000">
        <v>363</v>
      </c>
      <c r="C4000">
        <f t="shared" si="141"/>
        <v>6.3764566772456458E-3</v>
      </c>
      <c r="D4000">
        <f t="shared" si="140"/>
        <v>0.47291236212306698</v>
      </c>
    </row>
    <row r="4001" spans="1:4" x14ac:dyDescent="0.3">
      <c r="A4001" s="1">
        <v>31750</v>
      </c>
      <c r="B4001">
        <v>364.10000600000001</v>
      </c>
      <c r="C4001">
        <f t="shared" si="141"/>
        <v>3.0303195592286713E-3</v>
      </c>
      <c r="D4001">
        <f t="shared" si="140"/>
        <v>0.2052351520797539</v>
      </c>
    </row>
    <row r="4002" spans="1:4" x14ac:dyDescent="0.3">
      <c r="A4002" s="1">
        <v>31751</v>
      </c>
      <c r="B4002">
        <v>363</v>
      </c>
      <c r="C4002">
        <f t="shared" si="141"/>
        <v>-3.0211644654573491E-3</v>
      </c>
      <c r="D4002">
        <f t="shared" si="140"/>
        <v>-0.27885868604413133</v>
      </c>
    </row>
    <row r="4003" spans="1:4" x14ac:dyDescent="0.3">
      <c r="A4003" s="1">
        <v>31754</v>
      </c>
      <c r="B4003">
        <v>361</v>
      </c>
      <c r="C4003">
        <f t="shared" si="141"/>
        <v>-5.5096418732782371E-3</v>
      </c>
      <c r="D4003">
        <f t="shared" si="140"/>
        <v>-0.47792664598955875</v>
      </c>
    </row>
    <row r="4004" spans="1:4" x14ac:dyDescent="0.3">
      <c r="A4004" s="1">
        <v>31755</v>
      </c>
      <c r="B4004">
        <v>359</v>
      </c>
      <c r="C4004">
        <f t="shared" si="141"/>
        <v>-5.5401662049861496E-3</v>
      </c>
      <c r="D4004">
        <f t="shared" si="140"/>
        <v>-0.48036846700938979</v>
      </c>
    </row>
    <row r="4005" spans="1:4" x14ac:dyDescent="0.3">
      <c r="A4005" s="1">
        <v>31756</v>
      </c>
      <c r="B4005">
        <v>359.10000600000001</v>
      </c>
      <c r="C4005">
        <f t="shared" si="141"/>
        <v>2.7856824512536931E-4</v>
      </c>
      <c r="D4005">
        <f t="shared" si="140"/>
        <v>-1.4893637779495239E-2</v>
      </c>
    </row>
    <row r="4006" spans="1:4" x14ac:dyDescent="0.3">
      <c r="A4006" s="1">
        <v>31757</v>
      </c>
      <c r="B4006">
        <v>357.70001200000002</v>
      </c>
      <c r="C4006">
        <f t="shared" si="141"/>
        <v>-3.8986187040052356E-3</v>
      </c>
      <c r="D4006">
        <f t="shared" si="140"/>
        <v>-0.34905141701457404</v>
      </c>
    </row>
    <row r="4007" spans="1:4" x14ac:dyDescent="0.3">
      <c r="A4007" s="1">
        <v>31758</v>
      </c>
      <c r="B4007">
        <v>355.89999399999999</v>
      </c>
      <c r="C4007">
        <f t="shared" si="141"/>
        <v>-5.032199998919829E-3</v>
      </c>
      <c r="D4007">
        <f t="shared" si="140"/>
        <v>-0.43973325929360435</v>
      </c>
    </row>
    <row r="4008" spans="1:4" x14ac:dyDescent="0.3">
      <c r="A4008" s="1">
        <v>31761</v>
      </c>
      <c r="B4008">
        <v>353</v>
      </c>
      <c r="C4008">
        <f t="shared" si="141"/>
        <v>-8.1483395585558571E-3</v>
      </c>
      <c r="D4008">
        <f t="shared" si="140"/>
        <v>-0.68901161042205272</v>
      </c>
    </row>
    <row r="4009" spans="1:4" x14ac:dyDescent="0.3">
      <c r="A4009" s="1">
        <v>31762</v>
      </c>
      <c r="B4009">
        <v>353.79998799999998</v>
      </c>
      <c r="C4009">
        <f t="shared" si="141"/>
        <v>2.266254957507039E-3</v>
      </c>
      <c r="D4009">
        <f t="shared" si="140"/>
        <v>0.14411312579443894</v>
      </c>
    </row>
    <row r="4010" spans="1:4" x14ac:dyDescent="0.3">
      <c r="A4010" s="1">
        <v>31763</v>
      </c>
      <c r="B4010">
        <v>352.29998799999998</v>
      </c>
      <c r="C4010">
        <f t="shared" si="141"/>
        <v>-4.2396835807693694E-3</v>
      </c>
      <c r="D4010">
        <f t="shared" si="140"/>
        <v>-0.37633520468855142</v>
      </c>
    </row>
    <row r="4011" spans="1:4" x14ac:dyDescent="0.3">
      <c r="A4011" s="1">
        <v>31764</v>
      </c>
      <c r="B4011">
        <v>351.39999399999999</v>
      </c>
      <c r="C4011">
        <f t="shared" si="141"/>
        <v>-2.5546239871004268E-3</v>
      </c>
      <c r="D4011">
        <f t="shared" si="140"/>
        <v>-0.24153736620148761</v>
      </c>
    </row>
    <row r="4012" spans="1:4" x14ac:dyDescent="0.3">
      <c r="A4012" s="1">
        <v>31765</v>
      </c>
      <c r="B4012">
        <v>352.20001200000002</v>
      </c>
      <c r="C4012">
        <f t="shared" si="141"/>
        <v>2.2766591168468342E-3</v>
      </c>
      <c r="D4012">
        <f t="shared" si="140"/>
        <v>0.14494541575946371</v>
      </c>
    </row>
    <row r="4013" spans="1:4" x14ac:dyDescent="0.3">
      <c r="A4013" s="1">
        <v>31768</v>
      </c>
      <c r="B4013">
        <v>351.29998799999998</v>
      </c>
      <c r="C4013">
        <f t="shared" si="141"/>
        <v>-2.5554343251982352E-3</v>
      </c>
      <c r="D4013">
        <f t="shared" si="140"/>
        <v>-0.2416021899171821</v>
      </c>
    </row>
    <row r="4014" spans="1:4" x14ac:dyDescent="0.3">
      <c r="A4014" s="1">
        <v>31769</v>
      </c>
      <c r="B4014">
        <v>348.79998799999998</v>
      </c>
      <c r="C4014">
        <f t="shared" si="141"/>
        <v>-7.1164249513153985E-3</v>
      </c>
      <c r="D4014">
        <f t="shared" si="140"/>
        <v>-0.60646268510103563</v>
      </c>
    </row>
    <row r="4015" spans="1:4" x14ac:dyDescent="0.3">
      <c r="A4015" s="1">
        <v>31770</v>
      </c>
      <c r="B4015">
        <v>349.60000600000001</v>
      </c>
      <c r="C4015">
        <f t="shared" si="141"/>
        <v>2.2936296660653064E-3</v>
      </c>
      <c r="D4015">
        <f t="shared" si="140"/>
        <v>0.14630298991362614</v>
      </c>
    </row>
    <row r="4016" spans="1:4" x14ac:dyDescent="0.3">
      <c r="A4016" s="1">
        <v>31772</v>
      </c>
      <c r="B4016">
        <v>349.89999399999999</v>
      </c>
      <c r="C4016">
        <f t="shared" si="141"/>
        <v>8.5808923012428327E-4</v>
      </c>
      <c r="D4016">
        <f t="shared" si="140"/>
        <v>3.1465658015888548E-2</v>
      </c>
    </row>
    <row r="4017" spans="1:4" x14ac:dyDescent="0.3">
      <c r="A4017" s="1">
        <v>31775</v>
      </c>
      <c r="B4017">
        <v>348</v>
      </c>
      <c r="C4017">
        <f t="shared" si="141"/>
        <v>-5.4301058376125394E-3</v>
      </c>
      <c r="D4017">
        <f t="shared" si="140"/>
        <v>-0.47156409019043583</v>
      </c>
    </row>
    <row r="4018" spans="1:4" x14ac:dyDescent="0.3">
      <c r="A4018" s="1">
        <v>31776</v>
      </c>
      <c r="B4018">
        <v>347.29998799999998</v>
      </c>
      <c r="C4018">
        <f t="shared" si="141"/>
        <v>-2.0115287356322277E-3</v>
      </c>
      <c r="D4018">
        <f t="shared" si="140"/>
        <v>-0.19809197930504974</v>
      </c>
    </row>
    <row r="4019" spans="1:4" x14ac:dyDescent="0.3">
      <c r="A4019" s="1">
        <v>31777</v>
      </c>
      <c r="B4019">
        <v>348.79998799999998</v>
      </c>
      <c r="C4019">
        <f t="shared" si="141"/>
        <v>4.3190326859441179E-3</v>
      </c>
      <c r="D4019">
        <f t="shared" si="140"/>
        <v>0.30832690299694848</v>
      </c>
    </row>
    <row r="4020" spans="1:4" x14ac:dyDescent="0.3">
      <c r="A4020" s="1">
        <v>31779</v>
      </c>
      <c r="B4020">
        <v>353.20001200000002</v>
      </c>
      <c r="C4020">
        <f t="shared" si="141"/>
        <v>1.2614748140415735E-2</v>
      </c>
      <c r="D4020">
        <f t="shared" si="140"/>
        <v>0.97195002716890078</v>
      </c>
    </row>
    <row r="4021" spans="1:4" x14ac:dyDescent="0.3">
      <c r="A4021" s="1">
        <v>31782</v>
      </c>
      <c r="B4021">
        <v>361.20001200000002</v>
      </c>
      <c r="C4021">
        <f t="shared" si="141"/>
        <v>2.2650055855603989E-2</v>
      </c>
      <c r="D4021">
        <f t="shared" si="140"/>
        <v>1.7747333789520654</v>
      </c>
    </row>
    <row r="4022" spans="1:4" x14ac:dyDescent="0.3">
      <c r="A4022" s="1">
        <v>31783</v>
      </c>
      <c r="B4022">
        <v>366</v>
      </c>
      <c r="C4022">
        <f t="shared" si="141"/>
        <v>1.3289002880763982E-2</v>
      </c>
      <c r="D4022">
        <f t="shared" si="140"/>
        <v>1.0258876338447016</v>
      </c>
    </row>
    <row r="4023" spans="1:4" x14ac:dyDescent="0.3">
      <c r="A4023" s="1">
        <v>31784</v>
      </c>
      <c r="B4023">
        <v>372.39999399999999</v>
      </c>
      <c r="C4023">
        <f t="shared" si="141"/>
        <v>1.7486322404371563E-2</v>
      </c>
      <c r="D4023">
        <f t="shared" si="140"/>
        <v>1.3616559362522973</v>
      </c>
    </row>
    <row r="4024" spans="1:4" x14ac:dyDescent="0.3">
      <c r="A4024" s="1">
        <v>31785</v>
      </c>
      <c r="B4024">
        <v>377.5</v>
      </c>
      <c r="C4024">
        <f t="shared" si="141"/>
        <v>1.3694967997233663E-2</v>
      </c>
      <c r="D4024">
        <f t="shared" si="140"/>
        <v>1.0583631738237425</v>
      </c>
    </row>
    <row r="4025" spans="1:4" x14ac:dyDescent="0.3">
      <c r="A4025" s="1">
        <v>31786</v>
      </c>
      <c r="B4025">
        <v>380.70001200000002</v>
      </c>
      <c r="C4025">
        <f t="shared" si="141"/>
        <v>8.4768529801324908E-3</v>
      </c>
      <c r="D4025">
        <f t="shared" si="140"/>
        <v>0.64093542947280979</v>
      </c>
    </row>
    <row r="4026" spans="1:4" x14ac:dyDescent="0.3">
      <c r="A4026" s="1">
        <v>31789</v>
      </c>
      <c r="B4026">
        <v>385.5</v>
      </c>
      <c r="C4026">
        <f t="shared" si="141"/>
        <v>1.2608321115576915E-2</v>
      </c>
      <c r="D4026">
        <f t="shared" si="140"/>
        <v>0.9714358916098792</v>
      </c>
    </row>
    <row r="4027" spans="1:4" x14ac:dyDescent="0.3">
      <c r="A4027" s="1">
        <v>31790</v>
      </c>
      <c r="B4027">
        <v>386.39999399999999</v>
      </c>
      <c r="C4027">
        <f t="shared" si="141"/>
        <v>2.334614785992198E-3</v>
      </c>
      <c r="D4027">
        <f t="shared" si="140"/>
        <v>0.14958163097595731</v>
      </c>
    </row>
    <row r="4028" spans="1:4" x14ac:dyDescent="0.3">
      <c r="A4028" s="1">
        <v>31791</v>
      </c>
      <c r="B4028">
        <v>390</v>
      </c>
      <c r="C4028">
        <f t="shared" si="141"/>
        <v>9.316785858956322E-3</v>
      </c>
      <c r="D4028">
        <f t="shared" si="140"/>
        <v>0.70812660595408106</v>
      </c>
    </row>
    <row r="4029" spans="1:4" x14ac:dyDescent="0.3">
      <c r="A4029" s="1">
        <v>31792</v>
      </c>
      <c r="B4029">
        <v>392.60000600000001</v>
      </c>
      <c r="C4029">
        <f t="shared" si="141"/>
        <v>6.6666820512820708E-3</v>
      </c>
      <c r="D4029">
        <f t="shared" si="140"/>
        <v>0.49612919863211197</v>
      </c>
    </row>
    <row r="4030" spans="1:4" x14ac:dyDescent="0.3">
      <c r="A4030" s="1">
        <v>31793</v>
      </c>
      <c r="B4030">
        <v>389.89999399999999</v>
      </c>
      <c r="C4030">
        <f t="shared" si="141"/>
        <v>-6.8772591918911359E-3</v>
      </c>
      <c r="D4030">
        <f t="shared" si="140"/>
        <v>-0.58733040780257373</v>
      </c>
    </row>
    <row r="4031" spans="1:4" x14ac:dyDescent="0.3">
      <c r="A4031" s="1">
        <v>31796</v>
      </c>
      <c r="B4031">
        <v>392.60000600000001</v>
      </c>
      <c r="C4031">
        <f t="shared" si="141"/>
        <v>6.9248834099751621E-3</v>
      </c>
      <c r="D4031">
        <f t="shared" si="140"/>
        <v>0.51678424559722824</v>
      </c>
    </row>
    <row r="4032" spans="1:4" x14ac:dyDescent="0.3">
      <c r="A4032" s="1">
        <v>31797</v>
      </c>
      <c r="B4032">
        <v>392.10000600000001</v>
      </c>
      <c r="C4032">
        <f t="shared" si="141"/>
        <v>-1.2735608567463954E-3</v>
      </c>
      <c r="D4032">
        <f t="shared" si="140"/>
        <v>-0.13905758353623321</v>
      </c>
    </row>
    <row r="4033" spans="1:4" x14ac:dyDescent="0.3">
      <c r="A4033" s="1">
        <v>31798</v>
      </c>
      <c r="B4033">
        <v>389.60000600000001</v>
      </c>
      <c r="C4033">
        <f t="shared" si="141"/>
        <v>-6.3759244114880223E-3</v>
      </c>
      <c r="D4033">
        <f t="shared" si="140"/>
        <v>-0.54722568687125961</v>
      </c>
    </row>
    <row r="4034" spans="1:4" x14ac:dyDescent="0.3">
      <c r="A4034" s="1">
        <v>31799</v>
      </c>
      <c r="B4034">
        <v>393.20001200000002</v>
      </c>
      <c r="C4034">
        <f t="shared" si="141"/>
        <v>9.2402616646777153E-3</v>
      </c>
      <c r="D4034">
        <f t="shared" si="140"/>
        <v>0.70200498508115972</v>
      </c>
    </row>
    <row r="4035" spans="1:4" x14ac:dyDescent="0.3">
      <c r="A4035" s="1">
        <v>31800</v>
      </c>
      <c r="B4035">
        <v>392.20001200000002</v>
      </c>
      <c r="C4035">
        <f t="shared" si="141"/>
        <v>-2.5432349172970015E-3</v>
      </c>
      <c r="D4035">
        <f t="shared" ref="D4035:D4098" si="142">(C4035-avrtn)/sdrtn</f>
        <v>-0.24062628744934844</v>
      </c>
    </row>
    <row r="4036" spans="1:4" x14ac:dyDescent="0.3">
      <c r="A4036" s="1">
        <v>31803</v>
      </c>
      <c r="B4036">
        <v>388</v>
      </c>
      <c r="C4036">
        <f t="shared" ref="C4036:C4099" si="143">(B4036-B4035)/B4035</f>
        <v>-1.0708852298556316E-2</v>
      </c>
      <c r="D4036">
        <f t="shared" si="142"/>
        <v>-0.89384210073079007</v>
      </c>
    </row>
    <row r="4037" spans="1:4" x14ac:dyDescent="0.3">
      <c r="A4037" s="1">
        <v>31804</v>
      </c>
      <c r="B4037">
        <v>390.79998799999998</v>
      </c>
      <c r="C4037">
        <f t="shared" si="143"/>
        <v>7.2164639175257344E-3</v>
      </c>
      <c r="D4037">
        <f t="shared" si="142"/>
        <v>0.5401094872150628</v>
      </c>
    </row>
    <row r="4038" spans="1:4" x14ac:dyDescent="0.3">
      <c r="A4038" s="1">
        <v>31805</v>
      </c>
      <c r="B4038">
        <v>392</v>
      </c>
      <c r="C4038">
        <f t="shared" si="143"/>
        <v>3.0706551608185189E-3</v>
      </c>
      <c r="D4038">
        <f t="shared" si="142"/>
        <v>0.20846183434595694</v>
      </c>
    </row>
    <row r="4039" spans="1:4" x14ac:dyDescent="0.3">
      <c r="A4039" s="1">
        <v>31806</v>
      </c>
      <c r="B4039">
        <v>391</v>
      </c>
      <c r="C4039">
        <f t="shared" si="143"/>
        <v>-2.5510204081632651E-3</v>
      </c>
      <c r="D4039">
        <f t="shared" si="142"/>
        <v>-0.2412490947045198</v>
      </c>
    </row>
    <row r="4040" spans="1:4" x14ac:dyDescent="0.3">
      <c r="A4040" s="1">
        <v>31807</v>
      </c>
      <c r="B4040">
        <v>392.10000600000001</v>
      </c>
      <c r="C4040">
        <f t="shared" si="143"/>
        <v>2.8133145780051346E-3</v>
      </c>
      <c r="D4040">
        <f t="shared" si="142"/>
        <v>0.18787564591168565</v>
      </c>
    </row>
    <row r="4041" spans="1:4" x14ac:dyDescent="0.3">
      <c r="A4041" s="1">
        <v>31810</v>
      </c>
      <c r="B4041">
        <v>397.20001200000002</v>
      </c>
      <c r="C4041">
        <f t="shared" si="143"/>
        <v>1.3006901101654172E-2</v>
      </c>
      <c r="D4041">
        <f t="shared" si="142"/>
        <v>1.0033206515253639</v>
      </c>
    </row>
    <row r="4042" spans="1:4" x14ac:dyDescent="0.3">
      <c r="A4042" s="1">
        <v>31811</v>
      </c>
      <c r="B4042">
        <v>399.39999399999999</v>
      </c>
      <c r="C4042">
        <f t="shared" si="143"/>
        <v>5.5387259152448794E-3</v>
      </c>
      <c r="D4042">
        <f t="shared" si="142"/>
        <v>0.40589734593248228</v>
      </c>
    </row>
    <row r="4043" spans="1:4" x14ac:dyDescent="0.3">
      <c r="A4043" s="1">
        <v>31812</v>
      </c>
      <c r="B4043">
        <v>403.10000600000001</v>
      </c>
      <c r="C4043">
        <f t="shared" si="143"/>
        <v>9.2639260280009302E-3</v>
      </c>
      <c r="D4043">
        <f t="shared" si="142"/>
        <v>0.70389803683857344</v>
      </c>
    </row>
    <row r="4044" spans="1:4" x14ac:dyDescent="0.3">
      <c r="A4044" s="1">
        <v>31813</v>
      </c>
      <c r="B4044">
        <v>405.60000600000001</v>
      </c>
      <c r="C4044">
        <f t="shared" si="143"/>
        <v>6.2019349114075676E-3</v>
      </c>
      <c r="D4044">
        <f t="shared" si="142"/>
        <v>0.45895133849380987</v>
      </c>
    </row>
    <row r="4045" spans="1:4" x14ac:dyDescent="0.3">
      <c r="A4045" s="1">
        <v>31814</v>
      </c>
      <c r="B4045">
        <v>406.89999399999999</v>
      </c>
      <c r="C4045">
        <f t="shared" si="143"/>
        <v>3.2050985719166503E-3</v>
      </c>
      <c r="D4045">
        <f t="shared" si="142"/>
        <v>0.21921675439919769</v>
      </c>
    </row>
    <row r="4046" spans="1:4" x14ac:dyDescent="0.3">
      <c r="A4046" s="1">
        <v>31817</v>
      </c>
      <c r="B4046">
        <v>405.79998799999998</v>
      </c>
      <c r="C4046">
        <f t="shared" si="143"/>
        <v>-2.7033817061201718E-3</v>
      </c>
      <c r="D4046">
        <f t="shared" si="142"/>
        <v>-0.25343737202767158</v>
      </c>
    </row>
    <row r="4047" spans="1:4" x14ac:dyDescent="0.3">
      <c r="A4047" s="1">
        <v>31818</v>
      </c>
      <c r="B4047">
        <v>403.5</v>
      </c>
      <c r="C4047">
        <f t="shared" si="143"/>
        <v>-5.6677872548384226E-3</v>
      </c>
      <c r="D4047">
        <f t="shared" si="142"/>
        <v>-0.49057762621667894</v>
      </c>
    </row>
    <row r="4048" spans="1:4" x14ac:dyDescent="0.3">
      <c r="A4048" s="1">
        <v>31819</v>
      </c>
      <c r="B4048">
        <v>408.29998799999998</v>
      </c>
      <c r="C4048">
        <f t="shared" si="143"/>
        <v>1.1895881040892156E-2</v>
      </c>
      <c r="D4048">
        <f t="shared" si="142"/>
        <v>0.91444361520619055</v>
      </c>
    </row>
    <row r="4049" spans="1:4" x14ac:dyDescent="0.3">
      <c r="A4049" s="1">
        <v>31820</v>
      </c>
      <c r="B4049">
        <v>409.20001200000002</v>
      </c>
      <c r="C4049">
        <f t="shared" si="143"/>
        <v>2.2043204174672431E-3</v>
      </c>
      <c r="D4049">
        <f t="shared" si="142"/>
        <v>0.13915861726760567</v>
      </c>
    </row>
    <row r="4050" spans="1:4" x14ac:dyDescent="0.3">
      <c r="A4050" s="1">
        <v>31821</v>
      </c>
      <c r="B4050">
        <v>412.5</v>
      </c>
      <c r="C4050">
        <f t="shared" si="143"/>
        <v>8.0644865670238177E-3</v>
      </c>
      <c r="D4050">
        <f t="shared" si="142"/>
        <v>0.60794781208493853</v>
      </c>
    </row>
    <row r="4051" spans="1:4" x14ac:dyDescent="0.3">
      <c r="A4051" s="1">
        <v>31825</v>
      </c>
      <c r="B4051">
        <v>418.20001200000002</v>
      </c>
      <c r="C4051">
        <f t="shared" si="143"/>
        <v>1.3818210909090946E-2</v>
      </c>
      <c r="D4051">
        <f t="shared" si="142"/>
        <v>1.0682220999944434</v>
      </c>
    </row>
    <row r="4052" spans="1:4" x14ac:dyDescent="0.3">
      <c r="A4052" s="1">
        <v>31826</v>
      </c>
      <c r="B4052">
        <v>417.10000600000001</v>
      </c>
      <c r="C4052">
        <f t="shared" si="143"/>
        <v>-2.6303346925776929E-3</v>
      </c>
      <c r="D4052">
        <f t="shared" si="142"/>
        <v>-0.24759391131538774</v>
      </c>
    </row>
    <row r="4053" spans="1:4" x14ac:dyDescent="0.3">
      <c r="A4053" s="1">
        <v>31827</v>
      </c>
      <c r="B4053">
        <v>417</v>
      </c>
      <c r="C4053">
        <f t="shared" si="143"/>
        <v>-2.3976504090486057E-4</v>
      </c>
      <c r="D4053">
        <f t="shared" si="142"/>
        <v>-5.6358169262705864E-2</v>
      </c>
    </row>
    <row r="4054" spans="1:4" x14ac:dyDescent="0.3">
      <c r="A4054" s="1">
        <v>31828</v>
      </c>
      <c r="B4054">
        <v>417.20001200000002</v>
      </c>
      <c r="C4054">
        <f t="shared" si="143"/>
        <v>4.796450839328901E-4</v>
      </c>
      <c r="D4054">
        <f t="shared" si="142"/>
        <v>1.1916824922047274E-3</v>
      </c>
    </row>
    <row r="4055" spans="1:4" x14ac:dyDescent="0.3">
      <c r="A4055" s="1">
        <v>31831</v>
      </c>
      <c r="B4055">
        <v>415.20001200000002</v>
      </c>
      <c r="C4055">
        <f t="shared" si="143"/>
        <v>-4.7938637163797591E-3</v>
      </c>
      <c r="D4055">
        <f t="shared" si="142"/>
        <v>-0.42066733673504858</v>
      </c>
    </row>
    <row r="4056" spans="1:4" x14ac:dyDescent="0.3">
      <c r="A4056" s="1">
        <v>31832</v>
      </c>
      <c r="B4056">
        <v>417.39999399999999</v>
      </c>
      <c r="C4056">
        <f t="shared" si="143"/>
        <v>5.2986077466683143E-3</v>
      </c>
      <c r="D4056">
        <f t="shared" si="142"/>
        <v>0.38668887981816608</v>
      </c>
    </row>
    <row r="4057" spans="1:4" x14ac:dyDescent="0.3">
      <c r="A4057" s="1">
        <v>31833</v>
      </c>
      <c r="B4057">
        <v>421</v>
      </c>
      <c r="C4057">
        <f t="shared" si="143"/>
        <v>8.6248348149233749E-3</v>
      </c>
      <c r="D4057">
        <f t="shared" si="142"/>
        <v>0.65277336775113981</v>
      </c>
    </row>
    <row r="4058" spans="1:4" x14ac:dyDescent="0.3">
      <c r="A4058" s="1">
        <v>31834</v>
      </c>
      <c r="B4058">
        <v>422.89999399999999</v>
      </c>
      <c r="C4058">
        <f t="shared" si="143"/>
        <v>4.513049881235136E-3</v>
      </c>
      <c r="D4058">
        <f t="shared" si="142"/>
        <v>0.32384748081675585</v>
      </c>
    </row>
    <row r="4059" spans="1:4" x14ac:dyDescent="0.3">
      <c r="A4059" s="1">
        <v>31835</v>
      </c>
      <c r="B4059">
        <v>425</v>
      </c>
      <c r="C4059">
        <f t="shared" si="143"/>
        <v>4.9657271927036435E-3</v>
      </c>
      <c r="D4059">
        <f t="shared" si="142"/>
        <v>0.36005980431400925</v>
      </c>
    </row>
    <row r="4060" spans="1:4" x14ac:dyDescent="0.3">
      <c r="A4060" s="1">
        <v>31838</v>
      </c>
      <c r="B4060">
        <v>423.89999399999999</v>
      </c>
      <c r="C4060">
        <f t="shared" si="143"/>
        <v>-2.5882494117647238E-3</v>
      </c>
      <c r="D4060">
        <f t="shared" si="142"/>
        <v>-0.24422726190605895</v>
      </c>
    </row>
    <row r="4061" spans="1:4" x14ac:dyDescent="0.3">
      <c r="A4061" s="1">
        <v>31839</v>
      </c>
      <c r="B4061">
        <v>423.60000600000001</v>
      </c>
      <c r="C4061">
        <f t="shared" si="143"/>
        <v>-7.0768578496366958E-4</v>
      </c>
      <c r="D4061">
        <f t="shared" si="142"/>
        <v>-9.3789904685814052E-2</v>
      </c>
    </row>
    <row r="4062" spans="1:4" x14ac:dyDescent="0.3">
      <c r="A4062" s="1">
        <v>31840</v>
      </c>
      <c r="B4062">
        <v>426.70001200000002</v>
      </c>
      <c r="C4062">
        <f t="shared" si="143"/>
        <v>7.3182388009692513E-3</v>
      </c>
      <c r="D4062">
        <f t="shared" si="142"/>
        <v>0.54825105938972274</v>
      </c>
    </row>
    <row r="4063" spans="1:4" x14ac:dyDescent="0.3">
      <c r="A4063" s="1">
        <v>31841</v>
      </c>
      <c r="B4063">
        <v>429</v>
      </c>
      <c r="C4063">
        <f t="shared" si="143"/>
        <v>5.3901756159312805E-3</v>
      </c>
      <c r="D4063">
        <f t="shared" si="142"/>
        <v>0.39401393282987507</v>
      </c>
    </row>
    <row r="4064" spans="1:4" x14ac:dyDescent="0.3">
      <c r="A4064" s="1">
        <v>31842</v>
      </c>
      <c r="B4064">
        <v>429.5</v>
      </c>
      <c r="C4064">
        <f t="shared" si="143"/>
        <v>1.1655011655011655E-3</v>
      </c>
      <c r="D4064">
        <f t="shared" si="142"/>
        <v>5.6057348760607653E-2</v>
      </c>
    </row>
    <row r="4065" spans="1:4" x14ac:dyDescent="0.3">
      <c r="A4065" s="1">
        <v>31845</v>
      </c>
      <c r="B4065">
        <v>426.79998799999998</v>
      </c>
      <c r="C4065">
        <f t="shared" si="143"/>
        <v>-6.2864074505239002E-3</v>
      </c>
      <c r="D4065">
        <f t="shared" si="142"/>
        <v>-0.54006469809007274</v>
      </c>
    </row>
    <row r="4066" spans="1:4" x14ac:dyDescent="0.3">
      <c r="A4066" s="1">
        <v>31846</v>
      </c>
      <c r="B4066">
        <v>429.39999399999999</v>
      </c>
      <c r="C4066">
        <f t="shared" si="143"/>
        <v>6.0918605274187772E-3</v>
      </c>
      <c r="D4066">
        <f t="shared" si="142"/>
        <v>0.45014584040327815</v>
      </c>
    </row>
    <row r="4067" spans="1:4" x14ac:dyDescent="0.3">
      <c r="A4067" s="1">
        <v>31847</v>
      </c>
      <c r="B4067">
        <v>431.39999399999999</v>
      </c>
      <c r="C4067">
        <f t="shared" si="143"/>
        <v>4.6576619188308608E-3</v>
      </c>
      <c r="D4067">
        <f t="shared" si="142"/>
        <v>0.33541584917616207</v>
      </c>
    </row>
    <row r="4068" spans="1:4" x14ac:dyDescent="0.3">
      <c r="A4068" s="1">
        <v>31848</v>
      </c>
      <c r="B4068">
        <v>432.5</v>
      </c>
      <c r="C4068">
        <f t="shared" si="143"/>
        <v>2.5498516812682377E-3</v>
      </c>
      <c r="D4068">
        <f t="shared" si="142"/>
        <v>0.16679969753863866</v>
      </c>
    </row>
    <row r="4069" spans="1:4" x14ac:dyDescent="0.3">
      <c r="A4069" s="1">
        <v>31849</v>
      </c>
      <c r="B4069">
        <v>432</v>
      </c>
      <c r="C4069">
        <f t="shared" si="143"/>
        <v>-1.1560693641618498E-3</v>
      </c>
      <c r="D4069">
        <f t="shared" si="142"/>
        <v>-0.12965874725737386</v>
      </c>
    </row>
    <row r="4070" spans="1:4" x14ac:dyDescent="0.3">
      <c r="A4070" s="1">
        <v>31852</v>
      </c>
      <c r="B4070">
        <v>430.89999399999999</v>
      </c>
      <c r="C4070">
        <f t="shared" si="143"/>
        <v>-2.5463101851852027E-3</v>
      </c>
      <c r="D4070">
        <f t="shared" si="142"/>
        <v>-0.24087229623482742</v>
      </c>
    </row>
    <row r="4071" spans="1:4" x14ac:dyDescent="0.3">
      <c r="A4071" s="1">
        <v>31853</v>
      </c>
      <c r="B4071">
        <v>434.79998799999998</v>
      </c>
      <c r="C4071">
        <f t="shared" si="143"/>
        <v>9.0508100587255811E-3</v>
      </c>
      <c r="D4071">
        <f t="shared" si="142"/>
        <v>0.68684963563464752</v>
      </c>
    </row>
    <row r="4072" spans="1:4" x14ac:dyDescent="0.3">
      <c r="A4072" s="1">
        <v>31854</v>
      </c>
      <c r="B4072">
        <v>434.89999399999999</v>
      </c>
      <c r="C4072">
        <f t="shared" si="143"/>
        <v>2.3000460616389804E-4</v>
      </c>
      <c r="D4072">
        <f t="shared" si="142"/>
        <v>-1.8778529201536307E-2</v>
      </c>
    </row>
    <row r="4073" spans="1:4" x14ac:dyDescent="0.3">
      <c r="A4073" s="1">
        <v>31855</v>
      </c>
      <c r="B4073">
        <v>437</v>
      </c>
      <c r="C4073">
        <f t="shared" si="143"/>
        <v>4.8287101149051929E-3</v>
      </c>
      <c r="D4073">
        <f t="shared" si="142"/>
        <v>0.34909900150772366</v>
      </c>
    </row>
    <row r="4074" spans="1:4" x14ac:dyDescent="0.3">
      <c r="A4074" s="1">
        <v>31856</v>
      </c>
      <c r="B4074">
        <v>439.60000600000001</v>
      </c>
      <c r="C4074">
        <f t="shared" si="143"/>
        <v>5.9496704805492165E-3</v>
      </c>
      <c r="D4074">
        <f t="shared" si="142"/>
        <v>0.43877122134267971</v>
      </c>
    </row>
    <row r="4075" spans="1:4" x14ac:dyDescent="0.3">
      <c r="A4075" s="1">
        <v>31859</v>
      </c>
      <c r="B4075">
        <v>438</v>
      </c>
      <c r="C4075">
        <f t="shared" si="143"/>
        <v>-3.6396860285757312E-3</v>
      </c>
      <c r="D4075">
        <f t="shared" si="142"/>
        <v>-0.32833786771773704</v>
      </c>
    </row>
    <row r="4076" spans="1:4" x14ac:dyDescent="0.3">
      <c r="A4076" s="1">
        <v>31860</v>
      </c>
      <c r="B4076">
        <v>438.10000600000001</v>
      </c>
      <c r="C4076">
        <f t="shared" si="143"/>
        <v>2.2832420091325933E-4</v>
      </c>
      <c r="D4076">
        <f t="shared" si="142"/>
        <v>-1.8912954711719724E-2</v>
      </c>
    </row>
    <row r="4077" spans="1:4" x14ac:dyDescent="0.3">
      <c r="A4077" s="1">
        <v>31861</v>
      </c>
      <c r="B4077">
        <v>437.5</v>
      </c>
      <c r="C4077">
        <f t="shared" si="143"/>
        <v>-1.3695640077211219E-3</v>
      </c>
      <c r="D4077">
        <f t="shared" si="142"/>
        <v>-0.14673744084689569</v>
      </c>
    </row>
    <row r="4078" spans="1:4" x14ac:dyDescent="0.3">
      <c r="A4078" s="1">
        <v>31862</v>
      </c>
      <c r="B4078">
        <v>438.70001200000002</v>
      </c>
      <c r="C4078">
        <f t="shared" si="143"/>
        <v>2.7428845714286059E-3</v>
      </c>
      <c r="D4078">
        <f t="shared" si="142"/>
        <v>0.1822415349954809</v>
      </c>
    </row>
    <row r="4079" spans="1:4" x14ac:dyDescent="0.3">
      <c r="A4079" s="1">
        <v>31863</v>
      </c>
      <c r="B4079">
        <v>436.60000600000001</v>
      </c>
      <c r="C4079">
        <f t="shared" si="143"/>
        <v>-4.7868838444435867E-3</v>
      </c>
      <c r="D4079">
        <f t="shared" si="142"/>
        <v>-0.42010897568155969</v>
      </c>
    </row>
    <row r="4080" spans="1:4" x14ac:dyDescent="0.3">
      <c r="A4080" s="1">
        <v>31866</v>
      </c>
      <c r="B4080">
        <v>427.10000600000001</v>
      </c>
      <c r="C4080">
        <f t="shared" si="143"/>
        <v>-2.1759046883751073E-2</v>
      </c>
      <c r="D4080">
        <f t="shared" si="142"/>
        <v>-1.7778122288747296</v>
      </c>
    </row>
    <row r="4081" spans="1:4" x14ac:dyDescent="0.3">
      <c r="A4081" s="1">
        <v>31867</v>
      </c>
      <c r="B4081">
        <v>430.10000600000001</v>
      </c>
      <c r="C4081">
        <f t="shared" si="143"/>
        <v>7.02411603337697E-3</v>
      </c>
      <c r="D4081">
        <f t="shared" si="142"/>
        <v>0.52472244742238727</v>
      </c>
    </row>
    <row r="4082" spans="1:4" x14ac:dyDescent="0.3">
      <c r="A4082" s="1">
        <v>31868</v>
      </c>
      <c r="B4082">
        <v>428.29998799999998</v>
      </c>
      <c r="C4082">
        <f t="shared" si="143"/>
        <v>-4.1851150311307426E-3</v>
      </c>
      <c r="D4082">
        <f t="shared" si="142"/>
        <v>-0.37196994510467812</v>
      </c>
    </row>
    <row r="4083" spans="1:4" x14ac:dyDescent="0.3">
      <c r="A4083" s="1">
        <v>31869</v>
      </c>
      <c r="B4083">
        <v>432.10000600000001</v>
      </c>
      <c r="C4083">
        <f t="shared" si="143"/>
        <v>8.8723280561941627E-3</v>
      </c>
      <c r="D4083">
        <f t="shared" si="142"/>
        <v>0.67257180935451377</v>
      </c>
    </row>
    <row r="4084" spans="1:4" x14ac:dyDescent="0.3">
      <c r="A4084" s="1">
        <v>31870</v>
      </c>
      <c r="B4084">
        <v>437.39999399999999</v>
      </c>
      <c r="C4084">
        <f t="shared" si="143"/>
        <v>1.2265651299250351E-2</v>
      </c>
      <c r="D4084">
        <f t="shared" si="142"/>
        <v>0.94402371537045837</v>
      </c>
    </row>
    <row r="4085" spans="1:4" x14ac:dyDescent="0.3">
      <c r="A4085" s="1">
        <v>31873</v>
      </c>
      <c r="B4085">
        <v>437.60000600000001</v>
      </c>
      <c r="C4085">
        <f t="shared" si="143"/>
        <v>4.5727481194253325E-4</v>
      </c>
      <c r="D4085">
        <f t="shared" si="142"/>
        <v>-5.9784727991575169E-4</v>
      </c>
    </row>
    <row r="4086" spans="1:4" x14ac:dyDescent="0.3">
      <c r="A4086" s="1">
        <v>31874</v>
      </c>
      <c r="B4086">
        <v>434</v>
      </c>
      <c r="C4086">
        <f t="shared" si="143"/>
        <v>-8.2267046404016896E-3</v>
      </c>
      <c r="D4086">
        <f t="shared" si="142"/>
        <v>-0.6952804947305774</v>
      </c>
    </row>
    <row r="4087" spans="1:4" x14ac:dyDescent="0.3">
      <c r="A4087" s="1">
        <v>31875</v>
      </c>
      <c r="B4087">
        <v>434.89999399999999</v>
      </c>
      <c r="C4087">
        <f t="shared" si="143"/>
        <v>2.0737188940091991E-3</v>
      </c>
      <c r="D4087">
        <f t="shared" si="142"/>
        <v>0.12871103242763551</v>
      </c>
    </row>
    <row r="4088" spans="1:4" x14ac:dyDescent="0.3">
      <c r="A4088" s="1">
        <v>31876</v>
      </c>
      <c r="B4088">
        <v>432</v>
      </c>
      <c r="C4088">
        <f t="shared" si="143"/>
        <v>-6.6681858818328534E-3</v>
      </c>
      <c r="D4088">
        <f t="shared" si="142"/>
        <v>-0.57060540271249904</v>
      </c>
    </row>
    <row r="4089" spans="1:4" x14ac:dyDescent="0.3">
      <c r="A4089" s="1">
        <v>31877</v>
      </c>
      <c r="B4089">
        <v>430.89999399999999</v>
      </c>
      <c r="C4089">
        <f t="shared" si="143"/>
        <v>-2.5463101851852027E-3</v>
      </c>
      <c r="D4089">
        <f t="shared" si="142"/>
        <v>-0.24087229623482742</v>
      </c>
    </row>
    <row r="4090" spans="1:4" x14ac:dyDescent="0.3">
      <c r="A4090" s="1">
        <v>31880</v>
      </c>
      <c r="B4090">
        <v>423.70001200000002</v>
      </c>
      <c r="C4090">
        <f t="shared" si="143"/>
        <v>-1.6709171734172679E-2</v>
      </c>
      <c r="D4090">
        <f t="shared" si="142"/>
        <v>-1.3738429821191502</v>
      </c>
    </row>
    <row r="4091" spans="1:4" x14ac:dyDescent="0.3">
      <c r="A4091" s="1">
        <v>31881</v>
      </c>
      <c r="B4091">
        <v>413.20001200000002</v>
      </c>
      <c r="C4091">
        <f t="shared" si="143"/>
        <v>-2.478168445272548E-2</v>
      </c>
      <c r="D4091">
        <f t="shared" si="142"/>
        <v>-2.0196108052327313</v>
      </c>
    </row>
    <row r="4092" spans="1:4" x14ac:dyDescent="0.3">
      <c r="A4092" s="1">
        <v>31882</v>
      </c>
      <c r="B4092">
        <v>416</v>
      </c>
      <c r="C4092">
        <f t="shared" si="143"/>
        <v>6.7763502388281261E-3</v>
      </c>
      <c r="D4092">
        <f t="shared" si="142"/>
        <v>0.50490220267751462</v>
      </c>
    </row>
    <row r="4093" spans="1:4" x14ac:dyDescent="0.3">
      <c r="A4093" s="1">
        <v>31883</v>
      </c>
      <c r="B4093">
        <v>419.5</v>
      </c>
      <c r="C4093">
        <f t="shared" si="143"/>
        <v>8.4134615384615381E-3</v>
      </c>
      <c r="D4093">
        <f t="shared" si="142"/>
        <v>0.6358643748062992</v>
      </c>
    </row>
    <row r="4094" spans="1:4" x14ac:dyDescent="0.3">
      <c r="A4094" s="1">
        <v>31887</v>
      </c>
      <c r="B4094">
        <v>417.70001200000002</v>
      </c>
      <c r="C4094">
        <f t="shared" si="143"/>
        <v>-4.2907938021453746E-3</v>
      </c>
      <c r="D4094">
        <f t="shared" si="142"/>
        <v>-0.38042381223214572</v>
      </c>
    </row>
    <row r="4095" spans="1:4" x14ac:dyDescent="0.3">
      <c r="A4095" s="1">
        <v>31888</v>
      </c>
      <c r="B4095">
        <v>418.60000600000001</v>
      </c>
      <c r="C4095">
        <f t="shared" si="143"/>
        <v>2.1546420257224997E-3</v>
      </c>
      <c r="D4095">
        <f t="shared" si="142"/>
        <v>0.13518455020679365</v>
      </c>
    </row>
    <row r="4096" spans="1:4" x14ac:dyDescent="0.3">
      <c r="A4096" s="1">
        <v>31889</v>
      </c>
      <c r="B4096">
        <v>418.20001200000002</v>
      </c>
      <c r="C4096">
        <f t="shared" si="143"/>
        <v>-9.5555182576846978E-4</v>
      </c>
      <c r="D4096">
        <f t="shared" si="142"/>
        <v>-0.11361816871894813</v>
      </c>
    </row>
    <row r="4097" spans="1:4" x14ac:dyDescent="0.3">
      <c r="A4097" s="1">
        <v>31890</v>
      </c>
      <c r="B4097">
        <v>417.39999399999999</v>
      </c>
      <c r="C4097">
        <f t="shared" si="143"/>
        <v>-1.9130032927880995E-3</v>
      </c>
      <c r="D4097">
        <f t="shared" si="142"/>
        <v>-0.19021034901656123</v>
      </c>
    </row>
    <row r="4098" spans="1:4" x14ac:dyDescent="0.3">
      <c r="A4098" s="1">
        <v>31891</v>
      </c>
      <c r="B4098">
        <v>412.60000600000001</v>
      </c>
      <c r="C4098">
        <f t="shared" si="143"/>
        <v>-1.1499731837561993E-2</v>
      </c>
      <c r="D4098">
        <f t="shared" si="142"/>
        <v>-0.95710921173514762</v>
      </c>
    </row>
    <row r="4099" spans="1:4" x14ac:dyDescent="0.3">
      <c r="A4099" s="1">
        <v>31894</v>
      </c>
      <c r="B4099">
        <v>409.70001200000002</v>
      </c>
      <c r="C4099">
        <f t="shared" si="143"/>
        <v>-7.02858448334582E-3</v>
      </c>
      <c r="D4099">
        <f t="shared" ref="D4099:D4162" si="144">(C4099-avrtn)/sdrtn</f>
        <v>-0.59943580886563186</v>
      </c>
    </row>
    <row r="4100" spans="1:4" x14ac:dyDescent="0.3">
      <c r="A4100" s="1">
        <v>31895</v>
      </c>
      <c r="B4100">
        <v>411.89999399999999</v>
      </c>
      <c r="C4100">
        <f t="shared" ref="C4100:C4163" si="145">(B4100-B4099)/B4099</f>
        <v>5.3697386760144326E-3</v>
      </c>
      <c r="D4100">
        <f t="shared" si="144"/>
        <v>0.39237906167372633</v>
      </c>
    </row>
    <row r="4101" spans="1:4" x14ac:dyDescent="0.3">
      <c r="A4101" s="1">
        <v>31896</v>
      </c>
      <c r="B4101">
        <v>414.20001200000002</v>
      </c>
      <c r="C4101">
        <f t="shared" si="145"/>
        <v>5.5839233636891554E-3</v>
      </c>
      <c r="D4101">
        <f t="shared" si="144"/>
        <v>0.40951295595500586</v>
      </c>
    </row>
    <row r="4102" spans="1:4" x14ac:dyDescent="0.3">
      <c r="A4102" s="1">
        <v>31897</v>
      </c>
      <c r="B4102">
        <v>417.79998799999998</v>
      </c>
      <c r="C4102">
        <f t="shared" si="145"/>
        <v>8.6913952093269596E-3</v>
      </c>
      <c r="D4102">
        <f t="shared" si="144"/>
        <v>0.65809792560544944</v>
      </c>
    </row>
    <row r="4103" spans="1:4" x14ac:dyDescent="0.3">
      <c r="A4103" s="1">
        <v>31898</v>
      </c>
      <c r="B4103">
        <v>418.39999399999999</v>
      </c>
      <c r="C4103">
        <f t="shared" si="145"/>
        <v>1.4361082269825427E-3</v>
      </c>
      <c r="D4103">
        <f t="shared" si="144"/>
        <v>7.7704800936232124E-2</v>
      </c>
    </row>
    <row r="4104" spans="1:4" x14ac:dyDescent="0.3">
      <c r="A4104" s="1">
        <v>31901</v>
      </c>
      <c r="B4104">
        <v>418.5</v>
      </c>
      <c r="C4104">
        <f t="shared" si="145"/>
        <v>2.3902007990948392E-4</v>
      </c>
      <c r="D4104">
        <f t="shared" si="144"/>
        <v>-1.8057328373738992E-2</v>
      </c>
    </row>
    <row r="4105" spans="1:4" x14ac:dyDescent="0.3">
      <c r="A4105" s="1">
        <v>31902</v>
      </c>
      <c r="B4105">
        <v>422.39999399999999</v>
      </c>
      <c r="C4105">
        <f t="shared" si="145"/>
        <v>9.3189820788530282E-3</v>
      </c>
      <c r="D4105">
        <f t="shared" si="144"/>
        <v>0.70830229451490745</v>
      </c>
    </row>
    <row r="4106" spans="1:4" x14ac:dyDescent="0.3">
      <c r="A4106" s="1">
        <v>31903</v>
      </c>
      <c r="B4106">
        <v>422.39999399999999</v>
      </c>
      <c r="C4106">
        <f t="shared" si="145"/>
        <v>0</v>
      </c>
      <c r="D4106">
        <f t="shared" si="144"/>
        <v>-3.7177951910056316E-2</v>
      </c>
    </row>
    <row r="4107" spans="1:4" x14ac:dyDescent="0.3">
      <c r="A4107" s="1">
        <v>31904</v>
      </c>
      <c r="B4107">
        <v>422.60000600000001</v>
      </c>
      <c r="C4107">
        <f t="shared" si="145"/>
        <v>4.7351326430183422E-4</v>
      </c>
      <c r="D4107">
        <f t="shared" si="144"/>
        <v>7.0116213591324037E-4</v>
      </c>
    </row>
    <row r="4108" spans="1:4" x14ac:dyDescent="0.3">
      <c r="A4108" s="1">
        <v>31905</v>
      </c>
      <c r="B4108">
        <v>423.20001200000002</v>
      </c>
      <c r="C4108">
        <f t="shared" si="145"/>
        <v>1.4197964777123253E-3</v>
      </c>
      <c r="D4108">
        <f t="shared" si="144"/>
        <v>7.6399928068928508E-2</v>
      </c>
    </row>
    <row r="4109" spans="1:4" x14ac:dyDescent="0.3">
      <c r="A4109" s="1">
        <v>31908</v>
      </c>
      <c r="B4109">
        <v>422.20001200000002</v>
      </c>
      <c r="C4109">
        <f t="shared" si="145"/>
        <v>-2.3629488933001258E-3</v>
      </c>
      <c r="D4109">
        <f t="shared" si="144"/>
        <v>-0.22620414687015875</v>
      </c>
    </row>
    <row r="4110" spans="1:4" x14ac:dyDescent="0.3">
      <c r="A4110" s="1">
        <v>31909</v>
      </c>
      <c r="B4110">
        <v>420.5</v>
      </c>
      <c r="C4110">
        <f t="shared" si="145"/>
        <v>-4.026556020088448E-3</v>
      </c>
      <c r="D4110">
        <f t="shared" si="144"/>
        <v>-0.35928587621984381</v>
      </c>
    </row>
    <row r="4111" spans="1:4" x14ac:dyDescent="0.3">
      <c r="A4111" s="1">
        <v>31910</v>
      </c>
      <c r="B4111">
        <v>421.89999399999999</v>
      </c>
      <c r="C4111">
        <f t="shared" si="145"/>
        <v>3.3293555291319678E-3</v>
      </c>
      <c r="D4111">
        <f t="shared" si="144"/>
        <v>0.22915680002876199</v>
      </c>
    </row>
    <row r="4112" spans="1:4" x14ac:dyDescent="0.3">
      <c r="A4112" s="1">
        <v>31911</v>
      </c>
      <c r="B4112">
        <v>422.70001200000002</v>
      </c>
      <c r="C4112">
        <f t="shared" si="145"/>
        <v>1.8962266209466283E-3</v>
      </c>
      <c r="D4112">
        <f t="shared" si="144"/>
        <v>0.11451238043521773</v>
      </c>
    </row>
    <row r="4113" spans="1:4" x14ac:dyDescent="0.3">
      <c r="A4113" s="1">
        <v>31912</v>
      </c>
      <c r="B4113">
        <v>418.89999399999999</v>
      </c>
      <c r="C4113">
        <f t="shared" si="145"/>
        <v>-8.989869628865832E-3</v>
      </c>
      <c r="D4113">
        <f t="shared" si="144"/>
        <v>-0.75633055565452501</v>
      </c>
    </row>
    <row r="4114" spans="1:4" x14ac:dyDescent="0.3">
      <c r="A4114" s="1">
        <v>31915</v>
      </c>
      <c r="B4114">
        <v>413.5</v>
      </c>
      <c r="C4114">
        <f t="shared" si="145"/>
        <v>-1.2890890611948761E-2</v>
      </c>
      <c r="D4114">
        <f t="shared" si="144"/>
        <v>-1.0683961932070276</v>
      </c>
    </row>
    <row r="4115" spans="1:4" x14ac:dyDescent="0.3">
      <c r="A4115" s="1">
        <v>31916</v>
      </c>
      <c r="B4115">
        <v>408.20001200000002</v>
      </c>
      <c r="C4115">
        <f t="shared" si="145"/>
        <v>-1.2817383313180133E-2</v>
      </c>
      <c r="D4115">
        <f t="shared" si="144"/>
        <v>-1.0625159115693559</v>
      </c>
    </row>
    <row r="4116" spans="1:4" x14ac:dyDescent="0.3">
      <c r="A4116" s="1">
        <v>31917</v>
      </c>
      <c r="B4116">
        <v>406.60000600000001</v>
      </c>
      <c r="C4116">
        <f t="shared" si="145"/>
        <v>-3.9196618151985932E-3</v>
      </c>
      <c r="D4116">
        <f t="shared" si="144"/>
        <v>-0.35073477938025238</v>
      </c>
    </row>
    <row r="4117" spans="1:4" x14ac:dyDescent="0.3">
      <c r="A4117" s="1">
        <v>31918</v>
      </c>
      <c r="B4117">
        <v>408.5</v>
      </c>
      <c r="C4117">
        <f t="shared" si="145"/>
        <v>4.672882370788731E-3</v>
      </c>
      <c r="D4117">
        <f t="shared" si="144"/>
        <v>0.33663342274591929</v>
      </c>
    </row>
    <row r="4118" spans="1:4" x14ac:dyDescent="0.3">
      <c r="A4118" s="1">
        <v>31919</v>
      </c>
      <c r="B4118">
        <v>407.39999399999999</v>
      </c>
      <c r="C4118">
        <f t="shared" si="145"/>
        <v>-2.6927931456548534E-3</v>
      </c>
      <c r="D4118">
        <f t="shared" si="144"/>
        <v>-0.2525903307308669</v>
      </c>
    </row>
    <row r="4119" spans="1:4" x14ac:dyDescent="0.3">
      <c r="A4119" s="1">
        <v>31923</v>
      </c>
      <c r="B4119">
        <v>411.39999399999999</v>
      </c>
      <c r="C4119">
        <f t="shared" si="145"/>
        <v>9.8183604784245534E-3</v>
      </c>
      <c r="D4119">
        <f t="shared" si="144"/>
        <v>0.7482505130243805</v>
      </c>
    </row>
    <row r="4120" spans="1:4" x14ac:dyDescent="0.3">
      <c r="A4120" s="1">
        <v>31924</v>
      </c>
      <c r="B4120">
        <v>412.60000600000001</v>
      </c>
      <c r="C4120">
        <f t="shared" si="145"/>
        <v>2.9168984382630186E-3</v>
      </c>
      <c r="D4120">
        <f t="shared" si="144"/>
        <v>0.1961619287929379</v>
      </c>
    </row>
    <row r="4121" spans="1:4" x14ac:dyDescent="0.3">
      <c r="A4121" s="1">
        <v>31925</v>
      </c>
      <c r="B4121">
        <v>414.39999399999999</v>
      </c>
      <c r="C4121">
        <f t="shared" si="145"/>
        <v>4.3625496214849419E-3</v>
      </c>
      <c r="D4121">
        <f t="shared" si="144"/>
        <v>0.31180807889750628</v>
      </c>
    </row>
    <row r="4122" spans="1:4" x14ac:dyDescent="0.3">
      <c r="A4122" s="1">
        <v>31926</v>
      </c>
      <c r="B4122">
        <v>416.5</v>
      </c>
      <c r="C4122">
        <f t="shared" si="145"/>
        <v>5.0675821197043924E-3</v>
      </c>
      <c r="D4122">
        <f t="shared" si="144"/>
        <v>0.36820777964410673</v>
      </c>
    </row>
    <row r="4123" spans="1:4" x14ac:dyDescent="0.3">
      <c r="A4123" s="1">
        <v>31929</v>
      </c>
      <c r="B4123">
        <v>415</v>
      </c>
      <c r="C4123">
        <f t="shared" si="145"/>
        <v>-3.6014405762304922E-3</v>
      </c>
      <c r="D4123">
        <f t="shared" si="144"/>
        <v>-0.32527838879635773</v>
      </c>
    </row>
    <row r="4124" spans="1:4" x14ac:dyDescent="0.3">
      <c r="A4124" s="1">
        <v>31930</v>
      </c>
      <c r="B4124">
        <v>413.60000600000001</v>
      </c>
      <c r="C4124">
        <f t="shared" si="145"/>
        <v>-3.3734795180722708E-3</v>
      </c>
      <c r="D4124">
        <f t="shared" si="144"/>
        <v>-0.30704244152517224</v>
      </c>
    </row>
    <row r="4125" spans="1:4" x14ac:dyDescent="0.3">
      <c r="A4125" s="1">
        <v>31931</v>
      </c>
      <c r="B4125">
        <v>415.89999399999999</v>
      </c>
      <c r="C4125">
        <f t="shared" si="145"/>
        <v>5.5608993390584838E-3</v>
      </c>
      <c r="D4125">
        <f t="shared" si="144"/>
        <v>0.40767112865990712</v>
      </c>
    </row>
    <row r="4126" spans="1:4" x14ac:dyDescent="0.3">
      <c r="A4126" s="1">
        <v>31932</v>
      </c>
      <c r="B4126">
        <v>417.39999399999999</v>
      </c>
      <c r="C4126">
        <f t="shared" si="145"/>
        <v>3.6066362626588546E-3</v>
      </c>
      <c r="D4126">
        <f t="shared" si="144"/>
        <v>0.2513381185257238</v>
      </c>
    </row>
    <row r="4127" spans="1:4" x14ac:dyDescent="0.3">
      <c r="A4127" s="1">
        <v>31933</v>
      </c>
      <c r="B4127">
        <v>417.79998799999998</v>
      </c>
      <c r="C4127">
        <f t="shared" si="145"/>
        <v>9.5829900754620619E-4</v>
      </c>
      <c r="D4127">
        <f t="shared" si="144"/>
        <v>3.9482028144575444E-2</v>
      </c>
    </row>
    <row r="4128" spans="1:4" x14ac:dyDescent="0.3">
      <c r="A4128" s="1">
        <v>31936</v>
      </c>
      <c r="B4128">
        <v>419.39999399999999</v>
      </c>
      <c r="C4128">
        <f t="shared" si="145"/>
        <v>3.8295980037223163E-3</v>
      </c>
      <c r="D4128">
        <f t="shared" si="144"/>
        <v>0.26917414098664322</v>
      </c>
    </row>
    <row r="4129" spans="1:4" x14ac:dyDescent="0.3">
      <c r="A4129" s="1">
        <v>31937</v>
      </c>
      <c r="B4129">
        <v>421.70001200000002</v>
      </c>
      <c r="C4129">
        <f t="shared" si="145"/>
        <v>5.4840677942404135E-3</v>
      </c>
      <c r="D4129">
        <f t="shared" si="144"/>
        <v>0.40152492100766157</v>
      </c>
    </row>
    <row r="4130" spans="1:4" x14ac:dyDescent="0.3">
      <c r="A4130" s="1">
        <v>31938</v>
      </c>
      <c r="B4130">
        <v>422.79998799999998</v>
      </c>
      <c r="C4130">
        <f t="shared" si="145"/>
        <v>2.6084324607511975E-3</v>
      </c>
      <c r="D4130">
        <f t="shared" si="144"/>
        <v>0.17148591901167085</v>
      </c>
    </row>
    <row r="4131" spans="1:4" x14ac:dyDescent="0.3">
      <c r="A4131" s="1">
        <v>31939</v>
      </c>
      <c r="B4131">
        <v>423.39999399999999</v>
      </c>
      <c r="C4131">
        <f t="shared" si="145"/>
        <v>1.4191249220187007E-3</v>
      </c>
      <c r="D4131">
        <f t="shared" si="144"/>
        <v>7.6346206374892048E-2</v>
      </c>
    </row>
    <row r="4132" spans="1:4" x14ac:dyDescent="0.3">
      <c r="A4132" s="1">
        <v>31940</v>
      </c>
      <c r="B4132">
        <v>425.39999399999999</v>
      </c>
      <c r="C4132">
        <f t="shared" si="145"/>
        <v>4.7236656314170854E-3</v>
      </c>
      <c r="D4132">
        <f t="shared" si="144"/>
        <v>0.34069587477417218</v>
      </c>
    </row>
    <row r="4133" spans="1:4" x14ac:dyDescent="0.3">
      <c r="A4133" s="1">
        <v>31943</v>
      </c>
      <c r="B4133">
        <v>425.39999399999999</v>
      </c>
      <c r="C4133">
        <f t="shared" si="145"/>
        <v>0</v>
      </c>
      <c r="D4133">
        <f t="shared" si="144"/>
        <v>-3.7177951910056316E-2</v>
      </c>
    </row>
    <row r="4134" spans="1:4" x14ac:dyDescent="0.3">
      <c r="A4134" s="1">
        <v>31944</v>
      </c>
      <c r="B4134">
        <v>427.5</v>
      </c>
      <c r="C4134">
        <f t="shared" si="145"/>
        <v>4.936544498399799E-3</v>
      </c>
      <c r="D4134">
        <f t="shared" si="144"/>
        <v>0.35772530876965769</v>
      </c>
    </row>
    <row r="4135" spans="1:4" x14ac:dyDescent="0.3">
      <c r="A4135" s="1">
        <v>31945</v>
      </c>
      <c r="B4135">
        <v>428.39999399999999</v>
      </c>
      <c r="C4135">
        <f t="shared" si="145"/>
        <v>2.1052491228069998E-3</v>
      </c>
      <c r="D4135">
        <f t="shared" si="144"/>
        <v>0.13123332107838406</v>
      </c>
    </row>
    <row r="4136" spans="1:4" x14ac:dyDescent="0.3">
      <c r="A4136" s="1">
        <v>31946</v>
      </c>
      <c r="B4136">
        <v>429</v>
      </c>
      <c r="C4136">
        <f t="shared" si="145"/>
        <v>1.4005742493077803E-3</v>
      </c>
      <c r="D4136">
        <f t="shared" si="144"/>
        <v>7.4862228838840403E-2</v>
      </c>
    </row>
    <row r="4137" spans="1:4" x14ac:dyDescent="0.3">
      <c r="A4137" s="1">
        <v>31947</v>
      </c>
      <c r="B4137">
        <v>429.10000600000001</v>
      </c>
      <c r="C4137">
        <f t="shared" si="145"/>
        <v>2.331142191142368E-4</v>
      </c>
      <c r="D4137">
        <f t="shared" si="144"/>
        <v>-1.8529772952314061E-2</v>
      </c>
    </row>
    <row r="4138" spans="1:4" x14ac:dyDescent="0.3">
      <c r="A4138" s="1">
        <v>31950</v>
      </c>
      <c r="B4138">
        <v>429.29998799999998</v>
      </c>
      <c r="C4138">
        <f t="shared" si="145"/>
        <v>4.6604986530803552E-4</v>
      </c>
      <c r="D4138">
        <f t="shared" si="144"/>
        <v>1.041209060893849E-4</v>
      </c>
    </row>
    <row r="4139" spans="1:4" x14ac:dyDescent="0.3">
      <c r="A4139" s="1">
        <v>31951</v>
      </c>
      <c r="B4139">
        <v>428</v>
      </c>
      <c r="C4139">
        <f t="shared" si="145"/>
        <v>-3.0281575502862229E-3</v>
      </c>
      <c r="D4139">
        <f t="shared" si="144"/>
        <v>-0.27941810407470458</v>
      </c>
    </row>
    <row r="4140" spans="1:4" x14ac:dyDescent="0.3">
      <c r="A4140" s="1">
        <v>31952</v>
      </c>
      <c r="B4140">
        <v>427.29998799999998</v>
      </c>
      <c r="C4140">
        <f t="shared" si="145"/>
        <v>-1.6355420560748017E-3</v>
      </c>
      <c r="D4140">
        <f t="shared" si="144"/>
        <v>-0.16801459100692009</v>
      </c>
    </row>
    <row r="4141" spans="1:4" x14ac:dyDescent="0.3">
      <c r="A4141" s="1">
        <v>31953</v>
      </c>
      <c r="B4141">
        <v>427.20001200000002</v>
      </c>
      <c r="C4141">
        <f t="shared" si="145"/>
        <v>-2.3397145520156123E-4</v>
      </c>
      <c r="D4141">
        <f t="shared" si="144"/>
        <v>-5.5894706229808674E-2</v>
      </c>
    </row>
    <row r="4142" spans="1:4" x14ac:dyDescent="0.3">
      <c r="A4142" s="1">
        <v>31954</v>
      </c>
      <c r="B4142">
        <v>426.70001200000002</v>
      </c>
      <c r="C4142">
        <f t="shared" si="145"/>
        <v>-1.1704119521419862E-3</v>
      </c>
      <c r="D4142">
        <f t="shared" si="144"/>
        <v>-0.13080609531871062</v>
      </c>
    </row>
    <row r="4143" spans="1:4" x14ac:dyDescent="0.3">
      <c r="A4143" s="1">
        <v>31957</v>
      </c>
      <c r="B4143">
        <v>426.5</v>
      </c>
      <c r="C4143">
        <f t="shared" si="145"/>
        <v>-4.6874149138766645E-4</v>
      </c>
      <c r="D4143">
        <f t="shared" si="144"/>
        <v>-7.4675343744539921E-2</v>
      </c>
    </row>
    <row r="4144" spans="1:4" x14ac:dyDescent="0.3">
      <c r="A4144" s="1">
        <v>31958</v>
      </c>
      <c r="B4144">
        <v>424.70001200000002</v>
      </c>
      <c r="C4144">
        <f t="shared" si="145"/>
        <v>-4.2203704572098119E-3</v>
      </c>
      <c r="D4144">
        <f t="shared" si="144"/>
        <v>-0.37479023421982538</v>
      </c>
    </row>
    <row r="4145" spans="1:4" x14ac:dyDescent="0.3">
      <c r="A4145" s="1">
        <v>31959</v>
      </c>
      <c r="B4145">
        <v>424.5</v>
      </c>
      <c r="C4145">
        <f t="shared" si="145"/>
        <v>-4.7094889180275128E-4</v>
      </c>
      <c r="D4145">
        <f t="shared" si="144"/>
        <v>-7.4851926700861965E-2</v>
      </c>
    </row>
    <row r="4146" spans="1:4" x14ac:dyDescent="0.3">
      <c r="A4146" s="1">
        <v>31960</v>
      </c>
      <c r="B4146">
        <v>425.89999399999999</v>
      </c>
      <c r="C4146">
        <f t="shared" si="145"/>
        <v>3.2979835100117607E-3</v>
      </c>
      <c r="D4146">
        <f t="shared" si="144"/>
        <v>0.22664716750165886</v>
      </c>
    </row>
    <row r="4147" spans="1:4" x14ac:dyDescent="0.3">
      <c r="A4147" s="1">
        <v>31964</v>
      </c>
      <c r="B4147">
        <v>425.10000600000001</v>
      </c>
      <c r="C4147">
        <f t="shared" si="145"/>
        <v>-1.8783470562809747E-3</v>
      </c>
      <c r="D4147">
        <f t="shared" si="144"/>
        <v>-0.18743799260328728</v>
      </c>
    </row>
    <row r="4148" spans="1:4" x14ac:dyDescent="0.3">
      <c r="A4148" s="1">
        <v>31965</v>
      </c>
      <c r="B4148">
        <v>424.60000600000001</v>
      </c>
      <c r="C4148">
        <f t="shared" si="145"/>
        <v>-1.1761938201431124E-3</v>
      </c>
      <c r="D4148">
        <f t="shared" si="144"/>
        <v>-0.13126862098361741</v>
      </c>
    </row>
    <row r="4149" spans="1:4" x14ac:dyDescent="0.3">
      <c r="A4149" s="1">
        <v>31966</v>
      </c>
      <c r="B4149">
        <v>424.89999399999999</v>
      </c>
      <c r="C4149">
        <f t="shared" si="145"/>
        <v>7.0651906679432502E-4</v>
      </c>
      <c r="D4149">
        <f t="shared" si="144"/>
        <v>1.9340668209727629E-2</v>
      </c>
    </row>
    <row r="4150" spans="1:4" x14ac:dyDescent="0.3">
      <c r="A4150" s="1">
        <v>31967</v>
      </c>
      <c r="B4150">
        <v>425.60000600000001</v>
      </c>
      <c r="C4150">
        <f t="shared" si="145"/>
        <v>1.6474747231933714E-3</v>
      </c>
      <c r="D4150">
        <f t="shared" si="144"/>
        <v>9.461325148887266E-2</v>
      </c>
    </row>
    <row r="4151" spans="1:4" x14ac:dyDescent="0.3">
      <c r="A4151" s="1">
        <v>31968</v>
      </c>
      <c r="B4151">
        <v>426</v>
      </c>
      <c r="C4151">
        <f t="shared" si="145"/>
        <v>9.398355130662108E-4</v>
      </c>
      <c r="D4151">
        <f t="shared" si="144"/>
        <v>3.800502450851876E-2</v>
      </c>
    </row>
    <row r="4152" spans="1:4" x14ac:dyDescent="0.3">
      <c r="A4152" s="1">
        <v>31971</v>
      </c>
      <c r="B4152">
        <v>426.5</v>
      </c>
      <c r="C4152">
        <f t="shared" si="145"/>
        <v>1.1737089201877935E-3</v>
      </c>
      <c r="D4152">
        <f t="shared" si="144"/>
        <v>5.6713935385048951E-2</v>
      </c>
    </row>
    <row r="4153" spans="1:4" x14ac:dyDescent="0.3">
      <c r="A4153" s="1">
        <v>31972</v>
      </c>
      <c r="B4153">
        <v>431.10000600000001</v>
      </c>
      <c r="C4153">
        <f t="shared" si="145"/>
        <v>1.0785477139507638E-2</v>
      </c>
      <c r="D4153">
        <f t="shared" si="144"/>
        <v>0.82561586910355456</v>
      </c>
    </row>
    <row r="4154" spans="1:4" x14ac:dyDescent="0.3">
      <c r="A4154" s="1">
        <v>31973</v>
      </c>
      <c r="B4154">
        <v>431.20001200000002</v>
      </c>
      <c r="C4154">
        <f t="shared" si="145"/>
        <v>2.3197865601516041E-4</v>
      </c>
      <c r="D4154">
        <f t="shared" si="144"/>
        <v>-1.8620613330776806E-2</v>
      </c>
    </row>
    <row r="4155" spans="1:4" x14ac:dyDescent="0.3">
      <c r="A4155" s="1">
        <v>31974</v>
      </c>
      <c r="B4155">
        <v>433.20001200000002</v>
      </c>
      <c r="C4155">
        <f t="shared" si="145"/>
        <v>4.638218794854764E-3</v>
      </c>
      <c r="D4155">
        <f t="shared" si="144"/>
        <v>0.33386047920867784</v>
      </c>
    </row>
    <row r="4156" spans="1:4" x14ac:dyDescent="0.3">
      <c r="A4156" s="1">
        <v>31975</v>
      </c>
      <c r="B4156">
        <v>434.10000600000001</v>
      </c>
      <c r="C4156">
        <f t="shared" si="145"/>
        <v>2.0775484189044582E-3</v>
      </c>
      <c r="D4156">
        <f t="shared" si="144"/>
        <v>0.12901737867215579</v>
      </c>
    </row>
    <row r="4157" spans="1:4" x14ac:dyDescent="0.3">
      <c r="A4157" s="1">
        <v>31978</v>
      </c>
      <c r="B4157">
        <v>431.60000600000001</v>
      </c>
      <c r="C4157">
        <f t="shared" si="145"/>
        <v>-5.759041615862129E-3</v>
      </c>
      <c r="D4157">
        <f t="shared" si="144"/>
        <v>-0.49787759985840074</v>
      </c>
    </row>
    <row r="4158" spans="1:4" x14ac:dyDescent="0.3">
      <c r="A4158" s="1">
        <v>31979</v>
      </c>
      <c r="B4158">
        <v>429.39999399999999</v>
      </c>
      <c r="C4158">
        <f t="shared" si="145"/>
        <v>-5.0973400588878006E-3</v>
      </c>
      <c r="D4158">
        <f t="shared" si="144"/>
        <v>-0.444944196233515</v>
      </c>
    </row>
    <row r="4159" spans="1:4" x14ac:dyDescent="0.3">
      <c r="A4159" s="1">
        <v>31980</v>
      </c>
      <c r="B4159">
        <v>429.29998799999998</v>
      </c>
      <c r="C4159">
        <f t="shared" si="145"/>
        <v>-2.328970689273172E-4</v>
      </c>
      <c r="D4159">
        <f t="shared" si="144"/>
        <v>-5.5808759745771909E-2</v>
      </c>
    </row>
    <row r="4160" spans="1:4" x14ac:dyDescent="0.3">
      <c r="A4160" s="1">
        <v>31981</v>
      </c>
      <c r="B4160">
        <v>427.60000600000001</v>
      </c>
      <c r="C4160">
        <f t="shared" si="145"/>
        <v>-3.9598929595124456E-3</v>
      </c>
      <c r="D4160">
        <f t="shared" si="144"/>
        <v>-0.35395310549390663</v>
      </c>
    </row>
    <row r="4161" spans="1:4" x14ac:dyDescent="0.3">
      <c r="A4161" s="1">
        <v>31982</v>
      </c>
      <c r="B4161">
        <v>429.10000600000001</v>
      </c>
      <c r="C4161">
        <f t="shared" si="145"/>
        <v>3.5079513071849676E-3</v>
      </c>
      <c r="D4161">
        <f t="shared" si="144"/>
        <v>0.24344372788277446</v>
      </c>
    </row>
    <row r="4162" spans="1:4" x14ac:dyDescent="0.3">
      <c r="A4162" s="1">
        <v>31985</v>
      </c>
      <c r="B4162">
        <v>428.89999399999999</v>
      </c>
      <c r="C4162">
        <f t="shared" si="145"/>
        <v>-4.6611977908015963E-4</v>
      </c>
      <c r="D4162">
        <f t="shared" si="144"/>
        <v>-7.4465617540484794E-2</v>
      </c>
    </row>
    <row r="4163" spans="1:4" x14ac:dyDescent="0.3">
      <c r="A4163" s="1">
        <v>31986</v>
      </c>
      <c r="B4163">
        <v>430</v>
      </c>
      <c r="C4163">
        <f t="shared" si="145"/>
        <v>2.5647144215161905E-3</v>
      </c>
      <c r="D4163">
        <f t="shared" ref="D4163:D4226" si="146">(C4163-avrtn)/sdrtn</f>
        <v>0.1679886556425218</v>
      </c>
    </row>
    <row r="4164" spans="1:4" x14ac:dyDescent="0.3">
      <c r="A4164" s="1">
        <v>31987</v>
      </c>
      <c r="B4164">
        <v>431.20001200000002</v>
      </c>
      <c r="C4164">
        <f t="shared" ref="C4164:C4227" si="147">(B4164-B4163)/B4163</f>
        <v>2.7907255813953841E-3</v>
      </c>
      <c r="D4164">
        <f t="shared" si="146"/>
        <v>0.18606861906941469</v>
      </c>
    </row>
    <row r="4165" spans="1:4" x14ac:dyDescent="0.3">
      <c r="A4165" s="1">
        <v>31988</v>
      </c>
      <c r="B4165">
        <v>433.60000600000001</v>
      </c>
      <c r="C4165">
        <f t="shared" si="147"/>
        <v>5.5658486391693147E-3</v>
      </c>
      <c r="D4165">
        <f t="shared" si="146"/>
        <v>0.40806705231712992</v>
      </c>
    </row>
    <row r="4166" spans="1:4" x14ac:dyDescent="0.3">
      <c r="A4166" s="1">
        <v>31989</v>
      </c>
      <c r="B4166">
        <v>434.89999399999999</v>
      </c>
      <c r="C4166">
        <f t="shared" si="147"/>
        <v>2.9981272647860266E-3</v>
      </c>
      <c r="D4166">
        <f t="shared" si="146"/>
        <v>0.20265990089984806</v>
      </c>
    </row>
    <row r="4167" spans="1:4" x14ac:dyDescent="0.3">
      <c r="A4167" s="1">
        <v>31992</v>
      </c>
      <c r="B4167">
        <v>433.10000600000001</v>
      </c>
      <c r="C4167">
        <f t="shared" si="147"/>
        <v>-4.138854966275269E-3</v>
      </c>
      <c r="D4167">
        <f t="shared" si="146"/>
        <v>-0.36826933013876356</v>
      </c>
    </row>
    <row r="4168" spans="1:4" x14ac:dyDescent="0.3">
      <c r="A4168" s="1">
        <v>31993</v>
      </c>
      <c r="B4168">
        <v>432.79998799999998</v>
      </c>
      <c r="C4168">
        <f t="shared" si="147"/>
        <v>-6.9272222545298874E-4</v>
      </c>
      <c r="D4168">
        <f t="shared" si="146"/>
        <v>-9.2592881455483944E-2</v>
      </c>
    </row>
    <row r="4169" spans="1:4" x14ac:dyDescent="0.3">
      <c r="A4169" s="1">
        <v>31994</v>
      </c>
      <c r="B4169">
        <v>436.29998799999998</v>
      </c>
      <c r="C4169">
        <f t="shared" si="147"/>
        <v>8.0868763794882548E-3</v>
      </c>
      <c r="D4169">
        <f t="shared" si="146"/>
        <v>0.60973890501463446</v>
      </c>
    </row>
    <row r="4170" spans="1:4" x14ac:dyDescent="0.3">
      <c r="A4170" s="1">
        <v>31995</v>
      </c>
      <c r="B4170">
        <v>440.79998799999998</v>
      </c>
      <c r="C4170">
        <f t="shared" si="147"/>
        <v>1.0314004409278141E-2</v>
      </c>
      <c r="D4170">
        <f t="shared" si="146"/>
        <v>0.78789998939264572</v>
      </c>
    </row>
    <row r="4171" spans="1:4" x14ac:dyDescent="0.3">
      <c r="A4171" s="1">
        <v>31996</v>
      </c>
      <c r="B4171">
        <v>443.60000600000001</v>
      </c>
      <c r="C4171">
        <f t="shared" si="147"/>
        <v>6.3521281221088025E-3</v>
      </c>
      <c r="D4171">
        <f t="shared" si="146"/>
        <v>0.47096617775173599</v>
      </c>
    </row>
    <row r="4172" spans="1:4" x14ac:dyDescent="0.3">
      <c r="A4172" s="1">
        <v>31999</v>
      </c>
      <c r="B4172">
        <v>446.29998799999998</v>
      </c>
      <c r="C4172">
        <f t="shared" si="147"/>
        <v>6.0865238130767231E-3</v>
      </c>
      <c r="D4172">
        <f t="shared" si="146"/>
        <v>0.44971892520061435</v>
      </c>
    </row>
    <row r="4173" spans="1:4" x14ac:dyDescent="0.3">
      <c r="A4173" s="1">
        <v>32000</v>
      </c>
      <c r="B4173">
        <v>449.39999399999999</v>
      </c>
      <c r="C4173">
        <f t="shared" si="147"/>
        <v>6.9460140787635594E-3</v>
      </c>
      <c r="D4173">
        <f t="shared" si="146"/>
        <v>0.51847461221047075</v>
      </c>
    </row>
    <row r="4174" spans="1:4" x14ac:dyDescent="0.3">
      <c r="A4174" s="1">
        <v>32001</v>
      </c>
      <c r="B4174">
        <v>449.20001200000002</v>
      </c>
      <c r="C4174">
        <f t="shared" si="147"/>
        <v>-4.4499778075203364E-4</v>
      </c>
      <c r="D4174">
        <f t="shared" si="146"/>
        <v>-7.2775944528410824E-2</v>
      </c>
    </row>
    <row r="4175" spans="1:4" x14ac:dyDescent="0.3">
      <c r="A4175" s="1">
        <v>32002</v>
      </c>
      <c r="B4175">
        <v>451.60000600000001</v>
      </c>
      <c r="C4175">
        <f t="shared" si="147"/>
        <v>5.3428182009932637E-3</v>
      </c>
      <c r="D4175">
        <f t="shared" si="146"/>
        <v>0.39022553436968754</v>
      </c>
    </row>
    <row r="4176" spans="1:4" x14ac:dyDescent="0.3">
      <c r="A4176" s="1">
        <v>32003</v>
      </c>
      <c r="B4176">
        <v>451.60000600000001</v>
      </c>
      <c r="C4176">
        <f t="shared" si="147"/>
        <v>0</v>
      </c>
      <c r="D4176">
        <f t="shared" si="146"/>
        <v>-3.7177951910056316E-2</v>
      </c>
    </row>
    <row r="4177" spans="1:4" x14ac:dyDescent="0.3">
      <c r="A4177" s="1">
        <v>32006</v>
      </c>
      <c r="B4177">
        <v>451.70001200000002</v>
      </c>
      <c r="C4177">
        <f t="shared" si="147"/>
        <v>2.2144818129167073E-4</v>
      </c>
      <c r="D4177">
        <f t="shared" si="146"/>
        <v>-1.9463008007085184E-2</v>
      </c>
    </row>
    <row r="4178" spans="1:4" x14ac:dyDescent="0.3">
      <c r="A4178" s="1">
        <v>32007</v>
      </c>
      <c r="B4178">
        <v>446.79998799999998</v>
      </c>
      <c r="C4178">
        <f t="shared" si="147"/>
        <v>-1.084796074789573E-2</v>
      </c>
      <c r="D4178">
        <f t="shared" si="146"/>
        <v>-0.90497020466058153</v>
      </c>
    </row>
    <row r="4179" spans="1:4" x14ac:dyDescent="0.3">
      <c r="A4179" s="1">
        <v>32008</v>
      </c>
      <c r="B4179">
        <v>448</v>
      </c>
      <c r="C4179">
        <f t="shared" si="147"/>
        <v>2.6857923729398472E-3</v>
      </c>
      <c r="D4179">
        <f t="shared" si="146"/>
        <v>0.17767439388090314</v>
      </c>
    </row>
    <row r="4180" spans="1:4" x14ac:dyDescent="0.3">
      <c r="A4180" s="1">
        <v>32009</v>
      </c>
      <c r="B4180">
        <v>452.79998799999998</v>
      </c>
      <c r="C4180">
        <f t="shared" si="147"/>
        <v>1.0714258928571394E-2</v>
      </c>
      <c r="D4180">
        <f t="shared" si="146"/>
        <v>0.81991870507968823</v>
      </c>
    </row>
    <row r="4181" spans="1:4" x14ac:dyDescent="0.3">
      <c r="A4181" s="1">
        <v>32010</v>
      </c>
      <c r="B4181">
        <v>455.20001200000002</v>
      </c>
      <c r="C4181">
        <f t="shared" si="147"/>
        <v>5.300406500894232E-3</v>
      </c>
      <c r="D4181">
        <f t="shared" si="146"/>
        <v>0.38683277275971789</v>
      </c>
    </row>
    <row r="4182" spans="1:4" x14ac:dyDescent="0.3">
      <c r="A4182" s="1">
        <v>32013</v>
      </c>
      <c r="B4182">
        <v>453.79998799999998</v>
      </c>
      <c r="C4182">
        <f t="shared" si="147"/>
        <v>-3.0756238205020747E-3</v>
      </c>
      <c r="D4182">
        <f t="shared" si="146"/>
        <v>-0.28321521050950338</v>
      </c>
    </row>
    <row r="4183" spans="1:4" x14ac:dyDescent="0.3">
      <c r="A4183" s="1">
        <v>32014</v>
      </c>
      <c r="B4183">
        <v>455.10000600000001</v>
      </c>
      <c r="C4183">
        <f t="shared" si="147"/>
        <v>2.8647378456960709E-3</v>
      </c>
      <c r="D4183">
        <f t="shared" si="146"/>
        <v>0.19198929587322033</v>
      </c>
    </row>
    <row r="4184" spans="1:4" x14ac:dyDescent="0.3">
      <c r="A4184" s="1">
        <v>32015</v>
      </c>
      <c r="B4184">
        <v>455.29998799999998</v>
      </c>
      <c r="C4184">
        <f t="shared" si="147"/>
        <v>4.3942429655774874E-4</v>
      </c>
      <c r="D4184">
        <f t="shared" si="146"/>
        <v>-2.025815108940658E-3</v>
      </c>
    </row>
    <row r="4185" spans="1:4" x14ac:dyDescent="0.3">
      <c r="A4185" s="1">
        <v>32016</v>
      </c>
      <c r="B4185">
        <v>455.79998799999998</v>
      </c>
      <c r="C4185">
        <f t="shared" si="147"/>
        <v>1.0981770550804407E-3</v>
      </c>
      <c r="D4185">
        <f t="shared" si="146"/>
        <v>5.06716967653459E-2</v>
      </c>
    </row>
    <row r="4186" spans="1:4" x14ac:dyDescent="0.3">
      <c r="A4186" s="1">
        <v>32017</v>
      </c>
      <c r="B4186">
        <v>453.29998799999998</v>
      </c>
      <c r="C4186">
        <f t="shared" si="147"/>
        <v>-5.4848619258849127E-3</v>
      </c>
      <c r="D4186">
        <f t="shared" si="146"/>
        <v>-0.47594435209384534</v>
      </c>
    </row>
    <row r="4187" spans="1:4" x14ac:dyDescent="0.3">
      <c r="A4187" s="1">
        <v>32020</v>
      </c>
      <c r="B4187">
        <v>455</v>
      </c>
      <c r="C4187">
        <f t="shared" si="147"/>
        <v>3.7503023273850501E-3</v>
      </c>
      <c r="D4187">
        <f t="shared" si="146"/>
        <v>0.26283081294543137</v>
      </c>
    </row>
    <row r="4188" spans="1:4" x14ac:dyDescent="0.3">
      <c r="A4188" s="1">
        <v>32021</v>
      </c>
      <c r="B4188">
        <v>452.5</v>
      </c>
      <c r="C4188">
        <f t="shared" si="147"/>
        <v>-5.4945054945054949E-3</v>
      </c>
      <c r="D4188">
        <f t="shared" si="146"/>
        <v>-0.47671579792890079</v>
      </c>
    </row>
    <row r="4189" spans="1:4" x14ac:dyDescent="0.3">
      <c r="A4189" s="1">
        <v>32022</v>
      </c>
      <c r="B4189">
        <v>448.89999399999999</v>
      </c>
      <c r="C4189">
        <f t="shared" si="147"/>
        <v>-7.9558143646409011E-3</v>
      </c>
      <c r="D4189">
        <f t="shared" si="146"/>
        <v>-0.67361038657718408</v>
      </c>
    </row>
    <row r="4190" spans="1:4" x14ac:dyDescent="0.3">
      <c r="A4190" s="1">
        <v>32023</v>
      </c>
      <c r="B4190">
        <v>448.39999399999999</v>
      </c>
      <c r="C4190">
        <f t="shared" si="147"/>
        <v>-1.113833830882163E-3</v>
      </c>
      <c r="D4190">
        <f t="shared" si="146"/>
        <v>-0.12628007826854953</v>
      </c>
    </row>
    <row r="4191" spans="1:4" x14ac:dyDescent="0.3">
      <c r="A4191" s="1">
        <v>32024</v>
      </c>
      <c r="B4191">
        <v>446.5</v>
      </c>
      <c r="C4191">
        <f t="shared" si="147"/>
        <v>-4.237274811381894E-3</v>
      </c>
      <c r="D4191">
        <f t="shared" si="146"/>
        <v>-0.37614251304247226</v>
      </c>
    </row>
    <row r="4192" spans="1:4" x14ac:dyDescent="0.3">
      <c r="A4192" s="1">
        <v>32028</v>
      </c>
      <c r="B4192">
        <v>437.60000600000001</v>
      </c>
      <c r="C4192">
        <f t="shared" si="147"/>
        <v>-1.9932797312429994E-2</v>
      </c>
      <c r="D4192">
        <f t="shared" si="146"/>
        <v>-1.631719772752152</v>
      </c>
    </row>
    <row r="4193" spans="1:4" x14ac:dyDescent="0.3">
      <c r="A4193" s="1">
        <v>32029</v>
      </c>
      <c r="B4193">
        <v>439.20001200000002</v>
      </c>
      <c r="C4193">
        <f t="shared" si="147"/>
        <v>3.6563207908182878E-3</v>
      </c>
      <c r="D4193">
        <f t="shared" si="146"/>
        <v>0.25531267647447792</v>
      </c>
    </row>
    <row r="4194" spans="1:4" x14ac:dyDescent="0.3">
      <c r="A4194" s="1">
        <v>32030</v>
      </c>
      <c r="B4194">
        <v>443.5</v>
      </c>
      <c r="C4194">
        <f t="shared" si="147"/>
        <v>9.7905006432467603E-3</v>
      </c>
      <c r="D4194">
        <f t="shared" si="146"/>
        <v>0.74602184077048384</v>
      </c>
    </row>
    <row r="4195" spans="1:4" x14ac:dyDescent="0.3">
      <c r="A4195" s="1">
        <v>32031</v>
      </c>
      <c r="B4195">
        <v>446.20001200000002</v>
      </c>
      <c r="C4195">
        <f t="shared" si="147"/>
        <v>6.0879639233371256E-3</v>
      </c>
      <c r="D4195">
        <f t="shared" si="146"/>
        <v>0.44983412809967777</v>
      </c>
    </row>
    <row r="4196" spans="1:4" x14ac:dyDescent="0.3">
      <c r="A4196" s="1">
        <v>32034</v>
      </c>
      <c r="B4196">
        <v>445.5</v>
      </c>
      <c r="C4196">
        <f t="shared" si="147"/>
        <v>-1.5688300788302425E-3</v>
      </c>
      <c r="D4196">
        <f t="shared" si="146"/>
        <v>-0.16267790714864494</v>
      </c>
    </row>
    <row r="4197" spans="1:4" x14ac:dyDescent="0.3">
      <c r="A4197" s="1">
        <v>32035</v>
      </c>
      <c r="B4197">
        <v>441.89999399999999</v>
      </c>
      <c r="C4197">
        <f t="shared" si="147"/>
        <v>-8.0808215488215665E-3</v>
      </c>
      <c r="D4197">
        <f t="shared" si="146"/>
        <v>-0.68361044727902454</v>
      </c>
    </row>
    <row r="4198" spans="1:4" x14ac:dyDescent="0.3">
      <c r="A4198" s="1">
        <v>32036</v>
      </c>
      <c r="B4198">
        <v>440.89999399999999</v>
      </c>
      <c r="C4198">
        <f t="shared" si="147"/>
        <v>-2.2629554505040343E-3</v>
      </c>
      <c r="D4198">
        <f t="shared" si="146"/>
        <v>-0.21820508262196509</v>
      </c>
    </row>
    <row r="4199" spans="1:4" x14ac:dyDescent="0.3">
      <c r="A4199" s="1">
        <v>32037</v>
      </c>
      <c r="B4199">
        <v>440.79998799999998</v>
      </c>
      <c r="C4199">
        <f t="shared" si="147"/>
        <v>-2.2682241179619429E-4</v>
      </c>
      <c r="D4199">
        <f t="shared" si="146"/>
        <v>-5.5322812154421461E-2</v>
      </c>
    </row>
    <row r="4200" spans="1:4" x14ac:dyDescent="0.3">
      <c r="A4200" s="1">
        <v>32038</v>
      </c>
      <c r="B4200">
        <v>440.89999399999999</v>
      </c>
      <c r="C4200">
        <f t="shared" si="147"/>
        <v>2.2687387187498651E-4</v>
      </c>
      <c r="D4200">
        <f t="shared" si="146"/>
        <v>-1.902897507099291E-2</v>
      </c>
    </row>
    <row r="4201" spans="1:4" x14ac:dyDescent="0.3">
      <c r="A4201" s="1">
        <v>32041</v>
      </c>
      <c r="B4201">
        <v>436</v>
      </c>
      <c r="C4201">
        <f t="shared" si="147"/>
        <v>-1.1113617751602856E-2</v>
      </c>
      <c r="D4201">
        <f t="shared" si="146"/>
        <v>-0.92622167256902499</v>
      </c>
    </row>
    <row r="4202" spans="1:4" x14ac:dyDescent="0.3">
      <c r="A4202" s="1">
        <v>32042</v>
      </c>
      <c r="B4202">
        <v>437.89999399999999</v>
      </c>
      <c r="C4202">
        <f t="shared" si="147"/>
        <v>4.357784403669707E-3</v>
      </c>
      <c r="D4202">
        <f t="shared" si="146"/>
        <v>0.31142688106698019</v>
      </c>
    </row>
    <row r="4203" spans="1:4" x14ac:dyDescent="0.3">
      <c r="A4203" s="1">
        <v>32043</v>
      </c>
      <c r="B4203">
        <v>440.70001200000002</v>
      </c>
      <c r="C4203">
        <f t="shared" si="147"/>
        <v>6.3941951093062195E-3</v>
      </c>
      <c r="D4203">
        <f t="shared" si="146"/>
        <v>0.47433136374704438</v>
      </c>
    </row>
    <row r="4204" spans="1:4" x14ac:dyDescent="0.3">
      <c r="A4204" s="1">
        <v>32044</v>
      </c>
      <c r="B4204">
        <v>441.20001200000002</v>
      </c>
      <c r="C4204">
        <f t="shared" si="147"/>
        <v>1.134558625789191E-3</v>
      </c>
      <c r="D4204">
        <f t="shared" si="146"/>
        <v>5.3582072820133261E-2</v>
      </c>
    </row>
    <row r="4205" spans="1:4" x14ac:dyDescent="0.3">
      <c r="A4205" s="1">
        <v>32045</v>
      </c>
      <c r="B4205">
        <v>441.89999399999999</v>
      </c>
      <c r="C4205">
        <f t="shared" si="147"/>
        <v>1.5865412079816019E-3</v>
      </c>
      <c r="D4205">
        <f t="shared" si="146"/>
        <v>8.9738820832042807E-2</v>
      </c>
    </row>
    <row r="4206" spans="1:4" x14ac:dyDescent="0.3">
      <c r="A4206" s="1">
        <v>32048</v>
      </c>
      <c r="B4206">
        <v>442.29998799999998</v>
      </c>
      <c r="C4206">
        <f t="shared" si="147"/>
        <v>9.0516860246889349E-4</v>
      </c>
      <c r="D4206">
        <f t="shared" si="146"/>
        <v>3.5231814211921529E-2</v>
      </c>
    </row>
    <row r="4207" spans="1:4" x14ac:dyDescent="0.3">
      <c r="A4207" s="1">
        <v>32049</v>
      </c>
      <c r="B4207">
        <v>442.20001200000002</v>
      </c>
      <c r="C4207">
        <f t="shared" si="147"/>
        <v>-2.2603663285645318E-4</v>
      </c>
      <c r="D4207">
        <f t="shared" si="146"/>
        <v>-5.5259953070384477E-2</v>
      </c>
    </row>
    <row r="4208" spans="1:4" x14ac:dyDescent="0.3">
      <c r="A4208" s="1">
        <v>32050</v>
      </c>
      <c r="B4208">
        <v>444.29998799999998</v>
      </c>
      <c r="C4208">
        <f t="shared" si="147"/>
        <v>4.748927957966608E-3</v>
      </c>
      <c r="D4208">
        <f t="shared" si="146"/>
        <v>0.34271675701882648</v>
      </c>
    </row>
    <row r="4209" spans="1:4" x14ac:dyDescent="0.3">
      <c r="A4209" s="1">
        <v>32051</v>
      </c>
      <c r="B4209">
        <v>448.5</v>
      </c>
      <c r="C4209">
        <f t="shared" si="147"/>
        <v>9.4530995125753081E-3</v>
      </c>
      <c r="D4209">
        <f t="shared" si="146"/>
        <v>0.71903113771850702</v>
      </c>
    </row>
    <row r="4210" spans="1:4" x14ac:dyDescent="0.3">
      <c r="A4210" s="1">
        <v>32052</v>
      </c>
      <c r="B4210">
        <v>451.60000600000001</v>
      </c>
      <c r="C4210">
        <f t="shared" si="147"/>
        <v>6.911942028985524E-3</v>
      </c>
      <c r="D4210">
        <f t="shared" si="146"/>
        <v>0.51574898833333382</v>
      </c>
    </row>
    <row r="4211" spans="1:4" x14ac:dyDescent="0.3">
      <c r="A4211" s="1">
        <v>32055</v>
      </c>
      <c r="B4211">
        <v>453.60000600000001</v>
      </c>
      <c r="C4211">
        <f t="shared" si="147"/>
        <v>4.4286979039588406E-3</v>
      </c>
      <c r="D4211">
        <f t="shared" si="146"/>
        <v>0.31709966949205531</v>
      </c>
    </row>
    <row r="4212" spans="1:4" x14ac:dyDescent="0.3">
      <c r="A4212" s="1">
        <v>32056</v>
      </c>
      <c r="B4212">
        <v>447.5</v>
      </c>
      <c r="C4212">
        <f t="shared" si="147"/>
        <v>-1.3447984830934961E-2</v>
      </c>
      <c r="D4212">
        <f t="shared" si="146"/>
        <v>-1.1129614399408072</v>
      </c>
    </row>
    <row r="4213" spans="1:4" x14ac:dyDescent="0.3">
      <c r="A4213" s="1">
        <v>32057</v>
      </c>
      <c r="B4213">
        <v>444.60000600000001</v>
      </c>
      <c r="C4213">
        <f t="shared" si="147"/>
        <v>-6.4804335195530558E-3</v>
      </c>
      <c r="D4213">
        <f t="shared" si="146"/>
        <v>-0.55558598577244211</v>
      </c>
    </row>
    <row r="4214" spans="1:4" x14ac:dyDescent="0.3">
      <c r="A4214" s="1">
        <v>32058</v>
      </c>
      <c r="B4214">
        <v>440</v>
      </c>
      <c r="C4214">
        <f t="shared" si="147"/>
        <v>-1.0346392123080646E-2</v>
      </c>
      <c r="D4214">
        <f t="shared" si="146"/>
        <v>-0.86484677713788372</v>
      </c>
    </row>
    <row r="4215" spans="1:4" x14ac:dyDescent="0.3">
      <c r="A4215" s="1">
        <v>32059</v>
      </c>
      <c r="B4215">
        <v>438.39999399999999</v>
      </c>
      <c r="C4215">
        <f t="shared" si="147"/>
        <v>-3.6363772727272901E-3</v>
      </c>
      <c r="D4215">
        <f t="shared" si="146"/>
        <v>-0.32807318085554715</v>
      </c>
    </row>
    <row r="4216" spans="1:4" x14ac:dyDescent="0.3">
      <c r="A4216" s="1">
        <v>32062</v>
      </c>
      <c r="B4216">
        <v>433</v>
      </c>
      <c r="C4216">
        <f t="shared" si="147"/>
        <v>-1.2317504730622767E-2</v>
      </c>
      <c r="D4216">
        <f t="shared" si="146"/>
        <v>-1.0225276804777803</v>
      </c>
    </row>
    <row r="4217" spans="1:4" x14ac:dyDescent="0.3">
      <c r="A4217" s="1">
        <v>32063</v>
      </c>
      <c r="B4217">
        <v>434.79998799999998</v>
      </c>
      <c r="C4217">
        <f t="shared" si="147"/>
        <v>4.1570161662817205E-3</v>
      </c>
      <c r="D4217">
        <f t="shared" si="146"/>
        <v>0.29536624763986635</v>
      </c>
    </row>
    <row r="4218" spans="1:4" x14ac:dyDescent="0.3">
      <c r="A4218" s="1">
        <v>32064</v>
      </c>
      <c r="B4218">
        <v>428.29998799999998</v>
      </c>
      <c r="C4218">
        <f t="shared" si="147"/>
        <v>-1.4949402436506047E-2</v>
      </c>
      <c r="D4218">
        <f t="shared" si="146"/>
        <v>-1.2330686745204096</v>
      </c>
    </row>
    <row r="4219" spans="1:4" x14ac:dyDescent="0.3">
      <c r="A4219" s="1">
        <v>32065</v>
      </c>
      <c r="B4219">
        <v>422.5</v>
      </c>
      <c r="C4219">
        <f t="shared" si="147"/>
        <v>-1.3541882237923353E-2</v>
      </c>
      <c r="D4219">
        <f t="shared" si="146"/>
        <v>-1.1204728463914337</v>
      </c>
    </row>
    <row r="4220" spans="1:4" x14ac:dyDescent="0.3">
      <c r="A4220" s="1">
        <v>32066</v>
      </c>
      <c r="B4220">
        <v>406.29998799999998</v>
      </c>
      <c r="C4220">
        <f t="shared" si="147"/>
        <v>-3.8343223668639091E-2</v>
      </c>
      <c r="D4220">
        <f t="shared" si="146"/>
        <v>-3.1044781771233527</v>
      </c>
    </row>
    <row r="4221" spans="1:4" x14ac:dyDescent="0.3">
      <c r="A4221" s="1">
        <v>32069</v>
      </c>
      <c r="B4221">
        <v>360.20001200000002</v>
      </c>
      <c r="C4221">
        <f t="shared" si="147"/>
        <v>-0.11346290268657348</v>
      </c>
      <c r="D4221">
        <f t="shared" si="146"/>
        <v>-9.1137436045922691</v>
      </c>
    </row>
    <row r="4222" spans="1:4" x14ac:dyDescent="0.3">
      <c r="A4222" s="1">
        <v>32070</v>
      </c>
      <c r="B4222">
        <v>327.79998799999998</v>
      </c>
      <c r="C4222">
        <f t="shared" si="147"/>
        <v>-8.9950091395332957E-2</v>
      </c>
      <c r="D4222">
        <f t="shared" si="146"/>
        <v>-7.2328153865507732</v>
      </c>
    </row>
    <row r="4223" spans="1:4" x14ac:dyDescent="0.3">
      <c r="A4223" s="1">
        <v>32071</v>
      </c>
      <c r="B4223">
        <v>351.89999399999999</v>
      </c>
      <c r="C4223">
        <f t="shared" si="147"/>
        <v>7.3520460287509248E-2</v>
      </c>
      <c r="D4223">
        <f t="shared" si="146"/>
        <v>5.84415655315156</v>
      </c>
    </row>
    <row r="4224" spans="1:4" x14ac:dyDescent="0.3">
      <c r="A4224" s="1">
        <v>32072</v>
      </c>
      <c r="B4224">
        <v>336.10000600000001</v>
      </c>
      <c r="C4224">
        <f t="shared" si="147"/>
        <v>-4.4899085732863026E-2</v>
      </c>
      <c r="D4224">
        <f t="shared" si="146"/>
        <v>-3.6289201843953798</v>
      </c>
    </row>
    <row r="4225" spans="1:4" x14ac:dyDescent="0.3">
      <c r="A4225" s="1">
        <v>32073</v>
      </c>
      <c r="B4225">
        <v>328.5</v>
      </c>
      <c r="C4225">
        <f t="shared" si="147"/>
        <v>-2.2612335210728939E-2</v>
      </c>
      <c r="D4225">
        <f t="shared" si="146"/>
        <v>-1.8460717862903928</v>
      </c>
    </row>
    <row r="4226" spans="1:4" x14ac:dyDescent="0.3">
      <c r="A4226" s="1">
        <v>32076</v>
      </c>
      <c r="B4226">
        <v>298.89999399999999</v>
      </c>
      <c r="C4226">
        <f t="shared" si="147"/>
        <v>-9.0106563165905651E-2</v>
      </c>
      <c r="D4226">
        <f t="shared" si="146"/>
        <v>-7.2453324847808238</v>
      </c>
    </row>
    <row r="4227" spans="1:4" x14ac:dyDescent="0.3">
      <c r="A4227" s="1">
        <v>32077</v>
      </c>
      <c r="B4227">
        <v>296.29998799999998</v>
      </c>
      <c r="C4227">
        <f t="shared" si="147"/>
        <v>-8.6985816399849369E-3</v>
      </c>
      <c r="D4227">
        <f t="shared" ref="D4227:D4290" si="148">(C4227-avrtn)/sdrtn</f>
        <v>-0.73302871432742067</v>
      </c>
    </row>
    <row r="4228" spans="1:4" x14ac:dyDescent="0.3">
      <c r="A4228" s="1">
        <v>32078</v>
      </c>
      <c r="B4228">
        <v>291.89999399999999</v>
      </c>
      <c r="C4228">
        <f t="shared" ref="C4228:C4291" si="149">(B4228-B4227)/B4227</f>
        <v>-1.4849794728982549E-2</v>
      </c>
      <c r="D4228">
        <f t="shared" si="148"/>
        <v>-1.2251004675078705</v>
      </c>
    </row>
    <row r="4229" spans="1:4" x14ac:dyDescent="0.3">
      <c r="A4229" s="1">
        <v>32079</v>
      </c>
      <c r="B4229">
        <v>307.10000600000001</v>
      </c>
      <c r="C4229">
        <f t="shared" si="149"/>
        <v>5.2072669792518102E-2</v>
      </c>
      <c r="D4229">
        <f t="shared" si="148"/>
        <v>4.1284215073937629</v>
      </c>
    </row>
    <row r="4230" spans="1:4" x14ac:dyDescent="0.3">
      <c r="A4230" s="1">
        <v>32080</v>
      </c>
      <c r="B4230">
        <v>323.29998799999998</v>
      </c>
      <c r="C4230">
        <f t="shared" si="149"/>
        <v>5.2751487083982591E-2</v>
      </c>
      <c r="D4230">
        <f t="shared" si="148"/>
        <v>4.1827240993975412</v>
      </c>
    </row>
    <row r="4231" spans="1:4" x14ac:dyDescent="0.3">
      <c r="A4231" s="1">
        <v>32083</v>
      </c>
      <c r="B4231">
        <v>328.29998799999998</v>
      </c>
      <c r="C4231">
        <f t="shared" si="149"/>
        <v>1.5465512482481132E-2</v>
      </c>
      <c r="D4231">
        <f t="shared" si="148"/>
        <v>1.1999994521211139</v>
      </c>
    </row>
    <row r="4232" spans="1:4" x14ac:dyDescent="0.3">
      <c r="A4232" s="1">
        <v>32084</v>
      </c>
      <c r="B4232">
        <v>320.70001200000002</v>
      </c>
      <c r="C4232">
        <f t="shared" si="149"/>
        <v>-2.3149486073084993E-2</v>
      </c>
      <c r="D4232">
        <f t="shared" si="148"/>
        <v>-1.8890416465013331</v>
      </c>
    </row>
    <row r="4233" spans="1:4" x14ac:dyDescent="0.3">
      <c r="A4233" s="1">
        <v>32085</v>
      </c>
      <c r="B4233">
        <v>320.10000600000001</v>
      </c>
      <c r="C4233">
        <f t="shared" si="149"/>
        <v>-1.8709260291515286E-3</v>
      </c>
      <c r="D4233">
        <f t="shared" si="148"/>
        <v>-0.18684434094837751</v>
      </c>
    </row>
    <row r="4234" spans="1:4" x14ac:dyDescent="0.3">
      <c r="A4234" s="1">
        <v>32086</v>
      </c>
      <c r="B4234">
        <v>326.20001200000002</v>
      </c>
      <c r="C4234">
        <f t="shared" si="149"/>
        <v>1.9056563216684249E-2</v>
      </c>
      <c r="D4234">
        <f t="shared" si="148"/>
        <v>1.4872687443685106</v>
      </c>
    </row>
    <row r="4235" spans="1:4" x14ac:dyDescent="0.3">
      <c r="A4235" s="1">
        <v>32087</v>
      </c>
      <c r="B4235">
        <v>326.39999399999999</v>
      </c>
      <c r="C4235">
        <f t="shared" si="149"/>
        <v>6.1306558137090821E-4</v>
      </c>
      <c r="D4235">
        <f t="shared" si="148"/>
        <v>1.1864773658882527E-2</v>
      </c>
    </row>
    <row r="4236" spans="1:4" x14ac:dyDescent="0.3">
      <c r="A4236" s="1">
        <v>32090</v>
      </c>
      <c r="B4236">
        <v>320.39999399999999</v>
      </c>
      <c r="C4236">
        <f t="shared" si="149"/>
        <v>-1.8382353279087375E-2</v>
      </c>
      <c r="D4236">
        <f t="shared" si="148"/>
        <v>-1.5076906255487026</v>
      </c>
    </row>
    <row r="4237" spans="1:4" x14ac:dyDescent="0.3">
      <c r="A4237" s="1">
        <v>32091</v>
      </c>
      <c r="B4237">
        <v>315.20001200000002</v>
      </c>
      <c r="C4237">
        <f t="shared" si="149"/>
        <v>-1.6229656983077153E-2</v>
      </c>
      <c r="D4237">
        <f t="shared" si="148"/>
        <v>-1.3354837738079464</v>
      </c>
    </row>
    <row r="4238" spans="1:4" x14ac:dyDescent="0.3">
      <c r="A4238" s="1">
        <v>32092</v>
      </c>
      <c r="B4238">
        <v>317.79998799999998</v>
      </c>
      <c r="C4238">
        <f t="shared" si="149"/>
        <v>8.2486545082998582E-3</v>
      </c>
      <c r="D4238">
        <f t="shared" si="148"/>
        <v>0.62268049008392212</v>
      </c>
    </row>
    <row r="4239" spans="1:4" x14ac:dyDescent="0.3">
      <c r="A4239" s="1">
        <v>32093</v>
      </c>
      <c r="B4239">
        <v>324</v>
      </c>
      <c r="C4239">
        <f t="shared" si="149"/>
        <v>1.9509163732252928E-2</v>
      </c>
      <c r="D4239">
        <f t="shared" si="148"/>
        <v>1.5234749245095645</v>
      </c>
    </row>
    <row r="4240" spans="1:4" x14ac:dyDescent="0.3">
      <c r="A4240" s="1">
        <v>32094</v>
      </c>
      <c r="B4240">
        <v>323</v>
      </c>
      <c r="C4240">
        <f t="shared" si="149"/>
        <v>-3.0864197530864196E-3</v>
      </c>
      <c r="D4240">
        <f t="shared" si="148"/>
        <v>-0.2840788407231109</v>
      </c>
    </row>
    <row r="4241" spans="1:4" x14ac:dyDescent="0.3">
      <c r="A4241" s="1">
        <v>32097</v>
      </c>
      <c r="B4241">
        <v>322.39999399999999</v>
      </c>
      <c r="C4241">
        <f t="shared" si="149"/>
        <v>-1.8576037151703021E-3</v>
      </c>
      <c r="D4241">
        <f t="shared" si="148"/>
        <v>-0.18577861061156181</v>
      </c>
    </row>
    <row r="4242" spans="1:4" x14ac:dyDescent="0.3">
      <c r="A4242" s="1">
        <v>32098</v>
      </c>
      <c r="B4242">
        <v>316.79998799999998</v>
      </c>
      <c r="C4242">
        <f t="shared" si="149"/>
        <v>-1.7369745980826561E-2</v>
      </c>
      <c r="D4242">
        <f t="shared" si="148"/>
        <v>-1.426686205553928</v>
      </c>
    </row>
    <row r="4243" spans="1:4" x14ac:dyDescent="0.3">
      <c r="A4243" s="1">
        <v>32099</v>
      </c>
      <c r="B4243">
        <v>318.20001200000002</v>
      </c>
      <c r="C4243">
        <f t="shared" si="149"/>
        <v>4.419267844164282E-3</v>
      </c>
      <c r="D4243">
        <f t="shared" si="148"/>
        <v>0.31634530348512824</v>
      </c>
    </row>
    <row r="4244" spans="1:4" x14ac:dyDescent="0.3">
      <c r="A4244" s="1">
        <v>32100</v>
      </c>
      <c r="B4244">
        <v>313.89999399999999</v>
      </c>
      <c r="C4244">
        <f t="shared" si="149"/>
        <v>-1.3513569572084185E-2</v>
      </c>
      <c r="D4244">
        <f t="shared" si="148"/>
        <v>-1.1182079495466779</v>
      </c>
    </row>
    <row r="4245" spans="1:4" x14ac:dyDescent="0.3">
      <c r="A4245" s="1">
        <v>32101</v>
      </c>
      <c r="B4245">
        <v>312.5</v>
      </c>
      <c r="C4245">
        <f t="shared" si="149"/>
        <v>-4.4600000852500574E-3</v>
      </c>
      <c r="D4245">
        <f t="shared" si="148"/>
        <v>-0.39395961910012678</v>
      </c>
    </row>
    <row r="4246" spans="1:4" x14ac:dyDescent="0.3">
      <c r="A4246" s="1">
        <v>32104</v>
      </c>
      <c r="B4246">
        <v>313.10000600000001</v>
      </c>
      <c r="C4246">
        <f t="shared" si="149"/>
        <v>1.9200192000000244E-3</v>
      </c>
      <c r="D4246">
        <f t="shared" si="148"/>
        <v>0.11641568892381976</v>
      </c>
    </row>
    <row r="4247" spans="1:4" x14ac:dyDescent="0.3">
      <c r="A4247" s="1">
        <v>32105</v>
      </c>
      <c r="B4247">
        <v>316.70001200000002</v>
      </c>
      <c r="C4247">
        <f t="shared" si="149"/>
        <v>1.1497942928816193E-2</v>
      </c>
      <c r="D4247">
        <f t="shared" si="148"/>
        <v>0.88261020257140776</v>
      </c>
    </row>
    <row r="4248" spans="1:4" x14ac:dyDescent="0.3">
      <c r="A4248" s="1">
        <v>32106</v>
      </c>
      <c r="B4248">
        <v>317.79998799999998</v>
      </c>
      <c r="C4248">
        <f t="shared" si="149"/>
        <v>3.4732426849417661E-3</v>
      </c>
      <c r="D4248">
        <f t="shared" si="148"/>
        <v>0.24066718082602581</v>
      </c>
    </row>
    <row r="4249" spans="1:4" x14ac:dyDescent="0.3">
      <c r="A4249" s="1">
        <v>32108</v>
      </c>
      <c r="B4249">
        <v>316.5</v>
      </c>
      <c r="C4249">
        <f t="shared" si="149"/>
        <v>-4.0905854282158906E-3</v>
      </c>
      <c r="D4249">
        <f t="shared" si="148"/>
        <v>-0.36440796557953981</v>
      </c>
    </row>
    <row r="4250" spans="1:4" x14ac:dyDescent="0.3">
      <c r="A4250" s="1">
        <v>32111</v>
      </c>
      <c r="B4250">
        <v>305.20001200000002</v>
      </c>
      <c r="C4250">
        <f t="shared" si="149"/>
        <v>-3.5702963665086837E-2</v>
      </c>
      <c r="D4250">
        <f t="shared" si="148"/>
        <v>-2.893268233653179</v>
      </c>
    </row>
    <row r="4251" spans="1:4" x14ac:dyDescent="0.3">
      <c r="A4251" s="1">
        <v>32112</v>
      </c>
      <c r="B4251">
        <v>305.20001200000002</v>
      </c>
      <c r="C4251">
        <f t="shared" si="149"/>
        <v>0</v>
      </c>
      <c r="D4251">
        <f t="shared" si="148"/>
        <v>-3.7177951910056316E-2</v>
      </c>
    </row>
    <row r="4252" spans="1:4" x14ac:dyDescent="0.3">
      <c r="A4252" s="1">
        <v>32113</v>
      </c>
      <c r="B4252">
        <v>305.20001200000002</v>
      </c>
      <c r="C4252">
        <f t="shared" si="149"/>
        <v>0</v>
      </c>
      <c r="D4252">
        <f t="shared" si="148"/>
        <v>-3.7177951910056316E-2</v>
      </c>
    </row>
    <row r="4253" spans="1:4" x14ac:dyDescent="0.3">
      <c r="A4253" s="1">
        <v>32114</v>
      </c>
      <c r="B4253">
        <v>298.79998799999998</v>
      </c>
      <c r="C4253">
        <f t="shared" si="149"/>
        <v>-2.0969933644694714E-2</v>
      </c>
      <c r="D4253">
        <f t="shared" si="148"/>
        <v>-1.7146864146032486</v>
      </c>
    </row>
    <row r="4254" spans="1:4" x14ac:dyDescent="0.3">
      <c r="A4254" s="1">
        <v>32115</v>
      </c>
      <c r="B4254">
        <v>292.89999399999999</v>
      </c>
      <c r="C4254">
        <f t="shared" si="149"/>
        <v>-1.9745629976397432E-2</v>
      </c>
      <c r="D4254">
        <f t="shared" si="148"/>
        <v>-1.6167471555062316</v>
      </c>
    </row>
    <row r="4255" spans="1:4" x14ac:dyDescent="0.3">
      <c r="A4255" s="1">
        <v>32118</v>
      </c>
      <c r="B4255">
        <v>294.79998799999998</v>
      </c>
      <c r="C4255">
        <f t="shared" si="149"/>
        <v>6.4868352301843766E-3</v>
      </c>
      <c r="D4255">
        <f t="shared" si="148"/>
        <v>0.4817421924788437</v>
      </c>
    </row>
    <row r="4256" spans="1:4" x14ac:dyDescent="0.3">
      <c r="A4256" s="1">
        <v>32119</v>
      </c>
      <c r="B4256">
        <v>298</v>
      </c>
      <c r="C4256">
        <f t="shared" si="149"/>
        <v>1.085485797238233E-2</v>
      </c>
      <c r="D4256">
        <f t="shared" si="148"/>
        <v>0.83116605043784042</v>
      </c>
    </row>
    <row r="4257" spans="1:4" x14ac:dyDescent="0.3">
      <c r="A4257" s="1">
        <v>32120</v>
      </c>
      <c r="B4257">
        <v>302</v>
      </c>
      <c r="C4257">
        <f t="shared" si="149"/>
        <v>1.3422818791946308E-2</v>
      </c>
      <c r="D4257">
        <f t="shared" si="148"/>
        <v>1.0365923564849731</v>
      </c>
    </row>
    <row r="4258" spans="1:4" x14ac:dyDescent="0.3">
      <c r="A4258" s="1">
        <v>32121</v>
      </c>
      <c r="B4258">
        <v>300.79998799999998</v>
      </c>
      <c r="C4258">
        <f t="shared" si="149"/>
        <v>-3.9735496688742223E-3</v>
      </c>
      <c r="D4258">
        <f t="shared" si="148"/>
        <v>-0.35504558608612435</v>
      </c>
    </row>
    <row r="4259" spans="1:4" x14ac:dyDescent="0.3">
      <c r="A4259" s="1">
        <v>32122</v>
      </c>
      <c r="B4259">
        <v>302.60000600000001</v>
      </c>
      <c r="C4259">
        <f t="shared" si="149"/>
        <v>5.9841026323445958E-3</v>
      </c>
      <c r="D4259">
        <f t="shared" si="148"/>
        <v>0.44152565190045584</v>
      </c>
    </row>
    <row r="4260" spans="1:4" x14ac:dyDescent="0.3">
      <c r="A4260" s="1">
        <v>32125</v>
      </c>
      <c r="B4260">
        <v>309.39999399999999</v>
      </c>
      <c r="C4260">
        <f t="shared" si="149"/>
        <v>2.2471870010471792E-2</v>
      </c>
      <c r="D4260">
        <f t="shared" si="148"/>
        <v>1.760479244046063</v>
      </c>
    </row>
    <row r="4261" spans="1:4" x14ac:dyDescent="0.3">
      <c r="A4261" s="1">
        <v>32126</v>
      </c>
      <c r="B4261">
        <v>312.70001200000002</v>
      </c>
      <c r="C4261">
        <f t="shared" si="149"/>
        <v>1.0665863167405306E-2</v>
      </c>
      <c r="D4261">
        <f t="shared" si="148"/>
        <v>0.81604724319096023</v>
      </c>
    </row>
    <row r="4262" spans="1:4" x14ac:dyDescent="0.3">
      <c r="A4262" s="1">
        <v>32127</v>
      </c>
      <c r="B4262">
        <v>319.29998799999998</v>
      </c>
      <c r="C4262">
        <f t="shared" si="149"/>
        <v>2.1106414284371596E-2</v>
      </c>
      <c r="D4262">
        <f t="shared" si="148"/>
        <v>1.6512484007455428</v>
      </c>
    </row>
    <row r="4263" spans="1:4" x14ac:dyDescent="0.3">
      <c r="A4263" s="1">
        <v>32128</v>
      </c>
      <c r="B4263">
        <v>319.5</v>
      </c>
      <c r="C4263">
        <f t="shared" si="149"/>
        <v>6.2640779053212863E-4</v>
      </c>
      <c r="D4263">
        <f t="shared" si="148"/>
        <v>1.2932095528288267E-2</v>
      </c>
    </row>
    <row r="4264" spans="1:4" x14ac:dyDescent="0.3">
      <c r="A4264" s="1">
        <v>32129</v>
      </c>
      <c r="B4264">
        <v>326.89999399999999</v>
      </c>
      <c r="C4264">
        <f t="shared" si="149"/>
        <v>2.3161170579029711E-2</v>
      </c>
      <c r="D4264">
        <f t="shared" si="148"/>
        <v>1.8156204551098223</v>
      </c>
    </row>
    <row r="4265" spans="1:4" x14ac:dyDescent="0.3">
      <c r="A4265" s="1">
        <v>32132</v>
      </c>
      <c r="B4265">
        <v>328.70001200000002</v>
      </c>
      <c r="C4265">
        <f t="shared" si="149"/>
        <v>5.5063261946710924E-3</v>
      </c>
      <c r="D4265">
        <f t="shared" si="148"/>
        <v>0.40330550151502642</v>
      </c>
    </row>
    <row r="4266" spans="1:4" x14ac:dyDescent="0.3">
      <c r="A4266" s="1">
        <v>32133</v>
      </c>
      <c r="B4266">
        <v>327.29998799999998</v>
      </c>
      <c r="C4266">
        <f t="shared" si="149"/>
        <v>-4.2592757800082775E-3</v>
      </c>
      <c r="D4266">
        <f t="shared" si="148"/>
        <v>-0.3779025000640594</v>
      </c>
    </row>
    <row r="4267" spans="1:4" x14ac:dyDescent="0.3">
      <c r="A4267" s="1">
        <v>32134</v>
      </c>
      <c r="B4267">
        <v>331.5</v>
      </c>
      <c r="C4267">
        <f t="shared" si="149"/>
        <v>1.2832301112091746E-2</v>
      </c>
      <c r="D4267">
        <f t="shared" si="148"/>
        <v>0.98935337031981685</v>
      </c>
    </row>
    <row r="4268" spans="1:4" x14ac:dyDescent="0.3">
      <c r="A4268" s="1">
        <v>32135</v>
      </c>
      <c r="B4268">
        <v>333.20001200000002</v>
      </c>
      <c r="C4268">
        <f t="shared" si="149"/>
        <v>5.1282413273001969E-3</v>
      </c>
      <c r="D4268">
        <f t="shared" si="148"/>
        <v>0.37306026681961907</v>
      </c>
    </row>
    <row r="4269" spans="1:4" x14ac:dyDescent="0.3">
      <c r="A4269" s="1">
        <v>32139</v>
      </c>
      <c r="B4269">
        <v>325.60000600000001</v>
      </c>
      <c r="C4269">
        <f t="shared" si="149"/>
        <v>-2.2809140835205032E-2</v>
      </c>
      <c r="D4269">
        <f t="shared" si="148"/>
        <v>-1.8618154269789169</v>
      </c>
    </row>
    <row r="4270" spans="1:4" x14ac:dyDescent="0.3">
      <c r="A4270" s="1">
        <v>32140</v>
      </c>
      <c r="B4270">
        <v>325.5</v>
      </c>
      <c r="C4270">
        <f t="shared" si="149"/>
        <v>-3.0714372898386124E-4</v>
      </c>
      <c r="D4270">
        <f t="shared" si="148"/>
        <v>-6.1748187246205018E-2</v>
      </c>
    </row>
    <row r="4271" spans="1:4" x14ac:dyDescent="0.3">
      <c r="A4271" s="1">
        <v>32141</v>
      </c>
      <c r="B4271">
        <v>329.70001200000002</v>
      </c>
      <c r="C4271">
        <f t="shared" si="149"/>
        <v>1.2903262672811106E-2</v>
      </c>
      <c r="D4271">
        <f t="shared" si="148"/>
        <v>0.99503000338168435</v>
      </c>
    </row>
    <row r="4272" spans="1:4" x14ac:dyDescent="0.3">
      <c r="A4272" s="1">
        <v>32142</v>
      </c>
      <c r="B4272">
        <v>330.5</v>
      </c>
      <c r="C4272">
        <f t="shared" si="149"/>
        <v>2.4264118012831157E-3</v>
      </c>
      <c r="D4272">
        <f t="shared" si="148"/>
        <v>0.15692501472764833</v>
      </c>
    </row>
    <row r="4273" spans="1:4" x14ac:dyDescent="0.3">
      <c r="A4273" s="1">
        <v>32146</v>
      </c>
      <c r="B4273">
        <v>338.5</v>
      </c>
      <c r="C4273">
        <f t="shared" si="149"/>
        <v>2.4205748865355523E-2</v>
      </c>
      <c r="D4273">
        <f t="shared" si="148"/>
        <v>1.8991824226843081</v>
      </c>
    </row>
    <row r="4274" spans="1:4" x14ac:dyDescent="0.3">
      <c r="A4274" s="1">
        <v>32147</v>
      </c>
      <c r="B4274">
        <v>344.10000600000001</v>
      </c>
      <c r="C4274">
        <f t="shared" si="149"/>
        <v>1.6543592319054674E-2</v>
      </c>
      <c r="D4274">
        <f t="shared" si="148"/>
        <v>1.2862414059562204</v>
      </c>
    </row>
    <row r="4275" spans="1:4" x14ac:dyDescent="0.3">
      <c r="A4275" s="1">
        <v>32148</v>
      </c>
      <c r="B4275">
        <v>346.70001200000002</v>
      </c>
      <c r="C4275">
        <f t="shared" si="149"/>
        <v>7.555960344853954E-3</v>
      </c>
      <c r="D4275">
        <f t="shared" si="148"/>
        <v>0.56726780538366961</v>
      </c>
    </row>
    <row r="4276" spans="1:4" x14ac:dyDescent="0.3">
      <c r="A4276" s="1">
        <v>32149</v>
      </c>
      <c r="B4276">
        <v>349.70001200000002</v>
      </c>
      <c r="C4276">
        <f t="shared" si="149"/>
        <v>8.6530138337578139E-3</v>
      </c>
      <c r="D4276">
        <f t="shared" si="148"/>
        <v>0.65502757338507711</v>
      </c>
    </row>
    <row r="4277" spans="1:4" x14ac:dyDescent="0.3">
      <c r="A4277" s="1">
        <v>32150</v>
      </c>
      <c r="B4277">
        <v>338.5</v>
      </c>
      <c r="C4277">
        <f t="shared" si="149"/>
        <v>-3.2027485317901602E-2</v>
      </c>
      <c r="D4277">
        <f t="shared" si="148"/>
        <v>-2.5992450795356317</v>
      </c>
    </row>
    <row r="4278" spans="1:4" x14ac:dyDescent="0.3">
      <c r="A4278" s="1">
        <v>32153</v>
      </c>
      <c r="B4278">
        <v>336.20001200000002</v>
      </c>
      <c r="C4278">
        <f t="shared" si="149"/>
        <v>-6.7946469719349627E-3</v>
      </c>
      <c r="D4278">
        <f t="shared" si="148"/>
        <v>-0.58072176990955815</v>
      </c>
    </row>
    <row r="4279" spans="1:4" x14ac:dyDescent="0.3">
      <c r="A4279" s="1">
        <v>32154</v>
      </c>
      <c r="B4279">
        <v>332</v>
      </c>
      <c r="C4279">
        <f t="shared" si="149"/>
        <v>-1.2492599197170806E-2</v>
      </c>
      <c r="D4279">
        <f t="shared" si="148"/>
        <v>-1.036534517808875</v>
      </c>
    </row>
    <row r="4280" spans="1:4" x14ac:dyDescent="0.3">
      <c r="A4280" s="1">
        <v>32155</v>
      </c>
      <c r="B4280">
        <v>332.70001200000002</v>
      </c>
      <c r="C4280">
        <f t="shared" si="149"/>
        <v>2.108469879518118E-3</v>
      </c>
      <c r="D4280">
        <f t="shared" si="148"/>
        <v>0.13149096837144278</v>
      </c>
    </row>
    <row r="4281" spans="1:4" x14ac:dyDescent="0.3">
      <c r="A4281" s="1">
        <v>32156</v>
      </c>
      <c r="B4281">
        <v>334.20001200000002</v>
      </c>
      <c r="C4281">
        <f t="shared" si="149"/>
        <v>4.5085661133069032E-3</v>
      </c>
      <c r="D4281">
        <f t="shared" si="148"/>
        <v>0.32348879781986112</v>
      </c>
    </row>
    <row r="4282" spans="1:4" x14ac:dyDescent="0.3">
      <c r="A4282" s="1">
        <v>32157</v>
      </c>
      <c r="B4282">
        <v>340.10000600000001</v>
      </c>
      <c r="C4282">
        <f t="shared" si="149"/>
        <v>1.7654080754491392E-2</v>
      </c>
      <c r="D4282">
        <f t="shared" si="148"/>
        <v>1.3750759144354261</v>
      </c>
    </row>
    <row r="4283" spans="1:4" x14ac:dyDescent="0.3">
      <c r="A4283" s="1">
        <v>32160</v>
      </c>
      <c r="B4283">
        <v>340.5</v>
      </c>
      <c r="C4283">
        <f t="shared" si="149"/>
        <v>1.1761070065961492E-3</v>
      </c>
      <c r="D4283">
        <f t="shared" si="148"/>
        <v>5.6905772436727182E-2</v>
      </c>
    </row>
    <row r="4284" spans="1:4" x14ac:dyDescent="0.3">
      <c r="A4284" s="1">
        <v>32161</v>
      </c>
      <c r="B4284">
        <v>340.39999399999999</v>
      </c>
      <c r="C4284">
        <f t="shared" si="149"/>
        <v>-2.9370337738621904E-4</v>
      </c>
      <c r="D4284">
        <f t="shared" si="148"/>
        <v>-6.0673014385449642E-2</v>
      </c>
    </row>
    <row r="4285" spans="1:4" x14ac:dyDescent="0.3">
      <c r="A4285" s="1">
        <v>32162</v>
      </c>
      <c r="B4285">
        <v>333.70001200000002</v>
      </c>
      <c r="C4285">
        <f t="shared" si="149"/>
        <v>-1.9682673672432489E-2</v>
      </c>
      <c r="D4285">
        <f t="shared" si="148"/>
        <v>-1.6117109100669049</v>
      </c>
    </row>
    <row r="4286" spans="1:4" x14ac:dyDescent="0.3">
      <c r="A4286" s="1">
        <v>32163</v>
      </c>
      <c r="B4286">
        <v>334.29998799999998</v>
      </c>
      <c r="C4286">
        <f t="shared" si="149"/>
        <v>1.7979501900646309E-3</v>
      </c>
      <c r="D4286">
        <f t="shared" si="148"/>
        <v>0.10665067007975641</v>
      </c>
    </row>
    <row r="4287" spans="1:4" x14ac:dyDescent="0.3">
      <c r="A4287" s="1">
        <v>32164</v>
      </c>
      <c r="B4287">
        <v>337.60000600000001</v>
      </c>
      <c r="C4287">
        <f t="shared" si="149"/>
        <v>9.8714272164437608E-3</v>
      </c>
      <c r="D4287">
        <f t="shared" si="148"/>
        <v>0.7524956338541865</v>
      </c>
    </row>
    <row r="4288" spans="1:4" x14ac:dyDescent="0.3">
      <c r="A4288" s="1">
        <v>32167</v>
      </c>
      <c r="B4288">
        <v>340.5</v>
      </c>
      <c r="C4288">
        <f t="shared" si="149"/>
        <v>8.5900294681866569E-3</v>
      </c>
      <c r="D4288">
        <f t="shared" si="148"/>
        <v>0.64998908313264336</v>
      </c>
    </row>
    <row r="4289" spans="1:4" x14ac:dyDescent="0.3">
      <c r="A4289" s="1">
        <v>32168</v>
      </c>
      <c r="B4289">
        <v>339.20001200000002</v>
      </c>
      <c r="C4289">
        <f t="shared" si="149"/>
        <v>-3.8178795888398967E-3</v>
      </c>
      <c r="D4289">
        <f t="shared" si="148"/>
        <v>-0.34259261980257227</v>
      </c>
    </row>
    <row r="4290" spans="1:4" x14ac:dyDescent="0.3">
      <c r="A4290" s="1">
        <v>32169</v>
      </c>
      <c r="B4290">
        <v>339.79998799999998</v>
      </c>
      <c r="C4290">
        <f t="shared" si="149"/>
        <v>1.7687971072358618E-3</v>
      </c>
      <c r="D4290">
        <f t="shared" si="148"/>
        <v>0.10431854333164778</v>
      </c>
    </row>
    <row r="4291" spans="1:4" x14ac:dyDescent="0.3">
      <c r="A4291" s="1">
        <v>32170</v>
      </c>
      <c r="B4291">
        <v>342.39999399999999</v>
      </c>
      <c r="C4291">
        <f t="shared" si="149"/>
        <v>7.6515776686843428E-3</v>
      </c>
      <c r="D4291">
        <f t="shared" ref="D4291:D4354" si="150">(C4291-avrtn)/sdrtn</f>
        <v>0.57491679810931584</v>
      </c>
    </row>
    <row r="4292" spans="1:4" x14ac:dyDescent="0.3">
      <c r="A4292" s="1">
        <v>32171</v>
      </c>
      <c r="B4292">
        <v>344.70001200000002</v>
      </c>
      <c r="C4292">
        <f t="shared" ref="C4292:C4355" si="151">(B4292-B4291)/B4291</f>
        <v>6.7173424074301324E-3</v>
      </c>
      <c r="D4292">
        <f t="shared" si="150"/>
        <v>0.5001818188073277</v>
      </c>
    </row>
    <row r="4293" spans="1:4" x14ac:dyDescent="0.3">
      <c r="A4293" s="1">
        <v>32174</v>
      </c>
      <c r="B4293">
        <v>346.20001200000002</v>
      </c>
      <c r="C4293">
        <f t="shared" si="151"/>
        <v>4.3516099442433434E-3</v>
      </c>
      <c r="D4293">
        <f t="shared" si="150"/>
        <v>0.31093294970239999</v>
      </c>
    </row>
    <row r="4294" spans="1:4" x14ac:dyDescent="0.3">
      <c r="A4294" s="1">
        <v>32175</v>
      </c>
      <c r="B4294">
        <v>347.20001200000002</v>
      </c>
      <c r="C4294">
        <f t="shared" si="151"/>
        <v>2.8885036549334375E-3</v>
      </c>
      <c r="D4294">
        <f t="shared" si="150"/>
        <v>0.19389046288661813</v>
      </c>
    </row>
    <row r="4295" spans="1:4" x14ac:dyDescent="0.3">
      <c r="A4295" s="1">
        <v>32176</v>
      </c>
      <c r="B4295">
        <v>343.70001200000002</v>
      </c>
      <c r="C4295">
        <f t="shared" si="151"/>
        <v>-1.0080644812880939E-2</v>
      </c>
      <c r="D4295">
        <f t="shared" si="150"/>
        <v>-0.84358808508137617</v>
      </c>
    </row>
    <row r="4296" spans="1:4" x14ac:dyDescent="0.3">
      <c r="A4296" s="1">
        <v>32177</v>
      </c>
      <c r="B4296">
        <v>344.70001200000002</v>
      </c>
      <c r="C4296">
        <f t="shared" si="151"/>
        <v>2.909514009560174E-3</v>
      </c>
      <c r="D4296">
        <f t="shared" si="150"/>
        <v>0.1955712048616626</v>
      </c>
    </row>
    <row r="4297" spans="1:4" x14ac:dyDescent="0.3">
      <c r="A4297" s="1">
        <v>32178</v>
      </c>
      <c r="B4297">
        <v>345.79998799999998</v>
      </c>
      <c r="C4297">
        <f t="shared" si="151"/>
        <v>3.1911110000192562E-3</v>
      </c>
      <c r="D4297">
        <f t="shared" si="150"/>
        <v>0.2180978061646455</v>
      </c>
    </row>
    <row r="4298" spans="1:4" x14ac:dyDescent="0.3">
      <c r="A4298" s="1">
        <v>32181</v>
      </c>
      <c r="B4298">
        <v>344.5</v>
      </c>
      <c r="C4298">
        <f t="shared" si="151"/>
        <v>-3.7593639245585655E-3</v>
      </c>
      <c r="D4298">
        <f t="shared" si="150"/>
        <v>-0.33791160727791497</v>
      </c>
    </row>
    <row r="4299" spans="1:4" x14ac:dyDescent="0.3">
      <c r="A4299" s="1">
        <v>32182</v>
      </c>
      <c r="B4299">
        <v>345</v>
      </c>
      <c r="C4299">
        <f t="shared" si="151"/>
        <v>1.4513788098693759E-3</v>
      </c>
      <c r="D4299">
        <f t="shared" si="150"/>
        <v>7.8926384774166747E-2</v>
      </c>
    </row>
    <row r="4300" spans="1:4" x14ac:dyDescent="0.3">
      <c r="A4300" s="1">
        <v>32183</v>
      </c>
      <c r="B4300">
        <v>349.29998799999998</v>
      </c>
      <c r="C4300">
        <f t="shared" si="151"/>
        <v>1.2463733333333289E-2</v>
      </c>
      <c r="D4300">
        <f t="shared" si="150"/>
        <v>0.95986946357890235</v>
      </c>
    </row>
    <row r="4301" spans="1:4" x14ac:dyDescent="0.3">
      <c r="A4301" s="1">
        <v>32184</v>
      </c>
      <c r="B4301">
        <v>351</v>
      </c>
      <c r="C4301">
        <f t="shared" si="151"/>
        <v>4.8669111319866844E-3</v>
      </c>
      <c r="D4301">
        <f t="shared" si="150"/>
        <v>0.35215492579072216</v>
      </c>
    </row>
    <row r="4302" spans="1:4" x14ac:dyDescent="0.3">
      <c r="A4302" s="1">
        <v>32185</v>
      </c>
      <c r="B4302">
        <v>353.29998799999998</v>
      </c>
      <c r="C4302">
        <f t="shared" si="151"/>
        <v>6.5526723646723217E-3</v>
      </c>
      <c r="D4302">
        <f t="shared" si="150"/>
        <v>0.48700889251396462</v>
      </c>
    </row>
    <row r="4303" spans="1:4" x14ac:dyDescent="0.3">
      <c r="A4303" s="1">
        <v>32189</v>
      </c>
      <c r="B4303">
        <v>354.70001200000002</v>
      </c>
      <c r="C4303">
        <f t="shared" si="151"/>
        <v>3.9627060502476731E-3</v>
      </c>
      <c r="D4303">
        <f t="shared" si="150"/>
        <v>0.27982223736511397</v>
      </c>
    </row>
    <row r="4304" spans="1:4" x14ac:dyDescent="0.3">
      <c r="A4304" s="1">
        <v>32190</v>
      </c>
      <c r="B4304">
        <v>355.29998799999998</v>
      </c>
      <c r="C4304">
        <f t="shared" si="151"/>
        <v>1.6915026210937078E-3</v>
      </c>
      <c r="D4304">
        <f t="shared" si="150"/>
        <v>9.8135302277101627E-2</v>
      </c>
    </row>
    <row r="4305" spans="1:4" x14ac:dyDescent="0.3">
      <c r="A4305" s="1">
        <v>32191</v>
      </c>
      <c r="B4305">
        <v>355.60000600000001</v>
      </c>
      <c r="C4305">
        <f t="shared" si="151"/>
        <v>8.4440757144079272E-4</v>
      </c>
      <c r="D4305">
        <f t="shared" si="150"/>
        <v>3.0371181580525975E-2</v>
      </c>
    </row>
    <row r="4306" spans="1:4" x14ac:dyDescent="0.3">
      <c r="A4306" s="1">
        <v>32192</v>
      </c>
      <c r="B4306">
        <v>357.10000600000001</v>
      </c>
      <c r="C4306">
        <f t="shared" si="151"/>
        <v>4.2182226509861198E-3</v>
      </c>
      <c r="D4306">
        <f t="shared" si="150"/>
        <v>0.30026251473364934</v>
      </c>
    </row>
    <row r="4307" spans="1:4" x14ac:dyDescent="0.3">
      <c r="A4307" s="1">
        <v>32195</v>
      </c>
      <c r="B4307">
        <v>360</v>
      </c>
      <c r="C4307">
        <f t="shared" si="151"/>
        <v>8.1209575784773093E-3</v>
      </c>
      <c r="D4307">
        <f t="shared" si="150"/>
        <v>0.61246526079103125</v>
      </c>
    </row>
    <row r="4308" spans="1:4" x14ac:dyDescent="0.3">
      <c r="A4308" s="1">
        <v>32196</v>
      </c>
      <c r="B4308">
        <v>361.10000600000001</v>
      </c>
      <c r="C4308">
        <f t="shared" si="151"/>
        <v>3.0555722222222431E-3</v>
      </c>
      <c r="D4308">
        <f t="shared" si="150"/>
        <v>0.20725526127966898</v>
      </c>
    </row>
    <row r="4309" spans="1:4" x14ac:dyDescent="0.3">
      <c r="A4309" s="1">
        <v>32197</v>
      </c>
      <c r="B4309">
        <v>363.10000600000001</v>
      </c>
      <c r="C4309">
        <f t="shared" si="151"/>
        <v>5.5386318658770667E-3</v>
      </c>
      <c r="D4309">
        <f t="shared" si="150"/>
        <v>0.4058898223697906</v>
      </c>
    </row>
    <row r="4310" spans="1:4" x14ac:dyDescent="0.3">
      <c r="A4310" s="1">
        <v>32198</v>
      </c>
      <c r="B4310">
        <v>363.60000600000001</v>
      </c>
      <c r="C4310">
        <f t="shared" si="151"/>
        <v>1.3770310981487562E-3</v>
      </c>
      <c r="D4310">
        <f t="shared" si="150"/>
        <v>7.2978873556134499E-2</v>
      </c>
    </row>
    <row r="4311" spans="1:4" x14ac:dyDescent="0.3">
      <c r="A4311" s="1">
        <v>32199</v>
      </c>
      <c r="B4311">
        <v>363.39999399999999</v>
      </c>
      <c r="C4311">
        <f t="shared" si="151"/>
        <v>-5.5008799972356207E-4</v>
      </c>
      <c r="D4311">
        <f t="shared" si="150"/>
        <v>-8.1182729912570584E-2</v>
      </c>
    </row>
    <row r="4312" spans="1:4" x14ac:dyDescent="0.3">
      <c r="A4312" s="1">
        <v>32202</v>
      </c>
      <c r="B4312">
        <v>367</v>
      </c>
      <c r="C4312">
        <f t="shared" si="151"/>
        <v>9.9064558597653906E-3</v>
      </c>
      <c r="D4312">
        <f t="shared" si="150"/>
        <v>0.75529778128127489</v>
      </c>
    </row>
    <row r="4313" spans="1:4" x14ac:dyDescent="0.3">
      <c r="A4313" s="1">
        <v>32203</v>
      </c>
      <c r="B4313">
        <v>367.29998799999998</v>
      </c>
      <c r="C4313">
        <f t="shared" si="151"/>
        <v>8.1740599455036741E-4</v>
      </c>
      <c r="D4313">
        <f t="shared" si="150"/>
        <v>2.8211166460439561E-2</v>
      </c>
    </row>
    <row r="4314" spans="1:4" x14ac:dyDescent="0.3">
      <c r="A4314" s="1">
        <v>32204</v>
      </c>
      <c r="B4314">
        <v>370.39999399999999</v>
      </c>
      <c r="C4314">
        <f t="shared" si="151"/>
        <v>8.4399839403207604E-3</v>
      </c>
      <c r="D4314">
        <f t="shared" si="150"/>
        <v>0.63798605789426888</v>
      </c>
    </row>
    <row r="4315" spans="1:4" x14ac:dyDescent="0.3">
      <c r="A4315" s="1">
        <v>32205</v>
      </c>
      <c r="B4315">
        <v>372</v>
      </c>
      <c r="C4315">
        <f t="shared" si="151"/>
        <v>4.3196706963229796E-3</v>
      </c>
      <c r="D4315">
        <f t="shared" si="150"/>
        <v>0.30837794120374307</v>
      </c>
    </row>
    <row r="4316" spans="1:4" x14ac:dyDescent="0.3">
      <c r="A4316" s="1">
        <v>32206</v>
      </c>
      <c r="B4316">
        <v>373.39999399999999</v>
      </c>
      <c r="C4316">
        <f t="shared" si="151"/>
        <v>3.7634247311827754E-3</v>
      </c>
      <c r="D4316">
        <f t="shared" si="150"/>
        <v>0.26388055128960253</v>
      </c>
    </row>
    <row r="4317" spans="1:4" x14ac:dyDescent="0.3">
      <c r="A4317" s="1">
        <v>32209</v>
      </c>
      <c r="B4317">
        <v>374.5</v>
      </c>
      <c r="C4317">
        <f t="shared" si="151"/>
        <v>2.94591863330348E-3</v>
      </c>
      <c r="D4317">
        <f t="shared" si="150"/>
        <v>0.19848342506441977</v>
      </c>
    </row>
    <row r="4318" spans="1:4" x14ac:dyDescent="0.3">
      <c r="A4318" s="1">
        <v>32210</v>
      </c>
      <c r="B4318">
        <v>376.89999399999999</v>
      </c>
      <c r="C4318">
        <f t="shared" si="151"/>
        <v>6.4085287049399E-3</v>
      </c>
      <c r="D4318">
        <f t="shared" si="150"/>
        <v>0.47547799245764139</v>
      </c>
    </row>
    <row r="4319" spans="1:4" x14ac:dyDescent="0.3">
      <c r="A4319" s="1">
        <v>32211</v>
      </c>
      <c r="B4319">
        <v>380.29998799999998</v>
      </c>
      <c r="C4319">
        <f t="shared" si="151"/>
        <v>9.0209446912328482E-3</v>
      </c>
      <c r="D4319">
        <f t="shared" si="150"/>
        <v>0.68446052904235377</v>
      </c>
    </row>
    <row r="4320" spans="1:4" x14ac:dyDescent="0.3">
      <c r="A4320" s="1">
        <v>32212</v>
      </c>
      <c r="B4320">
        <v>376.79998799999998</v>
      </c>
      <c r="C4320">
        <f t="shared" si="151"/>
        <v>-9.2032608741497001E-3</v>
      </c>
      <c r="D4320">
        <f t="shared" si="150"/>
        <v>-0.77340097780719075</v>
      </c>
    </row>
    <row r="4321" spans="1:4" x14ac:dyDescent="0.3">
      <c r="A4321" s="1">
        <v>32213</v>
      </c>
      <c r="B4321">
        <v>375.5</v>
      </c>
      <c r="C4321">
        <f t="shared" si="151"/>
        <v>-3.45007441985371E-3</v>
      </c>
      <c r="D4321">
        <f t="shared" si="150"/>
        <v>-0.31316971870756927</v>
      </c>
    </row>
    <row r="4322" spans="1:4" x14ac:dyDescent="0.3">
      <c r="A4322" s="1">
        <v>32216</v>
      </c>
      <c r="B4322">
        <v>376.70001200000002</v>
      </c>
      <c r="C4322">
        <f t="shared" si="151"/>
        <v>3.195770972037324E-3</v>
      </c>
      <c r="D4322">
        <f t="shared" si="150"/>
        <v>0.21847058476417147</v>
      </c>
    </row>
    <row r="4323" spans="1:4" x14ac:dyDescent="0.3">
      <c r="A4323" s="1">
        <v>32217</v>
      </c>
      <c r="B4323">
        <v>376.60000600000001</v>
      </c>
      <c r="C4323">
        <f t="shared" si="151"/>
        <v>-2.6547915267920825E-4</v>
      </c>
      <c r="D4323">
        <f t="shared" si="150"/>
        <v>-5.841519246759426E-2</v>
      </c>
    </row>
    <row r="4324" spans="1:4" x14ac:dyDescent="0.3">
      <c r="A4324" s="1">
        <v>32218</v>
      </c>
      <c r="B4324">
        <v>378.5</v>
      </c>
      <c r="C4324">
        <f t="shared" si="151"/>
        <v>5.045124720470643E-3</v>
      </c>
      <c r="D4324">
        <f t="shared" si="150"/>
        <v>0.36641128005078422</v>
      </c>
    </row>
    <row r="4325" spans="1:4" x14ac:dyDescent="0.3">
      <c r="A4325" s="1">
        <v>32219</v>
      </c>
      <c r="B4325">
        <v>380.70001200000002</v>
      </c>
      <c r="C4325">
        <f t="shared" si="151"/>
        <v>5.812449141347464E-3</v>
      </c>
      <c r="D4325">
        <f t="shared" si="150"/>
        <v>0.42779407846405787</v>
      </c>
    </row>
    <row r="4326" spans="1:4" x14ac:dyDescent="0.3">
      <c r="A4326" s="1">
        <v>32220</v>
      </c>
      <c r="B4326">
        <v>381.60000600000001</v>
      </c>
      <c r="C4326">
        <f t="shared" si="151"/>
        <v>2.3640503588951618E-3</v>
      </c>
      <c r="D4326">
        <f t="shared" si="150"/>
        <v>0.1519363557683954</v>
      </c>
    </row>
    <row r="4327" spans="1:4" x14ac:dyDescent="0.3">
      <c r="A4327" s="1">
        <v>32223</v>
      </c>
      <c r="B4327">
        <v>378.60000600000001</v>
      </c>
      <c r="C4327">
        <f t="shared" si="151"/>
        <v>-7.8616350965151714E-3</v>
      </c>
      <c r="D4327">
        <f t="shared" si="150"/>
        <v>-0.66607643239459025</v>
      </c>
    </row>
    <row r="4328" spans="1:4" x14ac:dyDescent="0.3">
      <c r="A4328" s="1">
        <v>32224</v>
      </c>
      <c r="B4328">
        <v>379.79998799999998</v>
      </c>
      <c r="C4328">
        <f t="shared" si="151"/>
        <v>3.1695245139535923E-3</v>
      </c>
      <c r="D4328">
        <f t="shared" si="150"/>
        <v>0.21637097604355346</v>
      </c>
    </row>
    <row r="4329" spans="1:4" x14ac:dyDescent="0.3">
      <c r="A4329" s="1">
        <v>32225</v>
      </c>
      <c r="B4329">
        <v>380.10000600000001</v>
      </c>
      <c r="C4329">
        <f t="shared" si="151"/>
        <v>7.8993683380533118E-4</v>
      </c>
      <c r="D4329">
        <f t="shared" si="150"/>
        <v>2.6013746554700571E-2</v>
      </c>
    </row>
    <row r="4330" spans="1:4" x14ac:dyDescent="0.3">
      <c r="A4330" s="1">
        <v>32226</v>
      </c>
      <c r="B4330">
        <v>375.60000600000001</v>
      </c>
      <c r="C4330">
        <f t="shared" si="151"/>
        <v>-1.1838989552659992E-2</v>
      </c>
      <c r="D4330">
        <f t="shared" si="150"/>
        <v>-0.9842484339069274</v>
      </c>
    </row>
    <row r="4331" spans="1:4" x14ac:dyDescent="0.3">
      <c r="A4331" s="1">
        <v>32227</v>
      </c>
      <c r="B4331">
        <v>372.5</v>
      </c>
      <c r="C4331">
        <f t="shared" si="151"/>
        <v>-8.253476971456725E-3</v>
      </c>
      <c r="D4331">
        <f t="shared" si="150"/>
        <v>-0.69742217112649707</v>
      </c>
    </row>
    <row r="4332" spans="1:4" x14ac:dyDescent="0.3">
      <c r="A4332" s="1">
        <v>32230</v>
      </c>
      <c r="B4332">
        <v>370.39999399999999</v>
      </c>
      <c r="C4332">
        <f t="shared" si="151"/>
        <v>-5.6376000000000204E-3</v>
      </c>
      <c r="D4332">
        <f t="shared" si="150"/>
        <v>-0.48816276996034036</v>
      </c>
    </row>
    <row r="4333" spans="1:4" x14ac:dyDescent="0.3">
      <c r="A4333" s="1">
        <v>32231</v>
      </c>
      <c r="B4333">
        <v>373</v>
      </c>
      <c r="C4333">
        <f t="shared" si="151"/>
        <v>7.0194547573346009E-3</v>
      </c>
      <c r="D4333">
        <f t="shared" si="150"/>
        <v>0.52434956450627934</v>
      </c>
    </row>
    <row r="4334" spans="1:4" x14ac:dyDescent="0.3">
      <c r="A4334" s="1">
        <v>32232</v>
      </c>
      <c r="B4334">
        <v>371.79998799999998</v>
      </c>
      <c r="C4334">
        <f t="shared" si="151"/>
        <v>-3.2171903485255096E-3</v>
      </c>
      <c r="D4334">
        <f t="shared" si="150"/>
        <v>-0.29453995062633659</v>
      </c>
    </row>
    <row r="4335" spans="1:4" x14ac:dyDescent="0.3">
      <c r="A4335" s="1">
        <v>32233</v>
      </c>
      <c r="B4335">
        <v>374.60000600000001</v>
      </c>
      <c r="C4335">
        <f t="shared" si="151"/>
        <v>7.530979264044578E-3</v>
      </c>
      <c r="D4335">
        <f t="shared" si="150"/>
        <v>0.56526942164173766</v>
      </c>
    </row>
    <row r="4336" spans="1:4" x14ac:dyDescent="0.3">
      <c r="A4336" s="1">
        <v>32237</v>
      </c>
      <c r="B4336">
        <v>371.89999399999999</v>
      </c>
      <c r="C4336">
        <f t="shared" si="151"/>
        <v>-7.2077201194706208E-3</v>
      </c>
      <c r="D4336">
        <f t="shared" si="150"/>
        <v>-0.61376592314547873</v>
      </c>
    </row>
    <row r="4337" spans="1:4" x14ac:dyDescent="0.3">
      <c r="A4337" s="1">
        <v>32238</v>
      </c>
      <c r="B4337">
        <v>373.39999399999999</v>
      </c>
      <c r="C4337">
        <f t="shared" si="151"/>
        <v>4.0333423613876157E-3</v>
      </c>
      <c r="D4337">
        <f t="shared" si="150"/>
        <v>0.28547285179806242</v>
      </c>
    </row>
    <row r="4338" spans="1:4" x14ac:dyDescent="0.3">
      <c r="A4338" s="1">
        <v>32239</v>
      </c>
      <c r="B4338">
        <v>377.70001200000002</v>
      </c>
      <c r="C4338">
        <f t="shared" si="151"/>
        <v>1.1515849140586818E-2</v>
      </c>
      <c r="D4338">
        <f t="shared" si="150"/>
        <v>0.884042625882275</v>
      </c>
    </row>
    <row r="4339" spans="1:4" x14ac:dyDescent="0.3">
      <c r="A4339" s="1">
        <v>32240</v>
      </c>
      <c r="B4339">
        <v>378.89999399999999</v>
      </c>
      <c r="C4339">
        <f t="shared" si="151"/>
        <v>3.1770769443342701E-3</v>
      </c>
      <c r="D4339">
        <f t="shared" si="150"/>
        <v>0.21697513941822838</v>
      </c>
    </row>
    <row r="4340" spans="1:4" x14ac:dyDescent="0.3">
      <c r="A4340" s="1">
        <v>32241</v>
      </c>
      <c r="B4340">
        <v>381.79998799999998</v>
      </c>
      <c r="C4340">
        <f t="shared" si="151"/>
        <v>7.6537187804758648E-3</v>
      </c>
      <c r="D4340">
        <f t="shared" si="150"/>
        <v>0.5750880782483333</v>
      </c>
    </row>
    <row r="4341" spans="1:4" x14ac:dyDescent="0.3">
      <c r="A4341" s="1">
        <v>32244</v>
      </c>
      <c r="B4341">
        <v>382.5</v>
      </c>
      <c r="C4341">
        <f t="shared" si="151"/>
        <v>1.8334521267717148E-3</v>
      </c>
      <c r="D4341">
        <f t="shared" si="150"/>
        <v>0.10949067903148708</v>
      </c>
    </row>
    <row r="4342" spans="1:4" x14ac:dyDescent="0.3">
      <c r="A4342" s="1">
        <v>32245</v>
      </c>
      <c r="B4342">
        <v>383.39999399999999</v>
      </c>
      <c r="C4342">
        <f t="shared" si="151"/>
        <v>2.3529254901960587E-3</v>
      </c>
      <c r="D4342">
        <f t="shared" si="150"/>
        <v>0.15104641201820057</v>
      </c>
    </row>
    <row r="4343" spans="1:4" x14ac:dyDescent="0.3">
      <c r="A4343" s="1">
        <v>32246</v>
      </c>
      <c r="B4343">
        <v>383.39999399999999</v>
      </c>
      <c r="C4343">
        <f t="shared" si="151"/>
        <v>0</v>
      </c>
      <c r="D4343">
        <f t="shared" si="150"/>
        <v>-3.7177951910056316E-2</v>
      </c>
    </row>
    <row r="4344" spans="1:4" x14ac:dyDescent="0.3">
      <c r="A4344" s="1">
        <v>32247</v>
      </c>
      <c r="B4344">
        <v>374.5</v>
      </c>
      <c r="C4344">
        <f t="shared" si="151"/>
        <v>-2.3213338913093445E-2</v>
      </c>
      <c r="D4344">
        <f t="shared" si="150"/>
        <v>-1.8941496111375622</v>
      </c>
    </row>
    <row r="4345" spans="1:4" x14ac:dyDescent="0.3">
      <c r="A4345" s="1">
        <v>32248</v>
      </c>
      <c r="B4345">
        <v>373.89999399999999</v>
      </c>
      <c r="C4345">
        <f t="shared" si="151"/>
        <v>-1.60215220293727E-3</v>
      </c>
      <c r="D4345">
        <f t="shared" si="150"/>
        <v>-0.16534354005581406</v>
      </c>
    </row>
    <row r="4346" spans="1:4" x14ac:dyDescent="0.3">
      <c r="A4346" s="1">
        <v>32251</v>
      </c>
      <c r="B4346">
        <v>375.10000600000001</v>
      </c>
      <c r="C4346">
        <f t="shared" si="151"/>
        <v>3.2094464275386298E-3</v>
      </c>
      <c r="D4346">
        <f t="shared" si="150"/>
        <v>0.21956456497046692</v>
      </c>
    </row>
    <row r="4347" spans="1:4" x14ac:dyDescent="0.3">
      <c r="A4347" s="1">
        <v>32252</v>
      </c>
      <c r="B4347">
        <v>376.89999399999999</v>
      </c>
      <c r="C4347">
        <f t="shared" si="151"/>
        <v>4.7986882730148102E-3</v>
      </c>
      <c r="D4347">
        <f t="shared" si="150"/>
        <v>0.34669737760704455</v>
      </c>
    </row>
    <row r="4348" spans="1:4" x14ac:dyDescent="0.3">
      <c r="A4348" s="1">
        <v>32253</v>
      </c>
      <c r="B4348">
        <v>374.20001200000002</v>
      </c>
      <c r="C4348">
        <f t="shared" si="151"/>
        <v>-7.1636562562534221E-3</v>
      </c>
      <c r="D4348">
        <f t="shared" si="150"/>
        <v>-0.61024099527979114</v>
      </c>
    </row>
    <row r="4349" spans="1:4" x14ac:dyDescent="0.3">
      <c r="A4349" s="1">
        <v>32254</v>
      </c>
      <c r="B4349">
        <v>373.20001200000002</v>
      </c>
      <c r="C4349">
        <f t="shared" si="151"/>
        <v>-2.6723676320993808E-3</v>
      </c>
      <c r="D4349">
        <f t="shared" si="150"/>
        <v>-0.25095637363664269</v>
      </c>
    </row>
    <row r="4350" spans="1:4" x14ac:dyDescent="0.3">
      <c r="A4350" s="1">
        <v>32255</v>
      </c>
      <c r="B4350">
        <v>374</v>
      </c>
      <c r="C4350">
        <f t="shared" si="151"/>
        <v>2.1435904991342412E-3</v>
      </c>
      <c r="D4350">
        <f t="shared" si="150"/>
        <v>0.13430047352388186</v>
      </c>
    </row>
    <row r="4351" spans="1:4" x14ac:dyDescent="0.3">
      <c r="A4351" s="1">
        <v>32258</v>
      </c>
      <c r="B4351">
        <v>375.29998799999998</v>
      </c>
      <c r="C4351">
        <f t="shared" si="151"/>
        <v>3.4759037433154676E-3</v>
      </c>
      <c r="D4351">
        <f t="shared" si="150"/>
        <v>0.24088005455358452</v>
      </c>
    </row>
    <row r="4352" spans="1:4" x14ac:dyDescent="0.3">
      <c r="A4352" s="1">
        <v>32259</v>
      </c>
      <c r="B4352">
        <v>377.79998799999998</v>
      </c>
      <c r="C4352">
        <f t="shared" si="151"/>
        <v>6.6613378095818111E-3</v>
      </c>
      <c r="D4352">
        <f t="shared" si="150"/>
        <v>0.49570168127174441</v>
      </c>
    </row>
    <row r="4353" spans="1:4" x14ac:dyDescent="0.3">
      <c r="A4353" s="1">
        <v>32260</v>
      </c>
      <c r="B4353">
        <v>378.70001200000002</v>
      </c>
      <c r="C4353">
        <f t="shared" si="151"/>
        <v>2.3822764123540164E-3</v>
      </c>
      <c r="D4353">
        <f t="shared" si="150"/>
        <v>0.1533943650991241</v>
      </c>
    </row>
    <row r="4354" spans="1:4" x14ac:dyDescent="0.3">
      <c r="A4354" s="1">
        <v>32261</v>
      </c>
      <c r="B4354">
        <v>378.79998799999998</v>
      </c>
      <c r="C4354">
        <f t="shared" si="151"/>
        <v>2.6399787914442856E-4</v>
      </c>
      <c r="D4354">
        <f t="shared" si="150"/>
        <v>-1.6059207144267586E-2</v>
      </c>
    </row>
    <row r="4355" spans="1:4" x14ac:dyDescent="0.3">
      <c r="A4355" s="1">
        <v>32262</v>
      </c>
      <c r="B4355">
        <v>379.20001200000002</v>
      </c>
      <c r="C4355">
        <f t="shared" si="151"/>
        <v>1.0560296005078817E-3</v>
      </c>
      <c r="D4355">
        <f t="shared" ref="D4355:D4418" si="152">(C4355-avrtn)/sdrtn</f>
        <v>4.7300073710909954E-2</v>
      </c>
    </row>
    <row r="4356" spans="1:4" x14ac:dyDescent="0.3">
      <c r="A4356" s="1">
        <v>32265</v>
      </c>
      <c r="B4356">
        <v>379.70001200000002</v>
      </c>
      <c r="C4356">
        <f t="shared" ref="C4356:C4419" si="153">(B4356-B4355)/B4355</f>
        <v>1.31856535911713E-3</v>
      </c>
      <c r="D4356">
        <f t="shared" si="152"/>
        <v>6.8301854846159832E-2</v>
      </c>
    </row>
    <row r="4357" spans="1:4" x14ac:dyDescent="0.3">
      <c r="A4357" s="1">
        <v>32266</v>
      </c>
      <c r="B4357">
        <v>382.20001200000002</v>
      </c>
      <c r="C4357">
        <f t="shared" si="153"/>
        <v>6.5841451698452937E-3</v>
      </c>
      <c r="D4357">
        <f t="shared" si="152"/>
        <v>0.48952658751085426</v>
      </c>
    </row>
    <row r="4358" spans="1:4" x14ac:dyDescent="0.3">
      <c r="A4358" s="1">
        <v>32267</v>
      </c>
      <c r="B4358">
        <v>381.60000600000001</v>
      </c>
      <c r="C4358">
        <f t="shared" si="153"/>
        <v>-1.5698743620133836E-3</v>
      </c>
      <c r="D4358">
        <f t="shared" si="152"/>
        <v>-0.16276144550917809</v>
      </c>
    </row>
    <row r="4359" spans="1:4" x14ac:dyDescent="0.3">
      <c r="A4359" s="1">
        <v>32268</v>
      </c>
      <c r="B4359">
        <v>379.5</v>
      </c>
      <c r="C4359">
        <f t="shared" si="153"/>
        <v>-5.5031602908308325E-3</v>
      </c>
      <c r="D4359">
        <f t="shared" si="152"/>
        <v>-0.47740814604619264</v>
      </c>
    </row>
    <row r="4360" spans="1:4" x14ac:dyDescent="0.3">
      <c r="A4360" s="1">
        <v>32269</v>
      </c>
      <c r="B4360">
        <v>379.39999399999999</v>
      </c>
      <c r="C4360">
        <f t="shared" si="153"/>
        <v>-2.6352042160739813E-4</v>
      </c>
      <c r="D4360">
        <f t="shared" si="152"/>
        <v>-5.8258502036199741E-2</v>
      </c>
    </row>
    <row r="4361" spans="1:4" x14ac:dyDescent="0.3">
      <c r="A4361" s="1">
        <v>32272</v>
      </c>
      <c r="B4361">
        <v>376.29998799999998</v>
      </c>
      <c r="C4361">
        <f t="shared" si="153"/>
        <v>-8.1708119373349476E-3</v>
      </c>
      <c r="D4361">
        <f t="shared" si="152"/>
        <v>-0.69080930831740628</v>
      </c>
    </row>
    <row r="4362" spans="1:4" x14ac:dyDescent="0.3">
      <c r="A4362" s="1">
        <v>32273</v>
      </c>
      <c r="B4362">
        <v>375.39999399999999</v>
      </c>
      <c r="C4362">
        <f t="shared" si="153"/>
        <v>-2.3916928745689793E-3</v>
      </c>
      <c r="D4362">
        <f t="shared" si="152"/>
        <v>-0.22850354717570981</v>
      </c>
    </row>
    <row r="4363" spans="1:4" x14ac:dyDescent="0.3">
      <c r="A4363" s="1">
        <v>32274</v>
      </c>
      <c r="B4363">
        <v>369.20001200000002</v>
      </c>
      <c r="C4363">
        <f t="shared" si="153"/>
        <v>-1.6515668884107593E-2</v>
      </c>
      <c r="D4363">
        <f t="shared" si="152"/>
        <v>-1.3583635498024171</v>
      </c>
    </row>
    <row r="4364" spans="1:4" x14ac:dyDescent="0.3">
      <c r="A4364" s="1">
        <v>32275</v>
      </c>
      <c r="B4364">
        <v>370.20001200000002</v>
      </c>
      <c r="C4364">
        <f t="shared" si="153"/>
        <v>2.7085589585517131E-3</v>
      </c>
      <c r="D4364">
        <f t="shared" si="152"/>
        <v>0.179495627113093</v>
      </c>
    </row>
    <row r="4365" spans="1:4" x14ac:dyDescent="0.3">
      <c r="A4365" s="1">
        <v>32276</v>
      </c>
      <c r="B4365">
        <v>372.5</v>
      </c>
      <c r="C4365">
        <f t="shared" si="153"/>
        <v>6.212825298341656E-3</v>
      </c>
      <c r="D4365">
        <f t="shared" si="152"/>
        <v>0.4598225246669983</v>
      </c>
    </row>
    <row r="4366" spans="1:4" x14ac:dyDescent="0.3">
      <c r="A4366" s="1">
        <v>32279</v>
      </c>
      <c r="B4366">
        <v>373.39999399999999</v>
      </c>
      <c r="C4366">
        <f t="shared" si="153"/>
        <v>2.4160912751677649E-3</v>
      </c>
      <c r="D4366">
        <f t="shared" si="152"/>
        <v>0.15609941507667727</v>
      </c>
    </row>
    <row r="4367" spans="1:4" x14ac:dyDescent="0.3">
      <c r="A4367" s="1">
        <v>32280</v>
      </c>
      <c r="B4367">
        <v>372.29998799999998</v>
      </c>
      <c r="C4367">
        <f t="shared" si="153"/>
        <v>-2.94591863330348E-3</v>
      </c>
      <c r="D4367">
        <f t="shared" si="152"/>
        <v>-0.27283932888453244</v>
      </c>
    </row>
    <row r="4368" spans="1:4" x14ac:dyDescent="0.3">
      <c r="A4368" s="1">
        <v>32281</v>
      </c>
      <c r="B4368">
        <v>367</v>
      </c>
      <c r="C4368">
        <f t="shared" si="153"/>
        <v>-1.4235799545607251E-2</v>
      </c>
      <c r="D4368">
        <f t="shared" si="152"/>
        <v>-1.1759833776011268</v>
      </c>
    </row>
    <row r="4369" spans="1:4" x14ac:dyDescent="0.3">
      <c r="A4369" s="1">
        <v>32282</v>
      </c>
      <c r="B4369">
        <v>366.29998799999998</v>
      </c>
      <c r="C4369">
        <f t="shared" si="153"/>
        <v>-1.9073896457766082E-3</v>
      </c>
      <c r="D4369">
        <f t="shared" si="152"/>
        <v>-0.18976128033909639</v>
      </c>
    </row>
    <row r="4370" spans="1:4" x14ac:dyDescent="0.3">
      <c r="A4370" s="1">
        <v>32283</v>
      </c>
      <c r="B4370">
        <v>366</v>
      </c>
      <c r="C4370">
        <f t="shared" si="153"/>
        <v>-8.1896808579743892E-4</v>
      </c>
      <c r="D4370">
        <f t="shared" si="152"/>
        <v>-0.10269203115696034</v>
      </c>
    </row>
    <row r="4371" spans="1:4" x14ac:dyDescent="0.3">
      <c r="A4371" s="1">
        <v>32286</v>
      </c>
      <c r="B4371">
        <v>363.29998799999998</v>
      </c>
      <c r="C4371">
        <f t="shared" si="153"/>
        <v>-7.3770819672131565E-3</v>
      </c>
      <c r="D4371">
        <f t="shared" si="152"/>
        <v>-0.62731417454480243</v>
      </c>
    </row>
    <row r="4372" spans="1:4" x14ac:dyDescent="0.3">
      <c r="A4372" s="1">
        <v>32287</v>
      </c>
      <c r="B4372">
        <v>365.20001200000002</v>
      </c>
      <c r="C4372">
        <f t="shared" si="153"/>
        <v>5.2299038336330204E-3</v>
      </c>
      <c r="D4372">
        <f t="shared" si="152"/>
        <v>0.38119284928752101</v>
      </c>
    </row>
    <row r="4373" spans="1:4" x14ac:dyDescent="0.3">
      <c r="A4373" s="1">
        <v>32288</v>
      </c>
      <c r="B4373">
        <v>365.70001200000002</v>
      </c>
      <c r="C4373">
        <f t="shared" si="153"/>
        <v>1.3691127699086713E-3</v>
      </c>
      <c r="D4373">
        <f t="shared" si="152"/>
        <v>7.2345439857288002E-2</v>
      </c>
    </row>
    <row r="4374" spans="1:4" x14ac:dyDescent="0.3">
      <c r="A4374" s="1">
        <v>32289</v>
      </c>
      <c r="B4374">
        <v>367.29998799999998</v>
      </c>
      <c r="C4374">
        <f t="shared" si="153"/>
        <v>4.3751051339860764E-3</v>
      </c>
      <c r="D4374">
        <f t="shared" si="152"/>
        <v>0.31281246826902109</v>
      </c>
    </row>
    <row r="4375" spans="1:4" x14ac:dyDescent="0.3">
      <c r="A4375" s="1">
        <v>32290</v>
      </c>
      <c r="B4375">
        <v>366.70001200000002</v>
      </c>
      <c r="C4375">
        <f t="shared" si="153"/>
        <v>-1.6334767753925701E-3</v>
      </c>
      <c r="D4375">
        <f t="shared" si="152"/>
        <v>-0.16784937704482647</v>
      </c>
    </row>
    <row r="4376" spans="1:4" x14ac:dyDescent="0.3">
      <c r="A4376" s="1">
        <v>32294</v>
      </c>
      <c r="B4376">
        <v>370.29998799999998</v>
      </c>
      <c r="C4376">
        <f t="shared" si="153"/>
        <v>9.8172235674755561E-3</v>
      </c>
      <c r="D4376">
        <f t="shared" si="152"/>
        <v>0.74815956482346646</v>
      </c>
    </row>
    <row r="4377" spans="1:4" x14ac:dyDescent="0.3">
      <c r="A4377" s="1">
        <v>32295</v>
      </c>
      <c r="B4377">
        <v>374.79998799999998</v>
      </c>
      <c r="C4377">
        <f t="shared" si="153"/>
        <v>1.2152309332507999E-2</v>
      </c>
      <c r="D4377">
        <f t="shared" si="152"/>
        <v>0.93495682409602232</v>
      </c>
    </row>
    <row r="4378" spans="1:4" x14ac:dyDescent="0.3">
      <c r="A4378" s="1">
        <v>32296</v>
      </c>
      <c r="B4378">
        <v>374.70001200000002</v>
      </c>
      <c r="C4378">
        <f t="shared" si="153"/>
        <v>-2.6674493916998112E-4</v>
      </c>
      <c r="D4378">
        <f t="shared" si="152"/>
        <v>-5.8516450181910928E-2</v>
      </c>
    </row>
    <row r="4379" spans="1:4" x14ac:dyDescent="0.3">
      <c r="A4379" s="1">
        <v>32297</v>
      </c>
      <c r="B4379">
        <v>376.89999399999999</v>
      </c>
      <c r="C4379">
        <f t="shared" si="153"/>
        <v>5.8713155312094759E-3</v>
      </c>
      <c r="D4379">
        <f t="shared" si="152"/>
        <v>0.43250314759297731</v>
      </c>
    </row>
    <row r="4380" spans="1:4" x14ac:dyDescent="0.3">
      <c r="A4380" s="1">
        <v>32300</v>
      </c>
      <c r="B4380">
        <v>379.29998799999998</v>
      </c>
      <c r="C4380">
        <f t="shared" si="153"/>
        <v>6.3677209822401654E-3</v>
      </c>
      <c r="D4380">
        <f t="shared" si="152"/>
        <v>0.47221354244402103</v>
      </c>
    </row>
    <row r="4381" spans="1:4" x14ac:dyDescent="0.3">
      <c r="A4381" s="1">
        <v>32301</v>
      </c>
      <c r="B4381">
        <v>379.29998799999998</v>
      </c>
      <c r="C4381">
        <f t="shared" si="153"/>
        <v>0</v>
      </c>
      <c r="D4381">
        <f t="shared" si="152"/>
        <v>-3.7177951910056316E-2</v>
      </c>
    </row>
    <row r="4382" spans="1:4" x14ac:dyDescent="0.3">
      <c r="A4382" s="1">
        <v>32302</v>
      </c>
      <c r="B4382">
        <v>383.39999399999999</v>
      </c>
      <c r="C4382">
        <f t="shared" si="153"/>
        <v>1.0809401871112128E-2</v>
      </c>
      <c r="D4382">
        <f t="shared" si="152"/>
        <v>0.82752974925282963</v>
      </c>
    </row>
    <row r="4383" spans="1:4" x14ac:dyDescent="0.3">
      <c r="A4383" s="1">
        <v>32303</v>
      </c>
      <c r="B4383">
        <v>384.60000600000001</v>
      </c>
      <c r="C4383">
        <f t="shared" si="153"/>
        <v>3.1299218017202556E-3</v>
      </c>
      <c r="D4383">
        <f t="shared" si="152"/>
        <v>0.21320292191221227</v>
      </c>
    </row>
    <row r="4384" spans="1:4" x14ac:dyDescent="0.3">
      <c r="A4384" s="1">
        <v>32304</v>
      </c>
      <c r="B4384">
        <v>386.29998799999998</v>
      </c>
      <c r="C4384">
        <f t="shared" si="153"/>
        <v>4.4201299362433633E-3</v>
      </c>
      <c r="D4384">
        <f t="shared" si="152"/>
        <v>0.3164142673065109</v>
      </c>
    </row>
    <row r="4385" spans="1:4" x14ac:dyDescent="0.3">
      <c r="A4385" s="1">
        <v>32307</v>
      </c>
      <c r="B4385">
        <v>386.79998799999998</v>
      </c>
      <c r="C4385">
        <f t="shared" si="153"/>
        <v>1.2943308711674099E-3</v>
      </c>
      <c r="D4385">
        <f t="shared" si="152"/>
        <v>6.6363195462992117E-2</v>
      </c>
    </row>
    <row r="4386" spans="1:4" x14ac:dyDescent="0.3">
      <c r="A4386" s="1">
        <v>32308</v>
      </c>
      <c r="B4386">
        <v>388.5</v>
      </c>
      <c r="C4386">
        <f t="shared" si="153"/>
        <v>4.3950673545522841E-3</v>
      </c>
      <c r="D4386">
        <f t="shared" si="152"/>
        <v>0.31440936382917628</v>
      </c>
    </row>
    <row r="4387" spans="1:4" x14ac:dyDescent="0.3">
      <c r="A4387" s="1">
        <v>32309</v>
      </c>
      <c r="B4387">
        <v>389.10000600000001</v>
      </c>
      <c r="C4387">
        <f t="shared" si="153"/>
        <v>1.544416988417008E-3</v>
      </c>
      <c r="D4387">
        <f t="shared" si="152"/>
        <v>8.6369056482701143E-2</v>
      </c>
    </row>
    <row r="4388" spans="1:4" x14ac:dyDescent="0.3">
      <c r="A4388" s="1">
        <v>32310</v>
      </c>
      <c r="B4388">
        <v>387.10000600000001</v>
      </c>
      <c r="C4388">
        <f t="shared" si="153"/>
        <v>-5.140066741607812E-3</v>
      </c>
      <c r="D4388">
        <f t="shared" si="152"/>
        <v>-0.44836215515794675</v>
      </c>
    </row>
    <row r="4389" spans="1:4" x14ac:dyDescent="0.3">
      <c r="A4389" s="1">
        <v>32311</v>
      </c>
      <c r="B4389">
        <v>386.89999399999999</v>
      </c>
      <c r="C4389">
        <f t="shared" si="153"/>
        <v>-5.1669335288001821E-4</v>
      </c>
      <c r="D4389">
        <f t="shared" si="152"/>
        <v>-7.8511295484695418E-2</v>
      </c>
    </row>
    <row r="4390" spans="1:4" x14ac:dyDescent="0.3">
      <c r="A4390" s="1">
        <v>32314</v>
      </c>
      <c r="B4390">
        <v>386</v>
      </c>
      <c r="C4390">
        <f t="shared" si="153"/>
        <v>-2.3261670042827461E-3</v>
      </c>
      <c r="D4390">
        <f t="shared" si="152"/>
        <v>-0.22326174699679976</v>
      </c>
    </row>
    <row r="4391" spans="1:4" x14ac:dyDescent="0.3">
      <c r="A4391" s="1">
        <v>32315</v>
      </c>
      <c r="B4391">
        <v>387.79998799999998</v>
      </c>
      <c r="C4391">
        <f t="shared" si="153"/>
        <v>4.6631813471502198E-3</v>
      </c>
      <c r="D4391">
        <f t="shared" si="152"/>
        <v>0.33585738074568594</v>
      </c>
    </row>
    <row r="4392" spans="1:4" x14ac:dyDescent="0.3">
      <c r="A4392" s="1">
        <v>32316</v>
      </c>
      <c r="B4392">
        <v>390.5</v>
      </c>
      <c r="C4392">
        <f t="shared" si="153"/>
        <v>6.962382886922666E-3</v>
      </c>
      <c r="D4392">
        <f t="shared" si="152"/>
        <v>0.51978404955425794</v>
      </c>
    </row>
    <row r="4393" spans="1:4" x14ac:dyDescent="0.3">
      <c r="A4393" s="1">
        <v>32317</v>
      </c>
      <c r="B4393">
        <v>391</v>
      </c>
      <c r="C4393">
        <f t="shared" si="153"/>
        <v>1.2804097311139564E-3</v>
      </c>
      <c r="D4393">
        <f t="shared" si="152"/>
        <v>6.5249561502785783E-2</v>
      </c>
    </row>
    <row r="4394" spans="1:4" x14ac:dyDescent="0.3">
      <c r="A4394" s="1">
        <v>32318</v>
      </c>
      <c r="B4394">
        <v>391.60000600000001</v>
      </c>
      <c r="C4394">
        <f t="shared" si="153"/>
        <v>1.5345421994885104E-3</v>
      </c>
      <c r="D4394">
        <f t="shared" si="152"/>
        <v>8.5579113973796042E-2</v>
      </c>
    </row>
    <row r="4395" spans="1:4" x14ac:dyDescent="0.3">
      <c r="A4395" s="1">
        <v>32321</v>
      </c>
      <c r="B4395">
        <v>389</v>
      </c>
      <c r="C4395">
        <f t="shared" si="153"/>
        <v>-6.6394432077715735E-3</v>
      </c>
      <c r="D4395">
        <f t="shared" si="152"/>
        <v>-0.56830610697817863</v>
      </c>
    </row>
    <row r="4396" spans="1:4" x14ac:dyDescent="0.3">
      <c r="A4396" s="1">
        <v>32322</v>
      </c>
      <c r="B4396">
        <v>391.70001200000002</v>
      </c>
      <c r="C4396">
        <f t="shared" si="153"/>
        <v>6.9409048843188052E-3</v>
      </c>
      <c r="D4396">
        <f t="shared" si="152"/>
        <v>0.51806589766402356</v>
      </c>
    </row>
    <row r="4397" spans="1:4" x14ac:dyDescent="0.3">
      <c r="A4397" s="1">
        <v>32323</v>
      </c>
      <c r="B4397">
        <v>391.70001200000002</v>
      </c>
      <c r="C4397">
        <f t="shared" si="153"/>
        <v>0</v>
      </c>
      <c r="D4397">
        <f t="shared" si="152"/>
        <v>-3.7177951910056316E-2</v>
      </c>
    </row>
    <row r="4398" spans="1:4" x14ac:dyDescent="0.3">
      <c r="A4398" s="1">
        <v>32324</v>
      </c>
      <c r="B4398">
        <v>394.70001200000002</v>
      </c>
      <c r="C4398">
        <f t="shared" si="153"/>
        <v>7.6589224102449095E-3</v>
      </c>
      <c r="D4398">
        <f t="shared" si="152"/>
        <v>0.5755043472324034</v>
      </c>
    </row>
    <row r="4399" spans="1:4" x14ac:dyDescent="0.3">
      <c r="A4399" s="1">
        <v>32325</v>
      </c>
      <c r="B4399">
        <v>394.70001200000002</v>
      </c>
      <c r="C4399">
        <f t="shared" si="153"/>
        <v>0</v>
      </c>
      <c r="D4399">
        <f t="shared" si="152"/>
        <v>-3.7177951910056316E-2</v>
      </c>
    </row>
    <row r="4400" spans="1:4" x14ac:dyDescent="0.3">
      <c r="A4400" s="1">
        <v>32329</v>
      </c>
      <c r="B4400">
        <v>396.10000600000001</v>
      </c>
      <c r="C4400">
        <f t="shared" si="153"/>
        <v>3.5469824105300316E-3</v>
      </c>
      <c r="D4400">
        <f t="shared" si="152"/>
        <v>0.24656605565352363</v>
      </c>
    </row>
    <row r="4401" spans="1:4" x14ac:dyDescent="0.3">
      <c r="A4401" s="1">
        <v>32330</v>
      </c>
      <c r="B4401">
        <v>395.5</v>
      </c>
      <c r="C4401">
        <f t="shared" si="153"/>
        <v>-1.5147841224723627E-3</v>
      </c>
      <c r="D4401">
        <f t="shared" si="152"/>
        <v>-0.15835445287831501</v>
      </c>
    </row>
    <row r="4402" spans="1:4" x14ac:dyDescent="0.3">
      <c r="A4402" s="1">
        <v>32331</v>
      </c>
      <c r="B4402">
        <v>395.39999399999999</v>
      </c>
      <c r="C4402">
        <f t="shared" si="153"/>
        <v>-2.5285967130216834E-4</v>
      </c>
      <c r="D4402">
        <f t="shared" si="152"/>
        <v>-5.7405685849048552E-2</v>
      </c>
    </row>
    <row r="4403" spans="1:4" x14ac:dyDescent="0.3">
      <c r="A4403" s="1">
        <v>32332</v>
      </c>
      <c r="B4403">
        <v>394.29998799999998</v>
      </c>
      <c r="C4403">
        <f t="shared" si="153"/>
        <v>-2.782008135285929E-3</v>
      </c>
      <c r="D4403">
        <f t="shared" si="152"/>
        <v>-0.25972716304712357</v>
      </c>
    </row>
    <row r="4404" spans="1:4" x14ac:dyDescent="0.3">
      <c r="A4404" s="1">
        <v>32335</v>
      </c>
      <c r="B4404">
        <v>394.20001200000002</v>
      </c>
      <c r="C4404">
        <f t="shared" si="153"/>
        <v>-2.5355313984937189E-4</v>
      </c>
      <c r="D4404">
        <f t="shared" si="152"/>
        <v>-5.7461160481265129E-2</v>
      </c>
    </row>
    <row r="4405" spans="1:4" x14ac:dyDescent="0.3">
      <c r="A4405" s="1">
        <v>32336</v>
      </c>
      <c r="B4405">
        <v>393.5</v>
      </c>
      <c r="C4405">
        <f t="shared" si="153"/>
        <v>-1.7757787384339683E-3</v>
      </c>
      <c r="D4405">
        <f t="shared" si="152"/>
        <v>-0.17923294893896988</v>
      </c>
    </row>
    <row r="4406" spans="1:4" x14ac:dyDescent="0.3">
      <c r="A4406" s="1">
        <v>32337</v>
      </c>
      <c r="B4406">
        <v>393.60000600000001</v>
      </c>
      <c r="C4406">
        <f t="shared" si="153"/>
        <v>2.5414485387549579E-4</v>
      </c>
      <c r="D4406">
        <f t="shared" si="152"/>
        <v>-1.6847408649900211E-2</v>
      </c>
    </row>
    <row r="4407" spans="1:4" x14ac:dyDescent="0.3">
      <c r="A4407" s="1">
        <v>32338</v>
      </c>
      <c r="B4407">
        <v>394.70001200000002</v>
      </c>
      <c r="C4407">
        <f t="shared" si="153"/>
        <v>2.7947306484543285E-3</v>
      </c>
      <c r="D4407">
        <f t="shared" si="152"/>
        <v>0.18638900796519609</v>
      </c>
    </row>
    <row r="4408" spans="1:4" x14ac:dyDescent="0.3">
      <c r="A4408" s="1">
        <v>32339</v>
      </c>
      <c r="B4408">
        <v>395</v>
      </c>
      <c r="C4408">
        <f t="shared" si="153"/>
        <v>7.6004051400937079E-4</v>
      </c>
      <c r="D4408">
        <f t="shared" si="152"/>
        <v>2.3622163905425302E-2</v>
      </c>
    </row>
    <row r="4409" spans="1:4" x14ac:dyDescent="0.3">
      <c r="A4409" s="1">
        <v>32342</v>
      </c>
      <c r="B4409">
        <v>394.79998799999998</v>
      </c>
      <c r="C4409">
        <f t="shared" si="153"/>
        <v>-5.0635949367092451E-4</v>
      </c>
      <c r="D4409">
        <f t="shared" si="152"/>
        <v>-7.7684629241050893E-2</v>
      </c>
    </row>
    <row r="4410" spans="1:4" x14ac:dyDescent="0.3">
      <c r="A4410" s="1">
        <v>32343</v>
      </c>
      <c r="B4410">
        <v>391.29998799999998</v>
      </c>
      <c r="C4410">
        <f t="shared" si="153"/>
        <v>-8.8652484964107953E-3</v>
      </c>
      <c r="D4410">
        <f t="shared" si="152"/>
        <v>-0.74636137750328069</v>
      </c>
    </row>
    <row r="4411" spans="1:4" x14ac:dyDescent="0.3">
      <c r="A4411" s="1">
        <v>32344</v>
      </c>
      <c r="B4411">
        <v>391.60000600000001</v>
      </c>
      <c r="C4411">
        <f t="shared" si="153"/>
        <v>7.6672120930405645E-4</v>
      </c>
      <c r="D4411">
        <f t="shared" si="152"/>
        <v>2.4156592057816957E-2</v>
      </c>
    </row>
    <row r="4412" spans="1:4" x14ac:dyDescent="0.3">
      <c r="A4412" s="1">
        <v>32345</v>
      </c>
      <c r="B4412">
        <v>388.89999399999999</v>
      </c>
      <c r="C4412">
        <f t="shared" si="153"/>
        <v>-6.8948211405288262E-3</v>
      </c>
      <c r="D4412">
        <f t="shared" si="152"/>
        <v>-0.58873529147842463</v>
      </c>
    </row>
    <row r="4413" spans="1:4" x14ac:dyDescent="0.3">
      <c r="A4413" s="1">
        <v>32346</v>
      </c>
      <c r="B4413">
        <v>387.39999399999999</v>
      </c>
      <c r="C4413">
        <f t="shared" si="153"/>
        <v>-3.8570327157166273E-3</v>
      </c>
      <c r="D4413">
        <f t="shared" si="152"/>
        <v>-0.34572470895409096</v>
      </c>
    </row>
    <row r="4414" spans="1:4" x14ac:dyDescent="0.3">
      <c r="A4414" s="1">
        <v>32349</v>
      </c>
      <c r="B4414">
        <v>387.10000600000001</v>
      </c>
      <c r="C4414">
        <f t="shared" si="153"/>
        <v>-7.7436242810056629E-4</v>
      </c>
      <c r="D4414">
        <f t="shared" si="152"/>
        <v>-9.912376196077094E-2</v>
      </c>
    </row>
    <row r="4415" spans="1:4" x14ac:dyDescent="0.3">
      <c r="A4415" s="1">
        <v>32350</v>
      </c>
      <c r="B4415">
        <v>385.79998799999998</v>
      </c>
      <c r="C4415">
        <f t="shared" si="153"/>
        <v>-3.3583517950139807E-3</v>
      </c>
      <c r="D4415">
        <f t="shared" si="152"/>
        <v>-0.30583228588607791</v>
      </c>
    </row>
    <row r="4416" spans="1:4" x14ac:dyDescent="0.3">
      <c r="A4416" s="1">
        <v>32351</v>
      </c>
      <c r="B4416">
        <v>383.29998799999998</v>
      </c>
      <c r="C4416">
        <f t="shared" si="153"/>
        <v>-6.4800416738219286E-3</v>
      </c>
      <c r="D4416">
        <f t="shared" si="152"/>
        <v>-0.55555463972523123</v>
      </c>
    </row>
    <row r="4417" spans="1:4" x14ac:dyDescent="0.3">
      <c r="A4417" s="1">
        <v>32352</v>
      </c>
      <c r="B4417">
        <v>384.10000600000001</v>
      </c>
      <c r="C4417">
        <f t="shared" si="153"/>
        <v>2.0871850379500217E-3</v>
      </c>
      <c r="D4417">
        <f t="shared" si="152"/>
        <v>0.12978826856978656</v>
      </c>
    </row>
    <row r="4418" spans="1:4" x14ac:dyDescent="0.3">
      <c r="A4418" s="1">
        <v>32353</v>
      </c>
      <c r="B4418">
        <v>387.29998799999998</v>
      </c>
      <c r="C4418">
        <f t="shared" si="153"/>
        <v>8.3311167665016308E-3</v>
      </c>
      <c r="D4418">
        <f t="shared" si="152"/>
        <v>0.62927713165323218</v>
      </c>
    </row>
    <row r="4419" spans="1:4" x14ac:dyDescent="0.3">
      <c r="A4419" s="1">
        <v>32356</v>
      </c>
      <c r="B4419">
        <v>388</v>
      </c>
      <c r="C4419">
        <f t="shared" si="153"/>
        <v>1.8074154962277335E-3</v>
      </c>
      <c r="D4419">
        <f t="shared" ref="D4419:D4482" si="154">(C4419-avrtn)/sdrtn</f>
        <v>0.10740785565123311</v>
      </c>
    </row>
    <row r="4420" spans="1:4" x14ac:dyDescent="0.3">
      <c r="A4420" s="1">
        <v>32357</v>
      </c>
      <c r="B4420">
        <v>387.79998799999998</v>
      </c>
      <c r="C4420">
        <f t="shared" ref="C4420:C4483" si="155">(B4420-B4419)/B4419</f>
        <v>-5.1549484536086391E-4</v>
      </c>
      <c r="D4420">
        <f t="shared" si="154"/>
        <v>-7.8415419811455445E-2</v>
      </c>
    </row>
    <row r="4421" spans="1:4" x14ac:dyDescent="0.3">
      <c r="A4421" s="1">
        <v>32358</v>
      </c>
      <c r="B4421">
        <v>388.5</v>
      </c>
      <c r="C4421">
        <f t="shared" si="155"/>
        <v>1.8050851512662121E-3</v>
      </c>
      <c r="D4421">
        <f t="shared" si="154"/>
        <v>0.10722143763674714</v>
      </c>
    </row>
    <row r="4422" spans="1:4" x14ac:dyDescent="0.3">
      <c r="A4422" s="1">
        <v>32359</v>
      </c>
      <c r="B4422">
        <v>388.89999399999999</v>
      </c>
      <c r="C4422">
        <f t="shared" si="155"/>
        <v>1.0295855855855661E-3</v>
      </c>
      <c r="D4422">
        <f t="shared" si="154"/>
        <v>4.5184661255563807E-2</v>
      </c>
    </row>
    <row r="4423" spans="1:4" x14ac:dyDescent="0.3">
      <c r="A4423" s="1">
        <v>32360</v>
      </c>
      <c r="B4423">
        <v>387.70001200000002</v>
      </c>
      <c r="C4423">
        <f t="shared" si="155"/>
        <v>-3.0855798881806546E-3</v>
      </c>
      <c r="D4423">
        <f t="shared" si="154"/>
        <v>-0.28401165498419484</v>
      </c>
    </row>
    <row r="4424" spans="1:4" x14ac:dyDescent="0.3">
      <c r="A4424" s="1">
        <v>32363</v>
      </c>
      <c r="B4424">
        <v>387.70001200000002</v>
      </c>
      <c r="C4424">
        <f t="shared" si="155"/>
        <v>0</v>
      </c>
      <c r="D4424">
        <f t="shared" si="154"/>
        <v>-3.7177951910056316E-2</v>
      </c>
    </row>
    <row r="4425" spans="1:4" x14ac:dyDescent="0.3">
      <c r="A4425" s="1">
        <v>32364</v>
      </c>
      <c r="B4425">
        <v>384.20001200000002</v>
      </c>
      <c r="C4425">
        <f t="shared" si="155"/>
        <v>-9.0275983793366502E-3</v>
      </c>
      <c r="D4425">
        <f t="shared" si="154"/>
        <v>-0.75934870055064152</v>
      </c>
    </row>
    <row r="4426" spans="1:4" x14ac:dyDescent="0.3">
      <c r="A4426" s="1">
        <v>32365</v>
      </c>
      <c r="B4426">
        <v>378.5</v>
      </c>
      <c r="C4426">
        <f t="shared" si="155"/>
        <v>-1.4836053675084256E-2</v>
      </c>
      <c r="D4426">
        <f t="shared" si="154"/>
        <v>-1.2240012396995583</v>
      </c>
    </row>
    <row r="4427" spans="1:4" x14ac:dyDescent="0.3">
      <c r="A4427" s="1">
        <v>32366</v>
      </c>
      <c r="B4427">
        <v>379.10000600000001</v>
      </c>
      <c r="C4427">
        <f t="shared" si="155"/>
        <v>1.585220607661843E-3</v>
      </c>
      <c r="D4427">
        <f t="shared" si="154"/>
        <v>8.9633178236803043E-2</v>
      </c>
    </row>
    <row r="4428" spans="1:4" x14ac:dyDescent="0.3">
      <c r="A4428" s="1">
        <v>32367</v>
      </c>
      <c r="B4428">
        <v>379</v>
      </c>
      <c r="C4428">
        <f t="shared" si="155"/>
        <v>-2.6379846588556264E-4</v>
      </c>
      <c r="D4428">
        <f t="shared" si="154"/>
        <v>-5.8280744435127999E-2</v>
      </c>
    </row>
    <row r="4429" spans="1:4" x14ac:dyDescent="0.3">
      <c r="A4429" s="1">
        <v>32370</v>
      </c>
      <c r="B4429">
        <v>374.10000600000001</v>
      </c>
      <c r="C4429">
        <f t="shared" si="155"/>
        <v>-1.2928744063324518E-2</v>
      </c>
      <c r="D4429">
        <f t="shared" si="154"/>
        <v>-1.0714243136627659</v>
      </c>
    </row>
    <row r="4430" spans="1:4" x14ac:dyDescent="0.3">
      <c r="A4430" s="1">
        <v>32371</v>
      </c>
      <c r="B4430">
        <v>375.70001200000002</v>
      </c>
      <c r="C4430">
        <f t="shared" si="155"/>
        <v>4.276947271687581E-3</v>
      </c>
      <c r="D4430">
        <f t="shared" si="154"/>
        <v>0.30496024291268303</v>
      </c>
    </row>
    <row r="4431" spans="1:4" x14ac:dyDescent="0.3">
      <c r="A4431" s="1">
        <v>32372</v>
      </c>
      <c r="B4431">
        <v>376.20001200000002</v>
      </c>
      <c r="C4431">
        <f t="shared" si="155"/>
        <v>1.3308490392063123E-3</v>
      </c>
      <c r="D4431">
        <f t="shared" si="154"/>
        <v>6.9284498742500075E-2</v>
      </c>
    </row>
    <row r="4432" spans="1:4" x14ac:dyDescent="0.3">
      <c r="A4432" s="1">
        <v>32373</v>
      </c>
      <c r="B4432">
        <v>377.20001200000002</v>
      </c>
      <c r="C4432">
        <f t="shared" si="155"/>
        <v>2.6581604681075871E-3</v>
      </c>
      <c r="D4432">
        <f t="shared" si="154"/>
        <v>0.17546395511739393</v>
      </c>
    </row>
    <row r="4433" spans="1:4" x14ac:dyDescent="0.3">
      <c r="A4433" s="1">
        <v>32374</v>
      </c>
      <c r="B4433">
        <v>377.39999399999999</v>
      </c>
      <c r="C4433">
        <f t="shared" si="155"/>
        <v>5.3017495662215737E-4</v>
      </c>
      <c r="D4433">
        <f t="shared" si="154"/>
        <v>5.2338645272680751E-3</v>
      </c>
    </row>
    <row r="4434" spans="1:4" x14ac:dyDescent="0.3">
      <c r="A4434" s="1">
        <v>32377</v>
      </c>
      <c r="B4434">
        <v>373.70001200000002</v>
      </c>
      <c r="C4434">
        <f t="shared" si="155"/>
        <v>-9.8038740297382663E-3</v>
      </c>
      <c r="D4434">
        <f t="shared" si="154"/>
        <v>-0.82144756051822299</v>
      </c>
    </row>
    <row r="4435" spans="1:4" x14ac:dyDescent="0.3">
      <c r="A4435" s="1">
        <v>32378</v>
      </c>
      <c r="B4435">
        <v>373.5</v>
      </c>
      <c r="C4435">
        <f t="shared" si="155"/>
        <v>-5.352207481331715E-4</v>
      </c>
      <c r="D4435">
        <f t="shared" si="154"/>
        <v>-7.9993410919843175E-2</v>
      </c>
    </row>
    <row r="4436" spans="1:4" x14ac:dyDescent="0.3">
      <c r="A4436" s="1">
        <v>32379</v>
      </c>
      <c r="B4436">
        <v>376</v>
      </c>
      <c r="C4436">
        <f t="shared" si="155"/>
        <v>6.6934404283801874E-3</v>
      </c>
      <c r="D4436">
        <f t="shared" si="154"/>
        <v>0.49826975876885721</v>
      </c>
    </row>
    <row r="4437" spans="1:4" x14ac:dyDescent="0.3">
      <c r="A4437" s="1">
        <v>32380</v>
      </c>
      <c r="B4437">
        <v>374</v>
      </c>
      <c r="C4437">
        <f t="shared" si="155"/>
        <v>-5.3191489361702126E-3</v>
      </c>
      <c r="D4437">
        <f t="shared" si="154"/>
        <v>-0.46268799433255464</v>
      </c>
    </row>
    <row r="4438" spans="1:4" x14ac:dyDescent="0.3">
      <c r="A4438" s="1">
        <v>32381</v>
      </c>
      <c r="B4438">
        <v>374.39999399999999</v>
      </c>
      <c r="C4438">
        <f t="shared" si="155"/>
        <v>1.0695026737967712E-3</v>
      </c>
      <c r="D4438">
        <f t="shared" si="154"/>
        <v>4.8377864172412709E-2</v>
      </c>
    </row>
    <row r="4439" spans="1:4" x14ac:dyDescent="0.3">
      <c r="A4439" s="1">
        <v>32384</v>
      </c>
      <c r="B4439">
        <v>376.20001200000002</v>
      </c>
      <c r="C4439">
        <f t="shared" si="155"/>
        <v>4.807740461662568E-3</v>
      </c>
      <c r="D4439">
        <f t="shared" si="154"/>
        <v>0.34742151547604305</v>
      </c>
    </row>
    <row r="4440" spans="1:4" x14ac:dyDescent="0.3">
      <c r="A4440" s="1">
        <v>32385</v>
      </c>
      <c r="B4440">
        <v>376.5</v>
      </c>
      <c r="C4440">
        <f t="shared" si="155"/>
        <v>7.9741624250661853E-4</v>
      </c>
      <c r="D4440">
        <f t="shared" si="154"/>
        <v>2.661206849529121E-2</v>
      </c>
    </row>
    <row r="4441" spans="1:4" x14ac:dyDescent="0.3">
      <c r="A4441" s="1">
        <v>32386</v>
      </c>
      <c r="B4441">
        <v>376.60000600000001</v>
      </c>
      <c r="C4441">
        <f t="shared" si="155"/>
        <v>2.6562018592299493E-4</v>
      </c>
      <c r="D4441">
        <f t="shared" si="154"/>
        <v>-1.5929429272947611E-2</v>
      </c>
    </row>
    <row r="4442" spans="1:4" x14ac:dyDescent="0.3">
      <c r="A4442" s="1">
        <v>32387</v>
      </c>
      <c r="B4442">
        <v>373</v>
      </c>
      <c r="C4442">
        <f t="shared" si="155"/>
        <v>-9.5592297999060778E-3</v>
      </c>
      <c r="D4442">
        <f t="shared" si="154"/>
        <v>-0.80187702811473194</v>
      </c>
    </row>
    <row r="4443" spans="1:4" x14ac:dyDescent="0.3">
      <c r="A4443" s="1">
        <v>32388</v>
      </c>
      <c r="B4443">
        <v>376.5</v>
      </c>
      <c r="C4443">
        <f t="shared" si="155"/>
        <v>9.3833780160857902E-3</v>
      </c>
      <c r="D4443">
        <f t="shared" si="154"/>
        <v>0.71345370469585223</v>
      </c>
    </row>
    <row r="4444" spans="1:4" x14ac:dyDescent="0.3">
      <c r="A4444" s="1">
        <v>32392</v>
      </c>
      <c r="B4444">
        <v>377.29998799999998</v>
      </c>
      <c r="C4444">
        <f t="shared" si="155"/>
        <v>2.1248021248339568E-3</v>
      </c>
      <c r="D4444">
        <f t="shared" si="154"/>
        <v>0.13279748083811585</v>
      </c>
    </row>
    <row r="4445" spans="1:4" x14ac:dyDescent="0.3">
      <c r="A4445" s="1">
        <v>32393</v>
      </c>
      <c r="B4445">
        <v>378</v>
      </c>
      <c r="C4445">
        <f t="shared" si="155"/>
        <v>1.8553194335113926E-3</v>
      </c>
      <c r="D4445">
        <f t="shared" si="154"/>
        <v>0.11123997365175871</v>
      </c>
    </row>
    <row r="4446" spans="1:4" x14ac:dyDescent="0.3">
      <c r="A4446" s="1">
        <v>32394</v>
      </c>
      <c r="B4446">
        <v>379.70001200000002</v>
      </c>
      <c r="C4446">
        <f t="shared" si="155"/>
        <v>4.4973862433862833E-3</v>
      </c>
      <c r="D4446">
        <f t="shared" si="154"/>
        <v>0.32259445419811134</v>
      </c>
    </row>
    <row r="4447" spans="1:4" x14ac:dyDescent="0.3">
      <c r="A4447" s="1">
        <v>32395</v>
      </c>
      <c r="B4447">
        <v>381.60000600000001</v>
      </c>
      <c r="C4447">
        <f t="shared" si="155"/>
        <v>5.0039345271339951E-3</v>
      </c>
      <c r="D4447">
        <f t="shared" si="154"/>
        <v>0.36311623395893944</v>
      </c>
    </row>
    <row r="4448" spans="1:4" x14ac:dyDescent="0.3">
      <c r="A4448" s="1">
        <v>32398</v>
      </c>
      <c r="B4448">
        <v>382.10000600000001</v>
      </c>
      <c r="C4448">
        <f t="shared" si="155"/>
        <v>1.3102725160858619E-3</v>
      </c>
      <c r="D4448">
        <f t="shared" si="154"/>
        <v>6.7638461504032688E-2</v>
      </c>
    </row>
    <row r="4449" spans="1:4" x14ac:dyDescent="0.3">
      <c r="A4449" s="1">
        <v>32399</v>
      </c>
      <c r="B4449">
        <v>382.39999399999999</v>
      </c>
      <c r="C4449">
        <f t="shared" si="155"/>
        <v>7.8510336375128148E-4</v>
      </c>
      <c r="D4449">
        <f t="shared" si="154"/>
        <v>2.5627088825724217E-2</v>
      </c>
    </row>
    <row r="4450" spans="1:4" x14ac:dyDescent="0.3">
      <c r="A4450" s="1">
        <v>32400</v>
      </c>
      <c r="B4450">
        <v>383.89999399999999</v>
      </c>
      <c r="C4450">
        <f t="shared" si="155"/>
        <v>3.9225942038063942E-3</v>
      </c>
      <c r="D4450">
        <f t="shared" si="154"/>
        <v>0.2766134545907098</v>
      </c>
    </row>
    <row r="4451" spans="1:4" x14ac:dyDescent="0.3">
      <c r="A4451" s="1">
        <v>32401</v>
      </c>
      <c r="B4451">
        <v>382.70001200000002</v>
      </c>
      <c r="C4451">
        <f t="shared" si="155"/>
        <v>-3.1257671757087269E-3</v>
      </c>
      <c r="D4451">
        <f t="shared" si="154"/>
        <v>-0.28722647273532687</v>
      </c>
    </row>
    <row r="4452" spans="1:4" x14ac:dyDescent="0.3">
      <c r="A4452" s="1">
        <v>32402</v>
      </c>
      <c r="B4452">
        <v>383.89999399999999</v>
      </c>
      <c r="C4452">
        <f t="shared" si="155"/>
        <v>3.1355682319653996E-3</v>
      </c>
      <c r="D4452">
        <f t="shared" si="154"/>
        <v>0.2136546131135639</v>
      </c>
    </row>
    <row r="4453" spans="1:4" x14ac:dyDescent="0.3">
      <c r="A4453" s="1">
        <v>32405</v>
      </c>
      <c r="B4453">
        <v>383.39999399999999</v>
      </c>
      <c r="C4453">
        <f t="shared" si="155"/>
        <v>-1.3024225262165542E-3</v>
      </c>
      <c r="D4453">
        <f t="shared" si="154"/>
        <v>-0.1413663984139519</v>
      </c>
    </row>
    <row r="4454" spans="1:4" x14ac:dyDescent="0.3">
      <c r="A4454" s="1">
        <v>32406</v>
      </c>
      <c r="B4454">
        <v>384.10000600000001</v>
      </c>
      <c r="C4454">
        <f t="shared" si="155"/>
        <v>1.825800758880594E-3</v>
      </c>
      <c r="D4454">
        <f t="shared" si="154"/>
        <v>0.10887860106281019</v>
      </c>
    </row>
    <row r="4455" spans="1:4" x14ac:dyDescent="0.3">
      <c r="A4455" s="1">
        <v>32407</v>
      </c>
      <c r="B4455">
        <v>384.89999399999999</v>
      </c>
      <c r="C4455">
        <f t="shared" si="155"/>
        <v>2.0827596654606271E-3</v>
      </c>
      <c r="D4455">
        <f t="shared" si="154"/>
        <v>0.12943425696787542</v>
      </c>
    </row>
    <row r="4456" spans="1:4" x14ac:dyDescent="0.3">
      <c r="A4456" s="1">
        <v>32408</v>
      </c>
      <c r="B4456">
        <v>384.89999399999999</v>
      </c>
      <c r="C4456">
        <f t="shared" si="155"/>
        <v>0</v>
      </c>
      <c r="D4456">
        <f t="shared" si="154"/>
        <v>-3.7177951910056316E-2</v>
      </c>
    </row>
    <row r="4457" spans="1:4" x14ac:dyDescent="0.3">
      <c r="A4457" s="1">
        <v>32409</v>
      </c>
      <c r="B4457">
        <v>385</v>
      </c>
      <c r="C4457">
        <f t="shared" si="155"/>
        <v>2.5982333478552245E-4</v>
      </c>
      <c r="D4457">
        <f t="shared" si="154"/>
        <v>-1.6393153527151101E-2</v>
      </c>
    </row>
    <row r="4458" spans="1:4" x14ac:dyDescent="0.3">
      <c r="A4458" s="1">
        <v>32412</v>
      </c>
      <c r="B4458">
        <v>382.79998799999998</v>
      </c>
      <c r="C4458">
        <f t="shared" si="155"/>
        <v>-5.7143168831169221E-3</v>
      </c>
      <c r="D4458">
        <f t="shared" si="154"/>
        <v>-0.49429980514798416</v>
      </c>
    </row>
    <row r="4459" spans="1:4" x14ac:dyDescent="0.3">
      <c r="A4459" s="1">
        <v>32413</v>
      </c>
      <c r="B4459">
        <v>382.20001200000002</v>
      </c>
      <c r="C4459">
        <f t="shared" si="155"/>
        <v>-1.5673354723301865E-3</v>
      </c>
      <c r="D4459">
        <f t="shared" si="154"/>
        <v>-0.16255834477449907</v>
      </c>
    </row>
    <row r="4460" spans="1:4" x14ac:dyDescent="0.3">
      <c r="A4460" s="1">
        <v>32414</v>
      </c>
      <c r="B4460">
        <v>383.29998799999998</v>
      </c>
      <c r="C4460">
        <f t="shared" si="155"/>
        <v>2.8780114219357209E-3</v>
      </c>
      <c r="D4460">
        <f t="shared" si="154"/>
        <v>0.19305112739112071</v>
      </c>
    </row>
    <row r="4461" spans="1:4" x14ac:dyDescent="0.3">
      <c r="A4461" s="1">
        <v>32415</v>
      </c>
      <c r="B4461">
        <v>386.10000600000001</v>
      </c>
      <c r="C4461">
        <f t="shared" si="155"/>
        <v>7.3050302313080765E-3</v>
      </c>
      <c r="D4461">
        <f t="shared" si="154"/>
        <v>0.54719442813079178</v>
      </c>
    </row>
    <row r="4462" spans="1:4" x14ac:dyDescent="0.3">
      <c r="A4462" s="1">
        <v>32416</v>
      </c>
      <c r="B4462">
        <v>387.70001200000002</v>
      </c>
      <c r="C4462">
        <f t="shared" si="155"/>
        <v>4.1440196196215742E-3</v>
      </c>
      <c r="D4462">
        <f t="shared" si="154"/>
        <v>0.29432657734917383</v>
      </c>
    </row>
    <row r="4463" spans="1:4" x14ac:dyDescent="0.3">
      <c r="A4463" s="1">
        <v>32419</v>
      </c>
      <c r="B4463">
        <v>384.5</v>
      </c>
      <c r="C4463">
        <f t="shared" si="155"/>
        <v>-8.2538351843022776E-3</v>
      </c>
      <c r="D4463">
        <f t="shared" si="154"/>
        <v>-0.69745082668116132</v>
      </c>
    </row>
    <row r="4464" spans="1:4" x14ac:dyDescent="0.3">
      <c r="A4464" s="1">
        <v>32420</v>
      </c>
      <c r="B4464">
        <v>384.20001200000002</v>
      </c>
      <c r="C4464">
        <f t="shared" si="155"/>
        <v>-7.8020286085821796E-4</v>
      </c>
      <c r="D4464">
        <f t="shared" si="154"/>
        <v>-9.9590972565380076E-2</v>
      </c>
    </row>
    <row r="4465" spans="1:4" x14ac:dyDescent="0.3">
      <c r="A4465" s="1">
        <v>32421</v>
      </c>
      <c r="B4465">
        <v>384.5</v>
      </c>
      <c r="C4465">
        <f t="shared" si="155"/>
        <v>7.8081205265549236E-4</v>
      </c>
      <c r="D4465">
        <f t="shared" si="154"/>
        <v>2.5283801584037754E-2</v>
      </c>
    </row>
    <row r="4466" spans="1:4" x14ac:dyDescent="0.3">
      <c r="A4466" s="1">
        <v>32422</v>
      </c>
      <c r="B4466">
        <v>385.20001200000002</v>
      </c>
      <c r="C4466">
        <f t="shared" si="155"/>
        <v>1.8205773732120031E-3</v>
      </c>
      <c r="D4466">
        <f t="shared" si="154"/>
        <v>0.10846075168801313</v>
      </c>
    </row>
    <row r="4467" spans="1:4" x14ac:dyDescent="0.3">
      <c r="A4467" s="1">
        <v>32423</v>
      </c>
      <c r="B4467">
        <v>385.70001200000002</v>
      </c>
      <c r="C4467">
        <f t="shared" si="155"/>
        <v>1.2980269585246014E-3</v>
      </c>
      <c r="D4467">
        <f t="shared" si="154"/>
        <v>6.6658867253165416E-2</v>
      </c>
    </row>
    <row r="4468" spans="1:4" x14ac:dyDescent="0.3">
      <c r="A4468" s="1">
        <v>32426</v>
      </c>
      <c r="B4468">
        <v>385.5</v>
      </c>
      <c r="C4468">
        <f t="shared" si="155"/>
        <v>-5.1856881974900008E-4</v>
      </c>
      <c r="D4468">
        <f t="shared" si="154"/>
        <v>-7.8661325122248119E-2</v>
      </c>
    </row>
    <row r="4469" spans="1:4" x14ac:dyDescent="0.3">
      <c r="A4469" s="1">
        <v>32427</v>
      </c>
      <c r="B4469">
        <v>385.29998799999998</v>
      </c>
      <c r="C4469">
        <f t="shared" si="155"/>
        <v>-5.1883787289238692E-4</v>
      </c>
      <c r="D4469">
        <f t="shared" si="154"/>
        <v>-7.8682848267365921E-2</v>
      </c>
    </row>
    <row r="4470" spans="1:4" x14ac:dyDescent="0.3">
      <c r="A4470" s="1">
        <v>32428</v>
      </c>
      <c r="B4470">
        <v>382.60000600000001</v>
      </c>
      <c r="C4470">
        <f t="shared" si="155"/>
        <v>-7.0074801040481147E-3</v>
      </c>
      <c r="D4470">
        <f t="shared" si="154"/>
        <v>-0.59774754530354168</v>
      </c>
    </row>
    <row r="4471" spans="1:4" x14ac:dyDescent="0.3">
      <c r="A4471" s="1">
        <v>32429</v>
      </c>
      <c r="B4471">
        <v>383.5</v>
      </c>
      <c r="C4471">
        <f t="shared" si="155"/>
        <v>2.3523104701676152E-3</v>
      </c>
      <c r="D4471">
        <f t="shared" si="154"/>
        <v>0.15099721294490256</v>
      </c>
    </row>
    <row r="4472" spans="1:4" x14ac:dyDescent="0.3">
      <c r="A4472" s="1">
        <v>32430</v>
      </c>
      <c r="B4472">
        <v>384.60000600000001</v>
      </c>
      <c r="C4472">
        <f t="shared" si="155"/>
        <v>2.8683337679270083E-3</v>
      </c>
      <c r="D4472">
        <f t="shared" si="154"/>
        <v>0.19227695486517474</v>
      </c>
    </row>
    <row r="4473" spans="1:4" x14ac:dyDescent="0.3">
      <c r="A4473" s="1">
        <v>32433</v>
      </c>
      <c r="B4473">
        <v>385</v>
      </c>
      <c r="C4473">
        <f t="shared" si="155"/>
        <v>1.0400259848149674E-3</v>
      </c>
      <c r="D4473">
        <f t="shared" si="154"/>
        <v>4.6019850262737756E-2</v>
      </c>
    </row>
    <row r="4474" spans="1:4" x14ac:dyDescent="0.3">
      <c r="A4474" s="1">
        <v>32434</v>
      </c>
      <c r="B4474">
        <v>386.29998799999998</v>
      </c>
      <c r="C4474">
        <f t="shared" si="155"/>
        <v>3.3765922077921683E-3</v>
      </c>
      <c r="D4474">
        <f t="shared" si="154"/>
        <v>0.23293554008319475</v>
      </c>
    </row>
    <row r="4475" spans="1:4" x14ac:dyDescent="0.3">
      <c r="A4475" s="1">
        <v>32435</v>
      </c>
      <c r="B4475">
        <v>385.79998799999998</v>
      </c>
      <c r="C4475">
        <f t="shared" si="155"/>
        <v>-1.2943308711674099E-3</v>
      </c>
      <c r="D4475">
        <f t="shared" si="154"/>
        <v>-0.14071909928310475</v>
      </c>
    </row>
    <row r="4476" spans="1:4" x14ac:dyDescent="0.3">
      <c r="A4476" s="1">
        <v>32436</v>
      </c>
      <c r="B4476">
        <v>388.60000600000001</v>
      </c>
      <c r="C4476">
        <f t="shared" si="155"/>
        <v>7.2576933309806708E-3</v>
      </c>
      <c r="D4476">
        <f t="shared" si="154"/>
        <v>0.54340767075509655</v>
      </c>
    </row>
    <row r="4477" spans="1:4" x14ac:dyDescent="0.3">
      <c r="A4477" s="1">
        <v>32437</v>
      </c>
      <c r="B4477">
        <v>388.60000600000001</v>
      </c>
      <c r="C4477">
        <f t="shared" si="155"/>
        <v>0</v>
      </c>
      <c r="D4477">
        <f t="shared" si="154"/>
        <v>-3.7177951910056316E-2</v>
      </c>
    </row>
    <row r="4478" spans="1:4" x14ac:dyDescent="0.3">
      <c r="A4478" s="1">
        <v>32440</v>
      </c>
      <c r="B4478">
        <v>387.20001200000002</v>
      </c>
      <c r="C4478">
        <f t="shared" si="155"/>
        <v>-3.602660778136973E-3</v>
      </c>
      <c r="D4478">
        <f t="shared" si="154"/>
        <v>-0.32537599993137595</v>
      </c>
    </row>
    <row r="4479" spans="1:4" x14ac:dyDescent="0.3">
      <c r="A4479" s="1">
        <v>32441</v>
      </c>
      <c r="B4479">
        <v>386.10000600000001</v>
      </c>
      <c r="C4479">
        <f t="shared" si="155"/>
        <v>-2.8409244987316982E-3</v>
      </c>
      <c r="D4479">
        <f t="shared" si="154"/>
        <v>-0.26444022985725096</v>
      </c>
    </row>
    <row r="4480" spans="1:4" x14ac:dyDescent="0.3">
      <c r="A4480" s="1">
        <v>32442</v>
      </c>
      <c r="B4480">
        <v>385.20001200000002</v>
      </c>
      <c r="C4480">
        <f t="shared" si="155"/>
        <v>-2.3309867547632009E-3</v>
      </c>
      <c r="D4480">
        <f t="shared" si="154"/>
        <v>-0.22364730721630374</v>
      </c>
    </row>
    <row r="4481" spans="1:4" x14ac:dyDescent="0.3">
      <c r="A4481" s="1">
        <v>32443</v>
      </c>
      <c r="B4481">
        <v>381.79998799999998</v>
      </c>
      <c r="C4481">
        <f t="shared" si="155"/>
        <v>-8.8266456232613776E-3</v>
      </c>
      <c r="D4481">
        <f t="shared" si="154"/>
        <v>-0.74327330638729017</v>
      </c>
    </row>
    <row r="4482" spans="1:4" x14ac:dyDescent="0.3">
      <c r="A4482" s="1">
        <v>32444</v>
      </c>
      <c r="B4482">
        <v>382.79998799999998</v>
      </c>
      <c r="C4482">
        <f t="shared" si="155"/>
        <v>2.6191724238608413E-3</v>
      </c>
      <c r="D4482">
        <f t="shared" si="154"/>
        <v>0.17234507189745016</v>
      </c>
    </row>
    <row r="4483" spans="1:4" x14ac:dyDescent="0.3">
      <c r="A4483" s="1">
        <v>32447</v>
      </c>
      <c r="B4483">
        <v>382.5</v>
      </c>
      <c r="C4483">
        <f t="shared" si="155"/>
        <v>-7.8366773616509323E-4</v>
      </c>
      <c r="D4483">
        <f t="shared" ref="D4483:D4546" si="156">(C4483-avrtn)/sdrtn</f>
        <v>-9.986814834227771E-2</v>
      </c>
    </row>
    <row r="4484" spans="1:4" x14ac:dyDescent="0.3">
      <c r="A4484" s="1">
        <v>32448</v>
      </c>
      <c r="B4484">
        <v>382.39999399999999</v>
      </c>
      <c r="C4484">
        <f t="shared" ref="C4484:C4547" si="157">(B4484-B4483)/B4483</f>
        <v>-2.6145359477126168E-4</v>
      </c>
      <c r="D4484">
        <f t="shared" si="156"/>
        <v>-5.8093164388151562E-2</v>
      </c>
    </row>
    <row r="4485" spans="1:4" x14ac:dyDescent="0.3">
      <c r="A4485" s="1">
        <v>32449</v>
      </c>
      <c r="B4485">
        <v>381.79998799999998</v>
      </c>
      <c r="C4485">
        <f t="shared" si="157"/>
        <v>-1.5690533718993929E-3</v>
      </c>
      <c r="D4485">
        <f t="shared" si="156"/>
        <v>-0.16269576967599036</v>
      </c>
    </row>
    <row r="4486" spans="1:4" x14ac:dyDescent="0.3">
      <c r="A4486" s="1">
        <v>32450</v>
      </c>
      <c r="B4486">
        <v>382.79998799999998</v>
      </c>
      <c r="C4486">
        <f t="shared" si="157"/>
        <v>2.6191724238608413E-3</v>
      </c>
      <c r="D4486">
        <f t="shared" si="156"/>
        <v>0.17234507189745016</v>
      </c>
    </row>
    <row r="4487" spans="1:4" x14ac:dyDescent="0.3">
      <c r="A4487" s="1">
        <v>32451</v>
      </c>
      <c r="B4487">
        <v>381</v>
      </c>
      <c r="C4487">
        <f t="shared" si="157"/>
        <v>-4.7021631568075831E-3</v>
      </c>
      <c r="D4487">
        <f t="shared" si="156"/>
        <v>-0.41333166904422858</v>
      </c>
    </row>
    <row r="4488" spans="1:4" x14ac:dyDescent="0.3">
      <c r="A4488" s="1">
        <v>32454</v>
      </c>
      <c r="B4488">
        <v>376.5</v>
      </c>
      <c r="C4488">
        <f t="shared" si="157"/>
        <v>-1.1811023622047244E-2</v>
      </c>
      <c r="D4488">
        <f t="shared" si="156"/>
        <v>-0.98201127445450132</v>
      </c>
    </row>
    <row r="4489" spans="1:4" x14ac:dyDescent="0.3">
      <c r="A4489" s="1">
        <v>32455</v>
      </c>
      <c r="B4489">
        <v>378.79998799999998</v>
      </c>
      <c r="C4489">
        <f t="shared" si="157"/>
        <v>6.1088658698538771E-3</v>
      </c>
      <c r="D4489">
        <f t="shared" si="156"/>
        <v>0.45150619787170021</v>
      </c>
    </row>
    <row r="4490" spans="1:4" x14ac:dyDescent="0.3">
      <c r="A4490" s="1">
        <v>32456</v>
      </c>
      <c r="B4490">
        <v>377.70001200000002</v>
      </c>
      <c r="C4490">
        <f t="shared" si="157"/>
        <v>-2.9038438089918042E-3</v>
      </c>
      <c r="D4490">
        <f t="shared" si="156"/>
        <v>-0.26947351595230973</v>
      </c>
    </row>
    <row r="4491" spans="1:4" x14ac:dyDescent="0.3">
      <c r="A4491" s="1">
        <v>32457</v>
      </c>
      <c r="B4491">
        <v>378.39999399999999</v>
      </c>
      <c r="C4491">
        <f t="shared" si="157"/>
        <v>1.8532750271662082E-3</v>
      </c>
      <c r="D4491">
        <f t="shared" si="156"/>
        <v>0.11107642955079308</v>
      </c>
    </row>
    <row r="4492" spans="1:4" x14ac:dyDescent="0.3">
      <c r="A4492" s="1">
        <v>32458</v>
      </c>
      <c r="B4492">
        <v>373.79998799999998</v>
      </c>
      <c r="C4492">
        <f t="shared" si="157"/>
        <v>-1.2156464251952413E-2</v>
      </c>
      <c r="D4492">
        <f t="shared" si="156"/>
        <v>-1.0096451043865571</v>
      </c>
    </row>
    <row r="4493" spans="1:4" x14ac:dyDescent="0.3">
      <c r="A4493" s="1">
        <v>32461</v>
      </c>
      <c r="B4493">
        <v>372.39999399999999</v>
      </c>
      <c r="C4493">
        <f t="shared" si="157"/>
        <v>-3.7453024209299665E-3</v>
      </c>
      <c r="D4493">
        <f t="shared" si="156"/>
        <v>-0.33678674480887549</v>
      </c>
    </row>
    <row r="4494" spans="1:4" x14ac:dyDescent="0.3">
      <c r="A4494" s="1">
        <v>32462</v>
      </c>
      <c r="B4494">
        <v>372.10000600000001</v>
      </c>
      <c r="C4494">
        <f t="shared" si="157"/>
        <v>-8.0555318161467217E-4</v>
      </c>
      <c r="D4494">
        <f t="shared" si="156"/>
        <v>-0.1016188939847546</v>
      </c>
    </row>
    <row r="4495" spans="1:4" x14ac:dyDescent="0.3">
      <c r="A4495" s="1">
        <v>32463</v>
      </c>
      <c r="B4495">
        <v>367.79998799999998</v>
      </c>
      <c r="C4495">
        <f t="shared" si="157"/>
        <v>-1.1556081512129893E-2</v>
      </c>
      <c r="D4495">
        <f t="shared" si="156"/>
        <v>-0.96161695398933333</v>
      </c>
    </row>
    <row r="4496" spans="1:4" x14ac:dyDescent="0.3">
      <c r="A4496" s="1">
        <v>32464</v>
      </c>
      <c r="B4496">
        <v>367.39999399999999</v>
      </c>
      <c r="C4496">
        <f t="shared" si="157"/>
        <v>-1.0875313024751715E-3</v>
      </c>
      <c r="D4496">
        <f t="shared" si="156"/>
        <v>-0.12417598415263327</v>
      </c>
    </row>
    <row r="4497" spans="1:4" x14ac:dyDescent="0.3">
      <c r="A4497" s="1">
        <v>32465</v>
      </c>
      <c r="B4497">
        <v>367.60000600000001</v>
      </c>
      <c r="C4497">
        <f t="shared" si="157"/>
        <v>5.4439848466632029E-4</v>
      </c>
      <c r="D4497">
        <f t="shared" si="156"/>
        <v>6.3716882833043153E-3</v>
      </c>
    </row>
    <row r="4498" spans="1:4" x14ac:dyDescent="0.3">
      <c r="A4498" s="1">
        <v>32468</v>
      </c>
      <c r="B4498">
        <v>365.10000600000001</v>
      </c>
      <c r="C4498">
        <f t="shared" si="157"/>
        <v>-6.8008704004210484E-3</v>
      </c>
      <c r="D4498">
        <f t="shared" si="156"/>
        <v>-0.58121961859755411</v>
      </c>
    </row>
    <row r="4499" spans="1:4" x14ac:dyDescent="0.3">
      <c r="A4499" s="1">
        <v>32469</v>
      </c>
      <c r="B4499">
        <v>365.39999399999999</v>
      </c>
      <c r="C4499">
        <f t="shared" si="157"/>
        <v>8.2165980572453026E-4</v>
      </c>
      <c r="D4499">
        <f t="shared" si="156"/>
        <v>2.8551453862596523E-2</v>
      </c>
    </row>
    <row r="4500" spans="1:4" x14ac:dyDescent="0.3">
      <c r="A4500" s="1">
        <v>32470</v>
      </c>
      <c r="B4500">
        <v>367.79998799999998</v>
      </c>
      <c r="C4500">
        <f t="shared" si="157"/>
        <v>6.5681281866687511E-3</v>
      </c>
      <c r="D4500">
        <f t="shared" si="156"/>
        <v>0.48824529471895922</v>
      </c>
    </row>
    <row r="4501" spans="1:4" x14ac:dyDescent="0.3">
      <c r="A4501" s="1">
        <v>32472</v>
      </c>
      <c r="B4501">
        <v>366.39999399999999</v>
      </c>
      <c r="C4501">
        <f t="shared" si="157"/>
        <v>-3.8064003416987402E-3</v>
      </c>
      <c r="D4501">
        <f t="shared" si="156"/>
        <v>-0.34167432723422603</v>
      </c>
    </row>
    <row r="4502" spans="1:4" x14ac:dyDescent="0.3">
      <c r="A4502" s="1">
        <v>32475</v>
      </c>
      <c r="B4502">
        <v>366.10000600000001</v>
      </c>
      <c r="C4502">
        <f t="shared" si="157"/>
        <v>-8.1874455489206377E-4</v>
      </c>
      <c r="D4502">
        <f t="shared" si="156"/>
        <v>-0.10267414960369489</v>
      </c>
    </row>
    <row r="4503" spans="1:4" x14ac:dyDescent="0.3">
      <c r="A4503" s="1">
        <v>32476</v>
      </c>
      <c r="B4503">
        <v>368.20001200000002</v>
      </c>
      <c r="C4503">
        <f t="shared" si="157"/>
        <v>5.7361539622591742E-3</v>
      </c>
      <c r="D4503">
        <f t="shared" si="156"/>
        <v>0.42169077786464571</v>
      </c>
    </row>
    <row r="4504" spans="1:4" x14ac:dyDescent="0.3">
      <c r="A4504" s="1">
        <v>32477</v>
      </c>
      <c r="B4504">
        <v>371.5</v>
      </c>
      <c r="C4504">
        <f t="shared" si="157"/>
        <v>8.9624874862849948E-3</v>
      </c>
      <c r="D4504">
        <f t="shared" si="156"/>
        <v>0.67978419302398863</v>
      </c>
    </row>
    <row r="4505" spans="1:4" x14ac:dyDescent="0.3">
      <c r="A4505" s="1">
        <v>32478</v>
      </c>
      <c r="B4505">
        <v>373.89999399999999</v>
      </c>
      <c r="C4505">
        <f t="shared" si="157"/>
        <v>6.4602799461641785E-3</v>
      </c>
      <c r="D4505">
        <f t="shared" si="156"/>
        <v>0.47961787895320818</v>
      </c>
    </row>
    <row r="4506" spans="1:4" x14ac:dyDescent="0.3">
      <c r="A4506" s="1">
        <v>32479</v>
      </c>
      <c r="B4506">
        <v>373.89999399999999</v>
      </c>
      <c r="C4506">
        <f t="shared" si="157"/>
        <v>0</v>
      </c>
      <c r="D4506">
        <f t="shared" si="156"/>
        <v>-3.7177951910056316E-2</v>
      </c>
    </row>
    <row r="4507" spans="1:4" x14ac:dyDescent="0.3">
      <c r="A4507" s="1">
        <v>32482</v>
      </c>
      <c r="B4507">
        <v>375.60000600000001</v>
      </c>
      <c r="C4507">
        <f t="shared" si="157"/>
        <v>4.5467023997866531E-3</v>
      </c>
      <c r="D4507">
        <f t="shared" si="156"/>
        <v>0.32653954392089407</v>
      </c>
    </row>
    <row r="4508" spans="1:4" x14ac:dyDescent="0.3">
      <c r="A4508" s="1">
        <v>32483</v>
      </c>
      <c r="B4508">
        <v>377</v>
      </c>
      <c r="C4508">
        <f t="shared" si="157"/>
        <v>3.7273535080827244E-3</v>
      </c>
      <c r="D4508">
        <f t="shared" si="156"/>
        <v>0.26099500176735413</v>
      </c>
    </row>
    <row r="4509" spans="1:4" x14ac:dyDescent="0.3">
      <c r="A4509" s="1">
        <v>32484</v>
      </c>
      <c r="B4509">
        <v>376.39999399999999</v>
      </c>
      <c r="C4509">
        <f t="shared" si="157"/>
        <v>-1.5915278514589061E-3</v>
      </c>
      <c r="D4509">
        <f t="shared" si="156"/>
        <v>-0.16449363562513927</v>
      </c>
    </row>
    <row r="4510" spans="1:4" x14ac:dyDescent="0.3">
      <c r="A4510" s="1">
        <v>32485</v>
      </c>
      <c r="B4510">
        <v>375.20001200000002</v>
      </c>
      <c r="C4510">
        <f t="shared" si="157"/>
        <v>-3.1880499976840522E-3</v>
      </c>
      <c r="D4510">
        <f t="shared" si="156"/>
        <v>-0.29220884238485861</v>
      </c>
    </row>
    <row r="4511" spans="1:4" x14ac:dyDescent="0.3">
      <c r="A4511" s="1">
        <v>32486</v>
      </c>
      <c r="B4511">
        <v>375.20001200000002</v>
      </c>
      <c r="C4511">
        <f t="shared" si="157"/>
        <v>0</v>
      </c>
      <c r="D4511">
        <f t="shared" si="156"/>
        <v>-3.7177951910056316E-2</v>
      </c>
    </row>
    <row r="4512" spans="1:4" x14ac:dyDescent="0.3">
      <c r="A4512" s="1">
        <v>32489</v>
      </c>
      <c r="B4512">
        <v>374.20001200000002</v>
      </c>
      <c r="C4512">
        <f t="shared" si="157"/>
        <v>-2.665245117316254E-3</v>
      </c>
      <c r="D4512">
        <f t="shared" si="156"/>
        <v>-0.25038660174194832</v>
      </c>
    </row>
    <row r="4513" spans="1:4" x14ac:dyDescent="0.3">
      <c r="A4513" s="1">
        <v>32490</v>
      </c>
      <c r="B4513">
        <v>373</v>
      </c>
      <c r="C4513">
        <f t="shared" si="157"/>
        <v>-3.2068732269308828E-3</v>
      </c>
      <c r="D4513">
        <f t="shared" si="156"/>
        <v>-0.29371462332302395</v>
      </c>
    </row>
    <row r="4514" spans="1:4" x14ac:dyDescent="0.3">
      <c r="A4514" s="1">
        <v>32491</v>
      </c>
      <c r="B4514">
        <v>372.79998799999998</v>
      </c>
      <c r="C4514">
        <f t="shared" si="157"/>
        <v>-5.362252010724267E-4</v>
      </c>
      <c r="D4514">
        <f t="shared" si="156"/>
        <v>-8.0073763024648414E-2</v>
      </c>
    </row>
    <row r="4515" spans="1:4" x14ac:dyDescent="0.3">
      <c r="A4515" s="1">
        <v>32492</v>
      </c>
      <c r="B4515">
        <v>373</v>
      </c>
      <c r="C4515">
        <f t="shared" si="157"/>
        <v>5.3651289280624978E-4</v>
      </c>
      <c r="D4515">
        <f t="shared" si="156"/>
        <v>5.7408733602461537E-3</v>
      </c>
    </row>
    <row r="4516" spans="1:4" x14ac:dyDescent="0.3">
      <c r="A4516" s="1">
        <v>32493</v>
      </c>
      <c r="B4516">
        <v>375.79998799999998</v>
      </c>
      <c r="C4516">
        <f t="shared" si="157"/>
        <v>7.506670241286823E-3</v>
      </c>
      <c r="D4516">
        <f t="shared" si="156"/>
        <v>0.56332479978041605</v>
      </c>
    </row>
    <row r="4517" spans="1:4" x14ac:dyDescent="0.3">
      <c r="A4517" s="1">
        <v>32496</v>
      </c>
      <c r="B4517">
        <v>376.39999399999999</v>
      </c>
      <c r="C4517">
        <f t="shared" si="157"/>
        <v>1.5966099498651598E-3</v>
      </c>
      <c r="D4517">
        <f t="shared" si="156"/>
        <v>9.0544278779813414E-2</v>
      </c>
    </row>
    <row r="4518" spans="1:4" x14ac:dyDescent="0.3">
      <c r="A4518" s="1">
        <v>32497</v>
      </c>
      <c r="B4518">
        <v>376.10000600000001</v>
      </c>
      <c r="C4518">
        <f t="shared" si="157"/>
        <v>-7.9699257380961815E-4</v>
      </c>
      <c r="D4518">
        <f t="shared" si="156"/>
        <v>-0.1009340805617799</v>
      </c>
    </row>
    <row r="4519" spans="1:4" x14ac:dyDescent="0.3">
      <c r="A4519" s="1">
        <v>32498</v>
      </c>
      <c r="B4519">
        <v>375.60000600000001</v>
      </c>
      <c r="C4519">
        <f t="shared" si="157"/>
        <v>-1.3294336400515772E-3</v>
      </c>
      <c r="D4519">
        <f t="shared" si="156"/>
        <v>-0.14352717645038998</v>
      </c>
    </row>
    <row r="4520" spans="1:4" x14ac:dyDescent="0.3">
      <c r="A4520" s="1">
        <v>32499</v>
      </c>
      <c r="B4520">
        <v>376.5</v>
      </c>
      <c r="C4520">
        <f t="shared" si="157"/>
        <v>2.39615012146723E-3</v>
      </c>
      <c r="D4520">
        <f t="shared" si="156"/>
        <v>0.15450420477914845</v>
      </c>
    </row>
    <row r="4521" spans="1:4" x14ac:dyDescent="0.3">
      <c r="A4521" s="1">
        <v>32500</v>
      </c>
      <c r="B4521">
        <v>377.29998799999998</v>
      </c>
      <c r="C4521">
        <f t="shared" si="157"/>
        <v>2.1248021248339568E-3</v>
      </c>
      <c r="D4521">
        <f t="shared" si="156"/>
        <v>0.13279748083811585</v>
      </c>
    </row>
    <row r="4522" spans="1:4" x14ac:dyDescent="0.3">
      <c r="A4522" s="1">
        <v>32504</v>
      </c>
      <c r="B4522">
        <v>376.60000600000001</v>
      </c>
      <c r="C4522">
        <f t="shared" si="157"/>
        <v>-1.8552399211843528E-3</v>
      </c>
      <c r="D4522">
        <f t="shared" si="156"/>
        <v>-0.18558951681266481</v>
      </c>
    </row>
    <row r="4523" spans="1:4" x14ac:dyDescent="0.3">
      <c r="A4523" s="1">
        <v>32505</v>
      </c>
      <c r="B4523">
        <v>376.79998799999998</v>
      </c>
      <c r="C4523">
        <f t="shared" si="157"/>
        <v>5.3101964103520818E-4</v>
      </c>
      <c r="D4523">
        <f t="shared" si="156"/>
        <v>5.3014358069490798E-3</v>
      </c>
    </row>
    <row r="4524" spans="1:4" x14ac:dyDescent="0.3">
      <c r="A4524" s="1">
        <v>32506</v>
      </c>
      <c r="B4524">
        <v>379.10000600000001</v>
      </c>
      <c r="C4524">
        <f t="shared" si="157"/>
        <v>6.1040819353742198E-3</v>
      </c>
      <c r="D4524">
        <f t="shared" si="156"/>
        <v>0.45112350278498375</v>
      </c>
    </row>
    <row r="4525" spans="1:4" x14ac:dyDescent="0.3">
      <c r="A4525" s="1">
        <v>32507</v>
      </c>
      <c r="B4525">
        <v>381.39999399999999</v>
      </c>
      <c r="C4525">
        <f t="shared" si="157"/>
        <v>6.0669690414090491E-3</v>
      </c>
      <c r="D4525">
        <f t="shared" si="156"/>
        <v>0.44815462387690197</v>
      </c>
    </row>
    <row r="4526" spans="1:4" x14ac:dyDescent="0.3">
      <c r="A4526" s="1">
        <v>32511</v>
      </c>
      <c r="B4526">
        <v>378.60000600000001</v>
      </c>
      <c r="C4526">
        <f t="shared" si="157"/>
        <v>-7.3413425381437863E-3</v>
      </c>
      <c r="D4526">
        <f t="shared" si="156"/>
        <v>-0.6244551671806633</v>
      </c>
    </row>
    <row r="4527" spans="1:4" x14ac:dyDescent="0.3">
      <c r="A4527" s="1">
        <v>32512</v>
      </c>
      <c r="B4527">
        <v>382.79998799999998</v>
      </c>
      <c r="C4527">
        <f t="shared" si="157"/>
        <v>1.1093454657789882E-2</v>
      </c>
      <c r="D4527">
        <f t="shared" si="156"/>
        <v>0.85025280415501181</v>
      </c>
    </row>
    <row r="4528" spans="1:4" x14ac:dyDescent="0.3">
      <c r="A4528" s="1">
        <v>32513</v>
      </c>
      <c r="B4528">
        <v>383.79998799999998</v>
      </c>
      <c r="C4528">
        <f t="shared" si="157"/>
        <v>2.6123302804283263E-3</v>
      </c>
      <c r="D4528">
        <f t="shared" si="156"/>
        <v>0.17179772855791087</v>
      </c>
    </row>
    <row r="4529" spans="1:4" x14ac:dyDescent="0.3">
      <c r="A4529" s="1">
        <v>32514</v>
      </c>
      <c r="B4529">
        <v>384.70001200000002</v>
      </c>
      <c r="C4529">
        <f t="shared" si="157"/>
        <v>2.345033945128811E-3</v>
      </c>
      <c r="D4529">
        <f t="shared" si="156"/>
        <v>0.15041512086304798</v>
      </c>
    </row>
    <row r="4530" spans="1:4" x14ac:dyDescent="0.3">
      <c r="A4530" s="1">
        <v>32517</v>
      </c>
      <c r="B4530">
        <v>385.29998799999998</v>
      </c>
      <c r="C4530">
        <f t="shared" si="157"/>
        <v>1.5595944405636505E-3</v>
      </c>
      <c r="D4530">
        <f t="shared" si="156"/>
        <v>8.7583190244376399E-2</v>
      </c>
    </row>
    <row r="4531" spans="1:4" x14ac:dyDescent="0.3">
      <c r="A4531" s="1">
        <v>32518</v>
      </c>
      <c r="B4531">
        <v>384.60000600000001</v>
      </c>
      <c r="C4531">
        <f t="shared" si="157"/>
        <v>-1.8167194959787471E-3</v>
      </c>
      <c r="D4531">
        <f t="shared" si="156"/>
        <v>-0.18250804119315125</v>
      </c>
    </row>
    <row r="4532" spans="1:4" x14ac:dyDescent="0.3">
      <c r="A4532" s="1">
        <v>32519</v>
      </c>
      <c r="B4532">
        <v>385.29998799999998</v>
      </c>
      <c r="C4532">
        <f t="shared" si="157"/>
        <v>1.8200259726464415E-3</v>
      </c>
      <c r="D4532">
        <f t="shared" si="156"/>
        <v>0.10841664191014087</v>
      </c>
    </row>
    <row r="4533" spans="1:4" x14ac:dyDescent="0.3">
      <c r="A4533" s="1">
        <v>32520</v>
      </c>
      <c r="B4533">
        <v>387</v>
      </c>
      <c r="C4533">
        <f t="shared" si="157"/>
        <v>4.4121776614226499E-3</v>
      </c>
      <c r="D4533">
        <f t="shared" si="156"/>
        <v>0.3157781180208033</v>
      </c>
    </row>
    <row r="4534" spans="1:4" x14ac:dyDescent="0.3">
      <c r="A4534" s="1">
        <v>32521</v>
      </c>
      <c r="B4534">
        <v>387.10000600000001</v>
      </c>
      <c r="C4534">
        <f t="shared" si="157"/>
        <v>2.5841343669252609E-4</v>
      </c>
      <c r="D4534">
        <f t="shared" si="156"/>
        <v>-1.650593957705521E-2</v>
      </c>
    </row>
    <row r="4535" spans="1:4" x14ac:dyDescent="0.3">
      <c r="A4535" s="1">
        <v>32524</v>
      </c>
      <c r="B4535">
        <v>387.39999399999999</v>
      </c>
      <c r="C4535">
        <f t="shared" si="157"/>
        <v>7.7496252996695847E-4</v>
      </c>
      <c r="D4535">
        <f t="shared" si="156"/>
        <v>2.4815863822336061E-2</v>
      </c>
    </row>
    <row r="4536" spans="1:4" x14ac:dyDescent="0.3">
      <c r="A4536" s="1">
        <v>32525</v>
      </c>
      <c r="B4536">
        <v>386.10000600000001</v>
      </c>
      <c r="C4536">
        <f t="shared" si="157"/>
        <v>-3.3556737742230962E-3</v>
      </c>
      <c r="D4536">
        <f t="shared" si="156"/>
        <v>-0.30561805523489444</v>
      </c>
    </row>
    <row r="4537" spans="1:4" x14ac:dyDescent="0.3">
      <c r="A4537" s="1">
        <v>32526</v>
      </c>
      <c r="B4537">
        <v>388.89999399999999</v>
      </c>
      <c r="C4537">
        <f t="shared" si="157"/>
        <v>7.2519760592803118E-3</v>
      </c>
      <c r="D4537">
        <f t="shared" si="156"/>
        <v>0.54295031252862946</v>
      </c>
    </row>
    <row r="4538" spans="1:4" x14ac:dyDescent="0.3">
      <c r="A4538" s="1">
        <v>32527</v>
      </c>
      <c r="B4538">
        <v>391.10000600000001</v>
      </c>
      <c r="C4538">
        <f t="shared" si="157"/>
        <v>5.6570121726461512E-3</v>
      </c>
      <c r="D4538">
        <f t="shared" si="156"/>
        <v>0.41535976012858727</v>
      </c>
    </row>
    <row r="4539" spans="1:4" x14ac:dyDescent="0.3">
      <c r="A4539" s="1">
        <v>32528</v>
      </c>
      <c r="B4539">
        <v>391.70001200000002</v>
      </c>
      <c r="C4539">
        <f t="shared" si="157"/>
        <v>1.5341498102661947E-3</v>
      </c>
      <c r="D4539">
        <f t="shared" si="156"/>
        <v>8.5547724449524909E-2</v>
      </c>
    </row>
    <row r="4540" spans="1:4" x14ac:dyDescent="0.3">
      <c r="A4540" s="1">
        <v>32531</v>
      </c>
      <c r="B4540">
        <v>390</v>
      </c>
      <c r="C4540">
        <f t="shared" si="157"/>
        <v>-4.3400866681617949E-3</v>
      </c>
      <c r="D4540">
        <f t="shared" si="156"/>
        <v>-0.38436703881998313</v>
      </c>
    </row>
    <row r="4541" spans="1:4" x14ac:dyDescent="0.3">
      <c r="A4541" s="1">
        <v>32532</v>
      </c>
      <c r="B4541">
        <v>392</v>
      </c>
      <c r="C4541">
        <f t="shared" si="157"/>
        <v>5.1282051282051282E-3</v>
      </c>
      <c r="D4541">
        <f t="shared" si="156"/>
        <v>0.37305737104086512</v>
      </c>
    </row>
    <row r="4542" spans="1:4" x14ac:dyDescent="0.3">
      <c r="A4542" s="1">
        <v>32533</v>
      </c>
      <c r="B4542">
        <v>394</v>
      </c>
      <c r="C4542">
        <f t="shared" si="157"/>
        <v>5.1020408163265302E-3</v>
      </c>
      <c r="D4542">
        <f t="shared" si="156"/>
        <v>0.37096433367887061</v>
      </c>
    </row>
    <row r="4543" spans="1:4" x14ac:dyDescent="0.3">
      <c r="A4543" s="1">
        <v>32534</v>
      </c>
      <c r="B4543">
        <v>397.10000600000001</v>
      </c>
      <c r="C4543">
        <f t="shared" si="157"/>
        <v>7.868035532994944E-3</v>
      </c>
      <c r="D4543">
        <f t="shared" si="156"/>
        <v>0.5922325371741074</v>
      </c>
    </row>
    <row r="4544" spans="1:4" x14ac:dyDescent="0.3">
      <c r="A4544" s="1">
        <v>32535</v>
      </c>
      <c r="B4544">
        <v>398</v>
      </c>
      <c r="C4544">
        <f t="shared" si="157"/>
        <v>2.2664164855237812E-3</v>
      </c>
      <c r="D4544">
        <f t="shared" si="156"/>
        <v>0.14412604737157114</v>
      </c>
    </row>
    <row r="4545" spans="1:4" x14ac:dyDescent="0.3">
      <c r="A4545" s="1">
        <v>32538</v>
      </c>
      <c r="B4545">
        <v>399.20001200000002</v>
      </c>
      <c r="C4545">
        <f t="shared" si="157"/>
        <v>3.0151055276382292E-3</v>
      </c>
      <c r="D4545">
        <f t="shared" si="156"/>
        <v>0.20401809211299027</v>
      </c>
    </row>
    <row r="4546" spans="1:4" x14ac:dyDescent="0.3">
      <c r="A4546" s="1">
        <v>32539</v>
      </c>
      <c r="B4546">
        <v>401.29998799999998</v>
      </c>
      <c r="C4546">
        <f t="shared" si="157"/>
        <v>5.260460763713528E-3</v>
      </c>
      <c r="D4546">
        <f t="shared" si="156"/>
        <v>0.38363727804311432</v>
      </c>
    </row>
    <row r="4547" spans="1:4" x14ac:dyDescent="0.3">
      <c r="A4547" s="1">
        <v>32540</v>
      </c>
      <c r="B4547">
        <v>403.20001200000002</v>
      </c>
      <c r="C4547">
        <f t="shared" si="157"/>
        <v>4.7346724565564416E-3</v>
      </c>
      <c r="D4547">
        <f t="shared" ref="D4547:D4610" si="158">(C4547-avrtn)/sdrtn</f>
        <v>0.34157637552498527</v>
      </c>
    </row>
    <row r="4548" spans="1:4" x14ac:dyDescent="0.3">
      <c r="A4548" s="1">
        <v>32541</v>
      </c>
      <c r="B4548">
        <v>405.20001200000002</v>
      </c>
      <c r="C4548">
        <f t="shared" ref="C4548:C4611" si="159">(B4548-B4547)/B4547</f>
        <v>4.960317312688969E-3</v>
      </c>
      <c r="D4548">
        <f t="shared" si="158"/>
        <v>0.35962703615839486</v>
      </c>
    </row>
    <row r="4549" spans="1:4" x14ac:dyDescent="0.3">
      <c r="A4549" s="1">
        <v>32542</v>
      </c>
      <c r="B4549">
        <v>406.39999399999999</v>
      </c>
      <c r="C4549">
        <f t="shared" si="159"/>
        <v>2.9614559833724221E-3</v>
      </c>
      <c r="D4549">
        <f t="shared" si="158"/>
        <v>0.1997263491799699</v>
      </c>
    </row>
    <row r="4550" spans="1:4" x14ac:dyDescent="0.3">
      <c r="A4550" s="1">
        <v>32545</v>
      </c>
      <c r="B4550">
        <v>406</v>
      </c>
      <c r="C4550">
        <f t="shared" si="159"/>
        <v>-9.8423721925545212E-4</v>
      </c>
      <c r="D4550">
        <f t="shared" si="158"/>
        <v>-0.11591288224286389</v>
      </c>
    </row>
    <row r="4551" spans="1:4" x14ac:dyDescent="0.3">
      <c r="A4551" s="1">
        <v>32546</v>
      </c>
      <c r="B4551">
        <v>409.20001200000002</v>
      </c>
      <c r="C4551">
        <f t="shared" si="159"/>
        <v>7.8818029556650612E-3</v>
      </c>
      <c r="D4551">
        <f t="shared" si="158"/>
        <v>0.59333387437573648</v>
      </c>
    </row>
    <row r="4552" spans="1:4" x14ac:dyDescent="0.3">
      <c r="A4552" s="1">
        <v>32547</v>
      </c>
      <c r="B4552">
        <v>408</v>
      </c>
      <c r="C4552">
        <f t="shared" si="159"/>
        <v>-2.9325805591618975E-3</v>
      </c>
      <c r="D4552">
        <f t="shared" si="158"/>
        <v>-0.27177233779969445</v>
      </c>
    </row>
    <row r="4553" spans="1:4" x14ac:dyDescent="0.3">
      <c r="A4553" s="1">
        <v>32548</v>
      </c>
      <c r="B4553">
        <v>406.39999399999999</v>
      </c>
      <c r="C4553">
        <f t="shared" si="159"/>
        <v>-3.9215833333333516E-3</v>
      </c>
      <c r="D4553">
        <f t="shared" si="158"/>
        <v>-0.35088849292970326</v>
      </c>
    </row>
    <row r="4554" spans="1:4" x14ac:dyDescent="0.3">
      <c r="A4554" s="1">
        <v>32549</v>
      </c>
      <c r="B4554">
        <v>402.39999399999999</v>
      </c>
      <c r="C4554">
        <f t="shared" si="159"/>
        <v>-9.842519830352163E-3</v>
      </c>
      <c r="D4554">
        <f t="shared" si="158"/>
        <v>-0.82453906565485313</v>
      </c>
    </row>
    <row r="4555" spans="1:4" x14ac:dyDescent="0.3">
      <c r="A4555" s="1">
        <v>32552</v>
      </c>
      <c r="B4555">
        <v>401.29998799999998</v>
      </c>
      <c r="C4555">
        <f t="shared" si="159"/>
        <v>-2.7336133608391842E-3</v>
      </c>
      <c r="D4555">
        <f t="shared" si="158"/>
        <v>-0.25585578009188553</v>
      </c>
    </row>
    <row r="4556" spans="1:4" x14ac:dyDescent="0.3">
      <c r="A4556" s="1">
        <v>32553</v>
      </c>
      <c r="B4556">
        <v>402</v>
      </c>
      <c r="C4556">
        <f t="shared" si="159"/>
        <v>1.7443608794725785E-3</v>
      </c>
      <c r="D4556">
        <f t="shared" si="158"/>
        <v>0.10236374559295408</v>
      </c>
    </row>
    <row r="4557" spans="1:4" x14ac:dyDescent="0.3">
      <c r="A4557" s="1">
        <v>32554</v>
      </c>
      <c r="B4557">
        <v>404.20001200000002</v>
      </c>
      <c r="C4557">
        <f t="shared" si="159"/>
        <v>5.4726666666667046E-3</v>
      </c>
      <c r="D4557">
        <f t="shared" si="158"/>
        <v>0.40061287768348158</v>
      </c>
    </row>
    <row r="4558" spans="1:4" x14ac:dyDescent="0.3">
      <c r="A4558" s="1">
        <v>32555</v>
      </c>
      <c r="B4558">
        <v>405.70001200000002</v>
      </c>
      <c r="C4558">
        <f t="shared" si="159"/>
        <v>3.71103403133991E-3</v>
      </c>
      <c r="D4558">
        <f t="shared" si="158"/>
        <v>0.2596895107340183</v>
      </c>
    </row>
    <row r="4559" spans="1:4" x14ac:dyDescent="0.3">
      <c r="A4559" s="1">
        <v>32556</v>
      </c>
      <c r="B4559">
        <v>407.20001200000002</v>
      </c>
      <c r="C4559">
        <f t="shared" si="159"/>
        <v>3.6973131763180719E-3</v>
      </c>
      <c r="D4559">
        <f t="shared" si="158"/>
        <v>0.25859189875276423</v>
      </c>
    </row>
    <row r="4560" spans="1:4" x14ac:dyDescent="0.3">
      <c r="A4560" s="1">
        <v>32560</v>
      </c>
      <c r="B4560">
        <v>406.39999399999999</v>
      </c>
      <c r="C4560">
        <f t="shared" si="159"/>
        <v>-1.9646806886636898E-3</v>
      </c>
      <c r="D4560">
        <f t="shared" si="158"/>
        <v>-0.19434432818788691</v>
      </c>
    </row>
    <row r="4561" spans="1:4" x14ac:dyDescent="0.3">
      <c r="A4561" s="1">
        <v>32561</v>
      </c>
      <c r="B4561">
        <v>402.5</v>
      </c>
      <c r="C4561">
        <f t="shared" si="159"/>
        <v>-9.5964420708135947E-3</v>
      </c>
      <c r="D4561">
        <f t="shared" si="158"/>
        <v>-0.804853856769561</v>
      </c>
    </row>
    <row r="4562" spans="1:4" x14ac:dyDescent="0.3">
      <c r="A4562" s="1">
        <v>32562</v>
      </c>
      <c r="B4562">
        <v>403.10000600000001</v>
      </c>
      <c r="C4562">
        <f t="shared" si="159"/>
        <v>1.4906981366459816E-3</v>
      </c>
      <c r="D4562">
        <f t="shared" si="158"/>
        <v>8.2071769234257408E-2</v>
      </c>
    </row>
    <row r="4563" spans="1:4" x14ac:dyDescent="0.3">
      <c r="A4563" s="1">
        <v>32563</v>
      </c>
      <c r="B4563">
        <v>400</v>
      </c>
      <c r="C4563">
        <f t="shared" si="159"/>
        <v>-7.6904141747891896E-3</v>
      </c>
      <c r="D4563">
        <f t="shared" si="158"/>
        <v>-0.65237946272114877</v>
      </c>
    </row>
    <row r="4564" spans="1:4" x14ac:dyDescent="0.3">
      <c r="A4564" s="1">
        <v>32566</v>
      </c>
      <c r="B4564">
        <v>398.89999399999999</v>
      </c>
      <c r="C4564">
        <f t="shared" si="159"/>
        <v>-2.7500150000000188E-3</v>
      </c>
      <c r="D4564">
        <f t="shared" si="158"/>
        <v>-0.25716784378080909</v>
      </c>
    </row>
    <row r="4565" spans="1:4" x14ac:dyDescent="0.3">
      <c r="A4565" s="1">
        <v>32567</v>
      </c>
      <c r="B4565">
        <v>399.70001200000002</v>
      </c>
      <c r="C4565">
        <f t="shared" si="159"/>
        <v>2.0055603209661187E-3</v>
      </c>
      <c r="D4565">
        <f t="shared" si="158"/>
        <v>0.12325862685391611</v>
      </c>
    </row>
    <row r="4566" spans="1:4" x14ac:dyDescent="0.3">
      <c r="A4566" s="1">
        <v>32568</v>
      </c>
      <c r="B4566">
        <v>399.79998799999998</v>
      </c>
      <c r="C4566">
        <f t="shared" si="159"/>
        <v>2.5012758818723687E-4</v>
      </c>
      <c r="D4566">
        <f t="shared" si="158"/>
        <v>-1.7168773385865709E-2</v>
      </c>
    </row>
    <row r="4567" spans="1:4" x14ac:dyDescent="0.3">
      <c r="A4567" s="1">
        <v>32569</v>
      </c>
      <c r="B4567">
        <v>402.5</v>
      </c>
      <c r="C4567">
        <f t="shared" si="159"/>
        <v>6.7534069060552733E-3</v>
      </c>
      <c r="D4567">
        <f t="shared" si="158"/>
        <v>0.5030668303992345</v>
      </c>
    </row>
    <row r="4568" spans="1:4" x14ac:dyDescent="0.3">
      <c r="A4568" s="1">
        <v>32570</v>
      </c>
      <c r="B4568">
        <v>404</v>
      </c>
      <c r="C4568">
        <f t="shared" si="159"/>
        <v>3.7267080745341614E-3</v>
      </c>
      <c r="D4568">
        <f t="shared" si="158"/>
        <v>0.2609433697375077</v>
      </c>
    </row>
    <row r="4569" spans="1:4" x14ac:dyDescent="0.3">
      <c r="A4569" s="1">
        <v>32573</v>
      </c>
      <c r="B4569">
        <v>406.29998799999998</v>
      </c>
      <c r="C4569">
        <f t="shared" si="159"/>
        <v>5.6930396039603587E-3</v>
      </c>
      <c r="D4569">
        <f t="shared" si="158"/>
        <v>0.4182418064880411</v>
      </c>
    </row>
    <row r="4570" spans="1:4" x14ac:dyDescent="0.3">
      <c r="A4570" s="1">
        <v>32574</v>
      </c>
      <c r="B4570">
        <v>406.20001200000002</v>
      </c>
      <c r="C4570">
        <f t="shared" si="159"/>
        <v>-2.460644916385517E-4</v>
      </c>
      <c r="D4570">
        <f t="shared" si="158"/>
        <v>-5.6862099417904953E-2</v>
      </c>
    </row>
    <row r="4571" spans="1:4" x14ac:dyDescent="0.3">
      <c r="A4571" s="1">
        <v>32575</v>
      </c>
      <c r="B4571">
        <v>406.39999399999999</v>
      </c>
      <c r="C4571">
        <f t="shared" si="159"/>
        <v>4.923239637914566E-4</v>
      </c>
      <c r="D4571">
        <f t="shared" si="158"/>
        <v>2.2059407450245451E-3</v>
      </c>
    </row>
    <row r="4572" spans="1:4" x14ac:dyDescent="0.3">
      <c r="A4572" s="1">
        <v>32576</v>
      </c>
      <c r="B4572">
        <v>405.70001200000002</v>
      </c>
      <c r="C4572">
        <f t="shared" si="159"/>
        <v>-1.722396678972336E-3</v>
      </c>
      <c r="D4572">
        <f t="shared" si="158"/>
        <v>-0.17496260369037944</v>
      </c>
    </row>
    <row r="4573" spans="1:4" x14ac:dyDescent="0.3">
      <c r="A4573" s="1">
        <v>32577</v>
      </c>
      <c r="B4573">
        <v>405.89999399999999</v>
      </c>
      <c r="C4573">
        <f t="shared" si="159"/>
        <v>4.9293072241757101E-4</v>
      </c>
      <c r="D4573">
        <f t="shared" si="158"/>
        <v>2.2544789401073182E-3</v>
      </c>
    </row>
    <row r="4574" spans="1:4" x14ac:dyDescent="0.3">
      <c r="A4574" s="1">
        <v>32580</v>
      </c>
      <c r="B4574">
        <v>406.60000600000001</v>
      </c>
      <c r="C4574">
        <f t="shared" si="159"/>
        <v>1.7245922895973613E-3</v>
      </c>
      <c r="D4574">
        <f t="shared" si="158"/>
        <v>0.100782339691864</v>
      </c>
    </row>
    <row r="4575" spans="1:4" x14ac:dyDescent="0.3">
      <c r="A4575" s="1">
        <v>32581</v>
      </c>
      <c r="B4575">
        <v>406</v>
      </c>
      <c r="C4575">
        <f t="shared" si="159"/>
        <v>-1.475666480929682E-3</v>
      </c>
      <c r="D4575">
        <f t="shared" si="158"/>
        <v>-0.15522520240760371</v>
      </c>
    </row>
    <row r="4576" spans="1:4" x14ac:dyDescent="0.3">
      <c r="A4576" s="1">
        <v>32582</v>
      </c>
      <c r="B4576">
        <v>407</v>
      </c>
      <c r="C4576">
        <f t="shared" si="159"/>
        <v>2.4630541871921183E-3</v>
      </c>
      <c r="D4576">
        <f t="shared" si="158"/>
        <v>0.15985625492597738</v>
      </c>
    </row>
    <row r="4577" spans="1:4" x14ac:dyDescent="0.3">
      <c r="A4577" s="1">
        <v>32583</v>
      </c>
      <c r="B4577">
        <v>409.5</v>
      </c>
      <c r="C4577">
        <f t="shared" si="159"/>
        <v>6.1425061425061421E-3</v>
      </c>
      <c r="D4577">
        <f t="shared" si="158"/>
        <v>0.45419728135425375</v>
      </c>
    </row>
    <row r="4578" spans="1:4" x14ac:dyDescent="0.3">
      <c r="A4578" s="1">
        <v>32584</v>
      </c>
      <c r="B4578">
        <v>402.20001200000002</v>
      </c>
      <c r="C4578">
        <f t="shared" si="159"/>
        <v>-1.7826588522588487E-2</v>
      </c>
      <c r="D4578">
        <f t="shared" si="158"/>
        <v>-1.4632317303471256</v>
      </c>
    </row>
    <row r="4579" spans="1:4" x14ac:dyDescent="0.3">
      <c r="A4579" s="1">
        <v>32587</v>
      </c>
      <c r="B4579">
        <v>398.5</v>
      </c>
      <c r="C4579">
        <f t="shared" si="159"/>
        <v>-9.1994328433784699E-3</v>
      </c>
      <c r="D4579">
        <f t="shared" si="158"/>
        <v>-0.77309475108644887</v>
      </c>
    </row>
    <row r="4580" spans="1:4" x14ac:dyDescent="0.3">
      <c r="A4580" s="1">
        <v>32588</v>
      </c>
      <c r="B4580">
        <v>401.79998799999998</v>
      </c>
      <c r="C4580">
        <f t="shared" si="159"/>
        <v>8.2810238393977026E-3</v>
      </c>
      <c r="D4580">
        <f t="shared" si="158"/>
        <v>0.62526990346826494</v>
      </c>
    </row>
    <row r="4581" spans="1:4" x14ac:dyDescent="0.3">
      <c r="A4581" s="1">
        <v>32589</v>
      </c>
      <c r="B4581">
        <v>400.60000600000001</v>
      </c>
      <c r="C4581">
        <f t="shared" si="159"/>
        <v>-2.9865157686365519E-3</v>
      </c>
      <c r="D4581">
        <f t="shared" si="158"/>
        <v>-0.27608693277476021</v>
      </c>
    </row>
    <row r="4582" spans="1:4" x14ac:dyDescent="0.3">
      <c r="A4582" s="1">
        <v>32590</v>
      </c>
      <c r="B4582">
        <v>400.89999399999999</v>
      </c>
      <c r="C4582">
        <f t="shared" si="159"/>
        <v>7.4884671868922744E-4</v>
      </c>
      <c r="D4582">
        <f t="shared" si="158"/>
        <v>2.2726706308975227E-2</v>
      </c>
    </row>
    <row r="4583" spans="1:4" x14ac:dyDescent="0.3">
      <c r="A4583" s="1">
        <v>32594</v>
      </c>
      <c r="B4583">
        <v>400.60000600000001</v>
      </c>
      <c r="C4583">
        <f t="shared" si="159"/>
        <v>-7.4828636689873538E-4</v>
      </c>
      <c r="D4583">
        <f t="shared" si="158"/>
        <v>-9.7037784290028836E-2</v>
      </c>
    </row>
    <row r="4584" spans="1:4" x14ac:dyDescent="0.3">
      <c r="A4584" s="1">
        <v>32595</v>
      </c>
      <c r="B4584">
        <v>402.60000600000001</v>
      </c>
      <c r="C4584">
        <f t="shared" si="159"/>
        <v>4.9925111583747706E-3</v>
      </c>
      <c r="D4584">
        <f t="shared" si="158"/>
        <v>0.36220241143137449</v>
      </c>
    </row>
    <row r="4585" spans="1:4" x14ac:dyDescent="0.3">
      <c r="A4585" s="1">
        <v>32596</v>
      </c>
      <c r="B4585">
        <v>403.70001200000002</v>
      </c>
      <c r="C4585">
        <f t="shared" si="159"/>
        <v>2.732255299568991E-3</v>
      </c>
      <c r="D4585">
        <f t="shared" si="158"/>
        <v>0.18139123695453874</v>
      </c>
    </row>
    <row r="4586" spans="1:4" x14ac:dyDescent="0.3">
      <c r="A4586" s="1">
        <v>32597</v>
      </c>
      <c r="B4586">
        <v>404.60000600000001</v>
      </c>
      <c r="C4586">
        <f t="shared" si="159"/>
        <v>2.2293633223870015E-3</v>
      </c>
      <c r="D4586">
        <f t="shared" si="158"/>
        <v>0.141161946684146</v>
      </c>
    </row>
    <row r="4587" spans="1:4" x14ac:dyDescent="0.3">
      <c r="A4587" s="1">
        <v>32598</v>
      </c>
      <c r="B4587">
        <v>406.70001200000002</v>
      </c>
      <c r="C4587">
        <f t="shared" si="159"/>
        <v>5.1903261711765958E-3</v>
      </c>
      <c r="D4587">
        <f t="shared" si="158"/>
        <v>0.37802679903532749</v>
      </c>
    </row>
    <row r="4588" spans="1:4" x14ac:dyDescent="0.3">
      <c r="A4588" s="1">
        <v>32601</v>
      </c>
      <c r="B4588">
        <v>407.70001200000002</v>
      </c>
      <c r="C4588">
        <f t="shared" si="159"/>
        <v>2.4588147786924579E-3</v>
      </c>
      <c r="D4588">
        <f t="shared" si="158"/>
        <v>0.15951711967855647</v>
      </c>
    </row>
    <row r="4589" spans="1:4" x14ac:dyDescent="0.3">
      <c r="A4589" s="1">
        <v>32602</v>
      </c>
      <c r="B4589">
        <v>407.20001200000002</v>
      </c>
      <c r="C4589">
        <f t="shared" si="159"/>
        <v>-1.2263919187718837E-3</v>
      </c>
      <c r="D4589">
        <f t="shared" si="158"/>
        <v>-0.13528426245810418</v>
      </c>
    </row>
    <row r="4590" spans="1:4" x14ac:dyDescent="0.3">
      <c r="A4590" s="1">
        <v>32603</v>
      </c>
      <c r="B4590">
        <v>408.29998799999998</v>
      </c>
      <c r="C4590">
        <f t="shared" si="159"/>
        <v>2.7013162268766573E-3</v>
      </c>
      <c r="D4590">
        <f t="shared" si="158"/>
        <v>0.17891623836137915</v>
      </c>
    </row>
    <row r="4591" spans="1:4" x14ac:dyDescent="0.3">
      <c r="A4591" s="1">
        <v>32604</v>
      </c>
      <c r="B4591">
        <v>408.20001200000002</v>
      </c>
      <c r="C4591">
        <f t="shared" si="159"/>
        <v>-2.4485917937369531E-4</v>
      </c>
      <c r="D4591">
        <f t="shared" si="158"/>
        <v>-5.6765679392990098E-2</v>
      </c>
    </row>
    <row r="4592" spans="1:4" x14ac:dyDescent="0.3">
      <c r="A4592" s="1">
        <v>32605</v>
      </c>
      <c r="B4592">
        <v>410.70001200000002</v>
      </c>
      <c r="C4592">
        <f t="shared" si="159"/>
        <v>6.1244486195654495E-3</v>
      </c>
      <c r="D4592">
        <f t="shared" si="158"/>
        <v>0.45275275377197632</v>
      </c>
    </row>
    <row r="4593" spans="1:4" x14ac:dyDescent="0.3">
      <c r="A4593" s="1">
        <v>32608</v>
      </c>
      <c r="B4593">
        <v>411.10000600000001</v>
      </c>
      <c r="C4593">
        <f t="shared" si="159"/>
        <v>9.7393228223229857E-4</v>
      </c>
      <c r="D4593">
        <f t="shared" si="158"/>
        <v>4.0732625835053209E-2</v>
      </c>
    </row>
    <row r="4594" spans="1:4" x14ac:dyDescent="0.3">
      <c r="A4594" s="1">
        <v>32609</v>
      </c>
      <c r="B4594">
        <v>413.5</v>
      </c>
      <c r="C4594">
        <f t="shared" si="159"/>
        <v>5.8379809413089435E-3</v>
      </c>
      <c r="D4594">
        <f t="shared" si="158"/>
        <v>0.42983651747358748</v>
      </c>
    </row>
    <row r="4595" spans="1:4" x14ac:dyDescent="0.3">
      <c r="A4595" s="1">
        <v>32610</v>
      </c>
      <c r="B4595">
        <v>415.70001200000002</v>
      </c>
      <c r="C4595">
        <f t="shared" si="159"/>
        <v>5.3204643288996736E-3</v>
      </c>
      <c r="D4595">
        <f t="shared" si="158"/>
        <v>0.38843731652187163</v>
      </c>
    </row>
    <row r="4596" spans="1:4" x14ac:dyDescent="0.3">
      <c r="A4596" s="1">
        <v>32611</v>
      </c>
      <c r="B4596">
        <v>413.89999399999999</v>
      </c>
      <c r="C4596">
        <f t="shared" si="159"/>
        <v>-4.3300888814985714E-3</v>
      </c>
      <c r="D4596">
        <f t="shared" si="158"/>
        <v>-0.38356725699806965</v>
      </c>
    </row>
    <row r="4597" spans="1:4" x14ac:dyDescent="0.3">
      <c r="A4597" s="1">
        <v>32612</v>
      </c>
      <c r="B4597">
        <v>417.70001200000002</v>
      </c>
      <c r="C4597">
        <f t="shared" si="159"/>
        <v>9.1810052067795456E-3</v>
      </c>
      <c r="D4597">
        <f t="shared" si="158"/>
        <v>0.69726471211331698</v>
      </c>
    </row>
    <row r="4598" spans="1:4" x14ac:dyDescent="0.3">
      <c r="A4598" s="1">
        <v>32615</v>
      </c>
      <c r="B4598">
        <v>417.79998799999998</v>
      </c>
      <c r="C4598">
        <f t="shared" si="159"/>
        <v>2.39348808062686E-4</v>
      </c>
      <c r="D4598">
        <f t="shared" si="158"/>
        <v>-1.8031031473221066E-2</v>
      </c>
    </row>
    <row r="4599" spans="1:4" x14ac:dyDescent="0.3">
      <c r="A4599" s="1">
        <v>32616</v>
      </c>
      <c r="B4599">
        <v>420.70001200000002</v>
      </c>
      <c r="C4599">
        <f t="shared" si="159"/>
        <v>6.9411777963000578E-3</v>
      </c>
      <c r="D4599">
        <f t="shared" si="158"/>
        <v>0.51808772950030302</v>
      </c>
    </row>
    <row r="4600" spans="1:4" x14ac:dyDescent="0.3">
      <c r="A4600" s="1">
        <v>32617</v>
      </c>
      <c r="B4600">
        <v>421.89999399999999</v>
      </c>
      <c r="C4600">
        <f t="shared" si="159"/>
        <v>2.8523460084901951E-3</v>
      </c>
      <c r="D4600">
        <f t="shared" si="158"/>
        <v>0.19099799985228932</v>
      </c>
    </row>
    <row r="4601" spans="1:4" x14ac:dyDescent="0.3">
      <c r="A4601" s="1">
        <v>32618</v>
      </c>
      <c r="B4601">
        <v>421.5</v>
      </c>
      <c r="C4601">
        <f t="shared" si="159"/>
        <v>-9.4807775702407903E-4</v>
      </c>
      <c r="D4601">
        <f t="shared" si="158"/>
        <v>-0.11302027395295119</v>
      </c>
    </row>
    <row r="4602" spans="1:4" x14ac:dyDescent="0.3">
      <c r="A4602" s="1">
        <v>32619</v>
      </c>
      <c r="B4602">
        <v>423.79998799999998</v>
      </c>
      <c r="C4602">
        <f t="shared" si="159"/>
        <v>5.4566737841043531E-3</v>
      </c>
      <c r="D4602">
        <f t="shared" si="158"/>
        <v>0.3993335128416195</v>
      </c>
    </row>
    <row r="4603" spans="1:4" x14ac:dyDescent="0.3">
      <c r="A4603" s="1">
        <v>32622</v>
      </c>
      <c r="B4603">
        <v>423.20001200000002</v>
      </c>
      <c r="C4603">
        <f t="shared" si="159"/>
        <v>-1.4157055615583681E-3</v>
      </c>
      <c r="D4603">
        <f t="shared" si="158"/>
        <v>-0.1504285754186723</v>
      </c>
    </row>
    <row r="4604" spans="1:4" x14ac:dyDescent="0.3">
      <c r="A4604" s="1">
        <v>32623</v>
      </c>
      <c r="B4604">
        <v>422.70001200000002</v>
      </c>
      <c r="C4604">
        <f t="shared" si="159"/>
        <v>-1.1814744466500629E-3</v>
      </c>
      <c r="D4604">
        <f t="shared" si="158"/>
        <v>-0.13169104939010753</v>
      </c>
    </row>
    <row r="4605" spans="1:4" x14ac:dyDescent="0.3">
      <c r="A4605" s="1">
        <v>32624</v>
      </c>
      <c r="B4605">
        <v>423.39999399999999</v>
      </c>
      <c r="C4605">
        <f t="shared" si="159"/>
        <v>1.6559781881434563E-3</v>
      </c>
      <c r="D4605">
        <f t="shared" si="158"/>
        <v>9.5293493718422648E-2</v>
      </c>
    </row>
    <row r="4606" spans="1:4" x14ac:dyDescent="0.3">
      <c r="A4606" s="1">
        <v>32625</v>
      </c>
      <c r="B4606">
        <v>426.20001200000002</v>
      </c>
      <c r="C4606">
        <f t="shared" si="159"/>
        <v>6.6131743969746557E-3</v>
      </c>
      <c r="D4606">
        <f t="shared" si="158"/>
        <v>0.49184880631230798</v>
      </c>
    </row>
    <row r="4607" spans="1:4" x14ac:dyDescent="0.3">
      <c r="A4607" s="1">
        <v>32626</v>
      </c>
      <c r="B4607">
        <v>427.60000600000001</v>
      </c>
      <c r="C4607">
        <f t="shared" si="159"/>
        <v>3.2848286264243287E-3</v>
      </c>
      <c r="D4607">
        <f t="shared" si="158"/>
        <v>0.22559483090786883</v>
      </c>
    </row>
    <row r="4608" spans="1:4" x14ac:dyDescent="0.3">
      <c r="A4608" s="1">
        <v>32629</v>
      </c>
      <c r="B4608">
        <v>427.5</v>
      </c>
      <c r="C4608">
        <f t="shared" si="159"/>
        <v>-2.3387745228424433E-4</v>
      </c>
      <c r="D4608">
        <f t="shared" si="158"/>
        <v>-5.588718638296563E-2</v>
      </c>
    </row>
    <row r="4609" spans="1:4" x14ac:dyDescent="0.3">
      <c r="A4609" s="1">
        <v>32630</v>
      </c>
      <c r="B4609">
        <v>428</v>
      </c>
      <c r="C4609">
        <f t="shared" si="159"/>
        <v>1.1695906432748538E-3</v>
      </c>
      <c r="D4609">
        <f t="shared" si="158"/>
        <v>5.6384490166469632E-2</v>
      </c>
    </row>
    <row r="4610" spans="1:4" x14ac:dyDescent="0.3">
      <c r="A4610" s="1">
        <v>32631</v>
      </c>
      <c r="B4610">
        <v>428.79998799999998</v>
      </c>
      <c r="C4610">
        <f t="shared" si="159"/>
        <v>1.8691308411214599E-3</v>
      </c>
      <c r="D4610">
        <f t="shared" si="158"/>
        <v>0.11234482946771665</v>
      </c>
    </row>
    <row r="4611" spans="1:4" x14ac:dyDescent="0.3">
      <c r="A4611" s="1">
        <v>32632</v>
      </c>
      <c r="B4611">
        <v>429.20001200000002</v>
      </c>
      <c r="C4611">
        <f t="shared" si="159"/>
        <v>9.3289181715189404E-4</v>
      </c>
      <c r="D4611">
        <f t="shared" ref="D4611:D4674" si="160">(C4611-avrtn)/sdrtn</f>
        <v>3.744955738802163E-2</v>
      </c>
    </row>
    <row r="4612" spans="1:4" x14ac:dyDescent="0.3">
      <c r="A4612" s="1">
        <v>32633</v>
      </c>
      <c r="B4612">
        <v>430.70001200000002</v>
      </c>
      <c r="C4612">
        <f t="shared" ref="C4612:C4675" si="161">(B4612-B4611)/B4611</f>
        <v>3.4948740868161951E-3</v>
      </c>
      <c r="D4612">
        <f t="shared" si="160"/>
        <v>0.24239760402712413</v>
      </c>
    </row>
    <row r="4613" spans="1:4" x14ac:dyDescent="0.3">
      <c r="A4613" s="1">
        <v>32636</v>
      </c>
      <c r="B4613">
        <v>429.29998799999998</v>
      </c>
      <c r="C4613">
        <f t="shared" si="161"/>
        <v>-3.2505780380615136E-3</v>
      </c>
      <c r="D4613">
        <f t="shared" si="160"/>
        <v>-0.29721082849821717</v>
      </c>
    </row>
    <row r="4614" spans="1:4" x14ac:dyDescent="0.3">
      <c r="A4614" s="1">
        <v>32637</v>
      </c>
      <c r="B4614">
        <v>429</v>
      </c>
      <c r="C4614">
        <f t="shared" si="161"/>
        <v>-6.9878408661866735E-4</v>
      </c>
      <c r="D4614">
        <f t="shared" si="160"/>
        <v>-9.3077805422216178E-2</v>
      </c>
    </row>
    <row r="4615" spans="1:4" x14ac:dyDescent="0.3">
      <c r="A4615" s="1">
        <v>32638</v>
      </c>
      <c r="B4615">
        <v>429.60000600000001</v>
      </c>
      <c r="C4615">
        <f t="shared" si="161"/>
        <v>1.3986153846154022E-3</v>
      </c>
      <c r="D4615">
        <f t="shared" si="160"/>
        <v>7.4705527718349901E-2</v>
      </c>
    </row>
    <row r="4616" spans="1:4" x14ac:dyDescent="0.3">
      <c r="A4616" s="1">
        <v>32639</v>
      </c>
      <c r="B4616">
        <v>430.60000600000001</v>
      </c>
      <c r="C4616">
        <f t="shared" si="161"/>
        <v>2.3277467086441333E-3</v>
      </c>
      <c r="D4616">
        <f t="shared" si="160"/>
        <v>0.14903221302981493</v>
      </c>
    </row>
    <row r="4617" spans="1:4" x14ac:dyDescent="0.3">
      <c r="A4617" s="1">
        <v>32640</v>
      </c>
      <c r="B4617">
        <v>434.79998799999998</v>
      </c>
      <c r="C4617">
        <f t="shared" si="161"/>
        <v>9.7537899244710576E-3</v>
      </c>
      <c r="D4617">
        <f t="shared" si="160"/>
        <v>0.74308513422380518</v>
      </c>
    </row>
    <row r="4618" spans="1:4" x14ac:dyDescent="0.3">
      <c r="A4618" s="1">
        <v>32643</v>
      </c>
      <c r="B4618">
        <v>436.20001200000002</v>
      </c>
      <c r="C4618">
        <f t="shared" si="161"/>
        <v>3.2199264918103686E-3</v>
      </c>
      <c r="D4618">
        <f t="shared" si="160"/>
        <v>0.22040292701792422</v>
      </c>
    </row>
    <row r="4619" spans="1:4" x14ac:dyDescent="0.3">
      <c r="A4619" s="1">
        <v>32644</v>
      </c>
      <c r="B4619">
        <v>435.70001200000002</v>
      </c>
      <c r="C4619">
        <f t="shared" si="161"/>
        <v>-1.1462631504925314E-3</v>
      </c>
      <c r="D4619">
        <f t="shared" si="160"/>
        <v>-0.12887429048721996</v>
      </c>
    </row>
    <row r="4620" spans="1:4" x14ac:dyDescent="0.3">
      <c r="A4620" s="1">
        <v>32645</v>
      </c>
      <c r="B4620">
        <v>438.5</v>
      </c>
      <c r="C4620">
        <f t="shared" si="161"/>
        <v>6.4264124922722857E-3</v>
      </c>
      <c r="D4620">
        <f t="shared" si="160"/>
        <v>0.4769086219056593</v>
      </c>
    </row>
    <row r="4621" spans="1:4" x14ac:dyDescent="0.3">
      <c r="A4621" s="1">
        <v>32646</v>
      </c>
      <c r="B4621">
        <v>439.79998799999998</v>
      </c>
      <c r="C4621">
        <f t="shared" si="161"/>
        <v>2.9646248574686086E-3</v>
      </c>
      <c r="D4621">
        <f t="shared" si="160"/>
        <v>0.19997984607717667</v>
      </c>
    </row>
    <row r="4622" spans="1:4" x14ac:dyDescent="0.3">
      <c r="A4622" s="1">
        <v>32647</v>
      </c>
      <c r="B4622">
        <v>442.10000600000001</v>
      </c>
      <c r="C4622">
        <f t="shared" si="161"/>
        <v>5.2296909112239968E-3</v>
      </c>
      <c r="D4622">
        <f t="shared" si="160"/>
        <v>0.38117581637034131</v>
      </c>
    </row>
    <row r="4623" spans="1:4" x14ac:dyDescent="0.3">
      <c r="A4623" s="1">
        <v>32650</v>
      </c>
      <c r="B4623">
        <v>441.79998799999998</v>
      </c>
      <c r="C4623">
        <f t="shared" si="161"/>
        <v>-6.7862021245940164E-4</v>
      </c>
      <c r="D4623">
        <f t="shared" si="160"/>
        <v>-9.1464778403820904E-2</v>
      </c>
    </row>
    <row r="4624" spans="1:4" x14ac:dyDescent="0.3">
      <c r="A4624" s="1">
        <v>32651</v>
      </c>
      <c r="B4624">
        <v>440.20001200000002</v>
      </c>
      <c r="C4624">
        <f t="shared" si="161"/>
        <v>-3.6214939870029368E-3</v>
      </c>
      <c r="D4624">
        <f t="shared" si="160"/>
        <v>-0.32688257919803548</v>
      </c>
    </row>
    <row r="4625" spans="1:4" x14ac:dyDescent="0.3">
      <c r="A4625" s="1">
        <v>32652</v>
      </c>
      <c r="B4625">
        <v>441.5</v>
      </c>
      <c r="C4625">
        <f t="shared" si="161"/>
        <v>2.9531757486639613E-3</v>
      </c>
      <c r="D4625">
        <f t="shared" si="160"/>
        <v>0.19906396445182162</v>
      </c>
    </row>
    <row r="4626" spans="1:4" x14ac:dyDescent="0.3">
      <c r="A4626" s="1">
        <v>32653</v>
      </c>
      <c r="B4626">
        <v>442.89999399999999</v>
      </c>
      <c r="C4626">
        <f t="shared" si="161"/>
        <v>3.1709943374858265E-3</v>
      </c>
      <c r="D4626">
        <f t="shared" si="160"/>
        <v>0.21648855588218172</v>
      </c>
    </row>
    <row r="4627" spans="1:4" x14ac:dyDescent="0.3">
      <c r="A4627" s="1">
        <v>32654</v>
      </c>
      <c r="B4627">
        <v>445.20001200000002</v>
      </c>
      <c r="C4627">
        <f t="shared" si="161"/>
        <v>5.1930865458535607E-3</v>
      </c>
      <c r="D4627">
        <f t="shared" si="160"/>
        <v>0.3782476176587562</v>
      </c>
    </row>
    <row r="4628" spans="1:4" x14ac:dyDescent="0.3">
      <c r="A4628" s="1">
        <v>32658</v>
      </c>
      <c r="B4628">
        <v>444.20001200000002</v>
      </c>
      <c r="C4628">
        <f t="shared" si="161"/>
        <v>-2.2461814309205365E-3</v>
      </c>
      <c r="D4628">
        <f t="shared" si="160"/>
        <v>-0.21686323003046593</v>
      </c>
    </row>
    <row r="4629" spans="1:4" x14ac:dyDescent="0.3">
      <c r="A4629" s="1">
        <v>32659</v>
      </c>
      <c r="B4629">
        <v>446.20001200000002</v>
      </c>
      <c r="C4629">
        <f t="shared" si="161"/>
        <v>4.5024762403653423E-3</v>
      </c>
      <c r="D4629">
        <f t="shared" si="160"/>
        <v>0.32300163302624341</v>
      </c>
    </row>
    <row r="4630" spans="1:4" x14ac:dyDescent="0.3">
      <c r="A4630" s="1">
        <v>32660</v>
      </c>
      <c r="B4630">
        <v>448.29998799999998</v>
      </c>
      <c r="C4630">
        <f t="shared" si="161"/>
        <v>4.7063557676461235E-3</v>
      </c>
      <c r="D4630">
        <f t="shared" si="160"/>
        <v>0.33931115685108032</v>
      </c>
    </row>
    <row r="4631" spans="1:4" x14ac:dyDescent="0.3">
      <c r="A4631" s="1">
        <v>32661</v>
      </c>
      <c r="B4631">
        <v>451.60000600000001</v>
      </c>
      <c r="C4631">
        <f t="shared" si="161"/>
        <v>7.3611824410756465E-3</v>
      </c>
      <c r="D4631">
        <f t="shared" si="160"/>
        <v>0.55168637401293108</v>
      </c>
    </row>
    <row r="4632" spans="1:4" x14ac:dyDescent="0.3">
      <c r="A4632" s="1">
        <v>32664</v>
      </c>
      <c r="B4632">
        <v>447.79998799999998</v>
      </c>
      <c r="C4632">
        <f t="shared" si="161"/>
        <v>-8.4145658758029845E-3</v>
      </c>
      <c r="D4632">
        <f t="shared" si="160"/>
        <v>-0.71030862107266524</v>
      </c>
    </row>
    <row r="4633" spans="1:4" x14ac:dyDescent="0.3">
      <c r="A4633" s="1">
        <v>32665</v>
      </c>
      <c r="B4633">
        <v>448</v>
      </c>
      <c r="C4633">
        <f t="shared" si="161"/>
        <v>4.4665476855710673E-4</v>
      </c>
      <c r="D4633">
        <f t="shared" si="160"/>
        <v>-1.4474070808705346E-3</v>
      </c>
    </row>
    <row r="4634" spans="1:4" x14ac:dyDescent="0.3">
      <c r="A4634" s="1">
        <v>32666</v>
      </c>
      <c r="B4634">
        <v>453.20001200000002</v>
      </c>
      <c r="C4634">
        <f t="shared" si="161"/>
        <v>1.1607169642857176E-2</v>
      </c>
      <c r="D4634">
        <f t="shared" si="160"/>
        <v>0.89134789055175456</v>
      </c>
    </row>
    <row r="4635" spans="1:4" x14ac:dyDescent="0.3">
      <c r="A4635" s="1">
        <v>32667</v>
      </c>
      <c r="B4635">
        <v>454</v>
      </c>
      <c r="C4635">
        <f t="shared" si="161"/>
        <v>1.7651985410803228E-3</v>
      </c>
      <c r="D4635">
        <f t="shared" si="160"/>
        <v>0.1040306728365971</v>
      </c>
    </row>
    <row r="4636" spans="1:4" x14ac:dyDescent="0.3">
      <c r="A4636" s="1">
        <v>32668</v>
      </c>
      <c r="B4636">
        <v>453.70001200000002</v>
      </c>
      <c r="C4636">
        <f t="shared" si="161"/>
        <v>-6.6076651982375514E-4</v>
      </c>
      <c r="D4636">
        <f t="shared" si="160"/>
        <v>-9.0036556407791971E-2</v>
      </c>
    </row>
    <row r="4637" spans="1:4" x14ac:dyDescent="0.3">
      <c r="A4637" s="1">
        <v>32671</v>
      </c>
      <c r="B4637">
        <v>453.39999399999999</v>
      </c>
      <c r="C4637">
        <f t="shared" si="161"/>
        <v>-6.6126954389417723E-4</v>
      </c>
      <c r="D4637">
        <f t="shared" si="160"/>
        <v>-9.0076796264978401E-2</v>
      </c>
    </row>
    <row r="4638" spans="1:4" x14ac:dyDescent="0.3">
      <c r="A4638" s="1">
        <v>32672</v>
      </c>
      <c r="B4638">
        <v>450.70001200000002</v>
      </c>
      <c r="C4638">
        <f t="shared" si="161"/>
        <v>-5.9549669954340077E-3</v>
      </c>
      <c r="D4638">
        <f t="shared" si="160"/>
        <v>-0.51355082457417633</v>
      </c>
    </row>
    <row r="4639" spans="1:4" x14ac:dyDescent="0.3">
      <c r="A4639" s="1">
        <v>32673</v>
      </c>
      <c r="B4639">
        <v>450.60000600000001</v>
      </c>
      <c r="C4639">
        <f t="shared" si="161"/>
        <v>-2.2189038681456167E-4</v>
      </c>
      <c r="D4639">
        <f t="shared" si="160"/>
        <v>-5.4928270436498748E-2</v>
      </c>
    </row>
    <row r="4640" spans="1:4" x14ac:dyDescent="0.3">
      <c r="A4640" s="1">
        <v>32674</v>
      </c>
      <c r="B4640">
        <v>447.10000600000001</v>
      </c>
      <c r="C4640">
        <f t="shared" si="161"/>
        <v>-7.7674211127285245E-3</v>
      </c>
      <c r="D4640">
        <f t="shared" si="160"/>
        <v>-0.65853970110187465</v>
      </c>
    </row>
    <row r="4641" spans="1:4" x14ac:dyDescent="0.3">
      <c r="A4641" s="1">
        <v>32675</v>
      </c>
      <c r="B4641">
        <v>447.20001200000002</v>
      </c>
      <c r="C4641">
        <f t="shared" si="161"/>
        <v>2.2367702674557242E-4</v>
      </c>
      <c r="D4641">
        <f t="shared" si="160"/>
        <v>-1.9284709535840317E-2</v>
      </c>
    </row>
    <row r="4642" spans="1:4" x14ac:dyDescent="0.3">
      <c r="A4642" s="1">
        <v>32678</v>
      </c>
      <c r="B4642">
        <v>446.10000600000001</v>
      </c>
      <c r="C4642">
        <f t="shared" si="161"/>
        <v>-2.4597629035841965E-3</v>
      </c>
      <c r="D4642">
        <f t="shared" si="160"/>
        <v>-0.23394886959129535</v>
      </c>
    </row>
    <row r="4643" spans="1:4" x14ac:dyDescent="0.3">
      <c r="A4643" s="1">
        <v>32679</v>
      </c>
      <c r="B4643">
        <v>444.60000600000001</v>
      </c>
      <c r="C4643">
        <f t="shared" si="161"/>
        <v>-3.3624747362141932E-3</v>
      </c>
      <c r="D4643">
        <f t="shared" si="160"/>
        <v>-0.30616210422845941</v>
      </c>
    </row>
    <row r="4644" spans="1:4" x14ac:dyDescent="0.3">
      <c r="A4644" s="1">
        <v>32680</v>
      </c>
      <c r="B4644">
        <v>443.89999399999999</v>
      </c>
      <c r="C4644">
        <f t="shared" si="161"/>
        <v>-1.5744759121753479E-3</v>
      </c>
      <c r="D4644">
        <f t="shared" si="160"/>
        <v>-0.16312955060044793</v>
      </c>
    </row>
    <row r="4645" spans="1:4" x14ac:dyDescent="0.3">
      <c r="A4645" s="1">
        <v>32681</v>
      </c>
      <c r="B4645">
        <v>445.29998799999998</v>
      </c>
      <c r="C4645">
        <f t="shared" si="161"/>
        <v>3.1538500088377844E-3</v>
      </c>
      <c r="D4645">
        <f t="shared" si="160"/>
        <v>0.21511708008823899</v>
      </c>
    </row>
    <row r="4646" spans="1:4" x14ac:dyDescent="0.3">
      <c r="A4646" s="1">
        <v>32682</v>
      </c>
      <c r="B4646">
        <v>448.39999399999999</v>
      </c>
      <c r="C4646">
        <f t="shared" si="161"/>
        <v>6.9616125837398575E-3</v>
      </c>
      <c r="D4646">
        <f t="shared" si="160"/>
        <v>0.5197224284671389</v>
      </c>
    </row>
    <row r="4647" spans="1:4" x14ac:dyDescent="0.3">
      <c r="A4647" s="1">
        <v>32685</v>
      </c>
      <c r="B4647">
        <v>447.29998799999998</v>
      </c>
      <c r="C4647">
        <f t="shared" si="161"/>
        <v>-2.453180229079146E-3</v>
      </c>
      <c r="D4647">
        <f t="shared" si="160"/>
        <v>-0.23342228269901064</v>
      </c>
    </row>
    <row r="4648" spans="1:4" x14ac:dyDescent="0.3">
      <c r="A4648" s="1">
        <v>32686</v>
      </c>
      <c r="B4648">
        <v>448.60000600000001</v>
      </c>
      <c r="C4648">
        <f t="shared" si="161"/>
        <v>2.906367169408515E-3</v>
      </c>
      <c r="D4648">
        <f t="shared" si="160"/>
        <v>0.1953194705894139</v>
      </c>
    </row>
    <row r="4649" spans="1:4" x14ac:dyDescent="0.3">
      <c r="A4649" s="1">
        <v>32687</v>
      </c>
      <c r="B4649">
        <v>444.89999399999999</v>
      </c>
      <c r="C4649">
        <f t="shared" si="161"/>
        <v>-8.2479089400636675E-3</v>
      </c>
      <c r="D4649">
        <f t="shared" si="160"/>
        <v>-0.69697675151093441</v>
      </c>
    </row>
    <row r="4650" spans="1:4" x14ac:dyDescent="0.3">
      <c r="A4650" s="1">
        <v>32688</v>
      </c>
      <c r="B4650">
        <v>437.89999399999999</v>
      </c>
      <c r="C4650">
        <f t="shared" si="161"/>
        <v>-1.5733872992589881E-2</v>
      </c>
      <c r="D4650">
        <f t="shared" si="160"/>
        <v>-1.2958230932449151</v>
      </c>
    </row>
    <row r="4651" spans="1:4" x14ac:dyDescent="0.3">
      <c r="A4651" s="1">
        <v>32689</v>
      </c>
      <c r="B4651">
        <v>435.29998799999998</v>
      </c>
      <c r="C4651">
        <f t="shared" si="161"/>
        <v>-5.9374424197868514E-3</v>
      </c>
      <c r="D4651">
        <f t="shared" si="160"/>
        <v>-0.51214893058388944</v>
      </c>
    </row>
    <row r="4652" spans="1:4" x14ac:dyDescent="0.3">
      <c r="A4652" s="1">
        <v>32692</v>
      </c>
      <c r="B4652">
        <v>436</v>
      </c>
      <c r="C4652">
        <f t="shared" si="161"/>
        <v>1.6081139887373836E-3</v>
      </c>
      <c r="D4652">
        <f t="shared" si="160"/>
        <v>9.1464554584700819E-2</v>
      </c>
    </row>
    <row r="4653" spans="1:4" x14ac:dyDescent="0.3">
      <c r="A4653" s="1">
        <v>32694</v>
      </c>
      <c r="B4653">
        <v>436.89999399999999</v>
      </c>
      <c r="C4653">
        <f t="shared" si="161"/>
        <v>2.0642064220183312E-3</v>
      </c>
      <c r="D4653">
        <f t="shared" si="160"/>
        <v>0.12795007378388465</v>
      </c>
    </row>
    <row r="4654" spans="1:4" x14ac:dyDescent="0.3">
      <c r="A4654" s="1">
        <v>32695</v>
      </c>
      <c r="B4654">
        <v>439.60000600000001</v>
      </c>
      <c r="C4654">
        <f t="shared" si="161"/>
        <v>6.179931419271238E-3</v>
      </c>
      <c r="D4654">
        <f t="shared" si="160"/>
        <v>0.45719114960180379</v>
      </c>
    </row>
    <row r="4655" spans="1:4" x14ac:dyDescent="0.3">
      <c r="A4655" s="1">
        <v>32696</v>
      </c>
      <c r="B4655">
        <v>442.39999399999999</v>
      </c>
      <c r="C4655">
        <f t="shared" si="161"/>
        <v>6.3693993671146238E-3</v>
      </c>
      <c r="D4655">
        <f t="shared" si="160"/>
        <v>0.47234780633241785</v>
      </c>
    </row>
    <row r="4656" spans="1:4" x14ac:dyDescent="0.3">
      <c r="A4656" s="1">
        <v>32699</v>
      </c>
      <c r="B4656">
        <v>442.70001200000002</v>
      </c>
      <c r="C4656">
        <f t="shared" si="161"/>
        <v>6.7816004536388574E-4</v>
      </c>
      <c r="D4656">
        <f t="shared" si="160"/>
        <v>1.70720631082854E-2</v>
      </c>
    </row>
    <row r="4657" spans="1:4" x14ac:dyDescent="0.3">
      <c r="A4657" s="1">
        <v>32700</v>
      </c>
      <c r="B4657">
        <v>444.5</v>
      </c>
      <c r="C4657">
        <f t="shared" si="161"/>
        <v>4.0659316720325382E-3</v>
      </c>
      <c r="D4657">
        <f t="shared" si="160"/>
        <v>0.28807986264161012</v>
      </c>
    </row>
    <row r="4658" spans="1:4" x14ac:dyDescent="0.3">
      <c r="A4658" s="1">
        <v>32701</v>
      </c>
      <c r="B4658">
        <v>446.79998799999998</v>
      </c>
      <c r="C4658">
        <f t="shared" si="161"/>
        <v>5.1743262092238127E-3</v>
      </c>
      <c r="D4658">
        <f t="shared" si="160"/>
        <v>0.37674686787134154</v>
      </c>
    </row>
    <row r="4659" spans="1:4" x14ac:dyDescent="0.3">
      <c r="A4659" s="1">
        <v>32702</v>
      </c>
      <c r="B4659">
        <v>447.89999399999999</v>
      </c>
      <c r="C4659">
        <f t="shared" si="161"/>
        <v>2.4619651511718654E-3</v>
      </c>
      <c r="D4659">
        <f t="shared" si="160"/>
        <v>0.15976913652250002</v>
      </c>
    </row>
    <row r="4660" spans="1:4" x14ac:dyDescent="0.3">
      <c r="A4660" s="1">
        <v>32703</v>
      </c>
      <c r="B4660">
        <v>448.89999399999999</v>
      </c>
      <c r="C4660">
        <f t="shared" si="161"/>
        <v>2.2326412444649418E-3</v>
      </c>
      <c r="D4660">
        <f t="shared" si="160"/>
        <v>0.1414241669714851</v>
      </c>
    </row>
    <row r="4661" spans="1:4" x14ac:dyDescent="0.3">
      <c r="A4661" s="1">
        <v>32706</v>
      </c>
      <c r="B4661">
        <v>449.89999399999999</v>
      </c>
      <c r="C4661">
        <f t="shared" si="161"/>
        <v>2.2276676617643261E-3</v>
      </c>
      <c r="D4661">
        <f t="shared" si="160"/>
        <v>0.1410263008069301</v>
      </c>
    </row>
    <row r="4662" spans="1:4" x14ac:dyDescent="0.3">
      <c r="A4662" s="1">
        <v>32707</v>
      </c>
      <c r="B4662">
        <v>447.89999399999999</v>
      </c>
      <c r="C4662">
        <f t="shared" si="161"/>
        <v>-4.4454323775785605E-3</v>
      </c>
      <c r="D4662">
        <f t="shared" si="160"/>
        <v>-0.39279426238917892</v>
      </c>
    </row>
    <row r="4663" spans="1:4" x14ac:dyDescent="0.3">
      <c r="A4663" s="1">
        <v>32708</v>
      </c>
      <c r="B4663">
        <v>451.20001200000002</v>
      </c>
      <c r="C4663">
        <f t="shared" si="161"/>
        <v>7.3677562942767597E-3</v>
      </c>
      <c r="D4663">
        <f t="shared" si="160"/>
        <v>0.55221225523717432</v>
      </c>
    </row>
    <row r="4664" spans="1:4" x14ac:dyDescent="0.3">
      <c r="A4664" s="1">
        <v>32709</v>
      </c>
      <c r="B4664">
        <v>449.20001200000002</v>
      </c>
      <c r="C4664">
        <f t="shared" si="161"/>
        <v>-4.4326239955862412E-3</v>
      </c>
      <c r="D4664">
        <f t="shared" si="160"/>
        <v>-0.39176964449817481</v>
      </c>
    </row>
    <row r="4665" spans="1:4" x14ac:dyDescent="0.3">
      <c r="A4665" s="1">
        <v>32710</v>
      </c>
      <c r="B4665">
        <v>449.29998799999998</v>
      </c>
      <c r="C4665">
        <f t="shared" si="161"/>
        <v>2.2256455327069235E-4</v>
      </c>
      <c r="D4665">
        <f t="shared" si="160"/>
        <v>-1.9373702839312459E-2</v>
      </c>
    </row>
    <row r="4666" spans="1:4" x14ac:dyDescent="0.3">
      <c r="A4666" s="1">
        <v>32713</v>
      </c>
      <c r="B4666">
        <v>446</v>
      </c>
      <c r="C4666">
        <f t="shared" si="161"/>
        <v>-7.3447320011946786E-3</v>
      </c>
      <c r="D4666">
        <f t="shared" si="160"/>
        <v>-0.62472631028717929</v>
      </c>
    </row>
    <row r="4667" spans="1:4" x14ac:dyDescent="0.3">
      <c r="A4667" s="1">
        <v>32714</v>
      </c>
      <c r="B4667">
        <v>446.5</v>
      </c>
      <c r="C4667">
        <f t="shared" si="161"/>
        <v>1.1210762331838565E-3</v>
      </c>
      <c r="D4667">
        <f t="shared" si="160"/>
        <v>5.2503536851636154E-2</v>
      </c>
    </row>
    <row r="4668" spans="1:4" x14ac:dyDescent="0.3">
      <c r="A4668" s="1">
        <v>32715</v>
      </c>
      <c r="B4668">
        <v>449.10000600000001</v>
      </c>
      <c r="C4668">
        <f t="shared" si="161"/>
        <v>5.8230817469205097E-3</v>
      </c>
      <c r="D4668">
        <f t="shared" si="160"/>
        <v>0.42864464318836615</v>
      </c>
    </row>
    <row r="4669" spans="1:4" x14ac:dyDescent="0.3">
      <c r="A4669" s="1">
        <v>32716</v>
      </c>
      <c r="B4669">
        <v>452.5</v>
      </c>
      <c r="C4669">
        <f t="shared" si="161"/>
        <v>7.5706834882562713E-3</v>
      </c>
      <c r="D4669">
        <f t="shared" si="160"/>
        <v>0.56844559631392755</v>
      </c>
    </row>
    <row r="4670" spans="1:4" x14ac:dyDescent="0.3">
      <c r="A4670" s="1">
        <v>32717</v>
      </c>
      <c r="B4670">
        <v>452.79998799999998</v>
      </c>
      <c r="C4670">
        <f t="shared" si="161"/>
        <v>6.6295690607731455E-4</v>
      </c>
      <c r="D4670">
        <f t="shared" si="160"/>
        <v>1.5855874481041997E-2</v>
      </c>
    </row>
    <row r="4671" spans="1:4" x14ac:dyDescent="0.3">
      <c r="A4671" s="1">
        <v>32720</v>
      </c>
      <c r="B4671">
        <v>453.79998799999998</v>
      </c>
      <c r="C4671">
        <f t="shared" si="161"/>
        <v>2.2084806238996633E-3</v>
      </c>
      <c r="D4671">
        <f t="shared" si="160"/>
        <v>0.13949141667532822</v>
      </c>
    </row>
    <row r="4672" spans="1:4" x14ac:dyDescent="0.3">
      <c r="A4672" s="1">
        <v>32721</v>
      </c>
      <c r="B4672">
        <v>453.29998799999998</v>
      </c>
      <c r="C4672">
        <f t="shared" si="161"/>
        <v>-1.1018069925554956E-3</v>
      </c>
      <c r="D4672">
        <f t="shared" si="160"/>
        <v>-0.12531798065707084</v>
      </c>
    </row>
    <row r="4673" spans="1:4" x14ac:dyDescent="0.3">
      <c r="A4673" s="1">
        <v>32722</v>
      </c>
      <c r="B4673">
        <v>454.10000600000001</v>
      </c>
      <c r="C4673">
        <f t="shared" si="161"/>
        <v>1.7648754052030171E-3</v>
      </c>
      <c r="D4673">
        <f t="shared" si="160"/>
        <v>0.10400482329515531</v>
      </c>
    </row>
    <row r="4674" spans="1:4" x14ac:dyDescent="0.3">
      <c r="A4674" s="1">
        <v>32723</v>
      </c>
      <c r="B4674">
        <v>456.89999399999999</v>
      </c>
      <c r="C4674">
        <f t="shared" si="161"/>
        <v>6.1660162144987615E-3</v>
      </c>
      <c r="D4674">
        <f t="shared" si="160"/>
        <v>0.45607799043966962</v>
      </c>
    </row>
    <row r="4675" spans="1:4" x14ac:dyDescent="0.3">
      <c r="A4675" s="1">
        <v>32724</v>
      </c>
      <c r="B4675">
        <v>457.39999399999999</v>
      </c>
      <c r="C4675">
        <f t="shared" si="161"/>
        <v>1.0943313779076128E-3</v>
      </c>
      <c r="D4675">
        <f t="shared" ref="D4675:D4738" si="162">(C4675-avrtn)/sdrtn</f>
        <v>5.0364058405038686E-2</v>
      </c>
    </row>
    <row r="4676" spans="1:4" x14ac:dyDescent="0.3">
      <c r="A4676" s="1">
        <v>32727</v>
      </c>
      <c r="B4676">
        <v>461.70001200000002</v>
      </c>
      <c r="C4676">
        <f t="shared" ref="C4676:C4739" si="163">(B4676-B4675)/B4675</f>
        <v>9.40100143508096E-3</v>
      </c>
      <c r="D4676">
        <f t="shared" si="162"/>
        <v>0.71486350574753388</v>
      </c>
    </row>
    <row r="4677" spans="1:4" x14ac:dyDescent="0.3">
      <c r="A4677" s="1">
        <v>32728</v>
      </c>
      <c r="B4677">
        <v>463.29998799999998</v>
      </c>
      <c r="C4677">
        <f t="shared" si="163"/>
        <v>3.4654016859760653E-3</v>
      </c>
      <c r="D4677">
        <f t="shared" si="162"/>
        <v>0.24003993315115016</v>
      </c>
    </row>
    <row r="4678" spans="1:4" x14ac:dyDescent="0.3">
      <c r="A4678" s="1">
        <v>32729</v>
      </c>
      <c r="B4678">
        <v>462.39999399999999</v>
      </c>
      <c r="C4678">
        <f t="shared" si="163"/>
        <v>-1.9425728972822516E-3</v>
      </c>
      <c r="D4678">
        <f t="shared" si="162"/>
        <v>-0.19257579578515321</v>
      </c>
    </row>
    <row r="4679" spans="1:4" x14ac:dyDescent="0.3">
      <c r="A4679" s="1">
        <v>32730</v>
      </c>
      <c r="B4679">
        <v>463.60000600000001</v>
      </c>
      <c r="C4679">
        <f t="shared" si="163"/>
        <v>2.5951816945741896E-3</v>
      </c>
      <c r="D4679">
        <f t="shared" si="162"/>
        <v>0.17042591220498632</v>
      </c>
    </row>
    <row r="4680" spans="1:4" x14ac:dyDescent="0.3">
      <c r="A4680" s="1">
        <v>32731</v>
      </c>
      <c r="B4680">
        <v>462.5</v>
      </c>
      <c r="C4680">
        <f t="shared" si="163"/>
        <v>-2.3727480279627251E-3</v>
      </c>
      <c r="D4680">
        <f t="shared" si="162"/>
        <v>-0.22698803734888418</v>
      </c>
    </row>
    <row r="4681" spans="1:4" x14ac:dyDescent="0.3">
      <c r="A4681" s="1">
        <v>32734</v>
      </c>
      <c r="B4681">
        <v>460</v>
      </c>
      <c r="C4681">
        <f t="shared" si="163"/>
        <v>-5.4054054054054057E-3</v>
      </c>
      <c r="D4681">
        <f t="shared" si="162"/>
        <v>-0.46958815718264924</v>
      </c>
    </row>
    <row r="4682" spans="1:4" x14ac:dyDescent="0.3">
      <c r="A4682" s="1">
        <v>32735</v>
      </c>
      <c r="B4682">
        <v>460.89999399999999</v>
      </c>
      <c r="C4682">
        <f t="shared" si="163"/>
        <v>1.9565086956521574E-3</v>
      </c>
      <c r="D4682">
        <f t="shared" si="162"/>
        <v>0.11933469853028772</v>
      </c>
    </row>
    <row r="4683" spans="1:4" x14ac:dyDescent="0.3">
      <c r="A4683" s="1">
        <v>32736</v>
      </c>
      <c r="B4683">
        <v>460.79998799999998</v>
      </c>
      <c r="C4683">
        <f t="shared" si="163"/>
        <v>-2.1697982491188228E-4</v>
      </c>
      <c r="D4683">
        <f t="shared" si="162"/>
        <v>-5.4535445676635604E-2</v>
      </c>
    </row>
    <row r="4684" spans="1:4" x14ac:dyDescent="0.3">
      <c r="A4684" s="1">
        <v>32737</v>
      </c>
      <c r="B4684">
        <v>460.79998799999998</v>
      </c>
      <c r="C4684">
        <f t="shared" si="163"/>
        <v>0</v>
      </c>
      <c r="D4684">
        <f t="shared" si="162"/>
        <v>-3.7177951910056316E-2</v>
      </c>
    </row>
    <row r="4685" spans="1:4" x14ac:dyDescent="0.3">
      <c r="A4685" s="1">
        <v>32738</v>
      </c>
      <c r="B4685">
        <v>462</v>
      </c>
      <c r="C4685">
        <f t="shared" si="163"/>
        <v>2.6041927761508866E-3</v>
      </c>
      <c r="D4685">
        <f t="shared" si="162"/>
        <v>0.17114676167733323</v>
      </c>
    </row>
    <row r="4686" spans="1:4" x14ac:dyDescent="0.3">
      <c r="A4686" s="1">
        <v>32741</v>
      </c>
      <c r="B4686">
        <v>458.29998799999998</v>
      </c>
      <c r="C4686">
        <f t="shared" si="163"/>
        <v>-8.0086839826840148E-3</v>
      </c>
      <c r="D4686">
        <f t="shared" si="162"/>
        <v>-0.67783973861946478</v>
      </c>
    </row>
    <row r="4687" spans="1:4" x14ac:dyDescent="0.3">
      <c r="A4687" s="1">
        <v>32742</v>
      </c>
      <c r="B4687">
        <v>458.39999399999999</v>
      </c>
      <c r="C4687">
        <f t="shared" si="163"/>
        <v>2.1821078467933015E-4</v>
      </c>
      <c r="D4687">
        <f t="shared" si="162"/>
        <v>-1.9721986423818012E-2</v>
      </c>
    </row>
    <row r="4688" spans="1:4" x14ac:dyDescent="0.3">
      <c r="A4688" s="1">
        <v>32743</v>
      </c>
      <c r="B4688">
        <v>461.70001200000002</v>
      </c>
      <c r="C4688">
        <f t="shared" si="163"/>
        <v>7.1989922408245552E-3</v>
      </c>
      <c r="D4688">
        <f t="shared" si="162"/>
        <v>0.53871182492293235</v>
      </c>
    </row>
    <row r="4689" spans="1:4" x14ac:dyDescent="0.3">
      <c r="A4689" s="1">
        <v>32744</v>
      </c>
      <c r="B4689">
        <v>465.89999399999999</v>
      </c>
      <c r="C4689">
        <f t="shared" si="163"/>
        <v>9.096776891571701E-3</v>
      </c>
      <c r="D4689">
        <f t="shared" si="162"/>
        <v>0.69052679324559096</v>
      </c>
    </row>
    <row r="4690" spans="1:4" x14ac:dyDescent="0.3">
      <c r="A4690" s="1">
        <v>32745</v>
      </c>
      <c r="B4690">
        <v>466.79998799999998</v>
      </c>
      <c r="C4690">
        <f t="shared" si="163"/>
        <v>1.9317321562360708E-3</v>
      </c>
      <c r="D4690">
        <f t="shared" si="162"/>
        <v>0.11735267725873964</v>
      </c>
    </row>
    <row r="4691" spans="1:4" x14ac:dyDescent="0.3">
      <c r="A4691" s="1">
        <v>32748</v>
      </c>
      <c r="B4691">
        <v>467.20001200000002</v>
      </c>
      <c r="C4691">
        <f t="shared" si="163"/>
        <v>8.5694946504589532E-4</v>
      </c>
      <c r="D4691">
        <f t="shared" si="162"/>
        <v>3.1374481496359519E-2</v>
      </c>
    </row>
    <row r="4692" spans="1:4" x14ac:dyDescent="0.3">
      <c r="A4692" s="1">
        <v>32749</v>
      </c>
      <c r="B4692">
        <v>466.60000600000001</v>
      </c>
      <c r="C4692">
        <f t="shared" si="163"/>
        <v>-1.2842593848221211E-3</v>
      </c>
      <c r="D4692">
        <f t="shared" si="162"/>
        <v>-0.13991342178968094</v>
      </c>
    </row>
    <row r="4693" spans="1:4" x14ac:dyDescent="0.3">
      <c r="A4693" s="1">
        <v>32750</v>
      </c>
      <c r="B4693">
        <v>468.29998799999998</v>
      </c>
      <c r="C4693">
        <f t="shared" si="163"/>
        <v>3.6433390015858189E-3</v>
      </c>
      <c r="D4693">
        <f t="shared" si="162"/>
        <v>0.25427418671731666</v>
      </c>
    </row>
    <row r="4694" spans="1:4" x14ac:dyDescent="0.3">
      <c r="A4694" s="1">
        <v>32751</v>
      </c>
      <c r="B4694">
        <v>469.29998799999998</v>
      </c>
      <c r="C4694">
        <f t="shared" si="163"/>
        <v>2.1353833560209274E-3</v>
      </c>
      <c r="D4694">
        <f t="shared" si="162"/>
        <v>0.13364393582279088</v>
      </c>
    </row>
    <row r="4695" spans="1:4" x14ac:dyDescent="0.3">
      <c r="A4695" s="1">
        <v>32752</v>
      </c>
      <c r="B4695">
        <v>471.29998799999998</v>
      </c>
      <c r="C4695">
        <f t="shared" si="163"/>
        <v>4.2616664204986089E-3</v>
      </c>
      <c r="D4695">
        <f t="shared" si="162"/>
        <v>0.30373783765280082</v>
      </c>
    </row>
    <row r="4696" spans="1:4" x14ac:dyDescent="0.3">
      <c r="A4696" s="1">
        <v>32756</v>
      </c>
      <c r="B4696">
        <v>471.39999399999999</v>
      </c>
      <c r="C4696">
        <f t="shared" si="163"/>
        <v>2.1219181529028087E-4</v>
      </c>
      <c r="D4696">
        <f t="shared" si="162"/>
        <v>-2.0203479224791938E-2</v>
      </c>
    </row>
    <row r="4697" spans="1:4" x14ac:dyDescent="0.3">
      <c r="A4697" s="1">
        <v>32757</v>
      </c>
      <c r="B4697">
        <v>469.29998799999998</v>
      </c>
      <c r="C4697">
        <f t="shared" si="163"/>
        <v>-4.4548282281055935E-3</v>
      </c>
      <c r="D4697">
        <f t="shared" si="162"/>
        <v>-0.3935458917953733</v>
      </c>
    </row>
    <row r="4698" spans="1:4" x14ac:dyDescent="0.3">
      <c r="A4698" s="1">
        <v>32758</v>
      </c>
      <c r="B4698">
        <v>469.70001200000002</v>
      </c>
      <c r="C4698">
        <f t="shared" si="163"/>
        <v>8.5238442409683239E-4</v>
      </c>
      <c r="D4698">
        <f t="shared" si="162"/>
        <v>3.1009296991995033E-2</v>
      </c>
    </row>
    <row r="4699" spans="1:4" x14ac:dyDescent="0.3">
      <c r="A4699" s="1">
        <v>32759</v>
      </c>
      <c r="B4699">
        <v>471.29998799999998</v>
      </c>
      <c r="C4699">
        <f t="shared" si="163"/>
        <v>3.4063784524663151E-3</v>
      </c>
      <c r="D4699">
        <f t="shared" si="162"/>
        <v>0.23531831717535653</v>
      </c>
    </row>
    <row r="4700" spans="1:4" x14ac:dyDescent="0.3">
      <c r="A4700" s="1">
        <v>32762</v>
      </c>
      <c r="B4700">
        <v>470.39999399999999</v>
      </c>
      <c r="C4700">
        <f t="shared" si="163"/>
        <v>-1.9095990301616398E-3</v>
      </c>
      <c r="D4700">
        <f t="shared" si="162"/>
        <v>-0.18993802200485604</v>
      </c>
    </row>
    <row r="4701" spans="1:4" x14ac:dyDescent="0.3">
      <c r="A4701" s="1">
        <v>32763</v>
      </c>
      <c r="B4701">
        <v>471.89999399999999</v>
      </c>
      <c r="C4701">
        <f t="shared" si="163"/>
        <v>3.1887755508772393E-3</v>
      </c>
      <c r="D4701">
        <f t="shared" si="162"/>
        <v>0.21791097983670837</v>
      </c>
    </row>
    <row r="4702" spans="1:4" x14ac:dyDescent="0.3">
      <c r="A4702" s="1">
        <v>32764</v>
      </c>
      <c r="B4702">
        <v>471.79998799999998</v>
      </c>
      <c r="C4702">
        <f t="shared" si="163"/>
        <v>-2.1192202007107376E-4</v>
      </c>
      <c r="D4702">
        <f t="shared" si="162"/>
        <v>-5.4130842087188699E-2</v>
      </c>
    </row>
    <row r="4703" spans="1:4" x14ac:dyDescent="0.3">
      <c r="A4703" s="1">
        <v>32765</v>
      </c>
      <c r="B4703">
        <v>468.79998799999998</v>
      </c>
      <c r="C4703">
        <f t="shared" si="163"/>
        <v>-6.3586266983966097E-3</v>
      </c>
      <c r="D4703">
        <f t="shared" si="162"/>
        <v>-0.54584194095256788</v>
      </c>
    </row>
    <row r="4704" spans="1:4" x14ac:dyDescent="0.3">
      <c r="A4704" s="1">
        <v>32766</v>
      </c>
      <c r="B4704">
        <v>467.60000600000001</v>
      </c>
      <c r="C4704">
        <f t="shared" si="163"/>
        <v>-2.5596886320738924E-3</v>
      </c>
      <c r="D4704">
        <f t="shared" si="162"/>
        <v>-0.24194251697342029</v>
      </c>
    </row>
    <row r="4705" spans="1:4" x14ac:dyDescent="0.3">
      <c r="A4705" s="1">
        <v>32769</v>
      </c>
      <c r="B4705">
        <v>466.89999399999999</v>
      </c>
      <c r="C4705">
        <f t="shared" si="163"/>
        <v>-1.497031631774648E-3</v>
      </c>
      <c r="D4705">
        <f t="shared" si="162"/>
        <v>-0.15693432662117576</v>
      </c>
    </row>
    <row r="4706" spans="1:4" x14ac:dyDescent="0.3">
      <c r="A4706" s="1">
        <v>32770</v>
      </c>
      <c r="B4706">
        <v>467.10000600000001</v>
      </c>
      <c r="C4706">
        <f t="shared" si="163"/>
        <v>4.28382956886513E-4</v>
      </c>
      <c r="D4706">
        <f t="shared" si="162"/>
        <v>-2.9090768803794998E-3</v>
      </c>
    </row>
    <row r="4707" spans="1:4" x14ac:dyDescent="0.3">
      <c r="A4707" s="1">
        <v>32771</v>
      </c>
      <c r="B4707">
        <v>466.70001200000002</v>
      </c>
      <c r="C4707">
        <f t="shared" si="163"/>
        <v>-8.5633482094194706E-4</v>
      </c>
      <c r="D4707">
        <f t="shared" si="162"/>
        <v>-0.10568121631558795</v>
      </c>
    </row>
    <row r="4708" spans="1:4" x14ac:dyDescent="0.3">
      <c r="A4708" s="1">
        <v>32772</v>
      </c>
      <c r="B4708">
        <v>467</v>
      </c>
      <c r="C4708">
        <f t="shared" si="163"/>
        <v>6.4278549879271231E-4</v>
      </c>
      <c r="D4708">
        <f t="shared" si="162"/>
        <v>1.4242244843596189E-2</v>
      </c>
    </row>
    <row r="4709" spans="1:4" x14ac:dyDescent="0.3">
      <c r="A4709" s="1">
        <v>32773</v>
      </c>
      <c r="B4709">
        <v>468.10000600000001</v>
      </c>
      <c r="C4709">
        <f t="shared" si="163"/>
        <v>2.3554732334047273E-3</v>
      </c>
      <c r="D4709">
        <f t="shared" si="162"/>
        <v>0.15125022099851138</v>
      </c>
    </row>
    <row r="4710" spans="1:4" x14ac:dyDescent="0.3">
      <c r="A4710" s="1">
        <v>32776</v>
      </c>
      <c r="B4710">
        <v>466.70001200000002</v>
      </c>
      <c r="C4710">
        <f t="shared" si="163"/>
        <v>-2.9908010725383165E-3</v>
      </c>
      <c r="D4710">
        <f t="shared" si="162"/>
        <v>-0.27642973946562643</v>
      </c>
    </row>
    <row r="4711" spans="1:4" x14ac:dyDescent="0.3">
      <c r="A4711" s="1">
        <v>32777</v>
      </c>
      <c r="B4711">
        <v>467.79998799999998</v>
      </c>
      <c r="C4711">
        <f t="shared" si="163"/>
        <v>2.3569230163207485E-3</v>
      </c>
      <c r="D4711">
        <f t="shared" si="162"/>
        <v>0.15136619767025011</v>
      </c>
    </row>
    <row r="4712" spans="1:4" x14ac:dyDescent="0.3">
      <c r="A4712" s="1">
        <v>32778</v>
      </c>
      <c r="B4712">
        <v>467.79998799999998</v>
      </c>
      <c r="C4712">
        <f t="shared" si="163"/>
        <v>0</v>
      </c>
      <c r="D4712">
        <f t="shared" si="162"/>
        <v>-3.7177951910056316E-2</v>
      </c>
    </row>
    <row r="4713" spans="1:4" x14ac:dyDescent="0.3">
      <c r="A4713" s="1">
        <v>32779</v>
      </c>
      <c r="B4713">
        <v>471.10000600000001</v>
      </c>
      <c r="C4713">
        <f t="shared" si="163"/>
        <v>7.0543353669346885E-3</v>
      </c>
      <c r="D4713">
        <f t="shared" si="162"/>
        <v>0.52713986984436267</v>
      </c>
    </row>
    <row r="4714" spans="1:4" x14ac:dyDescent="0.3">
      <c r="A4714" s="1">
        <v>32780</v>
      </c>
      <c r="B4714">
        <v>472.89999399999999</v>
      </c>
      <c r="C4714">
        <f t="shared" si="163"/>
        <v>3.8208193102845871E-3</v>
      </c>
      <c r="D4714">
        <f t="shared" si="162"/>
        <v>0.26847188160982799</v>
      </c>
    </row>
    <row r="4715" spans="1:4" x14ac:dyDescent="0.3">
      <c r="A4715" s="1">
        <v>32783</v>
      </c>
      <c r="B4715">
        <v>475.20001200000002</v>
      </c>
      <c r="C4715">
        <f t="shared" si="163"/>
        <v>4.8636456527424337E-3</v>
      </c>
      <c r="D4715">
        <f t="shared" si="162"/>
        <v>0.35189370087891297</v>
      </c>
    </row>
    <row r="4716" spans="1:4" x14ac:dyDescent="0.3">
      <c r="A4716" s="1">
        <v>32784</v>
      </c>
      <c r="B4716">
        <v>477.29998799999998</v>
      </c>
      <c r="C4716">
        <f t="shared" si="163"/>
        <v>4.4191413025468727E-3</v>
      </c>
      <c r="D4716">
        <f t="shared" si="162"/>
        <v>0.31633518067607769</v>
      </c>
    </row>
    <row r="4717" spans="1:4" x14ac:dyDescent="0.3">
      <c r="A4717" s="1">
        <v>32785</v>
      </c>
      <c r="B4717">
        <v>479.29998799999998</v>
      </c>
      <c r="C4717">
        <f t="shared" si="163"/>
        <v>4.1902368537247905E-3</v>
      </c>
      <c r="D4717">
        <f t="shared" si="162"/>
        <v>0.29802376603102892</v>
      </c>
    </row>
    <row r="4718" spans="1:4" x14ac:dyDescent="0.3">
      <c r="A4718" s="1">
        <v>32786</v>
      </c>
      <c r="B4718">
        <v>480.70001200000002</v>
      </c>
      <c r="C4718">
        <f t="shared" si="163"/>
        <v>2.9209764970827214E-3</v>
      </c>
      <c r="D4718">
        <f t="shared" si="162"/>
        <v>0.19648815672943606</v>
      </c>
    </row>
    <row r="4719" spans="1:4" x14ac:dyDescent="0.3">
      <c r="A4719" s="1">
        <v>32787</v>
      </c>
      <c r="B4719">
        <v>483.60000600000001</v>
      </c>
      <c r="C4719">
        <f t="shared" si="163"/>
        <v>6.0328561006983963E-3</v>
      </c>
      <c r="D4719">
        <f t="shared" si="162"/>
        <v>0.44542572889330012</v>
      </c>
    </row>
    <row r="4720" spans="1:4" x14ac:dyDescent="0.3">
      <c r="A4720" s="1">
        <v>32790</v>
      </c>
      <c r="B4720">
        <v>485.70001200000002</v>
      </c>
      <c r="C4720">
        <f t="shared" si="163"/>
        <v>4.3424441148580293E-3</v>
      </c>
      <c r="D4720">
        <f t="shared" si="162"/>
        <v>0.31019972104169052</v>
      </c>
    </row>
    <row r="4721" spans="1:4" x14ac:dyDescent="0.3">
      <c r="A4721" s="1">
        <v>32791</v>
      </c>
      <c r="B4721">
        <v>484.10000600000001</v>
      </c>
      <c r="C4721">
        <f t="shared" si="163"/>
        <v>-3.2942268076369898E-3</v>
      </c>
      <c r="D4721">
        <f t="shared" si="162"/>
        <v>-0.30070255057944234</v>
      </c>
    </row>
    <row r="4722" spans="1:4" x14ac:dyDescent="0.3">
      <c r="A4722" s="1">
        <v>32792</v>
      </c>
      <c r="B4722">
        <v>482.20001200000002</v>
      </c>
      <c r="C4722">
        <f t="shared" si="163"/>
        <v>-3.9247964809981687E-3</v>
      </c>
      <c r="D4722">
        <f t="shared" si="162"/>
        <v>-0.3511455315303465</v>
      </c>
    </row>
    <row r="4723" spans="1:4" x14ac:dyDescent="0.3">
      <c r="A4723" s="1">
        <v>32793</v>
      </c>
      <c r="B4723">
        <v>482.20001200000002</v>
      </c>
      <c r="C4723">
        <f t="shared" si="163"/>
        <v>0</v>
      </c>
      <c r="D4723">
        <f t="shared" si="162"/>
        <v>-3.7177951910056316E-2</v>
      </c>
    </row>
    <row r="4724" spans="1:4" x14ac:dyDescent="0.3">
      <c r="A4724" s="1">
        <v>32794</v>
      </c>
      <c r="B4724">
        <v>467.29998799999998</v>
      </c>
      <c r="C4724">
        <f t="shared" si="163"/>
        <v>-3.0900090479466909E-2</v>
      </c>
      <c r="D4724">
        <f t="shared" si="162"/>
        <v>-2.5090581283361324</v>
      </c>
    </row>
    <row r="4725" spans="1:4" x14ac:dyDescent="0.3">
      <c r="A4725" s="1">
        <v>32797</v>
      </c>
      <c r="B4725">
        <v>461</v>
      </c>
      <c r="C4725">
        <f t="shared" si="163"/>
        <v>-1.3481678069291937E-2</v>
      </c>
      <c r="D4725">
        <f t="shared" si="162"/>
        <v>-1.1156567604619412</v>
      </c>
    </row>
    <row r="4726" spans="1:4" x14ac:dyDescent="0.3">
      <c r="A4726" s="1">
        <v>32798</v>
      </c>
      <c r="B4726">
        <v>459.89999399999999</v>
      </c>
      <c r="C4726">
        <f t="shared" si="163"/>
        <v>-2.3861301518438341E-3</v>
      </c>
      <c r="D4726">
        <f t="shared" si="162"/>
        <v>-0.2280585522317507</v>
      </c>
    </row>
    <row r="4727" spans="1:4" x14ac:dyDescent="0.3">
      <c r="A4727" s="1">
        <v>32799</v>
      </c>
      <c r="B4727">
        <v>463.29998799999998</v>
      </c>
      <c r="C4727">
        <f t="shared" si="163"/>
        <v>7.3928985526361896E-3</v>
      </c>
      <c r="D4727">
        <f t="shared" si="162"/>
        <v>0.55422353252034451</v>
      </c>
    </row>
    <row r="4728" spans="1:4" x14ac:dyDescent="0.3">
      <c r="A4728" s="1">
        <v>32800</v>
      </c>
      <c r="B4728">
        <v>470.79998799999998</v>
      </c>
      <c r="C4728">
        <f t="shared" si="163"/>
        <v>1.6188215398788227E-2</v>
      </c>
      <c r="D4728">
        <f t="shared" si="162"/>
        <v>1.2578127136535324</v>
      </c>
    </row>
    <row r="4729" spans="1:4" x14ac:dyDescent="0.3">
      <c r="A4729" s="1">
        <v>32801</v>
      </c>
      <c r="B4729">
        <v>470.70001200000002</v>
      </c>
      <c r="C4729">
        <f t="shared" si="163"/>
        <v>-2.1235344636408453E-4</v>
      </c>
      <c r="D4729">
        <f t="shared" si="162"/>
        <v>-5.4165354416594036E-2</v>
      </c>
    </row>
    <row r="4730" spans="1:4" x14ac:dyDescent="0.3">
      <c r="A4730" s="1">
        <v>32804</v>
      </c>
      <c r="B4730">
        <v>467.20001200000002</v>
      </c>
      <c r="C4730">
        <f t="shared" si="163"/>
        <v>-7.435733823605681E-3</v>
      </c>
      <c r="D4730">
        <f t="shared" si="162"/>
        <v>-0.63200608187832985</v>
      </c>
    </row>
    <row r="4731" spans="1:4" x14ac:dyDescent="0.3">
      <c r="A4731" s="1">
        <v>32805</v>
      </c>
      <c r="B4731">
        <v>461.70001200000002</v>
      </c>
      <c r="C4731">
        <f t="shared" si="163"/>
        <v>-1.1772259971602911E-2</v>
      </c>
      <c r="D4731">
        <f t="shared" si="162"/>
        <v>-0.97891034181603775</v>
      </c>
    </row>
    <row r="4732" spans="1:4" x14ac:dyDescent="0.3">
      <c r="A4732" s="1">
        <v>32806</v>
      </c>
      <c r="B4732">
        <v>462.89999399999999</v>
      </c>
      <c r="C4732">
        <f t="shared" si="163"/>
        <v>2.5990512644820489E-3</v>
      </c>
      <c r="D4732">
        <f t="shared" si="162"/>
        <v>0.17073546188584851</v>
      </c>
    </row>
    <row r="4733" spans="1:4" x14ac:dyDescent="0.3">
      <c r="A4733" s="1">
        <v>32807</v>
      </c>
      <c r="B4733">
        <v>458.20001200000002</v>
      </c>
      <c r="C4733">
        <f t="shared" si="163"/>
        <v>-1.0153342106113697E-2</v>
      </c>
      <c r="D4733">
        <f t="shared" si="162"/>
        <v>-0.84940356960694086</v>
      </c>
    </row>
    <row r="4734" spans="1:4" x14ac:dyDescent="0.3">
      <c r="A4734" s="1">
        <v>32808</v>
      </c>
      <c r="B4734">
        <v>452.79998799999998</v>
      </c>
      <c r="C4734">
        <f t="shared" si="163"/>
        <v>-1.1785298687421314E-2</v>
      </c>
      <c r="D4734">
        <f t="shared" si="162"/>
        <v>-0.9799533854659902</v>
      </c>
    </row>
    <row r="4735" spans="1:4" x14ac:dyDescent="0.3">
      <c r="A4735" s="1">
        <v>32811</v>
      </c>
      <c r="B4735">
        <v>451.39999399999999</v>
      </c>
      <c r="C4735">
        <f t="shared" si="163"/>
        <v>-3.0918596225757685E-3</v>
      </c>
      <c r="D4735">
        <f t="shared" si="162"/>
        <v>-0.28451400791338183</v>
      </c>
    </row>
    <row r="4736" spans="1:4" x14ac:dyDescent="0.3">
      <c r="A4736" s="1">
        <v>32812</v>
      </c>
      <c r="B4736">
        <v>455.60000600000001</v>
      </c>
      <c r="C4736">
        <f t="shared" si="163"/>
        <v>9.3044130612018033E-3</v>
      </c>
      <c r="D4736">
        <f t="shared" si="162"/>
        <v>0.70713683301096797</v>
      </c>
    </row>
    <row r="4737" spans="1:4" x14ac:dyDescent="0.3">
      <c r="A4737" s="1">
        <v>32813</v>
      </c>
      <c r="B4737">
        <v>456.60000600000001</v>
      </c>
      <c r="C4737">
        <f t="shared" si="163"/>
        <v>2.1949077849660959E-3</v>
      </c>
      <c r="D4737">
        <f t="shared" si="162"/>
        <v>0.13840564537249</v>
      </c>
    </row>
    <row r="4738" spans="1:4" x14ac:dyDescent="0.3">
      <c r="A4738" s="1">
        <v>32814</v>
      </c>
      <c r="B4738">
        <v>453.10000600000001</v>
      </c>
      <c r="C4738">
        <f t="shared" si="163"/>
        <v>-7.6653525054925205E-3</v>
      </c>
      <c r="D4738">
        <f t="shared" si="162"/>
        <v>-0.65037463223161529</v>
      </c>
    </row>
    <row r="4739" spans="1:4" x14ac:dyDescent="0.3">
      <c r="A4739" s="1">
        <v>32815</v>
      </c>
      <c r="B4739">
        <v>453</v>
      </c>
      <c r="C4739">
        <f t="shared" si="163"/>
        <v>-2.2071507101239718E-4</v>
      </c>
      <c r="D4739">
        <f t="shared" ref="D4739:D4802" si="164">(C4739-avrtn)/sdrtn</f>
        <v>-5.4834250005253056E-2</v>
      </c>
    </row>
    <row r="4740" spans="1:4" x14ac:dyDescent="0.3">
      <c r="A4740" s="1">
        <v>32818</v>
      </c>
      <c r="B4740">
        <v>448</v>
      </c>
      <c r="C4740">
        <f t="shared" ref="C4740:C4803" si="165">(B4740-B4739)/B4739</f>
        <v>-1.1037527593818985E-2</v>
      </c>
      <c r="D4740">
        <f t="shared" si="164"/>
        <v>-0.92013477283091383</v>
      </c>
    </row>
    <row r="4741" spans="1:4" x14ac:dyDescent="0.3">
      <c r="A4741" s="1">
        <v>32819</v>
      </c>
      <c r="B4741">
        <v>449.39999399999999</v>
      </c>
      <c r="C4741">
        <f t="shared" si="165"/>
        <v>3.1249866071428401E-3</v>
      </c>
      <c r="D4741">
        <f t="shared" si="164"/>
        <v>0.21280812663966039</v>
      </c>
    </row>
    <row r="4742" spans="1:4" x14ac:dyDescent="0.3">
      <c r="A4742" s="1">
        <v>32820</v>
      </c>
      <c r="B4742">
        <v>454.10000600000001</v>
      </c>
      <c r="C4742">
        <f t="shared" si="165"/>
        <v>1.0458415804963307E-2</v>
      </c>
      <c r="D4742">
        <f t="shared" si="164"/>
        <v>0.79945230722425165</v>
      </c>
    </row>
    <row r="4743" spans="1:4" x14ac:dyDescent="0.3">
      <c r="A4743" s="1">
        <v>32821</v>
      </c>
      <c r="B4743">
        <v>454.10000600000001</v>
      </c>
      <c r="C4743">
        <f t="shared" si="165"/>
        <v>0</v>
      </c>
      <c r="D4743">
        <f t="shared" si="164"/>
        <v>-3.7177951910056316E-2</v>
      </c>
    </row>
    <row r="4744" spans="1:4" x14ac:dyDescent="0.3">
      <c r="A4744" s="1">
        <v>32822</v>
      </c>
      <c r="B4744">
        <v>456.20001200000002</v>
      </c>
      <c r="C4744">
        <f t="shared" si="165"/>
        <v>4.6245451932454005E-3</v>
      </c>
      <c r="D4744">
        <f t="shared" si="164"/>
        <v>0.33276664730611455</v>
      </c>
    </row>
    <row r="4745" spans="1:4" x14ac:dyDescent="0.3">
      <c r="A4745" s="1">
        <v>32825</v>
      </c>
      <c r="B4745">
        <v>455.89999399999999</v>
      </c>
      <c r="C4745">
        <f t="shared" si="165"/>
        <v>-6.576457521005562E-4</v>
      </c>
      <c r="D4745">
        <f t="shared" si="164"/>
        <v>-8.9786907822609605E-2</v>
      </c>
    </row>
    <row r="4746" spans="1:4" x14ac:dyDescent="0.3">
      <c r="A4746" s="1">
        <v>32826</v>
      </c>
      <c r="B4746">
        <v>454</v>
      </c>
      <c r="C4746">
        <f t="shared" si="165"/>
        <v>-4.1675675038504003E-3</v>
      </c>
      <c r="D4746">
        <f t="shared" si="164"/>
        <v>-0.37056621507811405</v>
      </c>
    </row>
    <row r="4747" spans="1:4" x14ac:dyDescent="0.3">
      <c r="A4747" s="1">
        <v>32827</v>
      </c>
      <c r="B4747">
        <v>455.79998799999998</v>
      </c>
      <c r="C4747">
        <f t="shared" si="165"/>
        <v>3.9647312775330061E-3</v>
      </c>
      <c r="D4747">
        <f t="shared" si="164"/>
        <v>0.27998424722015625</v>
      </c>
    </row>
    <row r="4748" spans="1:4" x14ac:dyDescent="0.3">
      <c r="A4748" s="1">
        <v>32828</v>
      </c>
      <c r="B4748">
        <v>455.29998799999998</v>
      </c>
      <c r="C4748">
        <f t="shared" si="165"/>
        <v>-1.0969723851769826E-3</v>
      </c>
      <c r="D4748">
        <f t="shared" si="164"/>
        <v>-0.12493123194681412</v>
      </c>
    </row>
    <row r="4749" spans="1:4" x14ac:dyDescent="0.3">
      <c r="A4749" s="1">
        <v>32829</v>
      </c>
      <c r="B4749">
        <v>456.70001200000002</v>
      </c>
      <c r="C4749">
        <f t="shared" si="165"/>
        <v>3.0749484667239447E-3</v>
      </c>
      <c r="D4749">
        <f t="shared" si="164"/>
        <v>0.20880528116421163</v>
      </c>
    </row>
    <row r="4750" spans="1:4" x14ac:dyDescent="0.3">
      <c r="A4750" s="1">
        <v>32832</v>
      </c>
      <c r="B4750">
        <v>455.70001200000002</v>
      </c>
      <c r="C4750">
        <f t="shared" si="165"/>
        <v>-2.1896211379998825E-3</v>
      </c>
      <c r="D4750">
        <f t="shared" si="164"/>
        <v>-0.21233863917412779</v>
      </c>
    </row>
    <row r="4751" spans="1:4" x14ac:dyDescent="0.3">
      <c r="A4751" s="1">
        <v>32833</v>
      </c>
      <c r="B4751">
        <v>454.10000600000001</v>
      </c>
      <c r="C4751">
        <f t="shared" si="165"/>
        <v>-3.5110949261945761E-3</v>
      </c>
      <c r="D4751">
        <f t="shared" si="164"/>
        <v>-0.31805110829701722</v>
      </c>
    </row>
    <row r="4752" spans="1:4" x14ac:dyDescent="0.3">
      <c r="A4752" s="1">
        <v>32834</v>
      </c>
      <c r="B4752">
        <v>455.10000600000001</v>
      </c>
      <c r="C4752">
        <f t="shared" si="165"/>
        <v>2.2021580858556516E-3</v>
      </c>
      <c r="D4752">
        <f t="shared" si="164"/>
        <v>0.13898563963023905</v>
      </c>
    </row>
    <row r="4753" spans="1:4" x14ac:dyDescent="0.3">
      <c r="A4753" s="1">
        <v>32836</v>
      </c>
      <c r="B4753">
        <v>456.60000600000001</v>
      </c>
      <c r="C4753">
        <f t="shared" si="165"/>
        <v>3.2959788622810961E-3</v>
      </c>
      <c r="D4753">
        <f t="shared" si="164"/>
        <v>0.22648680392636641</v>
      </c>
    </row>
    <row r="4754" spans="1:4" x14ac:dyDescent="0.3">
      <c r="A4754" s="1">
        <v>32839</v>
      </c>
      <c r="B4754">
        <v>456.20001200000002</v>
      </c>
      <c r="C4754">
        <f t="shared" si="165"/>
        <v>-8.7602714573769061E-4</v>
      </c>
      <c r="D4754">
        <f t="shared" si="164"/>
        <v>-0.10725652132392403</v>
      </c>
    </row>
    <row r="4755" spans="1:4" x14ac:dyDescent="0.3">
      <c r="A4755" s="1">
        <v>32840</v>
      </c>
      <c r="B4755">
        <v>456.70001200000002</v>
      </c>
      <c r="C4755">
        <f t="shared" si="165"/>
        <v>1.0960104928712715E-3</v>
      </c>
      <c r="D4755">
        <f t="shared" si="164"/>
        <v>5.0498380697569394E-2</v>
      </c>
    </row>
    <row r="4756" spans="1:4" x14ac:dyDescent="0.3">
      <c r="A4756" s="1">
        <v>32841</v>
      </c>
      <c r="B4756">
        <v>455.79998799999998</v>
      </c>
      <c r="C4756">
        <f t="shared" si="165"/>
        <v>-1.9707115751072726E-3</v>
      </c>
      <c r="D4756">
        <f t="shared" si="164"/>
        <v>-0.1948267743042203</v>
      </c>
    </row>
    <row r="4757" spans="1:4" x14ac:dyDescent="0.3">
      <c r="A4757" s="1">
        <v>32842</v>
      </c>
      <c r="B4757">
        <v>456.10000600000001</v>
      </c>
      <c r="C4757">
        <f t="shared" si="165"/>
        <v>6.5822292211210583E-4</v>
      </c>
      <c r="D4757">
        <f t="shared" si="164"/>
        <v>1.5477175230083679E-2</v>
      </c>
    </row>
    <row r="4758" spans="1:4" x14ac:dyDescent="0.3">
      <c r="A4758" s="1">
        <v>32843</v>
      </c>
      <c r="B4758">
        <v>457.10000600000001</v>
      </c>
      <c r="C4758">
        <f t="shared" si="165"/>
        <v>2.192501615533853E-3</v>
      </c>
      <c r="D4758">
        <f t="shared" si="164"/>
        <v>0.1382131617121384</v>
      </c>
    </row>
    <row r="4759" spans="1:4" x14ac:dyDescent="0.3">
      <c r="A4759" s="1">
        <v>32846</v>
      </c>
      <c r="B4759">
        <v>458.29998799999998</v>
      </c>
      <c r="C4759">
        <f t="shared" si="165"/>
        <v>2.6252067036725813E-3</v>
      </c>
      <c r="D4759">
        <f t="shared" si="164"/>
        <v>0.17282778946928251</v>
      </c>
    </row>
    <row r="4760" spans="1:4" x14ac:dyDescent="0.3">
      <c r="A4760" s="1">
        <v>32847</v>
      </c>
      <c r="B4760">
        <v>458.60000600000001</v>
      </c>
      <c r="C4760">
        <f t="shared" si="165"/>
        <v>6.5463235403799048E-4</v>
      </c>
      <c r="D4760">
        <f t="shared" si="164"/>
        <v>1.5189944548658593E-2</v>
      </c>
    </row>
    <row r="4761" spans="1:4" x14ac:dyDescent="0.3">
      <c r="A4761" s="1">
        <v>32848</v>
      </c>
      <c r="B4761">
        <v>456.70001200000002</v>
      </c>
      <c r="C4761">
        <f t="shared" si="165"/>
        <v>-4.1430309095983582E-3</v>
      </c>
      <c r="D4761">
        <f t="shared" si="164"/>
        <v>-0.36860338843302914</v>
      </c>
    </row>
    <row r="4762" spans="1:4" x14ac:dyDescent="0.3">
      <c r="A4762" s="1">
        <v>32849</v>
      </c>
      <c r="B4762">
        <v>456.29998799999998</v>
      </c>
      <c r="C4762">
        <f t="shared" si="165"/>
        <v>-8.7590100610733144E-4</v>
      </c>
      <c r="D4762">
        <f t="shared" si="164"/>
        <v>-0.10724643067218456</v>
      </c>
    </row>
    <row r="4763" spans="1:4" x14ac:dyDescent="0.3">
      <c r="A4763" s="1">
        <v>32850</v>
      </c>
      <c r="B4763">
        <v>456.20001200000002</v>
      </c>
      <c r="C4763">
        <f t="shared" si="165"/>
        <v>-2.191014740942085E-4</v>
      </c>
      <c r="D4763">
        <f t="shared" si="164"/>
        <v>-5.4705168886948131E-2</v>
      </c>
    </row>
    <row r="4764" spans="1:4" x14ac:dyDescent="0.3">
      <c r="A4764" s="1">
        <v>32853</v>
      </c>
      <c r="B4764">
        <v>452.39999399999999</v>
      </c>
      <c r="C4764">
        <f t="shared" si="165"/>
        <v>-8.3297192021994561E-3</v>
      </c>
      <c r="D4764">
        <f t="shared" si="164"/>
        <v>-0.70352123607598949</v>
      </c>
    </row>
    <row r="4765" spans="1:4" x14ac:dyDescent="0.3">
      <c r="A4765" s="1">
        <v>32854</v>
      </c>
      <c r="B4765">
        <v>450.39999399999999</v>
      </c>
      <c r="C4765">
        <f t="shared" si="165"/>
        <v>-4.4208665484641897E-3</v>
      </c>
      <c r="D4765">
        <f t="shared" si="164"/>
        <v>-0.39082909707532215</v>
      </c>
    </row>
    <row r="4766" spans="1:4" x14ac:dyDescent="0.3">
      <c r="A4766" s="1">
        <v>32855</v>
      </c>
      <c r="B4766">
        <v>451.10000600000001</v>
      </c>
      <c r="C4766">
        <f t="shared" si="165"/>
        <v>1.5542007311838801E-3</v>
      </c>
      <c r="D4766">
        <f t="shared" si="164"/>
        <v>8.7151715673060265E-2</v>
      </c>
    </row>
    <row r="4767" spans="1:4" x14ac:dyDescent="0.3">
      <c r="A4767" s="1">
        <v>32856</v>
      </c>
      <c r="B4767">
        <v>447.5</v>
      </c>
      <c r="C4767">
        <f t="shared" si="165"/>
        <v>-7.9805053250210055E-3</v>
      </c>
      <c r="D4767">
        <f t="shared" si="164"/>
        <v>-0.67558556187775665</v>
      </c>
    </row>
    <row r="4768" spans="1:4" x14ac:dyDescent="0.3">
      <c r="A4768" s="1">
        <v>32857</v>
      </c>
      <c r="B4768">
        <v>443.79998799999998</v>
      </c>
      <c r="C4768">
        <f t="shared" si="165"/>
        <v>-8.2681832402234975E-3</v>
      </c>
      <c r="D4768">
        <f t="shared" si="164"/>
        <v>-0.69859861215530039</v>
      </c>
    </row>
    <row r="4769" spans="1:4" x14ac:dyDescent="0.3">
      <c r="A4769" s="1">
        <v>32860</v>
      </c>
      <c r="B4769">
        <v>436</v>
      </c>
      <c r="C4769">
        <f t="shared" si="165"/>
        <v>-1.7575457888475619E-2</v>
      </c>
      <c r="D4769">
        <f t="shared" si="164"/>
        <v>-1.4431423122734339</v>
      </c>
    </row>
    <row r="4770" spans="1:4" x14ac:dyDescent="0.3">
      <c r="A4770" s="1">
        <v>32861</v>
      </c>
      <c r="B4770">
        <v>434.39999399999999</v>
      </c>
      <c r="C4770">
        <f t="shared" si="165"/>
        <v>-3.6697385321101091E-3</v>
      </c>
      <c r="D4770">
        <f t="shared" si="164"/>
        <v>-0.33074194442385441</v>
      </c>
    </row>
    <row r="4771" spans="1:4" x14ac:dyDescent="0.3">
      <c r="A4771" s="1">
        <v>32862</v>
      </c>
      <c r="B4771">
        <v>436.89999399999999</v>
      </c>
      <c r="C4771">
        <f t="shared" si="165"/>
        <v>5.7550645362117571E-3</v>
      </c>
      <c r="D4771">
        <f t="shared" si="164"/>
        <v>0.42320354602010757</v>
      </c>
    </row>
    <row r="4772" spans="1:4" x14ac:dyDescent="0.3">
      <c r="A4772" s="1">
        <v>32863</v>
      </c>
      <c r="B4772">
        <v>441.10000600000001</v>
      </c>
      <c r="C4772">
        <f t="shared" si="165"/>
        <v>9.6132113931775773E-3</v>
      </c>
      <c r="D4772">
        <f t="shared" si="164"/>
        <v>0.73183942978270156</v>
      </c>
    </row>
    <row r="4773" spans="1:4" x14ac:dyDescent="0.3">
      <c r="A4773" s="1">
        <v>32864</v>
      </c>
      <c r="B4773">
        <v>444.60000600000001</v>
      </c>
      <c r="C4773">
        <f t="shared" si="165"/>
        <v>7.9347085749076132E-3</v>
      </c>
      <c r="D4773">
        <f t="shared" si="164"/>
        <v>0.59756610636593444</v>
      </c>
    </row>
    <row r="4774" spans="1:4" x14ac:dyDescent="0.3">
      <c r="A4774" s="1">
        <v>32868</v>
      </c>
      <c r="B4774">
        <v>445.29998799999998</v>
      </c>
      <c r="C4774">
        <f t="shared" si="165"/>
        <v>1.5744084357929074E-3</v>
      </c>
      <c r="D4774">
        <f t="shared" si="164"/>
        <v>8.8768248947204587E-2</v>
      </c>
    </row>
    <row r="4775" spans="1:4" x14ac:dyDescent="0.3">
      <c r="A4775" s="1">
        <v>32869</v>
      </c>
      <c r="B4775">
        <v>448.79998799999998</v>
      </c>
      <c r="C4775">
        <f t="shared" si="165"/>
        <v>7.8598699625386029E-3</v>
      </c>
      <c r="D4775">
        <f t="shared" si="164"/>
        <v>0.59157932511462641</v>
      </c>
    </row>
    <row r="4776" spans="1:4" x14ac:dyDescent="0.3">
      <c r="A4776" s="1">
        <v>32870</v>
      </c>
      <c r="B4776">
        <v>450</v>
      </c>
      <c r="C4776">
        <f t="shared" si="165"/>
        <v>2.6738236009044083E-3</v>
      </c>
      <c r="D4776">
        <f t="shared" si="164"/>
        <v>0.17671694133395274</v>
      </c>
    </row>
    <row r="4777" spans="1:4" x14ac:dyDescent="0.3">
      <c r="A4777" s="1">
        <v>32871</v>
      </c>
      <c r="B4777">
        <v>454.79998799999998</v>
      </c>
      <c r="C4777">
        <f t="shared" si="165"/>
        <v>1.0666639999999967E-2</v>
      </c>
      <c r="D4777">
        <f t="shared" si="164"/>
        <v>0.81610938660417842</v>
      </c>
    </row>
    <row r="4778" spans="1:4" x14ac:dyDescent="0.3">
      <c r="A4778" s="1">
        <v>32875</v>
      </c>
      <c r="B4778">
        <v>459.29998799999998</v>
      </c>
      <c r="C4778">
        <f t="shared" si="165"/>
        <v>9.8944593639699041E-3</v>
      </c>
      <c r="D4778">
        <f t="shared" si="164"/>
        <v>0.75433811094752146</v>
      </c>
    </row>
    <row r="4779" spans="1:4" x14ac:dyDescent="0.3">
      <c r="A4779" s="1">
        <v>32876</v>
      </c>
      <c r="B4779">
        <v>460.89999399999999</v>
      </c>
      <c r="C4779">
        <f t="shared" si="165"/>
        <v>3.4835750964574545E-3</v>
      </c>
      <c r="D4779">
        <f t="shared" si="164"/>
        <v>0.24149373126015086</v>
      </c>
    </row>
    <row r="4780" spans="1:4" x14ac:dyDescent="0.3">
      <c r="A4780" s="1">
        <v>32877</v>
      </c>
      <c r="B4780">
        <v>459.39999399999999</v>
      </c>
      <c r="C4780">
        <f t="shared" si="165"/>
        <v>-3.2545021035517742E-3</v>
      </c>
      <c r="D4780">
        <f t="shared" si="164"/>
        <v>-0.29752473760158432</v>
      </c>
    </row>
    <row r="4781" spans="1:4" x14ac:dyDescent="0.3">
      <c r="A4781" s="1">
        <v>32878</v>
      </c>
      <c r="B4781">
        <v>458.20001200000002</v>
      </c>
      <c r="C4781">
        <f t="shared" si="165"/>
        <v>-2.6120635952815822E-3</v>
      </c>
      <c r="D4781">
        <f t="shared" si="164"/>
        <v>-0.2461322986628999</v>
      </c>
    </row>
    <row r="4782" spans="1:4" x14ac:dyDescent="0.3">
      <c r="A4782" s="1">
        <v>32881</v>
      </c>
      <c r="B4782">
        <v>458.70001200000002</v>
      </c>
      <c r="C4782">
        <f t="shared" si="165"/>
        <v>1.0912265100508115E-3</v>
      </c>
      <c r="D4782">
        <f t="shared" si="164"/>
        <v>5.0115681743787499E-2</v>
      </c>
    </row>
    <row r="4783" spans="1:4" x14ac:dyDescent="0.3">
      <c r="A4783" s="1">
        <v>32882</v>
      </c>
      <c r="B4783">
        <v>456.79998799999998</v>
      </c>
      <c r="C4783">
        <f t="shared" si="165"/>
        <v>-4.1421930462038669E-3</v>
      </c>
      <c r="D4783">
        <f t="shared" si="164"/>
        <v>-0.3685363628067847</v>
      </c>
    </row>
    <row r="4784" spans="1:4" x14ac:dyDescent="0.3">
      <c r="A4784" s="1">
        <v>32883</v>
      </c>
      <c r="B4784">
        <v>450.70001200000002</v>
      </c>
      <c r="C4784">
        <f t="shared" si="165"/>
        <v>-1.3353713135386443E-2</v>
      </c>
      <c r="D4784">
        <f t="shared" si="164"/>
        <v>-1.1054200919444541</v>
      </c>
    </row>
    <row r="4785" spans="1:4" x14ac:dyDescent="0.3">
      <c r="A4785" s="1">
        <v>32884</v>
      </c>
      <c r="B4785">
        <v>448.89999399999999</v>
      </c>
      <c r="C4785">
        <f t="shared" si="165"/>
        <v>-3.9938272732950864E-3</v>
      </c>
      <c r="D4785">
        <f t="shared" si="164"/>
        <v>-0.35666771105778583</v>
      </c>
    </row>
    <row r="4786" spans="1:4" x14ac:dyDescent="0.3">
      <c r="A4786" s="1">
        <v>32885</v>
      </c>
      <c r="B4786">
        <v>439.70001200000002</v>
      </c>
      <c r="C4786">
        <f t="shared" si="165"/>
        <v>-2.0494502390213838E-2</v>
      </c>
      <c r="D4786">
        <f t="shared" si="164"/>
        <v>-1.6766538692297785</v>
      </c>
    </row>
    <row r="4787" spans="1:4" x14ac:dyDescent="0.3">
      <c r="A4787" s="1">
        <v>32888</v>
      </c>
      <c r="B4787">
        <v>436.60000600000001</v>
      </c>
      <c r="C4787">
        <f t="shared" si="165"/>
        <v>-7.0502749952165286E-3</v>
      </c>
      <c r="D4787">
        <f t="shared" si="164"/>
        <v>-0.60117096062337083</v>
      </c>
    </row>
    <row r="4788" spans="1:4" x14ac:dyDescent="0.3">
      <c r="A4788" s="1">
        <v>32889</v>
      </c>
      <c r="B4788">
        <v>440.20001200000002</v>
      </c>
      <c r="C4788">
        <f t="shared" si="165"/>
        <v>8.2455472985037189E-3</v>
      </c>
      <c r="D4788">
        <f t="shared" si="164"/>
        <v>0.62243192607715403</v>
      </c>
    </row>
    <row r="4789" spans="1:4" x14ac:dyDescent="0.3">
      <c r="A4789" s="1">
        <v>32890</v>
      </c>
      <c r="B4789">
        <v>438.70001200000002</v>
      </c>
      <c r="C4789">
        <f t="shared" si="165"/>
        <v>-3.4075419334609193E-3</v>
      </c>
      <c r="D4789">
        <f t="shared" si="164"/>
        <v>-0.30976729469077513</v>
      </c>
    </row>
    <row r="4790" spans="1:4" x14ac:dyDescent="0.3">
      <c r="A4790" s="1">
        <v>32891</v>
      </c>
      <c r="B4790">
        <v>437.5</v>
      </c>
      <c r="C4790">
        <f t="shared" si="165"/>
        <v>-2.7353817350705134E-3</v>
      </c>
      <c r="D4790">
        <f t="shared" si="164"/>
        <v>-0.2559972427587936</v>
      </c>
    </row>
    <row r="4791" spans="1:4" x14ac:dyDescent="0.3">
      <c r="A4791" s="1">
        <v>32892</v>
      </c>
      <c r="B4791">
        <v>440.89999399999999</v>
      </c>
      <c r="C4791">
        <f t="shared" si="165"/>
        <v>7.7714148571428401E-3</v>
      </c>
      <c r="D4791">
        <f t="shared" si="164"/>
        <v>0.58450328041253219</v>
      </c>
    </row>
    <row r="4792" spans="1:4" x14ac:dyDescent="0.3">
      <c r="A4792" s="1">
        <v>32895</v>
      </c>
      <c r="B4792">
        <v>431.89999399999999</v>
      </c>
      <c r="C4792">
        <f t="shared" si="165"/>
        <v>-2.0412792294118291E-2</v>
      </c>
      <c r="D4792">
        <f t="shared" si="164"/>
        <v>-1.6701173975360575</v>
      </c>
    </row>
    <row r="4793" spans="1:4" x14ac:dyDescent="0.3">
      <c r="A4793" s="1">
        <v>32896</v>
      </c>
      <c r="B4793">
        <v>430.39999399999999</v>
      </c>
      <c r="C4793">
        <f t="shared" si="165"/>
        <v>-3.4730262117114085E-3</v>
      </c>
      <c r="D4793">
        <f t="shared" si="164"/>
        <v>-0.3150057676778531</v>
      </c>
    </row>
    <row r="4794" spans="1:4" x14ac:dyDescent="0.3">
      <c r="A4794" s="1">
        <v>32897</v>
      </c>
      <c r="B4794">
        <v>425.70001200000002</v>
      </c>
      <c r="C4794">
        <f t="shared" si="165"/>
        <v>-1.0920032680111927E-2</v>
      </c>
      <c r="D4794">
        <f t="shared" si="164"/>
        <v>-0.91073566287632113</v>
      </c>
    </row>
    <row r="4795" spans="1:4" x14ac:dyDescent="0.3">
      <c r="A4795" s="1">
        <v>32898</v>
      </c>
      <c r="B4795">
        <v>425.20001200000002</v>
      </c>
      <c r="C4795">
        <f t="shared" si="165"/>
        <v>-1.1745360251481506E-3</v>
      </c>
      <c r="D4795">
        <f t="shared" si="164"/>
        <v>-0.13113600420091423</v>
      </c>
    </row>
    <row r="4796" spans="1:4" x14ac:dyDescent="0.3">
      <c r="A4796" s="1">
        <v>32899</v>
      </c>
      <c r="B4796">
        <v>421.29998799999998</v>
      </c>
      <c r="C4796">
        <f t="shared" si="165"/>
        <v>-9.1722104655068311E-3</v>
      </c>
      <c r="D4796">
        <f t="shared" si="164"/>
        <v>-0.77091707279580446</v>
      </c>
    </row>
    <row r="4797" spans="1:4" x14ac:dyDescent="0.3">
      <c r="A4797" s="1">
        <v>32902</v>
      </c>
      <c r="B4797">
        <v>418.10000600000001</v>
      </c>
      <c r="C4797">
        <f t="shared" si="165"/>
        <v>-7.595495113092615E-3</v>
      </c>
      <c r="D4797">
        <f t="shared" si="164"/>
        <v>-0.64478632809493674</v>
      </c>
    </row>
    <row r="4798" spans="1:4" x14ac:dyDescent="0.3">
      <c r="A4798" s="1">
        <v>32903</v>
      </c>
      <c r="B4798">
        <v>410.70001200000002</v>
      </c>
      <c r="C4798">
        <f t="shared" si="165"/>
        <v>-1.7699100439620641E-2</v>
      </c>
      <c r="D4798">
        <f t="shared" si="164"/>
        <v>-1.4530332079438275</v>
      </c>
    </row>
    <row r="4799" spans="1:4" x14ac:dyDescent="0.3">
      <c r="A4799" s="1">
        <v>32904</v>
      </c>
      <c r="B4799">
        <v>415.79998799999998</v>
      </c>
      <c r="C4799">
        <f t="shared" si="165"/>
        <v>1.2417764428991469E-2</v>
      </c>
      <c r="D4799">
        <f t="shared" si="164"/>
        <v>0.95619214025682087</v>
      </c>
    </row>
    <row r="4800" spans="1:4" x14ac:dyDescent="0.3">
      <c r="A4800" s="1">
        <v>32905</v>
      </c>
      <c r="B4800">
        <v>417.79998799999998</v>
      </c>
      <c r="C4800">
        <f t="shared" si="165"/>
        <v>4.8100049488216919E-3</v>
      </c>
      <c r="D4800">
        <f t="shared" si="164"/>
        <v>0.34760266513714611</v>
      </c>
    </row>
    <row r="4801" spans="1:4" x14ac:dyDescent="0.3">
      <c r="A4801" s="1">
        <v>32906</v>
      </c>
      <c r="B4801">
        <v>422.20001200000002</v>
      </c>
      <c r="C4801">
        <f t="shared" si="165"/>
        <v>1.0531412461409718E-2</v>
      </c>
      <c r="D4801">
        <f t="shared" si="164"/>
        <v>0.80529173957591971</v>
      </c>
    </row>
    <row r="4802" spans="1:4" x14ac:dyDescent="0.3">
      <c r="A4802" s="1">
        <v>32909</v>
      </c>
      <c r="B4802">
        <v>424.70001200000002</v>
      </c>
      <c r="C4802">
        <f t="shared" si="165"/>
        <v>5.9213641140303894E-3</v>
      </c>
      <c r="D4802">
        <f t="shared" si="164"/>
        <v>0.43650682841764815</v>
      </c>
    </row>
    <row r="4803" spans="1:4" x14ac:dyDescent="0.3">
      <c r="A4803" s="1">
        <v>32910</v>
      </c>
      <c r="B4803">
        <v>424</v>
      </c>
      <c r="C4803">
        <f t="shared" si="165"/>
        <v>-1.6482504832140555E-3</v>
      </c>
      <c r="D4803">
        <f t="shared" ref="D4803:D4866" si="166">(C4803-avrtn)/sdrtn</f>
        <v>-0.16903121292069576</v>
      </c>
    </row>
    <row r="4804" spans="1:4" x14ac:dyDescent="0.3">
      <c r="A4804" s="1">
        <v>32911</v>
      </c>
      <c r="B4804">
        <v>426.79998799999998</v>
      </c>
      <c r="C4804">
        <f t="shared" ref="C4804:C4867" si="167">(B4804-B4803)/B4803</f>
        <v>6.6037452830188317E-3</v>
      </c>
      <c r="D4804">
        <f t="shared" si="166"/>
        <v>0.49109451596859033</v>
      </c>
    </row>
    <row r="4805" spans="1:4" x14ac:dyDescent="0.3">
      <c r="A4805" s="1">
        <v>32912</v>
      </c>
      <c r="B4805">
        <v>427.29998799999998</v>
      </c>
      <c r="C4805">
        <f t="shared" si="167"/>
        <v>1.171508936406062E-3</v>
      </c>
      <c r="D4805">
        <f t="shared" si="166"/>
        <v>5.6537945728897802E-2</v>
      </c>
    </row>
    <row r="4806" spans="1:4" x14ac:dyDescent="0.3">
      <c r="A4806" s="1">
        <v>32913</v>
      </c>
      <c r="B4806">
        <v>428.79998799999998</v>
      </c>
      <c r="C4806">
        <f t="shared" si="167"/>
        <v>3.5104143274630752E-3</v>
      </c>
      <c r="D4806">
        <f t="shared" si="166"/>
        <v>0.24364075937702317</v>
      </c>
    </row>
    <row r="4807" spans="1:4" x14ac:dyDescent="0.3">
      <c r="A4807" s="1">
        <v>32916</v>
      </c>
      <c r="B4807">
        <v>426.39999399999999</v>
      </c>
      <c r="C4807">
        <f t="shared" si="167"/>
        <v>-5.5970010894682964E-3</v>
      </c>
      <c r="D4807">
        <f t="shared" si="166"/>
        <v>-0.48491502406152004</v>
      </c>
    </row>
    <row r="4808" spans="1:4" x14ac:dyDescent="0.3">
      <c r="A4808" s="1">
        <v>32917</v>
      </c>
      <c r="B4808">
        <v>425.79998799999998</v>
      </c>
      <c r="C4808">
        <f t="shared" si="167"/>
        <v>-1.407143547004852E-3</v>
      </c>
      <c r="D4808">
        <f t="shared" si="166"/>
        <v>-0.14974364946160523</v>
      </c>
    </row>
    <row r="4809" spans="1:4" x14ac:dyDescent="0.3">
      <c r="A4809" s="1">
        <v>32918</v>
      </c>
      <c r="B4809">
        <v>426.60000600000001</v>
      </c>
      <c r="C4809">
        <f t="shared" si="167"/>
        <v>1.8788586720204952E-3</v>
      </c>
      <c r="D4809">
        <f t="shared" si="166"/>
        <v>0.11312301593855981</v>
      </c>
    </row>
    <row r="4810" spans="1:4" x14ac:dyDescent="0.3">
      <c r="A4810" s="1">
        <v>32919</v>
      </c>
      <c r="B4810">
        <v>429.60000600000001</v>
      </c>
      <c r="C4810">
        <f t="shared" si="167"/>
        <v>7.0323487055928453E-3</v>
      </c>
      <c r="D4810">
        <f t="shared" si="166"/>
        <v>0.52538102734670689</v>
      </c>
    </row>
    <row r="4811" spans="1:4" x14ac:dyDescent="0.3">
      <c r="A4811" s="1">
        <v>32920</v>
      </c>
      <c r="B4811">
        <v>429</v>
      </c>
      <c r="C4811">
        <f t="shared" si="167"/>
        <v>-1.3966619916667496E-3</v>
      </c>
      <c r="D4811">
        <f t="shared" si="166"/>
        <v>-0.14890516813497012</v>
      </c>
    </row>
    <row r="4812" spans="1:4" x14ac:dyDescent="0.3">
      <c r="A4812" s="1">
        <v>32924</v>
      </c>
      <c r="B4812">
        <v>423.79998799999998</v>
      </c>
      <c r="C4812">
        <f t="shared" si="167"/>
        <v>-1.2121240093240129E-2</v>
      </c>
      <c r="D4812">
        <f t="shared" si="166"/>
        <v>-1.0068273165321806</v>
      </c>
    </row>
    <row r="4813" spans="1:4" x14ac:dyDescent="0.3">
      <c r="A4813" s="1">
        <v>32925</v>
      </c>
      <c r="B4813">
        <v>421.5</v>
      </c>
      <c r="C4813">
        <f t="shared" si="167"/>
        <v>-5.4270600875995891E-3</v>
      </c>
      <c r="D4813">
        <f t="shared" si="166"/>
        <v>-0.47132044271359869</v>
      </c>
    </row>
    <row r="4814" spans="1:4" x14ac:dyDescent="0.3">
      <c r="A4814" s="1">
        <v>32926</v>
      </c>
      <c r="B4814">
        <v>422.79998799999998</v>
      </c>
      <c r="C4814">
        <f t="shared" si="167"/>
        <v>3.0841945432977099E-3</v>
      </c>
      <c r="D4814">
        <f t="shared" si="166"/>
        <v>0.2095449292700188</v>
      </c>
    </row>
    <row r="4815" spans="1:4" x14ac:dyDescent="0.3">
      <c r="A4815" s="1">
        <v>32927</v>
      </c>
      <c r="B4815">
        <v>419.5</v>
      </c>
      <c r="C4815">
        <f t="shared" si="167"/>
        <v>-7.8050806377979011E-3</v>
      </c>
      <c r="D4815">
        <f t="shared" si="166"/>
        <v>-0.66155230825053246</v>
      </c>
    </row>
    <row r="4816" spans="1:4" x14ac:dyDescent="0.3">
      <c r="A4816" s="1">
        <v>32930</v>
      </c>
      <c r="B4816">
        <v>421</v>
      </c>
      <c r="C4816">
        <f t="shared" si="167"/>
        <v>3.5756853396901071E-3</v>
      </c>
      <c r="D4816">
        <f t="shared" si="166"/>
        <v>0.24886217195917973</v>
      </c>
    </row>
    <row r="4817" spans="1:4" x14ac:dyDescent="0.3">
      <c r="A4817" s="1">
        <v>32931</v>
      </c>
      <c r="B4817">
        <v>422.60000600000001</v>
      </c>
      <c r="C4817">
        <f t="shared" si="167"/>
        <v>3.8004893111639134E-3</v>
      </c>
      <c r="D4817">
        <f t="shared" si="166"/>
        <v>0.26684556527763004</v>
      </c>
    </row>
    <row r="4818" spans="1:4" x14ac:dyDescent="0.3">
      <c r="A4818" s="1">
        <v>32932</v>
      </c>
      <c r="B4818">
        <v>425.79998799999998</v>
      </c>
      <c r="C4818">
        <f t="shared" si="167"/>
        <v>7.5721295659422613E-3</v>
      </c>
      <c r="D4818">
        <f t="shared" si="166"/>
        <v>0.56856127658249977</v>
      </c>
    </row>
    <row r="4819" spans="1:4" x14ac:dyDescent="0.3">
      <c r="A4819" s="1">
        <v>32933</v>
      </c>
      <c r="B4819">
        <v>427.20001200000002</v>
      </c>
      <c r="C4819">
        <f t="shared" si="167"/>
        <v>3.287985062132107E-3</v>
      </c>
      <c r="D4819">
        <f t="shared" si="166"/>
        <v>0.2258473327851499</v>
      </c>
    </row>
    <row r="4820" spans="1:4" x14ac:dyDescent="0.3">
      <c r="A4820" s="1">
        <v>32934</v>
      </c>
      <c r="B4820">
        <v>431</v>
      </c>
      <c r="C4820">
        <f t="shared" si="167"/>
        <v>8.8951027463922087E-3</v>
      </c>
      <c r="D4820">
        <f t="shared" si="166"/>
        <v>0.67439369092027179</v>
      </c>
    </row>
    <row r="4821" spans="1:4" x14ac:dyDescent="0.3">
      <c r="A4821" s="1">
        <v>32937</v>
      </c>
      <c r="B4821">
        <v>430.20001200000002</v>
      </c>
      <c r="C4821">
        <f t="shared" si="167"/>
        <v>-1.856120649651937E-3</v>
      </c>
      <c r="D4821">
        <f t="shared" si="166"/>
        <v>-0.18565997146849444</v>
      </c>
    </row>
    <row r="4822" spans="1:4" x14ac:dyDescent="0.3">
      <c r="A4822" s="1">
        <v>32938</v>
      </c>
      <c r="B4822">
        <v>432.29998799999998</v>
      </c>
      <c r="C4822">
        <f t="shared" si="167"/>
        <v>4.8813945639777654E-3</v>
      </c>
      <c r="D4822">
        <f t="shared" si="166"/>
        <v>0.35331354079378041</v>
      </c>
    </row>
    <row r="4823" spans="1:4" x14ac:dyDescent="0.3">
      <c r="A4823" s="1">
        <v>32939</v>
      </c>
      <c r="B4823">
        <v>432.5</v>
      </c>
      <c r="C4823">
        <f t="shared" si="167"/>
        <v>4.6266945535981645E-4</v>
      </c>
      <c r="D4823">
        <f t="shared" si="166"/>
        <v>-1.6629798943937612E-4</v>
      </c>
    </row>
    <row r="4824" spans="1:4" x14ac:dyDescent="0.3">
      <c r="A4824" s="1">
        <v>32940</v>
      </c>
      <c r="B4824">
        <v>436.5</v>
      </c>
      <c r="C4824">
        <f t="shared" si="167"/>
        <v>9.2485549132947983E-3</v>
      </c>
      <c r="D4824">
        <f t="shared" si="166"/>
        <v>0.70266841086848419</v>
      </c>
    </row>
    <row r="4825" spans="1:4" x14ac:dyDescent="0.3">
      <c r="A4825" s="1">
        <v>32941</v>
      </c>
      <c r="B4825">
        <v>436.79998799999998</v>
      </c>
      <c r="C4825">
        <f t="shared" si="167"/>
        <v>6.8725773195872815E-4</v>
      </c>
      <c r="D4825">
        <f t="shared" si="166"/>
        <v>1.7799840625961981E-2</v>
      </c>
    </row>
    <row r="4826" spans="1:4" x14ac:dyDescent="0.3">
      <c r="A4826" s="1">
        <v>32944</v>
      </c>
      <c r="B4826">
        <v>436.60000600000001</v>
      </c>
      <c r="C4826">
        <f t="shared" si="167"/>
        <v>-4.5783426166206133E-4</v>
      </c>
      <c r="D4826">
        <f t="shared" si="166"/>
        <v>-7.3802810217288142E-2</v>
      </c>
    </row>
    <row r="4827" spans="1:4" x14ac:dyDescent="0.3">
      <c r="A4827" s="1">
        <v>32945</v>
      </c>
      <c r="B4827">
        <v>434.60000600000001</v>
      </c>
      <c r="C4827">
        <f t="shared" si="167"/>
        <v>-4.5808519755265419E-3</v>
      </c>
      <c r="D4827">
        <f t="shared" si="166"/>
        <v>-0.40362727337630333</v>
      </c>
    </row>
    <row r="4828" spans="1:4" x14ac:dyDescent="0.3">
      <c r="A4828" s="1">
        <v>32946</v>
      </c>
      <c r="B4828">
        <v>436.20001200000002</v>
      </c>
      <c r="C4828">
        <f t="shared" si="167"/>
        <v>3.6815600043963357E-3</v>
      </c>
      <c r="D4828">
        <f t="shared" si="166"/>
        <v>0.25733170977645536</v>
      </c>
    </row>
    <row r="4829" spans="1:4" x14ac:dyDescent="0.3">
      <c r="A4829" s="1">
        <v>32947</v>
      </c>
      <c r="B4829">
        <v>438.10000600000001</v>
      </c>
      <c r="C4829">
        <f t="shared" si="167"/>
        <v>4.3557862167137957E-3</v>
      </c>
      <c r="D4829">
        <f t="shared" si="166"/>
        <v>0.31126703432710118</v>
      </c>
    </row>
    <row r="4830" spans="1:4" x14ac:dyDescent="0.3">
      <c r="A4830" s="1">
        <v>32948</v>
      </c>
      <c r="B4830">
        <v>442.20001200000002</v>
      </c>
      <c r="C4830">
        <f t="shared" si="167"/>
        <v>9.3586074956593535E-3</v>
      </c>
      <c r="D4830">
        <f t="shared" si="166"/>
        <v>0.71147216491872589</v>
      </c>
    </row>
    <row r="4831" spans="1:4" x14ac:dyDescent="0.3">
      <c r="A4831" s="1">
        <v>32951</v>
      </c>
      <c r="B4831">
        <v>442.89999399999999</v>
      </c>
      <c r="C4831">
        <f t="shared" si="167"/>
        <v>1.5829533717877358E-3</v>
      </c>
      <c r="D4831">
        <f t="shared" si="166"/>
        <v>8.9451808689804096E-2</v>
      </c>
    </row>
    <row r="4832" spans="1:4" x14ac:dyDescent="0.3">
      <c r="A4832" s="1">
        <v>32952</v>
      </c>
      <c r="B4832">
        <v>440.10000600000001</v>
      </c>
      <c r="C4832">
        <f t="shared" si="167"/>
        <v>-6.3219418332166087E-3</v>
      </c>
      <c r="D4832">
        <f t="shared" si="166"/>
        <v>-0.54290730258723474</v>
      </c>
    </row>
    <row r="4833" spans="1:4" x14ac:dyDescent="0.3">
      <c r="A4833" s="1">
        <v>32953</v>
      </c>
      <c r="B4833">
        <v>439.29998799999998</v>
      </c>
      <c r="C4833">
        <f t="shared" si="167"/>
        <v>-1.8178095639472061E-3</v>
      </c>
      <c r="D4833">
        <f t="shared" si="166"/>
        <v>-0.18259524214824169</v>
      </c>
    </row>
    <row r="4834" spans="1:4" x14ac:dyDescent="0.3">
      <c r="A4834" s="1">
        <v>32954</v>
      </c>
      <c r="B4834">
        <v>434.5</v>
      </c>
      <c r="C4834">
        <f t="shared" si="167"/>
        <v>-1.0926446918090936E-2</v>
      </c>
      <c r="D4834">
        <f t="shared" si="166"/>
        <v>-0.91124877553913775</v>
      </c>
    </row>
    <row r="4835" spans="1:4" x14ac:dyDescent="0.3">
      <c r="A4835" s="1">
        <v>32955</v>
      </c>
      <c r="B4835">
        <v>437.29998799999998</v>
      </c>
      <c r="C4835">
        <f t="shared" si="167"/>
        <v>6.4441611047180315E-3</v>
      </c>
      <c r="D4835">
        <f t="shared" si="166"/>
        <v>0.47832843791858853</v>
      </c>
    </row>
    <row r="4836" spans="1:4" x14ac:dyDescent="0.3">
      <c r="A4836" s="1">
        <v>32958</v>
      </c>
      <c r="B4836">
        <v>438.79998799999998</v>
      </c>
      <c r="C4836">
        <f t="shared" si="167"/>
        <v>3.4301395864662133E-3</v>
      </c>
      <c r="D4836">
        <f t="shared" si="166"/>
        <v>0.23721911018898156</v>
      </c>
    </row>
    <row r="4837" spans="1:4" x14ac:dyDescent="0.3">
      <c r="A4837" s="1">
        <v>32959</v>
      </c>
      <c r="B4837">
        <v>439.5</v>
      </c>
      <c r="C4837">
        <f t="shared" si="167"/>
        <v>1.5952871903907508E-3</v>
      </c>
      <c r="D4837">
        <f t="shared" si="166"/>
        <v>9.0438463461080157E-2</v>
      </c>
    </row>
    <row r="4838" spans="1:4" x14ac:dyDescent="0.3">
      <c r="A4838" s="1">
        <v>32960</v>
      </c>
      <c r="B4838">
        <v>436.70001200000002</v>
      </c>
      <c r="C4838">
        <f t="shared" si="167"/>
        <v>-6.3708486916950737E-3</v>
      </c>
      <c r="D4838">
        <f t="shared" si="166"/>
        <v>-0.54681965015930822</v>
      </c>
    </row>
    <row r="4839" spans="1:4" x14ac:dyDescent="0.3">
      <c r="A4839" s="1">
        <v>32961</v>
      </c>
      <c r="B4839">
        <v>435.39999399999999</v>
      </c>
      <c r="C4839">
        <f t="shared" si="167"/>
        <v>-2.9769131309298493E-3</v>
      </c>
      <c r="D4839">
        <f t="shared" si="166"/>
        <v>-0.27531876124450622</v>
      </c>
    </row>
    <row r="4840" spans="1:4" x14ac:dyDescent="0.3">
      <c r="A4840" s="1">
        <v>32962</v>
      </c>
      <c r="B4840">
        <v>435.5</v>
      </c>
      <c r="C4840">
        <f t="shared" si="167"/>
        <v>2.2968764671137682E-4</v>
      </c>
      <c r="D4840">
        <f t="shared" si="166"/>
        <v>-1.8803884654392946E-2</v>
      </c>
    </row>
    <row r="4841" spans="1:4" x14ac:dyDescent="0.3">
      <c r="A4841" s="1">
        <v>32965</v>
      </c>
      <c r="B4841">
        <v>433.20001200000002</v>
      </c>
      <c r="C4841">
        <f t="shared" si="167"/>
        <v>-5.2812583237657517E-3</v>
      </c>
      <c r="D4841">
        <f t="shared" si="166"/>
        <v>-0.45965690114732694</v>
      </c>
    </row>
    <row r="4842" spans="1:4" x14ac:dyDescent="0.3">
      <c r="A4842" s="1">
        <v>32966</v>
      </c>
      <c r="B4842">
        <v>437.70001200000002</v>
      </c>
      <c r="C4842">
        <f t="shared" si="167"/>
        <v>1.0387811346598023E-2</v>
      </c>
      <c r="D4842">
        <f t="shared" si="166"/>
        <v>0.79380424088229662</v>
      </c>
    </row>
    <row r="4843" spans="1:4" x14ac:dyDescent="0.3">
      <c r="A4843" s="1">
        <v>32967</v>
      </c>
      <c r="B4843">
        <v>435.39999399999999</v>
      </c>
      <c r="C4843">
        <f t="shared" si="167"/>
        <v>-5.2547816699626288E-3</v>
      </c>
      <c r="D4843">
        <f t="shared" si="166"/>
        <v>-0.4575388777157281</v>
      </c>
    </row>
    <row r="4844" spans="1:4" x14ac:dyDescent="0.3">
      <c r="A4844" s="1">
        <v>32968</v>
      </c>
      <c r="B4844">
        <v>433.42001299999998</v>
      </c>
      <c r="C4844">
        <f t="shared" si="167"/>
        <v>-4.5474989142972044E-3</v>
      </c>
      <c r="D4844">
        <f t="shared" si="166"/>
        <v>-0.40095916562656364</v>
      </c>
    </row>
    <row r="4845" spans="1:4" x14ac:dyDescent="0.3">
      <c r="A4845" s="1">
        <v>32969</v>
      </c>
      <c r="B4845">
        <v>430.89999399999999</v>
      </c>
      <c r="C4845">
        <f t="shared" si="167"/>
        <v>-5.8142654340236728E-3</v>
      </c>
      <c r="D4845">
        <f t="shared" si="166"/>
        <v>-0.50229527822962716</v>
      </c>
    </row>
    <row r="4846" spans="1:4" x14ac:dyDescent="0.3">
      <c r="A4846" s="1">
        <v>32972</v>
      </c>
      <c r="B4846">
        <v>430.20001200000002</v>
      </c>
      <c r="C4846">
        <f t="shared" si="167"/>
        <v>-1.6244650957223667E-3</v>
      </c>
      <c r="D4846">
        <f t="shared" si="166"/>
        <v>-0.16712847972745842</v>
      </c>
    </row>
    <row r="4847" spans="1:4" x14ac:dyDescent="0.3">
      <c r="A4847" s="1">
        <v>32973</v>
      </c>
      <c r="B4847">
        <v>431.89999399999999</v>
      </c>
      <c r="C4847">
        <f t="shared" si="167"/>
        <v>3.9516084439346257E-3</v>
      </c>
      <c r="D4847">
        <f t="shared" si="166"/>
        <v>0.27893447449370001</v>
      </c>
    </row>
    <row r="4848" spans="1:4" x14ac:dyDescent="0.3">
      <c r="A4848" s="1">
        <v>32974</v>
      </c>
      <c r="B4848">
        <v>433.5</v>
      </c>
      <c r="C4848">
        <f t="shared" si="167"/>
        <v>3.7045751845970333E-3</v>
      </c>
      <c r="D4848">
        <f t="shared" si="166"/>
        <v>0.25917282955352466</v>
      </c>
    </row>
    <row r="4849" spans="1:4" x14ac:dyDescent="0.3">
      <c r="A4849" s="1">
        <v>32975</v>
      </c>
      <c r="B4849">
        <v>436.29998799999998</v>
      </c>
      <c r="C4849">
        <f t="shared" si="167"/>
        <v>6.4590265282583274E-3</v>
      </c>
      <c r="D4849">
        <f t="shared" si="166"/>
        <v>0.47951761067482535</v>
      </c>
    </row>
    <row r="4850" spans="1:4" x14ac:dyDescent="0.3">
      <c r="A4850" s="1">
        <v>32979</v>
      </c>
      <c r="B4850">
        <v>436.70001200000002</v>
      </c>
      <c r="C4850">
        <f t="shared" si="167"/>
        <v>9.1685539995942046E-4</v>
      </c>
      <c r="D4850">
        <f t="shared" si="166"/>
        <v>3.6166709954765258E-2</v>
      </c>
    </row>
    <row r="4851" spans="1:4" x14ac:dyDescent="0.3">
      <c r="A4851" s="1">
        <v>32980</v>
      </c>
      <c r="B4851">
        <v>435.39999399999999</v>
      </c>
      <c r="C4851">
        <f t="shared" si="167"/>
        <v>-2.9769131309298493E-3</v>
      </c>
      <c r="D4851">
        <f t="shared" si="166"/>
        <v>-0.27531876124450622</v>
      </c>
    </row>
    <row r="4852" spans="1:4" x14ac:dyDescent="0.3">
      <c r="A4852" s="1">
        <v>32981</v>
      </c>
      <c r="B4852">
        <v>431.5</v>
      </c>
      <c r="C4852">
        <f t="shared" si="167"/>
        <v>-8.9572670044639289E-3</v>
      </c>
      <c r="D4852">
        <f t="shared" si="166"/>
        <v>-0.75372247976516538</v>
      </c>
    </row>
    <row r="4853" spans="1:4" x14ac:dyDescent="0.3">
      <c r="A4853" s="1">
        <v>32982</v>
      </c>
      <c r="B4853">
        <v>429</v>
      </c>
      <c r="C4853">
        <f t="shared" si="167"/>
        <v>-5.7937427578215531E-3</v>
      </c>
      <c r="D4853">
        <f t="shared" si="166"/>
        <v>-0.50065354852320632</v>
      </c>
    </row>
    <row r="4854" spans="1:4" x14ac:dyDescent="0.3">
      <c r="A4854" s="1">
        <v>32983</v>
      </c>
      <c r="B4854">
        <v>425.79998799999998</v>
      </c>
      <c r="C4854">
        <f t="shared" si="167"/>
        <v>-7.4592354312354664E-3</v>
      </c>
      <c r="D4854">
        <f t="shared" si="166"/>
        <v>-0.63388611384952465</v>
      </c>
    </row>
    <row r="4855" spans="1:4" x14ac:dyDescent="0.3">
      <c r="A4855" s="1">
        <v>32986</v>
      </c>
      <c r="B4855">
        <v>420.10000600000001</v>
      </c>
      <c r="C4855">
        <f t="shared" si="167"/>
        <v>-1.3386524567022716E-2</v>
      </c>
      <c r="D4855">
        <f t="shared" si="166"/>
        <v>-1.1080448715539428</v>
      </c>
    </row>
    <row r="4856" spans="1:4" x14ac:dyDescent="0.3">
      <c r="A4856" s="1">
        <v>32987</v>
      </c>
      <c r="B4856">
        <v>419.20001200000002</v>
      </c>
      <c r="C4856">
        <f t="shared" si="167"/>
        <v>-2.142332747312535E-3</v>
      </c>
      <c r="D4856">
        <f t="shared" si="166"/>
        <v>-0.2085557623701644</v>
      </c>
    </row>
    <row r="4857" spans="1:4" x14ac:dyDescent="0.3">
      <c r="A4857" s="1">
        <v>32988</v>
      </c>
      <c r="B4857">
        <v>420.60000600000001</v>
      </c>
      <c r="C4857">
        <f t="shared" si="167"/>
        <v>3.3396802479098982E-3</v>
      </c>
      <c r="D4857">
        <f t="shared" si="166"/>
        <v>0.22998273507549913</v>
      </c>
    </row>
    <row r="4858" spans="1:4" x14ac:dyDescent="0.3">
      <c r="A4858" s="1">
        <v>32989</v>
      </c>
      <c r="B4858">
        <v>421.10000600000001</v>
      </c>
      <c r="C4858">
        <f t="shared" si="167"/>
        <v>1.188777919323187E-3</v>
      </c>
      <c r="D4858">
        <f t="shared" si="166"/>
        <v>5.7919393351785746E-2</v>
      </c>
    </row>
    <row r="4859" spans="1:4" x14ac:dyDescent="0.3">
      <c r="A4859" s="1">
        <v>32990</v>
      </c>
      <c r="B4859">
        <v>418</v>
      </c>
      <c r="C4859">
        <f t="shared" si="167"/>
        <v>-7.361685955426008E-3</v>
      </c>
      <c r="D4859">
        <f t="shared" si="166"/>
        <v>-0.62608255691060932</v>
      </c>
    </row>
    <row r="4860" spans="1:4" x14ac:dyDescent="0.3">
      <c r="A4860" s="1">
        <v>32993</v>
      </c>
      <c r="B4860">
        <v>420.10000600000001</v>
      </c>
      <c r="C4860">
        <f t="shared" si="167"/>
        <v>5.02393779904308E-3</v>
      </c>
      <c r="D4860">
        <f t="shared" si="166"/>
        <v>0.36471641345772066</v>
      </c>
    </row>
    <row r="4861" spans="1:4" x14ac:dyDescent="0.3">
      <c r="A4861" s="1">
        <v>32994</v>
      </c>
      <c r="B4861">
        <v>421.89999399999999</v>
      </c>
      <c r="C4861">
        <f t="shared" si="167"/>
        <v>4.2846654946250701E-3</v>
      </c>
      <c r="D4861">
        <f t="shared" si="166"/>
        <v>0.30557766901015981</v>
      </c>
    </row>
    <row r="4862" spans="1:4" x14ac:dyDescent="0.3">
      <c r="A4862" s="1">
        <v>32995</v>
      </c>
      <c r="B4862">
        <v>423.60000600000001</v>
      </c>
      <c r="C4862">
        <f t="shared" si="167"/>
        <v>4.0294193509754234E-3</v>
      </c>
      <c r="D4862">
        <f t="shared" si="166"/>
        <v>0.28515902709660224</v>
      </c>
    </row>
    <row r="4863" spans="1:4" x14ac:dyDescent="0.3">
      <c r="A4863" s="1">
        <v>32996</v>
      </c>
      <c r="B4863">
        <v>425.39999399999999</v>
      </c>
      <c r="C4863">
        <f t="shared" si="167"/>
        <v>4.2492633959027486E-3</v>
      </c>
      <c r="D4863">
        <f t="shared" si="166"/>
        <v>0.30274564668667386</v>
      </c>
    </row>
    <row r="4864" spans="1:4" x14ac:dyDescent="0.3">
      <c r="A4864" s="1">
        <v>32997</v>
      </c>
      <c r="B4864">
        <v>428.60000600000001</v>
      </c>
      <c r="C4864">
        <f t="shared" si="167"/>
        <v>7.5223602377390139E-3</v>
      </c>
      <c r="D4864">
        <f t="shared" si="166"/>
        <v>0.56457993497894043</v>
      </c>
    </row>
    <row r="4865" spans="1:4" x14ac:dyDescent="0.3">
      <c r="A4865" s="1">
        <v>33000</v>
      </c>
      <c r="B4865">
        <v>431.20001200000002</v>
      </c>
      <c r="C4865">
        <f t="shared" si="167"/>
        <v>6.0662761633279291E-3</v>
      </c>
      <c r="D4865">
        <f t="shared" si="166"/>
        <v>0.44809919647954405</v>
      </c>
    </row>
    <row r="4866" spans="1:4" x14ac:dyDescent="0.3">
      <c r="A4866" s="1">
        <v>33001</v>
      </c>
      <c r="B4866">
        <v>431.79998799999998</v>
      </c>
      <c r="C4866">
        <f t="shared" si="167"/>
        <v>1.3914099798308206E-3</v>
      </c>
      <c r="D4866">
        <f t="shared" si="166"/>
        <v>7.4129124964384882E-2</v>
      </c>
    </row>
    <row r="4867" spans="1:4" x14ac:dyDescent="0.3">
      <c r="A4867" s="1">
        <v>33002</v>
      </c>
      <c r="B4867">
        <v>431.29998799999998</v>
      </c>
      <c r="C4867">
        <f t="shared" si="167"/>
        <v>-1.157943524537569E-3</v>
      </c>
      <c r="D4867">
        <f t="shared" ref="D4867:D4930" si="168">(C4867-avrtn)/sdrtn</f>
        <v>-0.1298086723808379</v>
      </c>
    </row>
    <row r="4868" spans="1:4" x14ac:dyDescent="0.3">
      <c r="A4868" s="1">
        <v>33003</v>
      </c>
      <c r="B4868">
        <v>433.20001200000002</v>
      </c>
      <c r="C4868">
        <f t="shared" ref="C4868:C4931" si="169">(B4868-B4867)/B4867</f>
        <v>4.4053421119038625E-3</v>
      </c>
      <c r="D4868">
        <f t="shared" si="168"/>
        <v>0.31523130216724787</v>
      </c>
    </row>
    <row r="4869" spans="1:4" x14ac:dyDescent="0.3">
      <c r="A4869" s="1">
        <v>33004</v>
      </c>
      <c r="B4869">
        <v>438.10000600000001</v>
      </c>
      <c r="C4869">
        <f t="shared" si="169"/>
        <v>1.1311158504769369E-2</v>
      </c>
      <c r="D4869">
        <f t="shared" si="168"/>
        <v>0.86766821670980288</v>
      </c>
    </row>
    <row r="4870" spans="1:4" x14ac:dyDescent="0.3">
      <c r="A4870" s="1">
        <v>33007</v>
      </c>
      <c r="B4870">
        <v>441.60000600000001</v>
      </c>
      <c r="C4870">
        <f t="shared" si="169"/>
        <v>7.989043487938231E-3</v>
      </c>
      <c r="D4870">
        <f t="shared" si="168"/>
        <v>0.60191267598188647</v>
      </c>
    </row>
    <row r="4871" spans="1:4" x14ac:dyDescent="0.3">
      <c r="A4871" s="1">
        <v>33008</v>
      </c>
      <c r="B4871">
        <v>442.5</v>
      </c>
      <c r="C4871">
        <f t="shared" si="169"/>
        <v>2.0380298636137073E-3</v>
      </c>
      <c r="D4871">
        <f t="shared" si="168"/>
        <v>0.12585605675016606</v>
      </c>
    </row>
    <row r="4872" spans="1:4" x14ac:dyDescent="0.3">
      <c r="A4872" s="1">
        <v>33009</v>
      </c>
      <c r="B4872">
        <v>442.89999399999999</v>
      </c>
      <c r="C4872">
        <f t="shared" si="169"/>
        <v>9.0394124293783598E-4</v>
      </c>
      <c r="D4872">
        <f t="shared" si="168"/>
        <v>3.5133630496369479E-2</v>
      </c>
    </row>
    <row r="4873" spans="1:4" x14ac:dyDescent="0.3">
      <c r="A4873" s="1">
        <v>33010</v>
      </c>
      <c r="B4873">
        <v>445.70001200000002</v>
      </c>
      <c r="C4873">
        <f t="shared" si="169"/>
        <v>6.3220095685980584E-3</v>
      </c>
      <c r="D4873">
        <f t="shared" si="168"/>
        <v>0.46855681731910848</v>
      </c>
    </row>
    <row r="4874" spans="1:4" x14ac:dyDescent="0.3">
      <c r="A4874" s="1">
        <v>33011</v>
      </c>
      <c r="B4874">
        <v>448.29998799999998</v>
      </c>
      <c r="C4874">
        <f t="shared" si="169"/>
        <v>5.833466300198281E-3</v>
      </c>
      <c r="D4874">
        <f t="shared" si="168"/>
        <v>0.42947536474904963</v>
      </c>
    </row>
    <row r="4875" spans="1:4" x14ac:dyDescent="0.3">
      <c r="A4875" s="1">
        <v>33014</v>
      </c>
      <c r="B4875">
        <v>452.89999399999999</v>
      </c>
      <c r="C4875">
        <f t="shared" si="169"/>
        <v>1.0260999605469558E-2</v>
      </c>
      <c r="D4875">
        <f t="shared" si="168"/>
        <v>0.78365982304501469</v>
      </c>
    </row>
    <row r="4876" spans="1:4" x14ac:dyDescent="0.3">
      <c r="A4876" s="1">
        <v>33015</v>
      </c>
      <c r="B4876">
        <v>453.89999399999999</v>
      </c>
      <c r="C4876">
        <f t="shared" si="169"/>
        <v>2.2079929636740071E-3</v>
      </c>
      <c r="D4876">
        <f t="shared" si="168"/>
        <v>0.13945240586254654</v>
      </c>
    </row>
    <row r="4877" spans="1:4" x14ac:dyDescent="0.3">
      <c r="A4877" s="1">
        <v>33016</v>
      </c>
      <c r="B4877">
        <v>456.89999399999999</v>
      </c>
      <c r="C4877">
        <f t="shared" si="169"/>
        <v>6.6093854145325235E-3</v>
      </c>
      <c r="D4877">
        <f t="shared" si="168"/>
        <v>0.49154570329732633</v>
      </c>
    </row>
    <row r="4878" spans="1:4" x14ac:dyDescent="0.3">
      <c r="A4878" s="1">
        <v>33017</v>
      </c>
      <c r="B4878">
        <v>458.29998799999998</v>
      </c>
      <c r="C4878">
        <f t="shared" si="169"/>
        <v>3.0641147261647643E-3</v>
      </c>
      <c r="D4878">
        <f t="shared" si="168"/>
        <v>0.20793862646808456</v>
      </c>
    </row>
    <row r="4879" spans="1:4" x14ac:dyDescent="0.3">
      <c r="A4879" s="1">
        <v>33018</v>
      </c>
      <c r="B4879">
        <v>453.70001200000002</v>
      </c>
      <c r="C4879">
        <f t="shared" si="169"/>
        <v>-1.0037041502169906E-2</v>
      </c>
      <c r="D4879">
        <f t="shared" si="168"/>
        <v>-0.84009999952237857</v>
      </c>
    </row>
    <row r="4880" spans="1:4" x14ac:dyDescent="0.3">
      <c r="A4880" s="1">
        <v>33022</v>
      </c>
      <c r="B4880">
        <v>457.5</v>
      </c>
      <c r="C4880">
        <f t="shared" si="169"/>
        <v>8.3755519054294954E-3</v>
      </c>
      <c r="D4880">
        <f t="shared" si="168"/>
        <v>0.63283176004907826</v>
      </c>
    </row>
    <row r="4881" spans="1:4" x14ac:dyDescent="0.3">
      <c r="A4881" s="1">
        <v>33023</v>
      </c>
      <c r="B4881">
        <v>458.79998799999998</v>
      </c>
      <c r="C4881">
        <f t="shared" si="169"/>
        <v>2.8415038251365789E-3</v>
      </c>
      <c r="D4881">
        <f t="shared" si="168"/>
        <v>0.19013066976732437</v>
      </c>
    </row>
    <row r="4882" spans="1:4" x14ac:dyDescent="0.3">
      <c r="A4882" s="1">
        <v>33024</v>
      </c>
      <c r="B4882">
        <v>459</v>
      </c>
      <c r="C4882">
        <f t="shared" si="169"/>
        <v>4.3594595734822725E-4</v>
      </c>
      <c r="D4882">
        <f t="shared" si="168"/>
        <v>-2.3040679426860836E-3</v>
      </c>
    </row>
    <row r="4883" spans="1:4" x14ac:dyDescent="0.3">
      <c r="A4883" s="1">
        <v>33025</v>
      </c>
      <c r="B4883">
        <v>462.10000600000001</v>
      </c>
      <c r="C4883">
        <f t="shared" si="169"/>
        <v>6.7538257080610184E-3</v>
      </c>
      <c r="D4883">
        <f t="shared" si="168"/>
        <v>0.50310033283756994</v>
      </c>
    </row>
    <row r="4884" spans="1:4" x14ac:dyDescent="0.3">
      <c r="A4884" s="1">
        <v>33028</v>
      </c>
      <c r="B4884">
        <v>465.60000600000001</v>
      </c>
      <c r="C4884">
        <f t="shared" si="169"/>
        <v>7.5741180578993541E-3</v>
      </c>
      <c r="D4884">
        <f t="shared" si="168"/>
        <v>0.56872034776233948</v>
      </c>
    </row>
    <row r="4885" spans="1:4" x14ac:dyDescent="0.3">
      <c r="A4885" s="1">
        <v>33029</v>
      </c>
      <c r="B4885">
        <v>464.60000600000001</v>
      </c>
      <c r="C4885">
        <f t="shared" si="169"/>
        <v>-2.1477662953466544E-3</v>
      </c>
      <c r="D4885">
        <f t="shared" si="168"/>
        <v>-0.20899042387001093</v>
      </c>
    </row>
    <row r="4886" spans="1:4" x14ac:dyDescent="0.3">
      <c r="A4886" s="1">
        <v>33030</v>
      </c>
      <c r="B4886">
        <v>465</v>
      </c>
      <c r="C4886">
        <f t="shared" si="169"/>
        <v>8.6094273533003868E-4</v>
      </c>
      <c r="D4886">
        <f t="shared" si="168"/>
        <v>3.1693926698665463E-2</v>
      </c>
    </row>
    <row r="4887" spans="1:4" x14ac:dyDescent="0.3">
      <c r="A4887" s="1">
        <v>33031</v>
      </c>
      <c r="B4887">
        <v>464.10000600000001</v>
      </c>
      <c r="C4887">
        <f t="shared" si="169"/>
        <v>-1.9354709677419193E-3</v>
      </c>
      <c r="D4887">
        <f t="shared" si="168"/>
        <v>-0.19200767062523535</v>
      </c>
    </row>
    <row r="4888" spans="1:4" x14ac:dyDescent="0.3">
      <c r="A4888" s="1">
        <v>33032</v>
      </c>
      <c r="B4888">
        <v>460.89999399999999</v>
      </c>
      <c r="C4888">
        <f t="shared" si="169"/>
        <v>-6.8950914859501533E-3</v>
      </c>
      <c r="D4888">
        <f t="shared" si="168"/>
        <v>-0.58875691800046381</v>
      </c>
    </row>
    <row r="4889" spans="1:4" x14ac:dyDescent="0.3">
      <c r="A4889" s="1">
        <v>33035</v>
      </c>
      <c r="B4889">
        <v>462.79998799999998</v>
      </c>
      <c r="C4889">
        <f t="shared" si="169"/>
        <v>4.1223563131571501E-3</v>
      </c>
      <c r="D4889">
        <f t="shared" si="168"/>
        <v>0.2925936019120684</v>
      </c>
    </row>
    <row r="4890" spans="1:4" x14ac:dyDescent="0.3">
      <c r="A4890" s="1">
        <v>33036</v>
      </c>
      <c r="B4890">
        <v>466.60000600000001</v>
      </c>
      <c r="C4890">
        <f t="shared" si="169"/>
        <v>8.2109293399550021E-3</v>
      </c>
      <c r="D4890">
        <f t="shared" si="168"/>
        <v>0.61966263174315284</v>
      </c>
    </row>
    <row r="4891" spans="1:4" x14ac:dyDescent="0.3">
      <c r="A4891" s="1">
        <v>33037</v>
      </c>
      <c r="B4891">
        <v>468.89999399999999</v>
      </c>
      <c r="C4891">
        <f t="shared" si="169"/>
        <v>4.929249829456678E-3</v>
      </c>
      <c r="D4891">
        <f t="shared" si="168"/>
        <v>0.35714176525006597</v>
      </c>
    </row>
    <row r="4892" spans="1:4" x14ac:dyDescent="0.3">
      <c r="A4892" s="1">
        <v>33038</v>
      </c>
      <c r="B4892">
        <v>467.10000600000001</v>
      </c>
      <c r="C4892">
        <f t="shared" si="169"/>
        <v>-3.838746050399789E-3</v>
      </c>
      <c r="D4892">
        <f t="shared" si="168"/>
        <v>-0.344261850923961</v>
      </c>
    </row>
    <row r="4893" spans="1:4" x14ac:dyDescent="0.3">
      <c r="A4893" s="1">
        <v>33039</v>
      </c>
      <c r="B4893">
        <v>467.60000600000001</v>
      </c>
      <c r="C4893">
        <f t="shared" si="169"/>
        <v>1.0704345826961946E-3</v>
      </c>
      <c r="D4893">
        <f t="shared" si="168"/>
        <v>4.8452413052334289E-2</v>
      </c>
    </row>
    <row r="4894" spans="1:4" x14ac:dyDescent="0.3">
      <c r="A4894" s="1">
        <v>33042</v>
      </c>
      <c r="B4894">
        <v>460.79998799999998</v>
      </c>
      <c r="C4894">
        <f t="shared" si="169"/>
        <v>-1.4542382191500705E-2</v>
      </c>
      <c r="D4894">
        <f t="shared" si="168"/>
        <v>-1.2005087285972302</v>
      </c>
    </row>
    <row r="4895" spans="1:4" x14ac:dyDescent="0.3">
      <c r="A4895" s="1">
        <v>33043</v>
      </c>
      <c r="B4895">
        <v>460.5</v>
      </c>
      <c r="C4895">
        <f t="shared" si="169"/>
        <v>-6.5101564195349938E-4</v>
      </c>
      <c r="D4895">
        <f t="shared" si="168"/>
        <v>-8.9256526274020906E-2</v>
      </c>
    </row>
    <row r="4896" spans="1:4" x14ac:dyDescent="0.3">
      <c r="A4896" s="1">
        <v>33044</v>
      </c>
      <c r="B4896">
        <v>460.79998799999998</v>
      </c>
      <c r="C4896">
        <f t="shared" si="169"/>
        <v>6.5143973941364779E-4</v>
      </c>
      <c r="D4896">
        <f t="shared" si="168"/>
        <v>1.4934548506820957E-2</v>
      </c>
    </row>
    <row r="4897" spans="1:4" x14ac:dyDescent="0.3">
      <c r="A4897" s="1">
        <v>33045</v>
      </c>
      <c r="B4897">
        <v>461.29998799999998</v>
      </c>
      <c r="C4897">
        <f t="shared" si="169"/>
        <v>1.0850694727014621E-3</v>
      </c>
      <c r="D4897">
        <f t="shared" si="168"/>
        <v>4.9623144073728406E-2</v>
      </c>
    </row>
    <row r="4898" spans="1:4" x14ac:dyDescent="0.3">
      <c r="A4898" s="1">
        <v>33046</v>
      </c>
      <c r="B4898">
        <v>459.29998799999998</v>
      </c>
      <c r="C4898">
        <f t="shared" si="169"/>
        <v>-4.3355734923626313E-3</v>
      </c>
      <c r="D4898">
        <f t="shared" si="168"/>
        <v>-0.38400600331433982</v>
      </c>
    </row>
    <row r="4899" spans="1:4" x14ac:dyDescent="0.3">
      <c r="A4899" s="1">
        <v>33049</v>
      </c>
      <c r="B4899">
        <v>455.60000600000001</v>
      </c>
      <c r="C4899">
        <f t="shared" si="169"/>
        <v>-8.0556980114703976E-3</v>
      </c>
      <c r="D4899">
        <f t="shared" si="168"/>
        <v>-0.68160066759953386</v>
      </c>
    </row>
    <row r="4900" spans="1:4" x14ac:dyDescent="0.3">
      <c r="A4900" s="1">
        <v>33050</v>
      </c>
      <c r="B4900">
        <v>455.39999399999999</v>
      </c>
      <c r="C4900">
        <f t="shared" si="169"/>
        <v>-4.3900789588667208E-4</v>
      </c>
      <c r="D4900">
        <f t="shared" si="168"/>
        <v>-7.2296778369735637E-2</v>
      </c>
    </row>
    <row r="4901" spans="1:4" x14ac:dyDescent="0.3">
      <c r="A4901" s="1">
        <v>33051</v>
      </c>
      <c r="B4901">
        <v>456.89999399999999</v>
      </c>
      <c r="C4901">
        <f t="shared" si="169"/>
        <v>3.2938076850304045E-3</v>
      </c>
      <c r="D4901">
        <f t="shared" si="168"/>
        <v>0.22631311867424531</v>
      </c>
    </row>
    <row r="4902" spans="1:4" x14ac:dyDescent="0.3">
      <c r="A4902" s="1">
        <v>33052</v>
      </c>
      <c r="B4902">
        <v>460.39999399999999</v>
      </c>
      <c r="C4902">
        <f t="shared" si="169"/>
        <v>7.6603196453532895E-3</v>
      </c>
      <c r="D4902">
        <f t="shared" si="168"/>
        <v>0.57561612029560871</v>
      </c>
    </row>
    <row r="4903" spans="1:4" x14ac:dyDescent="0.3">
      <c r="A4903" s="1">
        <v>33053</v>
      </c>
      <c r="B4903">
        <v>462.29998799999998</v>
      </c>
      <c r="C4903">
        <f t="shared" si="169"/>
        <v>4.1268332423131885E-3</v>
      </c>
      <c r="D4903">
        <f t="shared" si="168"/>
        <v>0.29295173783530876</v>
      </c>
    </row>
    <row r="4904" spans="1:4" x14ac:dyDescent="0.3">
      <c r="A4904" s="1">
        <v>33056</v>
      </c>
      <c r="B4904">
        <v>462</v>
      </c>
      <c r="C4904">
        <f t="shared" si="169"/>
        <v>-6.4890332638292182E-4</v>
      </c>
      <c r="D4904">
        <f t="shared" si="168"/>
        <v>-8.9087549714268216E-2</v>
      </c>
    </row>
    <row r="4905" spans="1:4" x14ac:dyDescent="0.3">
      <c r="A4905" s="1">
        <v>33057</v>
      </c>
      <c r="B4905">
        <v>461.79998799999998</v>
      </c>
      <c r="C4905">
        <f t="shared" si="169"/>
        <v>-4.3292640692643979E-4</v>
      </c>
      <c r="D4905">
        <f t="shared" si="168"/>
        <v>-7.1810284260149085E-2</v>
      </c>
    </row>
    <row r="4906" spans="1:4" x14ac:dyDescent="0.3">
      <c r="A4906" s="1">
        <v>33059</v>
      </c>
      <c r="B4906">
        <v>459.20001200000002</v>
      </c>
      <c r="C4906">
        <f t="shared" si="169"/>
        <v>-5.6300910947619381E-3</v>
      </c>
      <c r="D4906">
        <f t="shared" si="168"/>
        <v>-0.48756208841809662</v>
      </c>
    </row>
    <row r="4907" spans="1:4" x14ac:dyDescent="0.3">
      <c r="A4907" s="1">
        <v>33060</v>
      </c>
      <c r="B4907">
        <v>460.5</v>
      </c>
      <c r="C4907">
        <f t="shared" si="169"/>
        <v>2.8309842465770335E-3</v>
      </c>
      <c r="D4907">
        <f t="shared" si="168"/>
        <v>0.18928914673932626</v>
      </c>
    </row>
    <row r="4908" spans="1:4" x14ac:dyDescent="0.3">
      <c r="A4908" s="1">
        <v>33063</v>
      </c>
      <c r="B4908">
        <v>461.70001200000002</v>
      </c>
      <c r="C4908">
        <f t="shared" si="169"/>
        <v>2.6058892508143651E-3</v>
      </c>
      <c r="D4908">
        <f t="shared" si="168"/>
        <v>0.171282472674466</v>
      </c>
    </row>
    <row r="4909" spans="1:4" x14ac:dyDescent="0.3">
      <c r="A4909" s="1">
        <v>33064</v>
      </c>
      <c r="B4909">
        <v>461</v>
      </c>
      <c r="C4909">
        <f t="shared" si="169"/>
        <v>-1.5161619705567934E-3</v>
      </c>
      <c r="D4909">
        <f t="shared" si="168"/>
        <v>-0.15846467505932427</v>
      </c>
    </row>
    <row r="4910" spans="1:4" x14ac:dyDescent="0.3">
      <c r="A4910" s="1">
        <v>33065</v>
      </c>
      <c r="B4910">
        <v>463.89999399999999</v>
      </c>
      <c r="C4910">
        <f t="shared" si="169"/>
        <v>6.2906594360086603E-3</v>
      </c>
      <c r="D4910">
        <f t="shared" si="168"/>
        <v>0.46604893562447214</v>
      </c>
    </row>
    <row r="4911" spans="1:4" x14ac:dyDescent="0.3">
      <c r="A4911" s="1">
        <v>33066</v>
      </c>
      <c r="B4911">
        <v>467.20001200000002</v>
      </c>
      <c r="C4911">
        <f t="shared" si="169"/>
        <v>7.1136409628839593E-3</v>
      </c>
      <c r="D4911">
        <f t="shared" si="168"/>
        <v>0.53188407365423662</v>
      </c>
    </row>
    <row r="4912" spans="1:4" x14ac:dyDescent="0.3">
      <c r="A4912" s="1">
        <v>33067</v>
      </c>
      <c r="B4912">
        <v>468.39999399999999</v>
      </c>
      <c r="C4912">
        <f t="shared" si="169"/>
        <v>2.5684545573170432E-3</v>
      </c>
      <c r="D4912">
        <f t="shared" si="168"/>
        <v>0.16828785112705968</v>
      </c>
    </row>
    <row r="4913" spans="1:4" x14ac:dyDescent="0.3">
      <c r="A4913" s="1">
        <v>33070</v>
      </c>
      <c r="B4913">
        <v>469.60000600000001</v>
      </c>
      <c r="C4913">
        <f t="shared" si="169"/>
        <v>2.5619385469078703E-3</v>
      </c>
      <c r="D4913">
        <f t="shared" si="168"/>
        <v>0.16776659708832076</v>
      </c>
    </row>
    <row r="4914" spans="1:4" x14ac:dyDescent="0.3">
      <c r="A4914" s="1">
        <v>33071</v>
      </c>
      <c r="B4914">
        <v>464.5</v>
      </c>
      <c r="C4914">
        <f t="shared" si="169"/>
        <v>-1.0860319282023193E-2</v>
      </c>
      <c r="D4914">
        <f t="shared" si="168"/>
        <v>-0.90595883657218257</v>
      </c>
    </row>
    <row r="4915" spans="1:4" x14ac:dyDescent="0.3">
      <c r="A4915" s="1">
        <v>33072</v>
      </c>
      <c r="B4915">
        <v>460.79998799999998</v>
      </c>
      <c r="C4915">
        <f t="shared" si="169"/>
        <v>-7.9655801937567605E-3</v>
      </c>
      <c r="D4915">
        <f t="shared" si="168"/>
        <v>-0.67439161274912351</v>
      </c>
    </row>
    <row r="4916" spans="1:4" x14ac:dyDescent="0.3">
      <c r="A4916" s="1">
        <v>33073</v>
      </c>
      <c r="B4916">
        <v>458.20001200000002</v>
      </c>
      <c r="C4916">
        <f t="shared" si="169"/>
        <v>-5.6423091747128465E-3</v>
      </c>
      <c r="D4916">
        <f t="shared" si="168"/>
        <v>-0.48853948457312429</v>
      </c>
    </row>
    <row r="4917" spans="1:4" x14ac:dyDescent="0.3">
      <c r="A4917" s="1">
        <v>33074</v>
      </c>
      <c r="B4917">
        <v>455.29998799999998</v>
      </c>
      <c r="C4917">
        <f t="shared" si="169"/>
        <v>-6.3291661371672556E-3</v>
      </c>
      <c r="D4917">
        <f t="shared" si="168"/>
        <v>-0.54348521719677112</v>
      </c>
    </row>
    <row r="4918" spans="1:4" x14ac:dyDescent="0.3">
      <c r="A4918" s="1">
        <v>33077</v>
      </c>
      <c r="B4918">
        <v>444.60000600000001</v>
      </c>
      <c r="C4918">
        <f t="shared" si="169"/>
        <v>-2.3500949444347399E-2</v>
      </c>
      <c r="D4918">
        <f t="shared" si="168"/>
        <v>-1.9171572709763074</v>
      </c>
    </row>
    <row r="4919" spans="1:4" x14ac:dyDescent="0.3">
      <c r="A4919" s="1">
        <v>33078</v>
      </c>
      <c r="B4919">
        <v>442.60000600000001</v>
      </c>
      <c r="C4919">
        <f t="shared" si="169"/>
        <v>-4.4984254903496336E-3</v>
      </c>
      <c r="D4919">
        <f t="shared" si="168"/>
        <v>-0.39703349350188299</v>
      </c>
    </row>
    <row r="4920" spans="1:4" x14ac:dyDescent="0.3">
      <c r="A4920" s="1">
        <v>33079</v>
      </c>
      <c r="B4920">
        <v>445.5</v>
      </c>
      <c r="C4920">
        <f t="shared" si="169"/>
        <v>6.5521779500382392E-3</v>
      </c>
      <c r="D4920">
        <f t="shared" si="168"/>
        <v>0.48696934137628317</v>
      </c>
    </row>
    <row r="4921" spans="1:4" x14ac:dyDescent="0.3">
      <c r="A4921" s="1">
        <v>33080</v>
      </c>
      <c r="B4921">
        <v>445.39999399999999</v>
      </c>
      <c r="C4921">
        <f t="shared" si="169"/>
        <v>-2.2448035914704285E-4</v>
      </c>
      <c r="D4921">
        <f t="shared" si="168"/>
        <v>-5.5135457573067384E-2</v>
      </c>
    </row>
    <row r="4922" spans="1:4" x14ac:dyDescent="0.3">
      <c r="A4922" s="1">
        <v>33081</v>
      </c>
      <c r="B4922">
        <v>442.60000600000001</v>
      </c>
      <c r="C4922">
        <f t="shared" si="169"/>
        <v>-6.2864572018830897E-3</v>
      </c>
      <c r="D4922">
        <f t="shared" si="168"/>
        <v>-0.54006867799422908</v>
      </c>
    </row>
    <row r="4923" spans="1:4" x14ac:dyDescent="0.3">
      <c r="A4923" s="1">
        <v>33084</v>
      </c>
      <c r="B4923">
        <v>439.39999399999999</v>
      </c>
      <c r="C4923">
        <f t="shared" si="169"/>
        <v>-7.2300315332576278E-3</v>
      </c>
      <c r="D4923">
        <f t="shared" si="168"/>
        <v>-0.61555074450335767</v>
      </c>
    </row>
    <row r="4924" spans="1:4" x14ac:dyDescent="0.3">
      <c r="A4924" s="1">
        <v>33085</v>
      </c>
      <c r="B4924">
        <v>438.20001200000002</v>
      </c>
      <c r="C4924">
        <f t="shared" si="169"/>
        <v>-2.7309558861759505E-3</v>
      </c>
      <c r="D4924">
        <f t="shared" si="168"/>
        <v>-0.25564319304642796</v>
      </c>
    </row>
    <row r="4925" spans="1:4" x14ac:dyDescent="0.3">
      <c r="A4925" s="1">
        <v>33086</v>
      </c>
      <c r="B4925">
        <v>435.89999399999999</v>
      </c>
      <c r="C4925">
        <f t="shared" si="169"/>
        <v>-5.2487857987553472E-3</v>
      </c>
      <c r="D4925">
        <f t="shared" si="168"/>
        <v>-0.45705923267431531</v>
      </c>
    </row>
    <row r="4926" spans="1:4" x14ac:dyDescent="0.3">
      <c r="A4926" s="1">
        <v>33087</v>
      </c>
      <c r="B4926">
        <v>428.89999399999999</v>
      </c>
      <c r="C4926">
        <f t="shared" si="169"/>
        <v>-1.6058729287341995E-2</v>
      </c>
      <c r="D4926">
        <f t="shared" si="168"/>
        <v>-1.3218102610080185</v>
      </c>
    </row>
    <row r="4927" spans="1:4" x14ac:dyDescent="0.3">
      <c r="A4927" s="1">
        <v>33088</v>
      </c>
      <c r="B4927">
        <v>417.5</v>
      </c>
      <c r="C4927">
        <f t="shared" si="169"/>
        <v>-2.6579608672132535E-2</v>
      </c>
      <c r="D4927">
        <f t="shared" si="168"/>
        <v>-2.1634373496767298</v>
      </c>
    </row>
    <row r="4928" spans="1:4" x14ac:dyDescent="0.3">
      <c r="A4928" s="1">
        <v>33091</v>
      </c>
      <c r="B4928">
        <v>400</v>
      </c>
      <c r="C4928">
        <f t="shared" si="169"/>
        <v>-4.1916167664670656E-2</v>
      </c>
      <c r="D4928">
        <f t="shared" si="168"/>
        <v>-3.3902990047723782</v>
      </c>
    </row>
    <row r="4929" spans="1:4" x14ac:dyDescent="0.3">
      <c r="A4929" s="1">
        <v>33092</v>
      </c>
      <c r="B4929">
        <v>402.10000600000001</v>
      </c>
      <c r="C4929">
        <f t="shared" si="169"/>
        <v>5.2500150000000193E-3</v>
      </c>
      <c r="D4929">
        <f t="shared" si="168"/>
        <v>0.38280165989927067</v>
      </c>
    </row>
    <row r="4930" spans="1:4" x14ac:dyDescent="0.3">
      <c r="A4930" s="1">
        <v>33093</v>
      </c>
      <c r="B4930">
        <v>407.70001200000002</v>
      </c>
      <c r="C4930">
        <f t="shared" si="169"/>
        <v>1.3926898573585218E-2</v>
      </c>
      <c r="D4930">
        <f t="shared" si="168"/>
        <v>1.0769166662276384</v>
      </c>
    </row>
    <row r="4931" spans="1:4" x14ac:dyDescent="0.3">
      <c r="A4931" s="1">
        <v>33094</v>
      </c>
      <c r="B4931">
        <v>413</v>
      </c>
      <c r="C4931">
        <f t="shared" si="169"/>
        <v>1.2999724905575879E-2</v>
      </c>
      <c r="D4931">
        <f t="shared" ref="D4931:D4994" si="170">(C4931-avrtn)/sdrtn</f>
        <v>1.002746585347795</v>
      </c>
    </row>
    <row r="4932" spans="1:4" x14ac:dyDescent="0.3">
      <c r="A4932" s="1">
        <v>33095</v>
      </c>
      <c r="B4932">
        <v>408</v>
      </c>
      <c r="C4932">
        <f t="shared" ref="C4932:C4995" si="171">(B4932-B4931)/B4931</f>
        <v>-1.2106537530266344E-2</v>
      </c>
      <c r="D4932">
        <f t="shared" si="170"/>
        <v>-1.0056511719515779</v>
      </c>
    </row>
    <row r="4933" spans="1:4" x14ac:dyDescent="0.3">
      <c r="A4933" s="1">
        <v>33098</v>
      </c>
      <c r="B4933">
        <v>408.29998799999998</v>
      </c>
      <c r="C4933">
        <f t="shared" si="171"/>
        <v>7.3526470588231572E-4</v>
      </c>
      <c r="D4933">
        <f t="shared" si="170"/>
        <v>2.1640201133992665E-2</v>
      </c>
    </row>
    <row r="4934" spans="1:4" x14ac:dyDescent="0.3">
      <c r="A4934" s="1">
        <v>33099</v>
      </c>
      <c r="B4934">
        <v>410.29998799999998</v>
      </c>
      <c r="C4934">
        <f t="shared" si="171"/>
        <v>4.8983591936818767E-3</v>
      </c>
      <c r="D4934">
        <f t="shared" si="170"/>
        <v>0.35467064141113513</v>
      </c>
    </row>
    <row r="4935" spans="1:4" x14ac:dyDescent="0.3">
      <c r="A4935" s="1">
        <v>33100</v>
      </c>
      <c r="B4935">
        <v>411.5</v>
      </c>
      <c r="C4935">
        <f t="shared" si="171"/>
        <v>2.9247185841984845E-3</v>
      </c>
      <c r="D4935">
        <f t="shared" si="170"/>
        <v>0.19678750831114294</v>
      </c>
    </row>
    <row r="4936" spans="1:4" x14ac:dyDescent="0.3">
      <c r="A4936" s="1">
        <v>33101</v>
      </c>
      <c r="B4936">
        <v>402.29998799999998</v>
      </c>
      <c r="C4936">
        <f t="shared" si="171"/>
        <v>-2.2357258809234545E-2</v>
      </c>
      <c r="D4936">
        <f t="shared" si="170"/>
        <v>-1.8256667230512715</v>
      </c>
    </row>
    <row r="4937" spans="1:4" x14ac:dyDescent="0.3">
      <c r="A4937" s="1">
        <v>33102</v>
      </c>
      <c r="B4937">
        <v>393.5</v>
      </c>
      <c r="C4937">
        <f t="shared" si="171"/>
        <v>-2.1874194040492949E-2</v>
      </c>
      <c r="D4937">
        <f t="shared" si="170"/>
        <v>-1.7870235279261419</v>
      </c>
    </row>
    <row r="4938" spans="1:4" x14ac:dyDescent="0.3">
      <c r="A4938" s="1">
        <v>33105</v>
      </c>
      <c r="B4938">
        <v>388.60000600000001</v>
      </c>
      <c r="C4938">
        <f t="shared" si="171"/>
        <v>-1.2452335451080031E-2</v>
      </c>
      <c r="D4938">
        <f t="shared" si="170"/>
        <v>-1.0333135836871261</v>
      </c>
    </row>
    <row r="4939" spans="1:4" x14ac:dyDescent="0.3">
      <c r="A4939" s="1">
        <v>33106</v>
      </c>
      <c r="B4939">
        <v>379.70001200000002</v>
      </c>
      <c r="C4939">
        <f t="shared" si="171"/>
        <v>-2.2902711946947301E-2</v>
      </c>
      <c r="D4939">
        <f t="shared" si="170"/>
        <v>-1.8693007311515877</v>
      </c>
    </row>
    <row r="4940" spans="1:4" x14ac:dyDescent="0.3">
      <c r="A4940" s="1">
        <v>33107</v>
      </c>
      <c r="B4940">
        <v>374.79998799999998</v>
      </c>
      <c r="C4940">
        <f t="shared" si="171"/>
        <v>-1.2904987740690486E-2</v>
      </c>
      <c r="D4940">
        <f t="shared" si="170"/>
        <v>-1.0695239055386259</v>
      </c>
    </row>
    <row r="4941" spans="1:4" x14ac:dyDescent="0.3">
      <c r="A4941" s="1">
        <v>33108</v>
      </c>
      <c r="B4941">
        <v>360.20001200000002</v>
      </c>
      <c r="C4941">
        <f t="shared" si="171"/>
        <v>-3.8954046071100645E-2</v>
      </c>
      <c r="D4941">
        <f t="shared" si="170"/>
        <v>-3.1533414576035503</v>
      </c>
    </row>
    <row r="4942" spans="1:4" x14ac:dyDescent="0.3">
      <c r="A4942" s="1">
        <v>33109</v>
      </c>
      <c r="B4942">
        <v>367.29998799999998</v>
      </c>
      <c r="C4942">
        <f t="shared" si="171"/>
        <v>1.971120422949894E-2</v>
      </c>
      <c r="D4942">
        <f t="shared" si="170"/>
        <v>1.5396373334937565</v>
      </c>
    </row>
    <row r="4943" spans="1:4" x14ac:dyDescent="0.3">
      <c r="A4943" s="1">
        <v>33112</v>
      </c>
      <c r="B4943">
        <v>381.29998799999998</v>
      </c>
      <c r="C4943">
        <f t="shared" si="171"/>
        <v>3.8115982731804499E-2</v>
      </c>
      <c r="D4943">
        <f t="shared" si="170"/>
        <v>3.0119439327767887</v>
      </c>
    </row>
    <row r="4944" spans="1:4" x14ac:dyDescent="0.3">
      <c r="A4944" s="1">
        <v>33113</v>
      </c>
      <c r="B4944">
        <v>382.89999399999999</v>
      </c>
      <c r="C4944">
        <f t="shared" si="171"/>
        <v>4.1961868616686333E-3</v>
      </c>
      <c r="D4944">
        <f t="shared" si="170"/>
        <v>0.29849974219995751</v>
      </c>
    </row>
    <row r="4945" spans="1:4" x14ac:dyDescent="0.3">
      <c r="A4945" s="1">
        <v>33114</v>
      </c>
      <c r="B4945">
        <v>381.79998799999998</v>
      </c>
      <c r="C4945">
        <f t="shared" si="171"/>
        <v>-2.8728284597466136E-3</v>
      </c>
      <c r="D4945">
        <f t="shared" si="170"/>
        <v>-0.26699241554857261</v>
      </c>
    </row>
    <row r="4946" spans="1:4" x14ac:dyDescent="0.3">
      <c r="A4946" s="1">
        <v>33115</v>
      </c>
      <c r="B4946">
        <v>378.70001200000002</v>
      </c>
      <c r="C4946">
        <f t="shared" si="171"/>
        <v>-8.1193716538303547E-3</v>
      </c>
      <c r="D4946">
        <f t="shared" si="170"/>
        <v>-0.68669429716074859</v>
      </c>
    </row>
    <row r="4947" spans="1:4" x14ac:dyDescent="0.3">
      <c r="A4947" s="1">
        <v>33116</v>
      </c>
      <c r="B4947">
        <v>381.20001200000002</v>
      </c>
      <c r="C4947">
        <f t="shared" si="171"/>
        <v>6.6015313461357901E-3</v>
      </c>
      <c r="D4947">
        <f t="shared" si="170"/>
        <v>0.49091741012170986</v>
      </c>
    </row>
    <row r="4948" spans="1:4" x14ac:dyDescent="0.3">
      <c r="A4948" s="1">
        <v>33120</v>
      </c>
      <c r="B4948">
        <v>381.70001200000002</v>
      </c>
      <c r="C4948">
        <f t="shared" si="171"/>
        <v>1.3116473878809847E-3</v>
      </c>
      <c r="D4948">
        <f t="shared" si="170"/>
        <v>6.7748445594135911E-2</v>
      </c>
    </row>
    <row r="4949" spans="1:4" x14ac:dyDescent="0.3">
      <c r="A4949" s="1">
        <v>33121</v>
      </c>
      <c r="B4949">
        <v>382.39999399999999</v>
      </c>
      <c r="C4949">
        <f t="shared" si="171"/>
        <v>1.8338537542408493E-3</v>
      </c>
      <c r="D4949">
        <f t="shared" si="170"/>
        <v>0.10952280757751583</v>
      </c>
    </row>
    <row r="4950" spans="1:4" x14ac:dyDescent="0.3">
      <c r="A4950" s="1">
        <v>33122</v>
      </c>
      <c r="B4950">
        <v>378.79998799999998</v>
      </c>
      <c r="C4950">
        <f t="shared" si="171"/>
        <v>-9.4142417795121825E-3</v>
      </c>
      <c r="D4950">
        <f t="shared" si="170"/>
        <v>-0.7902785826775226</v>
      </c>
    </row>
    <row r="4951" spans="1:4" x14ac:dyDescent="0.3">
      <c r="A4951" s="1">
        <v>33123</v>
      </c>
      <c r="B4951">
        <v>380.39999399999999</v>
      </c>
      <c r="C4951">
        <f t="shared" si="171"/>
        <v>4.2238808096266558E-3</v>
      </c>
      <c r="D4951">
        <f t="shared" si="170"/>
        <v>0.30071514415840489</v>
      </c>
    </row>
    <row r="4952" spans="1:4" x14ac:dyDescent="0.3">
      <c r="A4952" s="1">
        <v>33126</v>
      </c>
      <c r="B4952">
        <v>381.70001200000002</v>
      </c>
      <c r="C4952">
        <f t="shared" si="171"/>
        <v>3.4175026827156646E-3</v>
      </c>
      <c r="D4952">
        <f t="shared" si="170"/>
        <v>0.2362082098521964</v>
      </c>
    </row>
    <row r="4953" spans="1:4" x14ac:dyDescent="0.3">
      <c r="A4953" s="1">
        <v>33127</v>
      </c>
      <c r="B4953">
        <v>379.5</v>
      </c>
      <c r="C4953">
        <f t="shared" si="171"/>
        <v>-5.7637200179077152E-3</v>
      </c>
      <c r="D4953">
        <f t="shared" si="170"/>
        <v>-0.49825185278434347</v>
      </c>
    </row>
    <row r="4954" spans="1:4" x14ac:dyDescent="0.3">
      <c r="A4954" s="1">
        <v>33128</v>
      </c>
      <c r="B4954">
        <v>380.29998799999998</v>
      </c>
      <c r="C4954">
        <f t="shared" si="171"/>
        <v>2.1080052700921865E-3</v>
      </c>
      <c r="D4954">
        <f t="shared" si="170"/>
        <v>0.13145380152785363</v>
      </c>
    </row>
    <row r="4955" spans="1:4" x14ac:dyDescent="0.3">
      <c r="A4955" s="1">
        <v>33129</v>
      </c>
      <c r="B4955">
        <v>376.20001200000002</v>
      </c>
      <c r="C4955">
        <f t="shared" si="171"/>
        <v>-1.0780899630215002E-2</v>
      </c>
      <c r="D4955">
        <f t="shared" si="170"/>
        <v>-0.8996055910030869</v>
      </c>
    </row>
    <row r="4956" spans="1:4" x14ac:dyDescent="0.3">
      <c r="A4956" s="1">
        <v>33130</v>
      </c>
      <c r="B4956">
        <v>374.39999399999999</v>
      </c>
      <c r="C4956">
        <f t="shared" si="171"/>
        <v>-4.7847366894821436E-3</v>
      </c>
      <c r="D4956">
        <f t="shared" si="170"/>
        <v>-0.4199372121137982</v>
      </c>
    </row>
    <row r="4957" spans="1:4" x14ac:dyDescent="0.3">
      <c r="A4957" s="1">
        <v>33133</v>
      </c>
      <c r="B4957">
        <v>374.10000600000001</v>
      </c>
      <c r="C4957">
        <f t="shared" si="171"/>
        <v>-8.0125001284050458E-4</v>
      </c>
      <c r="D4957">
        <f t="shared" si="170"/>
        <v>-0.10127465817755692</v>
      </c>
    </row>
    <row r="4958" spans="1:4" x14ac:dyDescent="0.3">
      <c r="A4958" s="1">
        <v>33134</v>
      </c>
      <c r="B4958">
        <v>372.20001200000002</v>
      </c>
      <c r="C4958">
        <f t="shared" si="171"/>
        <v>-5.0788398009274354E-3</v>
      </c>
      <c r="D4958">
        <f t="shared" si="170"/>
        <v>-0.44346425167020104</v>
      </c>
    </row>
    <row r="4959" spans="1:4" x14ac:dyDescent="0.3">
      <c r="A4959" s="1">
        <v>33135</v>
      </c>
      <c r="B4959">
        <v>371.70001200000002</v>
      </c>
      <c r="C4959">
        <f t="shared" si="171"/>
        <v>-1.343363739601384E-3</v>
      </c>
      <c r="D4959">
        <f t="shared" si="170"/>
        <v>-0.14464152713346293</v>
      </c>
    </row>
    <row r="4960" spans="1:4" x14ac:dyDescent="0.3">
      <c r="A4960" s="1">
        <v>33136</v>
      </c>
      <c r="B4960">
        <v>364.39999399999999</v>
      </c>
      <c r="C4960">
        <f t="shared" si="171"/>
        <v>-1.9639542007870645E-2</v>
      </c>
      <c r="D4960">
        <f t="shared" si="170"/>
        <v>-1.6082605542604218</v>
      </c>
    </row>
    <row r="4961" spans="1:4" x14ac:dyDescent="0.3">
      <c r="A4961" s="1">
        <v>33137</v>
      </c>
      <c r="B4961">
        <v>362.29998799999998</v>
      </c>
      <c r="C4961">
        <f t="shared" si="171"/>
        <v>-5.7629144746912586E-3</v>
      </c>
      <c r="D4961">
        <f t="shared" si="170"/>
        <v>-0.49818741263944044</v>
      </c>
    </row>
    <row r="4962" spans="1:4" x14ac:dyDescent="0.3">
      <c r="A4962" s="1">
        <v>33140</v>
      </c>
      <c r="B4962">
        <v>352.20001200000002</v>
      </c>
      <c r="C4962">
        <f t="shared" si="171"/>
        <v>-2.7877384307282864E-2</v>
      </c>
      <c r="D4962">
        <f t="shared" si="170"/>
        <v>-2.267254064003458</v>
      </c>
    </row>
    <row r="4963" spans="1:4" x14ac:dyDescent="0.3">
      <c r="A4963" s="1">
        <v>33141</v>
      </c>
      <c r="B4963">
        <v>354.79998799999998</v>
      </c>
      <c r="C4963">
        <f t="shared" si="171"/>
        <v>7.382100827412719E-3</v>
      </c>
      <c r="D4963">
        <f t="shared" si="170"/>
        <v>0.55335975890297828</v>
      </c>
    </row>
    <row r="4964" spans="1:4" x14ac:dyDescent="0.3">
      <c r="A4964" s="1">
        <v>33142</v>
      </c>
      <c r="B4964">
        <v>350</v>
      </c>
      <c r="C4964">
        <f t="shared" si="171"/>
        <v>-1.3528715226450303E-2</v>
      </c>
      <c r="D4964">
        <f t="shared" si="170"/>
        <v>-1.1194195396166646</v>
      </c>
    </row>
    <row r="4965" spans="1:4" x14ac:dyDescent="0.3">
      <c r="A4965" s="1">
        <v>33143</v>
      </c>
      <c r="B4965">
        <v>341.20001200000002</v>
      </c>
      <c r="C4965">
        <f t="shared" si="171"/>
        <v>-2.5142822857142814E-2</v>
      </c>
      <c r="D4965">
        <f t="shared" si="170"/>
        <v>-2.048500392576126</v>
      </c>
    </row>
    <row r="4966" spans="1:4" x14ac:dyDescent="0.3">
      <c r="A4966" s="1">
        <v>33144</v>
      </c>
      <c r="B4966">
        <v>344.5</v>
      </c>
      <c r="C4966">
        <f t="shared" si="171"/>
        <v>9.6717112659421151E-3</v>
      </c>
      <c r="D4966">
        <f t="shared" si="170"/>
        <v>0.73651917905095043</v>
      </c>
    </row>
    <row r="4967" spans="1:4" x14ac:dyDescent="0.3">
      <c r="A4967" s="1">
        <v>33147</v>
      </c>
      <c r="B4967">
        <v>354.70001200000002</v>
      </c>
      <c r="C4967">
        <f t="shared" si="171"/>
        <v>2.9608162554426748E-2</v>
      </c>
      <c r="D4967">
        <f t="shared" si="170"/>
        <v>2.3313533029521776</v>
      </c>
    </row>
    <row r="4968" spans="1:4" x14ac:dyDescent="0.3">
      <c r="A4968" s="1">
        <v>33148</v>
      </c>
      <c r="B4968">
        <v>356.39999399999999</v>
      </c>
      <c r="C4968">
        <f t="shared" si="171"/>
        <v>4.7927317239560095E-3</v>
      </c>
      <c r="D4968">
        <f t="shared" si="170"/>
        <v>0.34622087817581659</v>
      </c>
    </row>
    <row r="4969" spans="1:4" x14ac:dyDescent="0.3">
      <c r="A4969" s="1">
        <v>33149</v>
      </c>
      <c r="B4969">
        <v>351.5</v>
      </c>
      <c r="C4969">
        <f t="shared" si="171"/>
        <v>-1.3748580478371143E-2</v>
      </c>
      <c r="D4969">
        <f t="shared" si="170"/>
        <v>-1.1370078556790137</v>
      </c>
    </row>
    <row r="4970" spans="1:4" x14ac:dyDescent="0.3">
      <c r="A4970" s="1">
        <v>33150</v>
      </c>
      <c r="B4970">
        <v>349.89999399999999</v>
      </c>
      <c r="C4970">
        <f t="shared" si="171"/>
        <v>-4.5519374110953277E-3</v>
      </c>
      <c r="D4970">
        <f t="shared" si="170"/>
        <v>-0.40131422711920561</v>
      </c>
    </row>
    <row r="4971" spans="1:4" x14ac:dyDescent="0.3">
      <c r="A4971" s="1">
        <v>33151</v>
      </c>
      <c r="B4971">
        <v>347.39999399999999</v>
      </c>
      <c r="C4971">
        <f t="shared" si="171"/>
        <v>-7.1448986649596804E-3</v>
      </c>
      <c r="D4971">
        <f t="shared" si="170"/>
        <v>-0.60874046510796809</v>
      </c>
    </row>
    <row r="4972" spans="1:4" x14ac:dyDescent="0.3">
      <c r="A4972" s="1">
        <v>33154</v>
      </c>
      <c r="B4972">
        <v>348.10000600000001</v>
      </c>
      <c r="C4972">
        <f t="shared" si="171"/>
        <v>2.0150029133276701E-3</v>
      </c>
      <c r="D4972">
        <f t="shared" si="170"/>
        <v>0.12401399541466844</v>
      </c>
    </row>
    <row r="4973" spans="1:4" x14ac:dyDescent="0.3">
      <c r="A4973" s="1">
        <v>33155</v>
      </c>
      <c r="B4973">
        <v>339.10000600000001</v>
      </c>
      <c r="C4973">
        <f t="shared" si="171"/>
        <v>-2.585463902577468E-2</v>
      </c>
      <c r="D4973">
        <f t="shared" si="170"/>
        <v>-2.1054427590611002</v>
      </c>
    </row>
    <row r="4974" spans="1:4" x14ac:dyDescent="0.3">
      <c r="A4974" s="1">
        <v>33156</v>
      </c>
      <c r="B4974">
        <v>333.29998799999998</v>
      </c>
      <c r="C4974">
        <f t="shared" si="171"/>
        <v>-1.71041518648632E-2</v>
      </c>
      <c r="D4974">
        <f t="shared" si="170"/>
        <v>-1.4054397684063897</v>
      </c>
    </row>
    <row r="4975" spans="1:4" x14ac:dyDescent="0.3">
      <c r="A4975" s="1">
        <v>33157</v>
      </c>
      <c r="B4975">
        <v>325.60000600000001</v>
      </c>
      <c r="C4975">
        <f t="shared" si="171"/>
        <v>-2.3102257057386926E-2</v>
      </c>
      <c r="D4975">
        <f t="shared" si="170"/>
        <v>-1.8852635194523608</v>
      </c>
    </row>
    <row r="4976" spans="1:4" x14ac:dyDescent="0.3">
      <c r="A4976" s="1">
        <v>33158</v>
      </c>
      <c r="B4976">
        <v>327.60000600000001</v>
      </c>
      <c r="C4976">
        <f t="shared" si="171"/>
        <v>6.142506029314999E-3</v>
      </c>
      <c r="D4976">
        <f t="shared" si="170"/>
        <v>0.45419727229942775</v>
      </c>
    </row>
    <row r="4977" spans="1:4" x14ac:dyDescent="0.3">
      <c r="A4977" s="1">
        <v>33161</v>
      </c>
      <c r="B4977">
        <v>329.5</v>
      </c>
      <c r="C4977">
        <f t="shared" si="171"/>
        <v>5.7997373785151655E-3</v>
      </c>
      <c r="D4977">
        <f t="shared" si="170"/>
        <v>0.4267771897085551</v>
      </c>
    </row>
    <row r="4978" spans="1:4" x14ac:dyDescent="0.3">
      <c r="A4978" s="1">
        <v>33162</v>
      </c>
      <c r="B4978">
        <v>325.39999399999999</v>
      </c>
      <c r="C4978">
        <f t="shared" si="171"/>
        <v>-1.2443113808801236E-2</v>
      </c>
      <c r="D4978">
        <f t="shared" si="170"/>
        <v>-1.0325758902244422</v>
      </c>
    </row>
    <row r="4979" spans="1:4" x14ac:dyDescent="0.3">
      <c r="A4979" s="1">
        <v>33163</v>
      </c>
      <c r="B4979">
        <v>326.79998799999998</v>
      </c>
      <c r="C4979">
        <f t="shared" si="171"/>
        <v>4.3023786902712498E-3</v>
      </c>
      <c r="D4979">
        <f t="shared" si="170"/>
        <v>0.30699465182475844</v>
      </c>
    </row>
    <row r="4980" spans="1:4" x14ac:dyDescent="0.3">
      <c r="A4980" s="1">
        <v>33164</v>
      </c>
      <c r="B4980">
        <v>334</v>
      </c>
      <c r="C4980">
        <f t="shared" si="171"/>
        <v>2.20318612741198E-2</v>
      </c>
      <c r="D4980">
        <f t="shared" si="170"/>
        <v>1.7252803544646387</v>
      </c>
    </row>
    <row r="4981" spans="1:4" x14ac:dyDescent="0.3">
      <c r="A4981" s="1">
        <v>33165</v>
      </c>
      <c r="B4981">
        <v>337.39999399999999</v>
      </c>
      <c r="C4981">
        <f t="shared" si="171"/>
        <v>1.0179622754490995E-2</v>
      </c>
      <c r="D4981">
        <f t="shared" si="170"/>
        <v>0.77715000959034031</v>
      </c>
    </row>
    <row r="4982" spans="1:4" x14ac:dyDescent="0.3">
      <c r="A4982" s="1">
        <v>33168</v>
      </c>
      <c r="B4982">
        <v>341.10000600000001</v>
      </c>
      <c r="C4982">
        <f t="shared" si="171"/>
        <v>1.0966247972132493E-2</v>
      </c>
      <c r="D4982">
        <f t="shared" si="170"/>
        <v>0.84007679237943755</v>
      </c>
    </row>
    <row r="4983" spans="1:4" x14ac:dyDescent="0.3">
      <c r="A4983" s="1">
        <v>33169</v>
      </c>
      <c r="B4983">
        <v>341.10000600000001</v>
      </c>
      <c r="C4983">
        <f t="shared" si="171"/>
        <v>0</v>
      </c>
      <c r="D4983">
        <f t="shared" si="170"/>
        <v>-3.7177951910056316E-2</v>
      </c>
    </row>
    <row r="4984" spans="1:4" x14ac:dyDescent="0.3">
      <c r="A4984" s="1">
        <v>33170</v>
      </c>
      <c r="B4984">
        <v>341</v>
      </c>
      <c r="C4984">
        <f t="shared" si="171"/>
        <v>-2.9318674359685469E-4</v>
      </c>
      <c r="D4984">
        <f t="shared" si="170"/>
        <v>-6.0631685806711334E-2</v>
      </c>
    </row>
    <row r="4985" spans="1:4" x14ac:dyDescent="0.3">
      <c r="A4985" s="1">
        <v>33171</v>
      </c>
      <c r="B4985">
        <v>339.70001200000002</v>
      </c>
      <c r="C4985">
        <f t="shared" si="171"/>
        <v>-3.8122815249266419E-3</v>
      </c>
      <c r="D4985">
        <f t="shared" si="170"/>
        <v>-0.34214479770888823</v>
      </c>
    </row>
    <row r="4986" spans="1:4" x14ac:dyDescent="0.3">
      <c r="A4986" s="1">
        <v>33172</v>
      </c>
      <c r="B4986">
        <v>334.39999399999999</v>
      </c>
      <c r="C4986">
        <f t="shared" si="171"/>
        <v>-1.5602054203047902E-2</v>
      </c>
      <c r="D4986">
        <f t="shared" si="170"/>
        <v>-1.2852781321236582</v>
      </c>
    </row>
    <row r="4987" spans="1:4" x14ac:dyDescent="0.3">
      <c r="A4987" s="1">
        <v>33175</v>
      </c>
      <c r="B4987">
        <v>330.79998799999998</v>
      </c>
      <c r="C4987">
        <f t="shared" si="171"/>
        <v>-1.0765568374980317E-2</v>
      </c>
      <c r="D4987">
        <f t="shared" si="170"/>
        <v>-0.89837915362681031</v>
      </c>
    </row>
    <row r="4988" spans="1:4" x14ac:dyDescent="0.3">
      <c r="A4988" s="1">
        <v>33176</v>
      </c>
      <c r="B4988">
        <v>329.79998799999998</v>
      </c>
      <c r="C4988">
        <f t="shared" si="171"/>
        <v>-3.0229747166738109E-3</v>
      </c>
      <c r="D4988">
        <f t="shared" si="170"/>
        <v>-0.27900349869765079</v>
      </c>
    </row>
    <row r="4989" spans="1:4" x14ac:dyDescent="0.3">
      <c r="A4989" s="1">
        <v>33177</v>
      </c>
      <c r="B4989">
        <v>329.79998799999998</v>
      </c>
      <c r="C4989">
        <f t="shared" si="171"/>
        <v>0</v>
      </c>
      <c r="D4989">
        <f t="shared" si="170"/>
        <v>-3.7177951910056316E-2</v>
      </c>
    </row>
    <row r="4990" spans="1:4" x14ac:dyDescent="0.3">
      <c r="A4990" s="1">
        <v>33178</v>
      </c>
      <c r="B4990">
        <v>330.60000600000001</v>
      </c>
      <c r="C4990">
        <f t="shared" si="171"/>
        <v>2.4257672198581852E-3</v>
      </c>
      <c r="D4990">
        <f t="shared" si="170"/>
        <v>0.15687345086418855</v>
      </c>
    </row>
    <row r="4991" spans="1:4" x14ac:dyDescent="0.3">
      <c r="A4991" s="1">
        <v>33179</v>
      </c>
      <c r="B4991">
        <v>336.5</v>
      </c>
      <c r="C4991">
        <f t="shared" si="171"/>
        <v>1.7846321515190753E-2</v>
      </c>
      <c r="D4991">
        <f t="shared" si="170"/>
        <v>1.3904543847926436</v>
      </c>
    </row>
    <row r="4992" spans="1:4" x14ac:dyDescent="0.3">
      <c r="A4992" s="1">
        <v>33182</v>
      </c>
      <c r="B4992">
        <v>340.79998799999998</v>
      </c>
      <c r="C4992">
        <f t="shared" si="171"/>
        <v>1.2778567607726552E-2</v>
      </c>
      <c r="D4992">
        <f t="shared" si="170"/>
        <v>0.98505491092409148</v>
      </c>
    </row>
    <row r="4993" spans="1:4" x14ac:dyDescent="0.3">
      <c r="A4993" s="1">
        <v>33183</v>
      </c>
      <c r="B4993">
        <v>340.5</v>
      </c>
      <c r="C4993">
        <f t="shared" si="171"/>
        <v>-8.8024650986779035E-4</v>
      </c>
      <c r="D4993">
        <f t="shared" si="170"/>
        <v>-0.10759405310420304</v>
      </c>
    </row>
    <row r="4994" spans="1:4" x14ac:dyDescent="0.3">
      <c r="A4994" s="1">
        <v>33184</v>
      </c>
      <c r="B4994">
        <v>336.79998799999998</v>
      </c>
      <c r="C4994">
        <f t="shared" si="171"/>
        <v>-1.0866408223201219E-2</v>
      </c>
      <c r="D4994">
        <f t="shared" si="170"/>
        <v>-0.90644592682854885</v>
      </c>
    </row>
    <row r="4995" spans="1:4" x14ac:dyDescent="0.3">
      <c r="A4995" s="1">
        <v>33185</v>
      </c>
      <c r="B4995">
        <v>336.39999399999999</v>
      </c>
      <c r="C4995">
        <f t="shared" si="171"/>
        <v>-1.1876306836447763E-3</v>
      </c>
      <c r="D4995">
        <f t="shared" ref="D4995:D5058" si="172">(C4995-avrtn)/sdrtn</f>
        <v>-0.13218352303508682</v>
      </c>
    </row>
    <row r="4996" spans="1:4" x14ac:dyDescent="0.3">
      <c r="A4996" s="1">
        <v>33186</v>
      </c>
      <c r="B4996">
        <v>342</v>
      </c>
      <c r="C4996">
        <f t="shared" ref="C4996:C5059" si="173">(B4996-B4995)/B4995</f>
        <v>1.6646867122120126E-2</v>
      </c>
      <c r="D4996">
        <f t="shared" si="172"/>
        <v>1.2945029655329288</v>
      </c>
    </row>
    <row r="4997" spans="1:4" x14ac:dyDescent="0.3">
      <c r="A4997" s="1">
        <v>33189</v>
      </c>
      <c r="B4997">
        <v>351.5</v>
      </c>
      <c r="C4997">
        <f t="shared" si="173"/>
        <v>2.7777777777777776E-2</v>
      </c>
      <c r="D4997">
        <f t="shared" si="172"/>
        <v>2.1849300474074349</v>
      </c>
    </row>
    <row r="4998" spans="1:4" x14ac:dyDescent="0.3">
      <c r="A4998" s="1">
        <v>33190</v>
      </c>
      <c r="B4998">
        <v>352.89999399999999</v>
      </c>
      <c r="C4998">
        <f t="shared" si="173"/>
        <v>3.9829132290184702E-3</v>
      </c>
      <c r="D4998">
        <f t="shared" si="172"/>
        <v>0.28143872857436214</v>
      </c>
    </row>
    <row r="4999" spans="1:4" x14ac:dyDescent="0.3">
      <c r="A4999" s="1">
        <v>33191</v>
      </c>
      <c r="B4999">
        <v>356.89999399999999</v>
      </c>
      <c r="C4999">
        <f t="shared" si="173"/>
        <v>1.1334655902544448E-2</v>
      </c>
      <c r="D4999">
        <f t="shared" si="172"/>
        <v>0.86954791190993219</v>
      </c>
    </row>
    <row r="5000" spans="1:4" x14ac:dyDescent="0.3">
      <c r="A5000" s="1">
        <v>33192</v>
      </c>
      <c r="B5000">
        <v>354.5</v>
      </c>
      <c r="C5000">
        <f t="shared" si="173"/>
        <v>-6.7245560110600405E-3</v>
      </c>
      <c r="D5000">
        <f t="shared" si="172"/>
        <v>-0.57511478125531768</v>
      </c>
    </row>
    <row r="5001" spans="1:4" x14ac:dyDescent="0.3">
      <c r="A5001" s="1">
        <v>33193</v>
      </c>
      <c r="B5001">
        <v>350.89999399999999</v>
      </c>
      <c r="C5001">
        <f t="shared" si="173"/>
        <v>-1.0155165021156581E-2</v>
      </c>
      <c r="D5001">
        <f t="shared" si="172"/>
        <v>-0.84954939531450013</v>
      </c>
    </row>
    <row r="5002" spans="1:4" x14ac:dyDescent="0.3">
      <c r="A5002" s="1">
        <v>33196</v>
      </c>
      <c r="B5002">
        <v>352.70001200000002</v>
      </c>
      <c r="C5002">
        <f t="shared" si="173"/>
        <v>5.1297179560510983E-3</v>
      </c>
      <c r="D5002">
        <f t="shared" si="172"/>
        <v>0.37317839104775746</v>
      </c>
    </row>
    <row r="5003" spans="1:4" x14ac:dyDescent="0.3">
      <c r="A5003" s="1">
        <v>33197</v>
      </c>
      <c r="B5003">
        <v>348.29998799999998</v>
      </c>
      <c r="C5003">
        <f t="shared" si="173"/>
        <v>-1.2475259002826544E-2</v>
      </c>
      <c r="D5003">
        <f t="shared" si="172"/>
        <v>-1.035147373564639</v>
      </c>
    </row>
    <row r="5004" spans="1:4" x14ac:dyDescent="0.3">
      <c r="A5004" s="1">
        <v>33198</v>
      </c>
      <c r="B5004">
        <v>348.79998799999998</v>
      </c>
      <c r="C5004">
        <f t="shared" si="173"/>
        <v>1.4355441206618704E-3</v>
      </c>
      <c r="D5004">
        <f t="shared" si="172"/>
        <v>7.7659674750197388E-2</v>
      </c>
    </row>
    <row r="5005" spans="1:4" x14ac:dyDescent="0.3">
      <c r="A5005" s="1">
        <v>33200</v>
      </c>
      <c r="B5005">
        <v>349</v>
      </c>
      <c r="C5005">
        <f t="shared" si="173"/>
        <v>5.7342891881067149E-4</v>
      </c>
      <c r="D5005">
        <f t="shared" si="172"/>
        <v>8.6940036409939234E-3</v>
      </c>
    </row>
    <row r="5006" spans="1:4" x14ac:dyDescent="0.3">
      <c r="A5006" s="1">
        <v>33203</v>
      </c>
      <c r="B5006">
        <v>348.89999399999999</v>
      </c>
      <c r="C5006">
        <f t="shared" si="173"/>
        <v>-2.8655014326649741E-4</v>
      </c>
      <c r="D5006">
        <f t="shared" si="172"/>
        <v>-6.0100785070146365E-2</v>
      </c>
    </row>
    <row r="5007" spans="1:4" x14ac:dyDescent="0.3">
      <c r="A5007" s="1">
        <v>33204</v>
      </c>
      <c r="B5007">
        <v>354.10000600000001</v>
      </c>
      <c r="C5007">
        <f t="shared" si="173"/>
        <v>1.490401859966789E-2</v>
      </c>
      <c r="D5007">
        <f t="shared" si="172"/>
        <v>1.1550822503726967</v>
      </c>
    </row>
    <row r="5008" spans="1:4" x14ac:dyDescent="0.3">
      <c r="A5008" s="1">
        <v>33205</v>
      </c>
      <c r="B5008">
        <v>355.10000600000001</v>
      </c>
      <c r="C5008">
        <f t="shared" si="173"/>
        <v>2.8240609518656716E-3</v>
      </c>
      <c r="D5008">
        <f t="shared" si="172"/>
        <v>0.18873531163117527</v>
      </c>
    </row>
    <row r="5009" spans="1:4" x14ac:dyDescent="0.3">
      <c r="A5009" s="1">
        <v>33206</v>
      </c>
      <c r="B5009">
        <v>355.79998799999998</v>
      </c>
      <c r="C5009">
        <f t="shared" si="173"/>
        <v>1.9712249737331099E-3</v>
      </c>
      <c r="D5009">
        <f t="shared" si="172"/>
        <v>0.12051194026306687</v>
      </c>
    </row>
    <row r="5010" spans="1:4" x14ac:dyDescent="0.3">
      <c r="A5010" s="1">
        <v>33207</v>
      </c>
      <c r="B5010">
        <v>359.10000600000001</v>
      </c>
      <c r="C5010">
        <f t="shared" si="173"/>
        <v>9.2749244274848673E-3</v>
      </c>
      <c r="D5010">
        <f t="shared" si="172"/>
        <v>0.70477786357159944</v>
      </c>
    </row>
    <row r="5011" spans="1:4" x14ac:dyDescent="0.3">
      <c r="A5011" s="1">
        <v>33210</v>
      </c>
      <c r="B5011">
        <v>361.29998799999998</v>
      </c>
      <c r="C5011">
        <f t="shared" si="173"/>
        <v>6.1263769513832233E-3</v>
      </c>
      <c r="D5011">
        <f t="shared" si="172"/>
        <v>0.45290701238805042</v>
      </c>
    </row>
    <row r="5012" spans="1:4" x14ac:dyDescent="0.3">
      <c r="A5012" s="1">
        <v>33211</v>
      </c>
      <c r="B5012">
        <v>364.10000600000001</v>
      </c>
      <c r="C5012">
        <f t="shared" si="173"/>
        <v>7.7498424937673203E-3</v>
      </c>
      <c r="D5012">
        <f t="shared" si="172"/>
        <v>0.58277758004857882</v>
      </c>
    </row>
    <row r="5013" spans="1:4" x14ac:dyDescent="0.3">
      <c r="A5013" s="1">
        <v>33212</v>
      </c>
      <c r="B5013">
        <v>370.89999399999999</v>
      </c>
      <c r="C5013">
        <f t="shared" si="173"/>
        <v>1.8676154594735119E-2</v>
      </c>
      <c r="D5013">
        <f t="shared" si="172"/>
        <v>1.4568376188621806</v>
      </c>
    </row>
    <row r="5014" spans="1:4" x14ac:dyDescent="0.3">
      <c r="A5014" s="1">
        <v>33213</v>
      </c>
      <c r="B5014">
        <v>372.29998799999998</v>
      </c>
      <c r="C5014">
        <f t="shared" si="173"/>
        <v>3.7745862028781604E-3</v>
      </c>
      <c r="D5014">
        <f t="shared" si="172"/>
        <v>0.2647734231289875</v>
      </c>
    </row>
    <row r="5015" spans="1:4" x14ac:dyDescent="0.3">
      <c r="A5015" s="1">
        <v>33214</v>
      </c>
      <c r="B5015">
        <v>371.5</v>
      </c>
      <c r="C5015">
        <f t="shared" si="173"/>
        <v>-2.1487725645588387E-3</v>
      </c>
      <c r="D5015">
        <f t="shared" si="172"/>
        <v>-0.20907092126918195</v>
      </c>
    </row>
    <row r="5016" spans="1:4" x14ac:dyDescent="0.3">
      <c r="A5016" s="1">
        <v>33217</v>
      </c>
      <c r="B5016">
        <v>371.5</v>
      </c>
      <c r="C5016">
        <f t="shared" si="173"/>
        <v>0</v>
      </c>
      <c r="D5016">
        <f t="shared" si="172"/>
        <v>-3.7177951910056316E-2</v>
      </c>
    </row>
    <row r="5017" spans="1:4" x14ac:dyDescent="0.3">
      <c r="A5017" s="1">
        <v>33218</v>
      </c>
      <c r="B5017">
        <v>368</v>
      </c>
      <c r="C5017">
        <f t="shared" si="173"/>
        <v>-9.4212651413189772E-3</v>
      </c>
      <c r="D5017">
        <f t="shared" si="172"/>
        <v>-0.79084042274182986</v>
      </c>
    </row>
    <row r="5018" spans="1:4" x14ac:dyDescent="0.3">
      <c r="A5018" s="1">
        <v>33219</v>
      </c>
      <c r="B5018">
        <v>370.39999399999999</v>
      </c>
      <c r="C5018">
        <f t="shared" si="173"/>
        <v>6.5217228260869356E-3</v>
      </c>
      <c r="D5018">
        <f t="shared" si="172"/>
        <v>0.48453305669239688</v>
      </c>
    </row>
    <row r="5019" spans="1:4" x14ac:dyDescent="0.3">
      <c r="A5019" s="1">
        <v>33220</v>
      </c>
      <c r="B5019">
        <v>371.5</v>
      </c>
      <c r="C5019">
        <f t="shared" si="173"/>
        <v>2.9697786658171694E-3</v>
      </c>
      <c r="D5019">
        <f t="shared" si="172"/>
        <v>0.20039212955247498</v>
      </c>
    </row>
    <row r="5020" spans="1:4" x14ac:dyDescent="0.3">
      <c r="A5020" s="1">
        <v>33221</v>
      </c>
      <c r="B5020">
        <v>368.79998799999998</v>
      </c>
      <c r="C5020">
        <f t="shared" si="173"/>
        <v>-7.2678654104980219E-3</v>
      </c>
      <c r="D5020">
        <f t="shared" si="172"/>
        <v>-0.61857729910875636</v>
      </c>
    </row>
    <row r="5021" spans="1:4" x14ac:dyDescent="0.3">
      <c r="A5021" s="1">
        <v>33224</v>
      </c>
      <c r="B5021">
        <v>365.70001200000002</v>
      </c>
      <c r="C5021">
        <f t="shared" si="173"/>
        <v>-8.4055751108103888E-3</v>
      </c>
      <c r="D5021">
        <f t="shared" si="172"/>
        <v>-0.70958939684350408</v>
      </c>
    </row>
    <row r="5022" spans="1:4" x14ac:dyDescent="0.3">
      <c r="A5022" s="1">
        <v>33225</v>
      </c>
      <c r="B5022">
        <v>370.20001200000002</v>
      </c>
      <c r="C5022">
        <f t="shared" si="173"/>
        <v>1.2305167766852575E-2</v>
      </c>
      <c r="D5022">
        <f t="shared" si="172"/>
        <v>0.94718487028595055</v>
      </c>
    </row>
    <row r="5023" spans="1:4" x14ac:dyDescent="0.3">
      <c r="A5023" s="1">
        <v>33226</v>
      </c>
      <c r="B5023">
        <v>371.20001200000002</v>
      </c>
      <c r="C5023">
        <f t="shared" si="173"/>
        <v>2.7012424840223937E-3</v>
      </c>
      <c r="D5023">
        <f t="shared" si="172"/>
        <v>0.17891033923627048</v>
      </c>
    </row>
    <row r="5024" spans="1:4" x14ac:dyDescent="0.3">
      <c r="A5024" s="1">
        <v>33227</v>
      </c>
      <c r="B5024">
        <v>372.29998799999998</v>
      </c>
      <c r="C5024">
        <f t="shared" si="173"/>
        <v>2.9632973179967719E-3</v>
      </c>
      <c r="D5024">
        <f t="shared" si="172"/>
        <v>0.19987364837830465</v>
      </c>
    </row>
    <row r="5025" spans="1:4" x14ac:dyDescent="0.3">
      <c r="A5025" s="1">
        <v>33228</v>
      </c>
      <c r="B5025">
        <v>373.60000600000001</v>
      </c>
      <c r="C5025">
        <f t="shared" si="173"/>
        <v>3.4918561426330822E-3</v>
      </c>
      <c r="D5025">
        <f t="shared" si="172"/>
        <v>0.24215618090233573</v>
      </c>
    </row>
    <row r="5026" spans="1:4" x14ac:dyDescent="0.3">
      <c r="A5026" s="1">
        <v>33231</v>
      </c>
      <c r="B5026">
        <v>372.39999399999999</v>
      </c>
      <c r="C5026">
        <f t="shared" si="173"/>
        <v>-3.2120235030189351E-3</v>
      </c>
      <c r="D5026">
        <f t="shared" si="172"/>
        <v>-0.29412662423200631</v>
      </c>
    </row>
    <row r="5027" spans="1:4" x14ac:dyDescent="0.3">
      <c r="A5027" s="1">
        <v>33233</v>
      </c>
      <c r="B5027">
        <v>372.39999399999999</v>
      </c>
      <c r="C5027">
        <f t="shared" si="173"/>
        <v>0</v>
      </c>
      <c r="D5027">
        <f t="shared" si="172"/>
        <v>-3.7177951910056316E-2</v>
      </c>
    </row>
    <row r="5028" spans="1:4" x14ac:dyDescent="0.3">
      <c r="A5028" s="1">
        <v>33234</v>
      </c>
      <c r="B5028">
        <v>371.10000600000001</v>
      </c>
      <c r="C5028">
        <f t="shared" si="173"/>
        <v>-3.4908378650510526E-3</v>
      </c>
      <c r="D5028">
        <f t="shared" si="172"/>
        <v>-0.31643062670306848</v>
      </c>
    </row>
    <row r="5029" spans="1:4" x14ac:dyDescent="0.3">
      <c r="A5029" s="1">
        <v>33235</v>
      </c>
      <c r="B5029">
        <v>371.20001200000002</v>
      </c>
      <c r="C5029">
        <f t="shared" si="173"/>
        <v>2.6948530957449671E-4</v>
      </c>
      <c r="D5029">
        <f t="shared" si="172"/>
        <v>-1.5620235274310891E-2</v>
      </c>
    </row>
    <row r="5030" spans="1:4" x14ac:dyDescent="0.3">
      <c r="A5030" s="1">
        <v>33238</v>
      </c>
      <c r="B5030">
        <v>373.79998799999998</v>
      </c>
      <c r="C5030">
        <f t="shared" si="173"/>
        <v>7.0042454632247416E-3</v>
      </c>
      <c r="D5030">
        <f t="shared" si="172"/>
        <v>0.52313288351848175</v>
      </c>
    </row>
    <row r="5031" spans="1:4" x14ac:dyDescent="0.3">
      <c r="A5031" s="1">
        <v>33240</v>
      </c>
      <c r="B5031">
        <v>372.20001200000002</v>
      </c>
      <c r="C5031">
        <f t="shared" si="173"/>
        <v>-4.2802997628773858E-3</v>
      </c>
      <c r="D5031">
        <f t="shared" si="172"/>
        <v>-0.37958433224245391</v>
      </c>
    </row>
    <row r="5032" spans="1:4" x14ac:dyDescent="0.3">
      <c r="A5032" s="1">
        <v>33241</v>
      </c>
      <c r="B5032">
        <v>367.5</v>
      </c>
      <c r="C5032">
        <f t="shared" si="173"/>
        <v>-1.2627651392982801E-2</v>
      </c>
      <c r="D5032">
        <f t="shared" si="172"/>
        <v>-1.0473381381358871</v>
      </c>
    </row>
    <row r="5033" spans="1:4" x14ac:dyDescent="0.3">
      <c r="A5033" s="1">
        <v>33242</v>
      </c>
      <c r="B5033">
        <v>367.20001200000002</v>
      </c>
      <c r="C5033">
        <f t="shared" si="173"/>
        <v>-8.1629387755097909E-4</v>
      </c>
      <c r="D5033">
        <f t="shared" si="172"/>
        <v>-0.10247810549365356</v>
      </c>
    </row>
    <row r="5034" spans="1:4" x14ac:dyDescent="0.3">
      <c r="A5034" s="1">
        <v>33245</v>
      </c>
      <c r="B5034">
        <v>360.20001200000002</v>
      </c>
      <c r="C5034">
        <f t="shared" si="173"/>
        <v>-1.9063180204906965E-2</v>
      </c>
      <c r="D5034">
        <f t="shared" si="172"/>
        <v>-1.5621539800372226</v>
      </c>
    </row>
    <row r="5035" spans="1:4" x14ac:dyDescent="0.3">
      <c r="A5035" s="1">
        <v>33246</v>
      </c>
      <c r="B5035">
        <v>359</v>
      </c>
      <c r="C5035">
        <f t="shared" si="173"/>
        <v>-3.3315157135531E-3</v>
      </c>
      <c r="D5035">
        <f t="shared" si="172"/>
        <v>-0.30368550971983382</v>
      </c>
    </row>
    <row r="5036" spans="1:4" x14ac:dyDescent="0.3">
      <c r="A5036" s="1">
        <v>33247</v>
      </c>
      <c r="B5036">
        <v>357.5</v>
      </c>
      <c r="C5036">
        <f t="shared" si="173"/>
        <v>-4.178272980501393E-3</v>
      </c>
      <c r="D5036">
        <f t="shared" si="172"/>
        <v>-0.37142260918901049</v>
      </c>
    </row>
    <row r="5037" spans="1:4" x14ac:dyDescent="0.3">
      <c r="A5037" s="1">
        <v>33248</v>
      </c>
      <c r="B5037">
        <v>361.89999399999999</v>
      </c>
      <c r="C5037">
        <f t="shared" si="173"/>
        <v>1.2307675524475504E-2</v>
      </c>
      <c r="D5037">
        <f t="shared" si="172"/>
        <v>0.94738548058382388</v>
      </c>
    </row>
    <row r="5038" spans="1:4" x14ac:dyDescent="0.3">
      <c r="A5038" s="1">
        <v>33249</v>
      </c>
      <c r="B5038">
        <v>361.79998799999998</v>
      </c>
      <c r="C5038">
        <f t="shared" si="173"/>
        <v>-2.7633600900255219E-4</v>
      </c>
      <c r="D5038">
        <f t="shared" si="172"/>
        <v>-5.9283696329801815E-2</v>
      </c>
    </row>
    <row r="5039" spans="1:4" x14ac:dyDescent="0.3">
      <c r="A5039" s="1">
        <v>33252</v>
      </c>
      <c r="B5039">
        <v>355.79998799999998</v>
      </c>
      <c r="C5039">
        <f t="shared" si="173"/>
        <v>-1.6583748477072918E-2</v>
      </c>
      <c r="D5039">
        <f t="shared" si="172"/>
        <v>-1.3638096372946842</v>
      </c>
    </row>
    <row r="5040" spans="1:4" x14ac:dyDescent="0.3">
      <c r="A5040" s="1">
        <v>33253</v>
      </c>
      <c r="B5040">
        <v>357.29998799999998</v>
      </c>
      <c r="C5040">
        <f t="shared" si="173"/>
        <v>4.2158517442108514E-3</v>
      </c>
      <c r="D5040">
        <f t="shared" si="172"/>
        <v>0.30007285194085476</v>
      </c>
    </row>
    <row r="5041" spans="1:4" x14ac:dyDescent="0.3">
      <c r="A5041" s="1">
        <v>33254</v>
      </c>
      <c r="B5041">
        <v>365.20001200000002</v>
      </c>
      <c r="C5041">
        <f t="shared" si="173"/>
        <v>2.2110339393574315E-2</v>
      </c>
      <c r="D5041">
        <f t="shared" si="172"/>
        <v>1.7315582813170445</v>
      </c>
    </row>
    <row r="5042" spans="1:4" x14ac:dyDescent="0.3">
      <c r="A5042" s="1">
        <v>33255</v>
      </c>
      <c r="B5042">
        <v>375.79998799999998</v>
      </c>
      <c r="C5042">
        <f t="shared" si="173"/>
        <v>2.9025125004650792E-2</v>
      </c>
      <c r="D5042">
        <f t="shared" si="172"/>
        <v>2.2847126964348314</v>
      </c>
    </row>
    <row r="5043" spans="1:4" x14ac:dyDescent="0.3">
      <c r="A5043" s="1">
        <v>33256</v>
      </c>
      <c r="B5043">
        <v>377</v>
      </c>
      <c r="C5043">
        <f t="shared" si="173"/>
        <v>3.1932198997303195E-3</v>
      </c>
      <c r="D5043">
        <f t="shared" si="172"/>
        <v>0.21826650946968312</v>
      </c>
    </row>
    <row r="5044" spans="1:4" x14ac:dyDescent="0.3">
      <c r="A5044" s="1">
        <v>33259</v>
      </c>
      <c r="B5044">
        <v>379.70001200000002</v>
      </c>
      <c r="C5044">
        <f t="shared" si="173"/>
        <v>7.1618355437666186E-3</v>
      </c>
      <c r="D5044">
        <f t="shared" si="172"/>
        <v>0.53573944194754863</v>
      </c>
    </row>
    <row r="5045" spans="1:4" x14ac:dyDescent="0.3">
      <c r="A5045" s="1">
        <v>33260</v>
      </c>
      <c r="B5045">
        <v>379</v>
      </c>
      <c r="C5045">
        <f t="shared" si="173"/>
        <v>-1.8435922514535373E-3</v>
      </c>
      <c r="D5045">
        <f t="shared" si="172"/>
        <v>-0.18465775112970367</v>
      </c>
    </row>
    <row r="5046" spans="1:4" x14ac:dyDescent="0.3">
      <c r="A5046" s="1">
        <v>33261</v>
      </c>
      <c r="B5046">
        <v>383.89999399999999</v>
      </c>
      <c r="C5046">
        <f t="shared" si="173"/>
        <v>1.2928744063324518E-2</v>
      </c>
      <c r="D5046">
        <f t="shared" si="172"/>
        <v>0.99706840984265344</v>
      </c>
    </row>
    <row r="5047" spans="1:4" x14ac:dyDescent="0.3">
      <c r="A5047" s="1">
        <v>33262</v>
      </c>
      <c r="B5047">
        <v>391.29998799999998</v>
      </c>
      <c r="C5047">
        <f t="shared" si="173"/>
        <v>1.9275837758934669E-2</v>
      </c>
      <c r="D5047">
        <f t="shared" si="172"/>
        <v>1.5048098060862389</v>
      </c>
    </row>
    <row r="5048" spans="1:4" x14ac:dyDescent="0.3">
      <c r="A5048" s="1">
        <v>33263</v>
      </c>
      <c r="B5048">
        <v>394.29998799999998</v>
      </c>
      <c r="C5048">
        <f t="shared" si="173"/>
        <v>7.6667520879147074E-3</v>
      </c>
      <c r="D5048">
        <f t="shared" si="172"/>
        <v>0.5761306892501602</v>
      </c>
    </row>
    <row r="5049" spans="1:4" x14ac:dyDescent="0.3">
      <c r="A5049" s="1">
        <v>33266</v>
      </c>
      <c r="B5049">
        <v>396.79998799999998</v>
      </c>
      <c r="C5049">
        <f t="shared" si="173"/>
        <v>6.3403501802794882E-3</v>
      </c>
      <c r="D5049">
        <f t="shared" si="172"/>
        <v>0.47002399083657703</v>
      </c>
    </row>
    <row r="5050" spans="1:4" x14ac:dyDescent="0.3">
      <c r="A5050" s="1">
        <v>33267</v>
      </c>
      <c r="B5050">
        <v>400.60000600000001</v>
      </c>
      <c r="C5050">
        <f t="shared" si="173"/>
        <v>9.576658555745781E-3</v>
      </c>
      <c r="D5050">
        <f t="shared" si="172"/>
        <v>0.72891535309432343</v>
      </c>
    </row>
    <row r="5051" spans="1:4" x14ac:dyDescent="0.3">
      <c r="A5051" s="1">
        <v>33268</v>
      </c>
      <c r="B5051">
        <v>408.5</v>
      </c>
      <c r="C5051">
        <f t="shared" si="173"/>
        <v>1.9720404098046849E-2</v>
      </c>
      <c r="D5051">
        <f t="shared" si="172"/>
        <v>1.5403732851475038</v>
      </c>
    </row>
    <row r="5052" spans="1:4" x14ac:dyDescent="0.3">
      <c r="A5052" s="1">
        <v>33269</v>
      </c>
      <c r="B5052">
        <v>414.20001200000002</v>
      </c>
      <c r="C5052">
        <f t="shared" si="173"/>
        <v>1.3953517747858054E-2</v>
      </c>
      <c r="D5052">
        <f t="shared" si="172"/>
        <v>1.0790460907107664</v>
      </c>
    </row>
    <row r="5053" spans="1:4" x14ac:dyDescent="0.3">
      <c r="A5053" s="1">
        <v>33270</v>
      </c>
      <c r="B5053">
        <v>417.70001200000002</v>
      </c>
      <c r="C5053">
        <f t="shared" si="173"/>
        <v>8.4500238981161588E-3</v>
      </c>
      <c r="D5053">
        <f t="shared" si="172"/>
        <v>0.63878921323334759</v>
      </c>
    </row>
    <row r="5054" spans="1:4" x14ac:dyDescent="0.3">
      <c r="A5054" s="1">
        <v>33273</v>
      </c>
      <c r="B5054">
        <v>424.79998799999998</v>
      </c>
      <c r="C5054">
        <f t="shared" si="173"/>
        <v>1.6997787397717311E-2</v>
      </c>
      <c r="D5054">
        <f t="shared" si="172"/>
        <v>1.3225751445879081</v>
      </c>
    </row>
    <row r="5055" spans="1:4" x14ac:dyDescent="0.3">
      <c r="A5055" s="1">
        <v>33274</v>
      </c>
      <c r="B5055">
        <v>432.20001200000002</v>
      </c>
      <c r="C5055">
        <f t="shared" si="173"/>
        <v>1.7420019324482727E-2</v>
      </c>
      <c r="D5055">
        <f t="shared" si="172"/>
        <v>1.3563519625010843</v>
      </c>
    </row>
    <row r="5056" spans="1:4" x14ac:dyDescent="0.3">
      <c r="A5056" s="1">
        <v>33275</v>
      </c>
      <c r="B5056">
        <v>439.20001200000002</v>
      </c>
      <c r="C5056">
        <f t="shared" si="173"/>
        <v>1.6196205010748588E-2</v>
      </c>
      <c r="D5056">
        <f t="shared" si="172"/>
        <v>1.2584518497568806</v>
      </c>
    </row>
    <row r="5057" spans="1:4" x14ac:dyDescent="0.3">
      <c r="A5057" s="1">
        <v>33276</v>
      </c>
      <c r="B5057">
        <v>435</v>
      </c>
      <c r="C5057">
        <f t="shared" si="173"/>
        <v>-9.5628685911784885E-3</v>
      </c>
      <c r="D5057">
        <f t="shared" si="172"/>
        <v>-0.80216811645372577</v>
      </c>
    </row>
    <row r="5058" spans="1:4" x14ac:dyDescent="0.3">
      <c r="A5058" s="1">
        <v>33277</v>
      </c>
      <c r="B5058">
        <v>436.79998799999998</v>
      </c>
      <c r="C5058">
        <f t="shared" si="173"/>
        <v>4.1379034482758271E-3</v>
      </c>
      <c r="D5058">
        <f t="shared" si="172"/>
        <v>0.29383730879136094</v>
      </c>
    </row>
    <row r="5059" spans="1:4" x14ac:dyDescent="0.3">
      <c r="A5059" s="1">
        <v>33280</v>
      </c>
      <c r="B5059">
        <v>444.10000600000001</v>
      </c>
      <c r="C5059">
        <f t="shared" si="173"/>
        <v>1.6712495880379975E-2</v>
      </c>
      <c r="D5059">
        <f t="shared" ref="D5059:D5122" si="174">(C5059-avrtn)/sdrtn</f>
        <v>1.2997529963266501</v>
      </c>
    </row>
    <row r="5060" spans="1:4" x14ac:dyDescent="0.3">
      <c r="A5060" s="1">
        <v>33281</v>
      </c>
      <c r="B5060">
        <v>444</v>
      </c>
      <c r="C5060">
        <f t="shared" ref="C5060:C5123" si="175">(B5060-B5059)/B5059</f>
        <v>-2.2518801767367594E-4</v>
      </c>
      <c r="D5060">
        <f t="shared" si="174"/>
        <v>-5.5192067345288774E-2</v>
      </c>
    </row>
    <row r="5061" spans="1:4" x14ac:dyDescent="0.3">
      <c r="A5061" s="1">
        <v>33282</v>
      </c>
      <c r="B5061">
        <v>448</v>
      </c>
      <c r="C5061">
        <f t="shared" si="175"/>
        <v>9.0090090090090089E-3</v>
      </c>
      <c r="D5061">
        <f t="shared" si="174"/>
        <v>0.6835057235442652</v>
      </c>
    </row>
    <row r="5062" spans="1:4" x14ac:dyDescent="0.3">
      <c r="A5062" s="1">
        <v>33283</v>
      </c>
      <c r="B5062">
        <v>444.29998799999998</v>
      </c>
      <c r="C5062">
        <f t="shared" si="175"/>
        <v>-8.2589553571428918E-3</v>
      </c>
      <c r="D5062">
        <f t="shared" si="174"/>
        <v>-0.69786041945413391</v>
      </c>
    </row>
    <row r="5063" spans="1:4" x14ac:dyDescent="0.3">
      <c r="A5063" s="1">
        <v>33284</v>
      </c>
      <c r="B5063">
        <v>448.70001200000002</v>
      </c>
      <c r="C5063">
        <f t="shared" si="175"/>
        <v>9.9032728310585287E-3</v>
      </c>
      <c r="D5063">
        <f t="shared" si="174"/>
        <v>0.75504315207341821</v>
      </c>
    </row>
    <row r="5064" spans="1:4" x14ac:dyDescent="0.3">
      <c r="A5064" s="1">
        <v>33288</v>
      </c>
      <c r="B5064">
        <v>450.29998799999998</v>
      </c>
      <c r="C5064">
        <f t="shared" si="175"/>
        <v>3.5658033367736339E-3</v>
      </c>
      <c r="D5064">
        <f t="shared" si="174"/>
        <v>0.24807165236090065</v>
      </c>
    </row>
    <row r="5065" spans="1:4" x14ac:dyDescent="0.3">
      <c r="A5065" s="1">
        <v>33289</v>
      </c>
      <c r="B5065">
        <v>446</v>
      </c>
      <c r="C5065">
        <f t="shared" si="175"/>
        <v>-9.5491630348433082E-3</v>
      </c>
      <c r="D5065">
        <f t="shared" si="174"/>
        <v>-0.80107172830449569</v>
      </c>
    </row>
    <row r="5066" spans="1:4" x14ac:dyDescent="0.3">
      <c r="A5066" s="1">
        <v>33290</v>
      </c>
      <c r="B5066">
        <v>446.39999399999999</v>
      </c>
      <c r="C5066">
        <f t="shared" si="175"/>
        <v>8.9684753363226998E-4</v>
      </c>
      <c r="D5066">
        <f t="shared" si="174"/>
        <v>3.4566162921431158E-2</v>
      </c>
    </row>
    <row r="5067" spans="1:4" x14ac:dyDescent="0.3">
      <c r="A5067" s="1">
        <v>33291</v>
      </c>
      <c r="B5067">
        <v>449</v>
      </c>
      <c r="C5067">
        <f t="shared" si="175"/>
        <v>5.8243862790016247E-3</v>
      </c>
      <c r="D5067">
        <f t="shared" si="174"/>
        <v>0.42874900039058739</v>
      </c>
    </row>
    <row r="5068" spans="1:4" x14ac:dyDescent="0.3">
      <c r="A5068" s="1">
        <v>33294</v>
      </c>
      <c r="B5068">
        <v>451.10000600000001</v>
      </c>
      <c r="C5068">
        <f t="shared" si="175"/>
        <v>4.6770734966592601E-3</v>
      </c>
      <c r="D5068">
        <f t="shared" si="174"/>
        <v>0.33696869558154902</v>
      </c>
    </row>
    <row r="5069" spans="1:4" x14ac:dyDescent="0.3">
      <c r="A5069" s="1">
        <v>33295</v>
      </c>
      <c r="B5069">
        <v>447.70001200000002</v>
      </c>
      <c r="C5069">
        <f t="shared" si="175"/>
        <v>-7.5371180553697277E-3</v>
      </c>
      <c r="D5069">
        <f t="shared" si="174"/>
        <v>-0.64011640352500154</v>
      </c>
    </row>
    <row r="5070" spans="1:4" x14ac:dyDescent="0.3">
      <c r="A5070" s="1">
        <v>33296</v>
      </c>
      <c r="B5070">
        <v>450.79998799999998</v>
      </c>
      <c r="C5070">
        <f t="shared" si="175"/>
        <v>6.9242258586313587E-3</v>
      </c>
      <c r="D5070">
        <f t="shared" si="174"/>
        <v>0.5167316441935913</v>
      </c>
    </row>
    <row r="5071" spans="1:4" x14ac:dyDescent="0.3">
      <c r="A5071" s="1">
        <v>33297</v>
      </c>
      <c r="B5071">
        <v>453.10000600000001</v>
      </c>
      <c r="C5071">
        <f t="shared" si="175"/>
        <v>5.1020808811557085E-3</v>
      </c>
      <c r="D5071">
        <f t="shared" si="174"/>
        <v>0.37096753870045729</v>
      </c>
    </row>
    <row r="5072" spans="1:4" x14ac:dyDescent="0.3">
      <c r="A5072" s="1">
        <v>33298</v>
      </c>
      <c r="B5072">
        <v>456.70001200000002</v>
      </c>
      <c r="C5072">
        <f t="shared" si="175"/>
        <v>7.9452790826050161E-3</v>
      </c>
      <c r="D5072">
        <f t="shared" si="174"/>
        <v>0.59841170351553929</v>
      </c>
    </row>
    <row r="5073" spans="1:4" x14ac:dyDescent="0.3">
      <c r="A5073" s="1">
        <v>33301</v>
      </c>
      <c r="B5073">
        <v>461.10000600000001</v>
      </c>
      <c r="C5073">
        <f t="shared" si="175"/>
        <v>9.6343198694726385E-3</v>
      </c>
      <c r="D5073">
        <f t="shared" si="174"/>
        <v>0.7335280210877333</v>
      </c>
    </row>
    <row r="5074" spans="1:4" x14ac:dyDescent="0.3">
      <c r="A5074" s="1">
        <v>33302</v>
      </c>
      <c r="B5074">
        <v>473.10000600000001</v>
      </c>
      <c r="C5074">
        <f t="shared" si="175"/>
        <v>2.6024723148669836E-2</v>
      </c>
      <c r="D5074">
        <f t="shared" si="174"/>
        <v>2.0446928856825077</v>
      </c>
    </row>
    <row r="5075" spans="1:4" x14ac:dyDescent="0.3">
      <c r="A5075" s="1">
        <v>33303</v>
      </c>
      <c r="B5075">
        <v>473.79998799999998</v>
      </c>
      <c r="C5075">
        <f t="shared" si="175"/>
        <v>1.4795645553214751E-3</v>
      </c>
      <c r="D5075">
        <f t="shared" si="174"/>
        <v>8.1181128509856842E-2</v>
      </c>
    </row>
    <row r="5076" spans="1:4" x14ac:dyDescent="0.3">
      <c r="A5076" s="1">
        <v>33304</v>
      </c>
      <c r="B5076">
        <v>475.73998999999998</v>
      </c>
      <c r="C5076">
        <f t="shared" si="175"/>
        <v>4.0945589893092039E-3</v>
      </c>
      <c r="D5076">
        <f t="shared" si="174"/>
        <v>0.29036993030751135</v>
      </c>
    </row>
    <row r="5077" spans="1:4" x14ac:dyDescent="0.3">
      <c r="A5077" s="1">
        <v>33305</v>
      </c>
      <c r="B5077">
        <v>475.10998499999999</v>
      </c>
      <c r="C5077">
        <f t="shared" si="175"/>
        <v>-1.3242632808731991E-3</v>
      </c>
      <c r="D5077">
        <f t="shared" si="174"/>
        <v>-0.14311356897676372</v>
      </c>
    </row>
    <row r="5078" spans="1:4" x14ac:dyDescent="0.3">
      <c r="A5078" s="1">
        <v>33308</v>
      </c>
      <c r="B5078">
        <v>467.14999399999999</v>
      </c>
      <c r="C5078">
        <f t="shared" si="175"/>
        <v>-1.6753996445686155E-2</v>
      </c>
      <c r="D5078">
        <f t="shared" si="174"/>
        <v>-1.3774287747199132</v>
      </c>
    </row>
    <row r="5079" spans="1:4" x14ac:dyDescent="0.3">
      <c r="A5079" s="1">
        <v>33309</v>
      </c>
      <c r="B5079">
        <v>461.39999399999999</v>
      </c>
      <c r="C5079">
        <f t="shared" si="175"/>
        <v>-1.2308680453499053E-2</v>
      </c>
      <c r="D5079">
        <f t="shared" si="174"/>
        <v>-1.0218217745935276</v>
      </c>
    </row>
    <row r="5080" spans="1:4" x14ac:dyDescent="0.3">
      <c r="A5080" s="1">
        <v>33310</v>
      </c>
      <c r="B5080">
        <v>468.17999300000002</v>
      </c>
      <c r="C5080">
        <f t="shared" si="175"/>
        <v>1.4694406346264566E-2</v>
      </c>
      <c r="D5080">
        <f t="shared" si="174"/>
        <v>1.1383141320311669</v>
      </c>
    </row>
    <row r="5081" spans="1:4" x14ac:dyDescent="0.3">
      <c r="A5081" s="1">
        <v>33311</v>
      </c>
      <c r="B5081">
        <v>467.790009</v>
      </c>
      <c r="C5081">
        <f t="shared" si="175"/>
        <v>-8.3297878130393914E-4</v>
      </c>
      <c r="D5081">
        <f t="shared" si="174"/>
        <v>-0.10381282918515618</v>
      </c>
    </row>
    <row r="5082" spans="1:4" x14ac:dyDescent="0.3">
      <c r="A5082" s="1">
        <v>33312</v>
      </c>
      <c r="B5082">
        <v>466.290009</v>
      </c>
      <c r="C5082">
        <f t="shared" si="175"/>
        <v>-3.206566987624569E-3</v>
      </c>
      <c r="D5082">
        <f t="shared" si="174"/>
        <v>-0.29369012543778239</v>
      </c>
    </row>
    <row r="5083" spans="1:4" x14ac:dyDescent="0.3">
      <c r="A5083" s="1">
        <v>33315</v>
      </c>
      <c r="B5083">
        <v>466.26998900000001</v>
      </c>
      <c r="C5083">
        <f t="shared" si="175"/>
        <v>-4.2934653570902821E-5</v>
      </c>
      <c r="D5083">
        <f t="shared" si="174"/>
        <v>-4.0612547647378143E-2</v>
      </c>
    </row>
    <row r="5084" spans="1:4" x14ac:dyDescent="0.3">
      <c r="A5084" s="1">
        <v>33316</v>
      </c>
      <c r="B5084">
        <v>462.80999800000001</v>
      </c>
      <c r="C5084">
        <f t="shared" si="175"/>
        <v>-7.420574091462709E-3</v>
      </c>
      <c r="D5084">
        <f t="shared" si="174"/>
        <v>-0.63079336564408306</v>
      </c>
    </row>
    <row r="5085" spans="1:4" x14ac:dyDescent="0.3">
      <c r="A5085" s="1">
        <v>33317</v>
      </c>
      <c r="B5085">
        <v>466.08999599999999</v>
      </c>
      <c r="C5085">
        <f t="shared" si="175"/>
        <v>7.0871373007805631E-3</v>
      </c>
      <c r="D5085">
        <f t="shared" si="174"/>
        <v>0.52976388966967469</v>
      </c>
    </row>
    <row r="5086" spans="1:4" x14ac:dyDescent="0.3">
      <c r="A5086" s="1">
        <v>33318</v>
      </c>
      <c r="B5086">
        <v>464.60000600000001</v>
      </c>
      <c r="C5086">
        <f t="shared" si="175"/>
        <v>-3.1967860558843181E-3</v>
      </c>
      <c r="D5086">
        <f t="shared" si="174"/>
        <v>-0.29290769111799392</v>
      </c>
    </row>
    <row r="5087" spans="1:4" x14ac:dyDescent="0.3">
      <c r="A5087" s="1">
        <v>33319</v>
      </c>
      <c r="B5087">
        <v>464.14999399999999</v>
      </c>
      <c r="C5087">
        <f t="shared" si="175"/>
        <v>-9.6860093454242263E-4</v>
      </c>
      <c r="D5087">
        <f t="shared" si="174"/>
        <v>-0.11466204376260845</v>
      </c>
    </row>
    <row r="5088" spans="1:4" x14ac:dyDescent="0.3">
      <c r="A5088" s="1">
        <v>33322</v>
      </c>
      <c r="B5088">
        <v>468.48998999999998</v>
      </c>
      <c r="C5088">
        <f t="shared" si="175"/>
        <v>9.3504170119626997E-3</v>
      </c>
      <c r="D5088">
        <f t="shared" si="174"/>
        <v>0.71081695990246385</v>
      </c>
    </row>
    <row r="5089" spans="1:4" x14ac:dyDescent="0.3">
      <c r="A5089" s="1">
        <v>33323</v>
      </c>
      <c r="B5089">
        <v>478.57000699999998</v>
      </c>
      <c r="C5089">
        <f t="shared" si="175"/>
        <v>2.1515970917542974E-2</v>
      </c>
      <c r="D5089">
        <f t="shared" si="174"/>
        <v>1.6840112472923143</v>
      </c>
    </row>
    <row r="5090" spans="1:4" x14ac:dyDescent="0.3">
      <c r="A5090" s="1">
        <v>33324</v>
      </c>
      <c r="B5090">
        <v>482.36999500000002</v>
      </c>
      <c r="C5090">
        <f t="shared" si="175"/>
        <v>7.9402970190734119E-3</v>
      </c>
      <c r="D5090">
        <f t="shared" si="174"/>
        <v>0.59801315891937856</v>
      </c>
    </row>
    <row r="5091" spans="1:4" x14ac:dyDescent="0.3">
      <c r="A5091" s="1">
        <v>33325</v>
      </c>
      <c r="B5091">
        <v>482.29998799999998</v>
      </c>
      <c r="C5091">
        <f t="shared" si="175"/>
        <v>-1.451313322256546E-4</v>
      </c>
      <c r="D5091">
        <f t="shared" si="174"/>
        <v>-4.8787861704504658E-2</v>
      </c>
    </row>
    <row r="5092" spans="1:4" x14ac:dyDescent="0.3">
      <c r="A5092" s="1">
        <v>33329</v>
      </c>
      <c r="B5092">
        <v>480.85998499999999</v>
      </c>
      <c r="C5092">
        <f t="shared" si="175"/>
        <v>-2.9856998462127063E-3</v>
      </c>
      <c r="D5092">
        <f t="shared" si="174"/>
        <v>-0.27602166233594561</v>
      </c>
    </row>
    <row r="5093" spans="1:4" x14ac:dyDescent="0.3">
      <c r="A5093" s="1">
        <v>33330</v>
      </c>
      <c r="B5093">
        <v>491.20001200000002</v>
      </c>
      <c r="C5093">
        <f t="shared" si="175"/>
        <v>2.1503197027301035E-2</v>
      </c>
      <c r="D5093">
        <f t="shared" si="174"/>
        <v>1.6829893885995098</v>
      </c>
    </row>
    <row r="5094" spans="1:4" x14ac:dyDescent="0.3">
      <c r="A5094" s="1">
        <v>33331</v>
      </c>
      <c r="B5094">
        <v>495.04998799999998</v>
      </c>
      <c r="C5094">
        <f t="shared" si="175"/>
        <v>7.8378988313216272E-3</v>
      </c>
      <c r="D5094">
        <f t="shared" si="174"/>
        <v>0.58982172496309981</v>
      </c>
    </row>
    <row r="5095" spans="1:4" x14ac:dyDescent="0.3">
      <c r="A5095" s="1">
        <v>33332</v>
      </c>
      <c r="B5095">
        <v>497.57000699999998</v>
      </c>
      <c r="C5095">
        <f t="shared" si="175"/>
        <v>5.0904334129586743E-3</v>
      </c>
      <c r="D5095">
        <f t="shared" si="174"/>
        <v>0.37003578913936996</v>
      </c>
    </row>
    <row r="5096" spans="1:4" x14ac:dyDescent="0.3">
      <c r="A5096" s="1">
        <v>33333</v>
      </c>
      <c r="B5096">
        <v>495.790009</v>
      </c>
      <c r="C5096">
        <f t="shared" si="175"/>
        <v>-3.5773820265657167E-3</v>
      </c>
      <c r="D5096">
        <f t="shared" si="174"/>
        <v>-0.32335380375252298</v>
      </c>
    </row>
    <row r="5097" spans="1:4" x14ac:dyDescent="0.3">
      <c r="A5097" s="1">
        <v>33336</v>
      </c>
      <c r="B5097">
        <v>495.64999399999999</v>
      </c>
      <c r="C5097">
        <f t="shared" si="175"/>
        <v>-2.8240786917512357E-4</v>
      </c>
      <c r="D5097">
        <f t="shared" si="174"/>
        <v>-5.9769420175969305E-2</v>
      </c>
    </row>
    <row r="5098" spans="1:4" x14ac:dyDescent="0.3">
      <c r="A5098" s="1">
        <v>33337</v>
      </c>
      <c r="B5098">
        <v>492.459991</v>
      </c>
      <c r="C5098">
        <f t="shared" si="175"/>
        <v>-6.4359992708887034E-3</v>
      </c>
      <c r="D5098">
        <f t="shared" si="174"/>
        <v>-0.55203142859401622</v>
      </c>
    </row>
    <row r="5099" spans="1:4" x14ac:dyDescent="0.3">
      <c r="A5099" s="1">
        <v>33338</v>
      </c>
      <c r="B5099">
        <v>490.76001000000002</v>
      </c>
      <c r="C5099">
        <f t="shared" si="175"/>
        <v>-3.4520185011333838E-3</v>
      </c>
      <c r="D5099">
        <f t="shared" si="174"/>
        <v>-0.31332523721583316</v>
      </c>
    </row>
    <row r="5100" spans="1:4" x14ac:dyDescent="0.3">
      <c r="A5100" s="1">
        <v>33339</v>
      </c>
      <c r="B5100">
        <v>499.30999800000001</v>
      </c>
      <c r="C5100">
        <f t="shared" si="175"/>
        <v>1.7421932972900511E-2</v>
      </c>
      <c r="D5100">
        <f t="shared" si="174"/>
        <v>1.3565050465055375</v>
      </c>
    </row>
    <row r="5101" spans="1:4" x14ac:dyDescent="0.3">
      <c r="A5101" s="1">
        <v>33340</v>
      </c>
      <c r="B5101">
        <v>501.61999500000002</v>
      </c>
      <c r="C5101">
        <f t="shared" si="175"/>
        <v>4.6263784207261358E-3</v>
      </c>
      <c r="D5101">
        <f t="shared" si="174"/>
        <v>0.33291329796629693</v>
      </c>
    </row>
    <row r="5102" spans="1:4" x14ac:dyDescent="0.3">
      <c r="A5102" s="1">
        <v>33343</v>
      </c>
      <c r="B5102">
        <v>500.83999599999999</v>
      </c>
      <c r="C5102">
        <f t="shared" si="175"/>
        <v>-1.5549599453268048E-3</v>
      </c>
      <c r="D5102">
        <f t="shared" si="174"/>
        <v>-0.16156835350269966</v>
      </c>
    </row>
    <row r="5103" spans="1:4" x14ac:dyDescent="0.3">
      <c r="A5103" s="1">
        <v>33344</v>
      </c>
      <c r="B5103">
        <v>506.75</v>
      </c>
      <c r="C5103">
        <f t="shared" si="175"/>
        <v>1.1800183785641622E-2</v>
      </c>
      <c r="D5103">
        <f t="shared" si="174"/>
        <v>0.90678822829561267</v>
      </c>
    </row>
    <row r="5104" spans="1:4" x14ac:dyDescent="0.3">
      <c r="A5104" s="1">
        <v>33345</v>
      </c>
      <c r="B5104">
        <v>511.30999800000001</v>
      </c>
      <c r="C5104">
        <f t="shared" si="175"/>
        <v>8.9985160335471284E-3</v>
      </c>
      <c r="D5104">
        <f t="shared" si="174"/>
        <v>0.68266632865468768</v>
      </c>
    </row>
    <row r="5105" spans="1:4" x14ac:dyDescent="0.3">
      <c r="A5105" s="1">
        <v>33346</v>
      </c>
      <c r="B5105">
        <v>506.61999500000002</v>
      </c>
      <c r="C5105">
        <f t="shared" si="175"/>
        <v>-9.1725235539008368E-3</v>
      </c>
      <c r="D5105">
        <f t="shared" si="174"/>
        <v>-0.77094211857989781</v>
      </c>
    </row>
    <row r="5106" spans="1:4" x14ac:dyDescent="0.3">
      <c r="A5106" s="1">
        <v>33347</v>
      </c>
      <c r="B5106">
        <v>501.19000199999999</v>
      </c>
      <c r="C5106">
        <f t="shared" si="175"/>
        <v>-1.0718078744602302E-2</v>
      </c>
      <c r="D5106">
        <f t="shared" si="174"/>
        <v>-0.89458017847509608</v>
      </c>
    </row>
    <row r="5107" spans="1:4" x14ac:dyDescent="0.3">
      <c r="A5107" s="1">
        <v>33350</v>
      </c>
      <c r="B5107">
        <v>494.38000499999998</v>
      </c>
      <c r="C5107">
        <f t="shared" si="175"/>
        <v>-1.3587655325973582E-2</v>
      </c>
      <c r="D5107">
        <f t="shared" si="174"/>
        <v>-1.1241345052153895</v>
      </c>
    </row>
    <row r="5108" spans="1:4" x14ac:dyDescent="0.3">
      <c r="A5108" s="1">
        <v>33351</v>
      </c>
      <c r="B5108">
        <v>496.07998700000002</v>
      </c>
      <c r="C5108">
        <f t="shared" si="175"/>
        <v>3.4386139868258512E-3</v>
      </c>
      <c r="D5108">
        <f t="shared" si="174"/>
        <v>0.23789702737081012</v>
      </c>
    </row>
    <row r="5109" spans="1:4" x14ac:dyDescent="0.3">
      <c r="A5109" s="1">
        <v>33352</v>
      </c>
      <c r="B5109">
        <v>498.45001200000002</v>
      </c>
      <c r="C5109">
        <f t="shared" si="175"/>
        <v>4.7775057694476155E-3</v>
      </c>
      <c r="D5109">
        <f t="shared" si="174"/>
        <v>0.34500286442464412</v>
      </c>
    </row>
    <row r="5110" spans="1:4" x14ac:dyDescent="0.3">
      <c r="A5110" s="1">
        <v>33353</v>
      </c>
      <c r="B5110">
        <v>496.02999899999998</v>
      </c>
      <c r="C5110">
        <f t="shared" si="175"/>
        <v>-4.855076621003351E-3</v>
      </c>
      <c r="D5110">
        <f t="shared" si="174"/>
        <v>-0.42556411739596806</v>
      </c>
    </row>
    <row r="5111" spans="1:4" x14ac:dyDescent="0.3">
      <c r="A5111" s="1">
        <v>33354</v>
      </c>
      <c r="B5111">
        <v>494.64001500000001</v>
      </c>
      <c r="C5111">
        <f t="shared" si="175"/>
        <v>-2.8022176134552094E-3</v>
      </c>
      <c r="D5111">
        <f t="shared" si="174"/>
        <v>-0.2613438381987952</v>
      </c>
    </row>
    <row r="5112" spans="1:4" x14ac:dyDescent="0.3">
      <c r="A5112" s="1">
        <v>33357</v>
      </c>
      <c r="B5112">
        <v>487.73998999999998</v>
      </c>
      <c r="C5112">
        <f t="shared" si="175"/>
        <v>-1.3949589177495128E-2</v>
      </c>
      <c r="D5112">
        <f t="shared" si="174"/>
        <v>-1.1530877250562228</v>
      </c>
    </row>
    <row r="5113" spans="1:4" x14ac:dyDescent="0.3">
      <c r="A5113" s="1">
        <v>33358</v>
      </c>
      <c r="B5113">
        <v>484.72000100000002</v>
      </c>
      <c r="C5113">
        <f t="shared" si="175"/>
        <v>-6.1918010864763272E-3</v>
      </c>
      <c r="D5113">
        <f t="shared" si="174"/>
        <v>-0.53249657798996042</v>
      </c>
    </row>
    <row r="5114" spans="1:4" x14ac:dyDescent="0.3">
      <c r="A5114" s="1">
        <v>33359</v>
      </c>
      <c r="B5114">
        <v>487.85000600000001</v>
      </c>
      <c r="C5114">
        <f t="shared" si="175"/>
        <v>6.4573464960031276E-3</v>
      </c>
      <c r="D5114">
        <f t="shared" si="174"/>
        <v>0.47938321500274328</v>
      </c>
    </row>
    <row r="5115" spans="1:4" x14ac:dyDescent="0.3">
      <c r="A5115" s="1">
        <v>33360</v>
      </c>
      <c r="B5115">
        <v>491.13000499999998</v>
      </c>
      <c r="C5115">
        <f t="shared" si="175"/>
        <v>6.7233759550265849E-3</v>
      </c>
      <c r="D5115">
        <f t="shared" si="174"/>
        <v>0.50066447780494794</v>
      </c>
    </row>
    <row r="5116" spans="1:4" x14ac:dyDescent="0.3">
      <c r="A5116" s="1">
        <v>33361</v>
      </c>
      <c r="B5116">
        <v>492.10000600000001</v>
      </c>
      <c r="C5116">
        <f t="shared" si="175"/>
        <v>1.9750391752180255E-3</v>
      </c>
      <c r="D5116">
        <f t="shared" si="174"/>
        <v>0.12081706069776989</v>
      </c>
    </row>
    <row r="5117" spans="1:4" x14ac:dyDescent="0.3">
      <c r="A5117" s="1">
        <v>33364</v>
      </c>
      <c r="B5117">
        <v>491.48001099999999</v>
      </c>
      <c r="C5117">
        <f t="shared" si="175"/>
        <v>-1.259896347166509E-3</v>
      </c>
      <c r="D5117">
        <f t="shared" si="174"/>
        <v>-0.13796447895864145</v>
      </c>
    </row>
    <row r="5118" spans="1:4" x14ac:dyDescent="0.3">
      <c r="A5118" s="1">
        <v>33365</v>
      </c>
      <c r="B5118">
        <v>491.51001000000002</v>
      </c>
      <c r="C5118">
        <f t="shared" si="175"/>
        <v>6.1038087671142502E-5</v>
      </c>
      <c r="D5118">
        <f t="shared" si="174"/>
        <v>-3.2295155886481144E-2</v>
      </c>
    </row>
    <row r="5119" spans="1:4" x14ac:dyDescent="0.3">
      <c r="A5119" s="1">
        <v>33366</v>
      </c>
      <c r="B5119">
        <v>492.51001000000002</v>
      </c>
      <c r="C5119">
        <f t="shared" si="175"/>
        <v>2.0345465598961047E-3</v>
      </c>
      <c r="D5119">
        <f t="shared" si="174"/>
        <v>0.12557740677618831</v>
      </c>
    </row>
    <row r="5120" spans="1:4" x14ac:dyDescent="0.3">
      <c r="A5120" s="1">
        <v>33367</v>
      </c>
      <c r="B5120">
        <v>497.80999800000001</v>
      </c>
      <c r="C5120">
        <f t="shared" si="175"/>
        <v>1.07611782347327E-2</v>
      </c>
      <c r="D5120">
        <f t="shared" si="174"/>
        <v>0.82367205663925303</v>
      </c>
    </row>
    <row r="5121" spans="1:4" x14ac:dyDescent="0.3">
      <c r="A5121" s="1">
        <v>33368</v>
      </c>
      <c r="B5121">
        <v>493.42001299999998</v>
      </c>
      <c r="C5121">
        <f t="shared" si="175"/>
        <v>-8.8185954834921251E-3</v>
      </c>
      <c r="D5121">
        <f t="shared" si="174"/>
        <v>-0.74262932830812245</v>
      </c>
    </row>
    <row r="5122" spans="1:4" x14ac:dyDescent="0.3">
      <c r="A5122" s="1">
        <v>33371</v>
      </c>
      <c r="B5122">
        <v>493.92999300000002</v>
      </c>
      <c r="C5122">
        <f t="shared" si="175"/>
        <v>1.0335616443673545E-3</v>
      </c>
      <c r="D5122">
        <f t="shared" si="174"/>
        <v>4.5502729608455472E-2</v>
      </c>
    </row>
    <row r="5123" spans="1:4" x14ac:dyDescent="0.3">
      <c r="A5123" s="1">
        <v>33372</v>
      </c>
      <c r="B5123">
        <v>488.790009</v>
      </c>
      <c r="C5123">
        <f t="shared" si="175"/>
        <v>-1.0406300635402042E-2</v>
      </c>
      <c r="D5123">
        <f t="shared" ref="D5123:D5186" si="176">(C5123-avrtn)/sdrtn</f>
        <v>-0.86963921177832071</v>
      </c>
    </row>
    <row r="5124" spans="1:4" x14ac:dyDescent="0.3">
      <c r="A5124" s="1">
        <v>33373</v>
      </c>
      <c r="B5124">
        <v>478.07998700000002</v>
      </c>
      <c r="C5124">
        <f t="shared" ref="C5124:C5187" si="177">(B5124-B5123)/B5123</f>
        <v>-2.191129483581564E-2</v>
      </c>
      <c r="D5124">
        <f t="shared" si="176"/>
        <v>-1.7899914389925753</v>
      </c>
    </row>
    <row r="5125" spans="1:4" x14ac:dyDescent="0.3">
      <c r="A5125" s="1">
        <v>33374</v>
      </c>
      <c r="B5125">
        <v>481.76998900000001</v>
      </c>
      <c r="C5125">
        <f t="shared" si="177"/>
        <v>7.7183778872550726E-3</v>
      </c>
      <c r="D5125">
        <f t="shared" si="176"/>
        <v>0.58026054091083412</v>
      </c>
    </row>
    <row r="5126" spans="1:4" x14ac:dyDescent="0.3">
      <c r="A5126" s="1">
        <v>33375</v>
      </c>
      <c r="B5126">
        <v>481.38000499999998</v>
      </c>
      <c r="C5126">
        <f t="shared" si="177"/>
        <v>-8.09481721369794E-4</v>
      </c>
      <c r="D5126">
        <f t="shared" si="176"/>
        <v>-0.10193316101091235</v>
      </c>
    </row>
    <row r="5127" spans="1:4" x14ac:dyDescent="0.3">
      <c r="A5127" s="1">
        <v>33378</v>
      </c>
      <c r="B5127">
        <v>480.10000600000001</v>
      </c>
      <c r="C5127">
        <f t="shared" si="177"/>
        <v>-2.6590198734988491E-3</v>
      </c>
      <c r="D5127">
        <f t="shared" si="176"/>
        <v>-0.24988860783491149</v>
      </c>
    </row>
    <row r="5128" spans="1:4" x14ac:dyDescent="0.3">
      <c r="A5128" s="1">
        <v>33379</v>
      </c>
      <c r="B5128">
        <v>483.60000600000001</v>
      </c>
      <c r="C5128">
        <f t="shared" si="177"/>
        <v>7.2901477947492467E-3</v>
      </c>
      <c r="D5128">
        <f t="shared" si="176"/>
        <v>0.54600389440303021</v>
      </c>
    </row>
    <row r="5129" spans="1:4" x14ac:dyDescent="0.3">
      <c r="A5129" s="1">
        <v>33380</v>
      </c>
      <c r="B5129">
        <v>487.290009</v>
      </c>
      <c r="C5129">
        <f t="shared" si="177"/>
        <v>7.6302790616590479E-3</v>
      </c>
      <c r="D5129">
        <f t="shared" si="176"/>
        <v>0.57321299712768758</v>
      </c>
    </row>
    <row r="5130" spans="1:4" x14ac:dyDescent="0.3">
      <c r="A5130" s="1">
        <v>33381</v>
      </c>
      <c r="B5130">
        <v>489.60000600000001</v>
      </c>
      <c r="C5130">
        <f t="shared" si="177"/>
        <v>4.7404973574986841E-3</v>
      </c>
      <c r="D5130">
        <f t="shared" si="176"/>
        <v>0.34204234364822883</v>
      </c>
    </row>
    <row r="5131" spans="1:4" x14ac:dyDescent="0.3">
      <c r="A5131" s="1">
        <v>33382</v>
      </c>
      <c r="B5131">
        <v>492.67001299999998</v>
      </c>
      <c r="C5131">
        <f t="shared" si="177"/>
        <v>6.2704390571432624E-3</v>
      </c>
      <c r="D5131">
        <f t="shared" si="176"/>
        <v>0.46443138846193505</v>
      </c>
    </row>
    <row r="5132" spans="1:4" x14ac:dyDescent="0.3">
      <c r="A5132" s="1">
        <v>33386</v>
      </c>
      <c r="B5132">
        <v>497.17001299999998</v>
      </c>
      <c r="C5132">
        <f t="shared" si="177"/>
        <v>9.1339027772327601E-3</v>
      </c>
      <c r="D5132">
        <f t="shared" si="176"/>
        <v>0.69349671143592173</v>
      </c>
    </row>
    <row r="5133" spans="1:4" x14ac:dyDescent="0.3">
      <c r="A5133" s="1">
        <v>33387</v>
      </c>
      <c r="B5133">
        <v>499.04998799999998</v>
      </c>
      <c r="C5133">
        <f t="shared" si="177"/>
        <v>3.7813523560199149E-3</v>
      </c>
      <c r="D5133">
        <f t="shared" si="176"/>
        <v>0.2653146875577399</v>
      </c>
    </row>
    <row r="5134" spans="1:4" x14ac:dyDescent="0.3">
      <c r="A5134" s="1">
        <v>33388</v>
      </c>
      <c r="B5134">
        <v>503.19000199999999</v>
      </c>
      <c r="C5134">
        <f t="shared" si="177"/>
        <v>8.2957902004798922E-3</v>
      </c>
      <c r="D5134">
        <f t="shared" si="176"/>
        <v>0.6264511516352006</v>
      </c>
    </row>
    <row r="5135" spans="1:4" x14ac:dyDescent="0.3">
      <c r="A5135" s="1">
        <v>33389</v>
      </c>
      <c r="B5135">
        <v>506.10998499999999</v>
      </c>
      <c r="C5135">
        <f t="shared" si="177"/>
        <v>5.8029431991774788E-3</v>
      </c>
      <c r="D5135">
        <f t="shared" si="176"/>
        <v>0.42703364217912682</v>
      </c>
    </row>
    <row r="5136" spans="1:4" x14ac:dyDescent="0.3">
      <c r="A5136" s="1">
        <v>33392</v>
      </c>
      <c r="B5136">
        <v>507.10000600000001</v>
      </c>
      <c r="C5136">
        <f t="shared" si="177"/>
        <v>1.9561380516924854E-3</v>
      </c>
      <c r="D5136">
        <f t="shared" si="176"/>
        <v>0.11930504853761104</v>
      </c>
    </row>
    <row r="5137" spans="1:4" x14ac:dyDescent="0.3">
      <c r="A5137" s="1">
        <v>33393</v>
      </c>
      <c r="B5137">
        <v>507.25</v>
      </c>
      <c r="C5137">
        <f t="shared" si="177"/>
        <v>2.9578780955485218E-4</v>
      </c>
      <c r="D5137">
        <f t="shared" si="176"/>
        <v>-1.3516143432408633E-2</v>
      </c>
    </row>
    <row r="5138" spans="1:4" x14ac:dyDescent="0.3">
      <c r="A5138" s="1">
        <v>33394</v>
      </c>
      <c r="B5138">
        <v>505.20001200000002</v>
      </c>
      <c r="C5138">
        <f t="shared" si="177"/>
        <v>-4.0413760473139177E-3</v>
      </c>
      <c r="D5138">
        <f t="shared" si="176"/>
        <v>-0.36047141745756534</v>
      </c>
    </row>
    <row r="5139" spans="1:4" x14ac:dyDescent="0.3">
      <c r="A5139" s="1">
        <v>33395</v>
      </c>
      <c r="B5139">
        <v>502.94000199999999</v>
      </c>
      <c r="C5139">
        <f t="shared" si="177"/>
        <v>-4.4734955390302372E-3</v>
      </c>
      <c r="D5139">
        <f t="shared" si="176"/>
        <v>-0.39503919990890363</v>
      </c>
    </row>
    <row r="5140" spans="1:4" x14ac:dyDescent="0.3">
      <c r="A5140" s="1">
        <v>33396</v>
      </c>
      <c r="B5140">
        <v>498.540009</v>
      </c>
      <c r="C5140">
        <f t="shared" si="177"/>
        <v>-8.7485445232093409E-3</v>
      </c>
      <c r="D5140">
        <f t="shared" si="176"/>
        <v>-0.73702553953676964</v>
      </c>
    </row>
    <row r="5141" spans="1:4" x14ac:dyDescent="0.3">
      <c r="A5141" s="1">
        <v>33399</v>
      </c>
      <c r="B5141">
        <v>495.85000600000001</v>
      </c>
      <c r="C5141">
        <f t="shared" si="177"/>
        <v>-5.3957615265337513E-3</v>
      </c>
      <c r="D5141">
        <f t="shared" si="176"/>
        <v>-0.46881668652878378</v>
      </c>
    </row>
    <row r="5142" spans="1:4" x14ac:dyDescent="0.3">
      <c r="A5142" s="1">
        <v>33400</v>
      </c>
      <c r="B5142">
        <v>496.61999500000002</v>
      </c>
      <c r="C5142">
        <f t="shared" si="177"/>
        <v>1.5528667756031238E-3</v>
      </c>
      <c r="D5142">
        <f t="shared" si="176"/>
        <v>8.7045004711857887E-2</v>
      </c>
    </row>
    <row r="5143" spans="1:4" x14ac:dyDescent="0.3">
      <c r="A5143" s="1">
        <v>33401</v>
      </c>
      <c r="B5143">
        <v>491.04998799999998</v>
      </c>
      <c r="C5143">
        <f t="shared" si="177"/>
        <v>-1.1215833144213278E-2</v>
      </c>
      <c r="D5143">
        <f t="shared" si="176"/>
        <v>-0.93439848366565292</v>
      </c>
    </row>
    <row r="5144" spans="1:4" x14ac:dyDescent="0.3">
      <c r="A5144" s="1">
        <v>33402</v>
      </c>
      <c r="B5144">
        <v>491.14001500000001</v>
      </c>
      <c r="C5144">
        <f t="shared" si="177"/>
        <v>1.8333571367487846E-4</v>
      </c>
      <c r="D5144">
        <f t="shared" si="176"/>
        <v>-2.2511848697025289E-2</v>
      </c>
    </row>
    <row r="5145" spans="1:4" x14ac:dyDescent="0.3">
      <c r="A5145" s="1">
        <v>33403</v>
      </c>
      <c r="B5145">
        <v>495.07000699999998</v>
      </c>
      <c r="C5145">
        <f t="shared" si="177"/>
        <v>8.0017752167881699E-3</v>
      </c>
      <c r="D5145">
        <f t="shared" si="176"/>
        <v>0.60293116193669971</v>
      </c>
    </row>
    <row r="5146" spans="1:4" x14ac:dyDescent="0.3">
      <c r="A5146" s="1">
        <v>33406</v>
      </c>
      <c r="B5146">
        <v>494.32000699999998</v>
      </c>
      <c r="C5146">
        <f t="shared" si="177"/>
        <v>-1.5149372601762159E-3</v>
      </c>
      <c r="D5146">
        <f t="shared" si="176"/>
        <v>-0.15836670326491725</v>
      </c>
    </row>
    <row r="5147" spans="1:4" x14ac:dyDescent="0.3">
      <c r="A5147" s="1">
        <v>33407</v>
      </c>
      <c r="B5147">
        <v>491.58999599999999</v>
      </c>
      <c r="C5147">
        <f t="shared" si="177"/>
        <v>-5.5227604817540601E-3</v>
      </c>
      <c r="D5147">
        <f t="shared" si="176"/>
        <v>-0.47897608072358422</v>
      </c>
    </row>
    <row r="5148" spans="1:4" x14ac:dyDescent="0.3">
      <c r="A5148" s="1">
        <v>33408</v>
      </c>
      <c r="B5148">
        <v>485.35998499999999</v>
      </c>
      <c r="C5148">
        <f t="shared" si="177"/>
        <v>-1.2673185074335789E-2</v>
      </c>
      <c r="D5148">
        <f t="shared" si="176"/>
        <v>-1.0509806454085096</v>
      </c>
    </row>
    <row r="5149" spans="1:4" x14ac:dyDescent="0.3">
      <c r="A5149" s="1">
        <v>33409</v>
      </c>
      <c r="B5149">
        <v>485.88000499999998</v>
      </c>
      <c r="C5149">
        <f t="shared" si="177"/>
        <v>1.0714109446001985E-3</v>
      </c>
      <c r="D5149">
        <f t="shared" si="176"/>
        <v>4.8530517989830463E-2</v>
      </c>
    </row>
    <row r="5150" spans="1:4" x14ac:dyDescent="0.3">
      <c r="A5150" s="1">
        <v>33410</v>
      </c>
      <c r="B5150">
        <v>485.82000699999998</v>
      </c>
      <c r="C5150">
        <f t="shared" si="177"/>
        <v>-1.234831632966813E-4</v>
      </c>
      <c r="D5150">
        <f t="shared" si="176"/>
        <v>-4.7056097207989325E-2</v>
      </c>
    </row>
    <row r="5151" spans="1:4" x14ac:dyDescent="0.3">
      <c r="A5151" s="1">
        <v>33413</v>
      </c>
      <c r="B5151">
        <v>475.23001099999999</v>
      </c>
      <c r="C5151">
        <f t="shared" si="177"/>
        <v>-2.1798188315451539E-2</v>
      </c>
      <c r="D5151">
        <f t="shared" si="176"/>
        <v>-1.7809433824602381</v>
      </c>
    </row>
    <row r="5152" spans="1:4" x14ac:dyDescent="0.3">
      <c r="A5152" s="1">
        <v>33414</v>
      </c>
      <c r="B5152">
        <v>473.29998799999998</v>
      </c>
      <c r="C5152">
        <f t="shared" si="177"/>
        <v>-4.0612397267141562E-3</v>
      </c>
      <c r="D5152">
        <f t="shared" si="176"/>
        <v>-0.36206043012964662</v>
      </c>
    </row>
    <row r="5153" spans="1:4" x14ac:dyDescent="0.3">
      <c r="A5153" s="1">
        <v>33415</v>
      </c>
      <c r="B5153">
        <v>473.07998700000002</v>
      </c>
      <c r="C5153">
        <f t="shared" si="177"/>
        <v>-4.6482359091031271E-4</v>
      </c>
      <c r="D5153">
        <f t="shared" si="176"/>
        <v>-7.4361927816854648E-2</v>
      </c>
    </row>
    <row r="5154" spans="1:4" x14ac:dyDescent="0.3">
      <c r="A5154" s="1">
        <v>33416</v>
      </c>
      <c r="B5154">
        <v>476.23998999999998</v>
      </c>
      <c r="C5154">
        <f t="shared" si="177"/>
        <v>6.6796378769663758E-3</v>
      </c>
      <c r="D5154">
        <f t="shared" si="176"/>
        <v>0.49716561141218285</v>
      </c>
    </row>
    <row r="5155" spans="1:4" x14ac:dyDescent="0.3">
      <c r="A5155" s="1">
        <v>33417</v>
      </c>
      <c r="B5155">
        <v>475.92001299999998</v>
      </c>
      <c r="C5155">
        <f t="shared" si="177"/>
        <v>-6.7188183839831349E-4</v>
      </c>
      <c r="D5155">
        <f t="shared" si="176"/>
        <v>-9.0925736187293549E-2</v>
      </c>
    </row>
    <row r="5156" spans="1:4" x14ac:dyDescent="0.3">
      <c r="A5156" s="1">
        <v>33420</v>
      </c>
      <c r="B5156">
        <v>481.30999800000001</v>
      </c>
      <c r="C5156">
        <f t="shared" si="177"/>
        <v>1.1325401018595166E-2</v>
      </c>
      <c r="D5156">
        <f t="shared" si="176"/>
        <v>0.86880755925029984</v>
      </c>
    </row>
    <row r="5157" spans="1:4" x14ac:dyDescent="0.3">
      <c r="A5157" s="1">
        <v>33421</v>
      </c>
      <c r="B5157">
        <v>478.77999899999998</v>
      </c>
      <c r="C5157">
        <f t="shared" si="177"/>
        <v>-5.2564854470362197E-3</v>
      </c>
      <c r="D5157">
        <f t="shared" si="176"/>
        <v>-0.45767517287564219</v>
      </c>
    </row>
    <row r="5158" spans="1:4" x14ac:dyDescent="0.3">
      <c r="A5158" s="1">
        <v>33422</v>
      </c>
      <c r="B5158">
        <v>474.32000699999998</v>
      </c>
      <c r="C5158">
        <f t="shared" si="177"/>
        <v>-9.3153264741955098E-3</v>
      </c>
      <c r="D5158">
        <f t="shared" si="176"/>
        <v>-0.78236576499435462</v>
      </c>
    </row>
    <row r="5159" spans="1:4" x14ac:dyDescent="0.3">
      <c r="A5159" s="1">
        <v>33424</v>
      </c>
      <c r="B5159">
        <v>474.04998799999998</v>
      </c>
      <c r="C5159">
        <f t="shared" si="177"/>
        <v>-5.6927600779022318E-4</v>
      </c>
      <c r="D5159">
        <f t="shared" si="176"/>
        <v>-8.2717691656342837E-2</v>
      </c>
    </row>
    <row r="5160" spans="1:4" x14ac:dyDescent="0.3">
      <c r="A5160" s="1">
        <v>33427</v>
      </c>
      <c r="B5160">
        <v>479.51001000000002</v>
      </c>
      <c r="C5160">
        <f t="shared" si="177"/>
        <v>1.151781908704539E-2</v>
      </c>
      <c r="D5160">
        <f t="shared" si="176"/>
        <v>0.88420021349849254</v>
      </c>
    </row>
    <row r="5161" spans="1:4" x14ac:dyDescent="0.3">
      <c r="A5161" s="1">
        <v>33428</v>
      </c>
      <c r="B5161">
        <v>483.64001500000001</v>
      </c>
      <c r="C5161">
        <f t="shared" si="177"/>
        <v>8.6129693100671298E-3</v>
      </c>
      <c r="D5161">
        <f t="shared" si="176"/>
        <v>0.65182417615388777</v>
      </c>
    </row>
    <row r="5162" spans="1:4" x14ac:dyDescent="0.3">
      <c r="A5162" s="1">
        <v>33429</v>
      </c>
      <c r="B5162">
        <v>487.17001299999998</v>
      </c>
      <c r="C5162">
        <f t="shared" si="177"/>
        <v>7.2988129404469929E-3</v>
      </c>
      <c r="D5162">
        <f t="shared" si="176"/>
        <v>0.54669707042755789</v>
      </c>
    </row>
    <row r="5163" spans="1:4" x14ac:dyDescent="0.3">
      <c r="A5163" s="1">
        <v>33430</v>
      </c>
      <c r="B5163">
        <v>488.36999500000002</v>
      </c>
      <c r="C5163">
        <f t="shared" si="177"/>
        <v>2.4631688486130899E-3</v>
      </c>
      <c r="D5163">
        <f t="shared" si="176"/>
        <v>0.15986542736816453</v>
      </c>
    </row>
    <row r="5164" spans="1:4" x14ac:dyDescent="0.3">
      <c r="A5164" s="1">
        <v>33431</v>
      </c>
      <c r="B5164">
        <v>492.709991</v>
      </c>
      <c r="C5164">
        <f t="shared" si="177"/>
        <v>8.8866966530160903E-3</v>
      </c>
      <c r="D5164">
        <f t="shared" si="176"/>
        <v>0.67372123801624484</v>
      </c>
    </row>
    <row r="5165" spans="1:4" x14ac:dyDescent="0.3">
      <c r="A5165" s="1">
        <v>33434</v>
      </c>
      <c r="B5165">
        <v>496.19000199999999</v>
      </c>
      <c r="C5165">
        <f t="shared" si="177"/>
        <v>7.0630006770047221E-3</v>
      </c>
      <c r="D5165">
        <f t="shared" si="176"/>
        <v>0.52783305901799749</v>
      </c>
    </row>
    <row r="5166" spans="1:4" x14ac:dyDescent="0.3">
      <c r="A5166" s="1">
        <v>33435</v>
      </c>
      <c r="B5166">
        <v>493.60000600000001</v>
      </c>
      <c r="C5166">
        <f t="shared" si="177"/>
        <v>-5.2197666006176101E-3</v>
      </c>
      <c r="D5166">
        <f t="shared" si="176"/>
        <v>-0.4547378161509521</v>
      </c>
    </row>
    <row r="5167" spans="1:4" x14ac:dyDescent="0.3">
      <c r="A5167" s="1">
        <v>33436</v>
      </c>
      <c r="B5167">
        <v>493.42001299999998</v>
      </c>
      <c r="C5167">
        <f t="shared" si="177"/>
        <v>-3.6465356120766437E-4</v>
      </c>
      <c r="D5167">
        <f t="shared" si="176"/>
        <v>-6.6348737342266137E-2</v>
      </c>
    </row>
    <row r="5168" spans="1:4" x14ac:dyDescent="0.3">
      <c r="A5168" s="1">
        <v>33437</v>
      </c>
      <c r="B5168">
        <v>496.79998799999998</v>
      </c>
      <c r="C5168">
        <f t="shared" si="177"/>
        <v>6.8500970997299251E-3</v>
      </c>
      <c r="D5168">
        <f t="shared" si="176"/>
        <v>0.51080164830075458</v>
      </c>
    </row>
    <row r="5169" spans="1:4" x14ac:dyDescent="0.3">
      <c r="A5169" s="1">
        <v>33438</v>
      </c>
      <c r="B5169">
        <v>497.54998799999998</v>
      </c>
      <c r="C5169">
        <f t="shared" si="177"/>
        <v>1.5096618722140549E-3</v>
      </c>
      <c r="D5169">
        <f t="shared" si="176"/>
        <v>8.3588790100356664E-2</v>
      </c>
    </row>
    <row r="5170" spans="1:4" x14ac:dyDescent="0.3">
      <c r="A5170" s="1">
        <v>33441</v>
      </c>
      <c r="B5170">
        <v>494.98998999999998</v>
      </c>
      <c r="C5170">
        <f t="shared" si="177"/>
        <v>-5.1452076409255329E-3</v>
      </c>
      <c r="D5170">
        <f t="shared" si="176"/>
        <v>-0.44877340596386012</v>
      </c>
    </row>
    <row r="5171" spans="1:4" x14ac:dyDescent="0.3">
      <c r="A5171" s="1">
        <v>33442</v>
      </c>
      <c r="B5171">
        <v>489.64999399999999</v>
      </c>
      <c r="C5171">
        <f t="shared" si="177"/>
        <v>-1.0788088866201083E-2</v>
      </c>
      <c r="D5171">
        <f t="shared" si="176"/>
        <v>-0.90018070031965836</v>
      </c>
    </row>
    <row r="5172" spans="1:4" x14ac:dyDescent="0.3">
      <c r="A5172" s="1">
        <v>33443</v>
      </c>
      <c r="B5172">
        <v>487.42001299999998</v>
      </c>
      <c r="C5172">
        <f t="shared" si="177"/>
        <v>-4.5542347132143729E-3</v>
      </c>
      <c r="D5172">
        <f t="shared" si="176"/>
        <v>-0.40149800184216644</v>
      </c>
    </row>
    <row r="5173" spans="1:4" x14ac:dyDescent="0.3">
      <c r="A5173" s="1">
        <v>33444</v>
      </c>
      <c r="B5173">
        <v>490.27999899999998</v>
      </c>
      <c r="C5173">
        <f t="shared" si="177"/>
        <v>5.867600680565392E-3</v>
      </c>
      <c r="D5173">
        <f t="shared" si="176"/>
        <v>0.43220597481700773</v>
      </c>
    </row>
    <row r="5174" spans="1:4" x14ac:dyDescent="0.3">
      <c r="A5174" s="1">
        <v>33445</v>
      </c>
      <c r="B5174">
        <v>492.69000199999999</v>
      </c>
      <c r="C5174">
        <f t="shared" si="177"/>
        <v>4.9155645853707717E-3</v>
      </c>
      <c r="D5174">
        <f t="shared" si="176"/>
        <v>0.35604700199725337</v>
      </c>
    </row>
    <row r="5175" spans="1:4" x14ac:dyDescent="0.3">
      <c r="A5175" s="1">
        <v>33448</v>
      </c>
      <c r="B5175">
        <v>493.35000600000001</v>
      </c>
      <c r="C5175">
        <f t="shared" si="177"/>
        <v>1.3395928419915753E-3</v>
      </c>
      <c r="D5175">
        <f t="shared" si="176"/>
        <v>6.9983967010589218E-2</v>
      </c>
    </row>
    <row r="5176" spans="1:4" x14ac:dyDescent="0.3">
      <c r="A5176" s="1">
        <v>33449</v>
      </c>
      <c r="B5176">
        <v>498.26998900000001</v>
      </c>
      <c r="C5176">
        <f t="shared" si="177"/>
        <v>9.9726014800129593E-3</v>
      </c>
      <c r="D5176">
        <f t="shared" si="176"/>
        <v>0.76058915890866474</v>
      </c>
    </row>
    <row r="5177" spans="1:4" x14ac:dyDescent="0.3">
      <c r="A5177" s="1">
        <v>33450</v>
      </c>
      <c r="B5177">
        <v>502.040009</v>
      </c>
      <c r="C5177">
        <f t="shared" si="177"/>
        <v>7.5662192851835355E-3</v>
      </c>
      <c r="D5177">
        <f t="shared" si="176"/>
        <v>0.56808847842502141</v>
      </c>
    </row>
    <row r="5178" spans="1:4" x14ac:dyDescent="0.3">
      <c r="A5178" s="1">
        <v>33451</v>
      </c>
      <c r="B5178">
        <v>504.14999399999999</v>
      </c>
      <c r="C5178">
        <f t="shared" si="177"/>
        <v>4.2028224089207889E-3</v>
      </c>
      <c r="D5178">
        <f t="shared" si="176"/>
        <v>0.2990305586945966</v>
      </c>
    </row>
    <row r="5179" spans="1:4" x14ac:dyDescent="0.3">
      <c r="A5179" s="1">
        <v>33452</v>
      </c>
      <c r="B5179">
        <v>505.67001299999998</v>
      </c>
      <c r="C5179">
        <f t="shared" si="177"/>
        <v>3.0150134247546785E-3</v>
      </c>
      <c r="D5179">
        <f t="shared" si="176"/>
        <v>0.20401072426103553</v>
      </c>
    </row>
    <row r="5180" spans="1:4" x14ac:dyDescent="0.3">
      <c r="A5180" s="1">
        <v>33455</v>
      </c>
      <c r="B5180">
        <v>502.60998499999999</v>
      </c>
      <c r="C5180">
        <f t="shared" si="177"/>
        <v>-6.0514325970126067E-3</v>
      </c>
      <c r="D5180">
        <f t="shared" si="176"/>
        <v>-0.52126767603154034</v>
      </c>
    </row>
    <row r="5181" spans="1:4" x14ac:dyDescent="0.3">
      <c r="A5181" s="1">
        <v>33456</v>
      </c>
      <c r="B5181">
        <v>505.20001200000002</v>
      </c>
      <c r="C5181">
        <f t="shared" si="177"/>
        <v>5.1531546871278738E-3</v>
      </c>
      <c r="D5181">
        <f t="shared" si="176"/>
        <v>0.37505323316148548</v>
      </c>
    </row>
    <row r="5182" spans="1:4" x14ac:dyDescent="0.3">
      <c r="A5182" s="1">
        <v>33457</v>
      </c>
      <c r="B5182">
        <v>507.459991</v>
      </c>
      <c r="C5182">
        <f t="shared" si="177"/>
        <v>4.4734341771947286E-3</v>
      </c>
      <c r="D5182">
        <f t="shared" si="176"/>
        <v>0.32067838739427162</v>
      </c>
    </row>
    <row r="5183" spans="1:4" x14ac:dyDescent="0.3">
      <c r="A5183" s="1">
        <v>33458</v>
      </c>
      <c r="B5183">
        <v>509.39001500000001</v>
      </c>
      <c r="C5183">
        <f t="shared" si="177"/>
        <v>3.8033027908204158E-3</v>
      </c>
      <c r="D5183">
        <f t="shared" si="176"/>
        <v>0.26707063208105275</v>
      </c>
    </row>
    <row r="5184" spans="1:4" x14ac:dyDescent="0.3">
      <c r="A5184" s="1">
        <v>33459</v>
      </c>
      <c r="B5184">
        <v>508.30999800000001</v>
      </c>
      <c r="C5184">
        <f t="shared" si="177"/>
        <v>-2.1202162747536346E-3</v>
      </c>
      <c r="D5184">
        <f t="shared" si="176"/>
        <v>-0.20678653550893092</v>
      </c>
    </row>
    <row r="5185" spans="1:4" x14ac:dyDescent="0.3">
      <c r="A5185" s="1">
        <v>33462</v>
      </c>
      <c r="B5185">
        <v>510</v>
      </c>
      <c r="C5185">
        <f t="shared" si="177"/>
        <v>3.3247467227665913E-3</v>
      </c>
      <c r="D5185">
        <f t="shared" si="176"/>
        <v>0.22878811447105687</v>
      </c>
    </row>
    <row r="5186" spans="1:4" x14ac:dyDescent="0.3">
      <c r="A5186" s="1">
        <v>33463</v>
      </c>
      <c r="B5186">
        <v>514.40002400000003</v>
      </c>
      <c r="C5186">
        <f t="shared" si="177"/>
        <v>8.627498039215746E-3</v>
      </c>
      <c r="D5186">
        <f t="shared" si="176"/>
        <v>0.65298641474328578</v>
      </c>
    </row>
    <row r="5187" spans="1:4" x14ac:dyDescent="0.3">
      <c r="A5187" s="1">
        <v>33464</v>
      </c>
      <c r="B5187">
        <v>517.67999299999997</v>
      </c>
      <c r="C5187">
        <f t="shared" si="177"/>
        <v>6.3763002468287932E-3</v>
      </c>
      <c r="D5187">
        <f t="shared" ref="D5187:D5250" si="178">(C5187-avrtn)/sdrtn</f>
        <v>0.47289984833296445</v>
      </c>
    </row>
    <row r="5188" spans="1:4" x14ac:dyDescent="0.3">
      <c r="A5188" s="1">
        <v>33465</v>
      </c>
      <c r="B5188">
        <v>515.669983</v>
      </c>
      <c r="C5188">
        <f t="shared" ref="C5188:C5251" si="179">(B5188-B5187)/B5187</f>
        <v>-3.8827268335246746E-3</v>
      </c>
      <c r="D5188">
        <f t="shared" si="178"/>
        <v>-0.34778013272389097</v>
      </c>
    </row>
    <row r="5189" spans="1:4" x14ac:dyDescent="0.3">
      <c r="A5189" s="1">
        <v>33466</v>
      </c>
      <c r="B5189">
        <v>512.46997099999999</v>
      </c>
      <c r="C5189">
        <f t="shared" si="179"/>
        <v>-6.2055425087638172E-3</v>
      </c>
      <c r="D5189">
        <f t="shared" si="178"/>
        <v>-0.53359583526789356</v>
      </c>
    </row>
    <row r="5190" spans="1:4" x14ac:dyDescent="0.3">
      <c r="A5190" s="1">
        <v>33469</v>
      </c>
      <c r="B5190">
        <v>497.64001500000001</v>
      </c>
      <c r="C5190">
        <f t="shared" si="179"/>
        <v>-2.8938195092800826E-2</v>
      </c>
      <c r="D5190">
        <f t="shared" si="178"/>
        <v>-2.3521145647648805</v>
      </c>
    </row>
    <row r="5191" spans="1:4" x14ac:dyDescent="0.3">
      <c r="A5191" s="1">
        <v>33470</v>
      </c>
      <c r="B5191">
        <v>502.04998799999998</v>
      </c>
      <c r="C5191">
        <f t="shared" si="179"/>
        <v>8.8617733041423119E-3</v>
      </c>
      <c r="D5191">
        <f t="shared" si="178"/>
        <v>0.67172747259176546</v>
      </c>
    </row>
    <row r="5192" spans="1:4" x14ac:dyDescent="0.3">
      <c r="A5192" s="1">
        <v>33471</v>
      </c>
      <c r="B5192">
        <v>517.96997099999999</v>
      </c>
      <c r="C5192">
        <f t="shared" si="179"/>
        <v>3.1709955941678067E-2</v>
      </c>
      <c r="D5192">
        <f t="shared" si="178"/>
        <v>2.4994881313062334</v>
      </c>
    </row>
    <row r="5193" spans="1:4" x14ac:dyDescent="0.3">
      <c r="A5193" s="1">
        <v>33472</v>
      </c>
      <c r="B5193">
        <v>518.29998799999998</v>
      </c>
      <c r="C5193">
        <f t="shared" si="179"/>
        <v>6.3713539100126331E-4</v>
      </c>
      <c r="D5193">
        <f t="shared" si="178"/>
        <v>1.3790259453662333E-2</v>
      </c>
    </row>
    <row r="5194" spans="1:4" x14ac:dyDescent="0.3">
      <c r="A5194" s="1">
        <v>33473</v>
      </c>
      <c r="B5194">
        <v>521.05999799999995</v>
      </c>
      <c r="C5194">
        <f t="shared" si="179"/>
        <v>5.3251207098232957E-3</v>
      </c>
      <c r="D5194">
        <f t="shared" si="178"/>
        <v>0.38880980784860864</v>
      </c>
    </row>
    <row r="5195" spans="1:4" x14ac:dyDescent="0.3">
      <c r="A5195" s="1">
        <v>33476</v>
      </c>
      <c r="B5195">
        <v>521.38000499999998</v>
      </c>
      <c r="C5195">
        <f t="shared" si="179"/>
        <v>6.141461659469633E-4</v>
      </c>
      <c r="D5195">
        <f t="shared" si="178"/>
        <v>1.1951215981576608E-2</v>
      </c>
    </row>
    <row r="5196" spans="1:4" x14ac:dyDescent="0.3">
      <c r="A5196" s="1">
        <v>33477</v>
      </c>
      <c r="B5196">
        <v>521.75</v>
      </c>
      <c r="C5196">
        <f t="shared" si="179"/>
        <v>7.0964554921897549E-4</v>
      </c>
      <c r="D5196">
        <f t="shared" si="178"/>
        <v>1.9590773947527118E-2</v>
      </c>
    </row>
    <row r="5197" spans="1:4" x14ac:dyDescent="0.3">
      <c r="A5197" s="1">
        <v>33478</v>
      </c>
      <c r="B5197">
        <v>526.28997800000002</v>
      </c>
      <c r="C5197">
        <f t="shared" si="179"/>
        <v>8.7014432199329552E-3</v>
      </c>
      <c r="D5197">
        <f t="shared" si="178"/>
        <v>0.65890172513626255</v>
      </c>
    </row>
    <row r="5198" spans="1:4" x14ac:dyDescent="0.3">
      <c r="A5198" s="1">
        <v>33479</v>
      </c>
      <c r="B5198">
        <v>526.39001499999995</v>
      </c>
      <c r="C5198">
        <f t="shared" si="179"/>
        <v>1.9007962184666439E-4</v>
      </c>
      <c r="D5198">
        <f t="shared" si="178"/>
        <v>-2.1972363774398516E-2</v>
      </c>
    </row>
    <row r="5199" spans="1:4" x14ac:dyDescent="0.3">
      <c r="A5199" s="1">
        <v>33480</v>
      </c>
      <c r="B5199">
        <v>525.67999299999997</v>
      </c>
      <c r="C5199">
        <f t="shared" si="179"/>
        <v>-1.3488515734858325E-3</v>
      </c>
      <c r="D5199">
        <f t="shared" si="178"/>
        <v>-0.14508053127811102</v>
      </c>
    </row>
    <row r="5200" spans="1:4" x14ac:dyDescent="0.3">
      <c r="A5200" s="1">
        <v>33484</v>
      </c>
      <c r="B5200">
        <v>520.90997300000004</v>
      </c>
      <c r="C5200">
        <f t="shared" si="179"/>
        <v>-9.0739995120946732E-3</v>
      </c>
      <c r="D5200">
        <f t="shared" si="178"/>
        <v>-0.76306060036868539</v>
      </c>
    </row>
    <row r="5201" spans="1:4" x14ac:dyDescent="0.3">
      <c r="A5201" s="1">
        <v>33485</v>
      </c>
      <c r="B5201">
        <v>517.919983</v>
      </c>
      <c r="C5201">
        <f t="shared" si="179"/>
        <v>-5.7399361789528154E-3</v>
      </c>
      <c r="D5201">
        <f t="shared" si="178"/>
        <v>-0.49634924346768167</v>
      </c>
    </row>
    <row r="5202" spans="1:4" x14ac:dyDescent="0.3">
      <c r="A5202" s="1">
        <v>33486</v>
      </c>
      <c r="B5202">
        <v>516.92999299999997</v>
      </c>
      <c r="C5202">
        <f t="shared" si="179"/>
        <v>-1.9114728770757517E-3</v>
      </c>
      <c r="D5202">
        <f t="shared" si="178"/>
        <v>-0.19008792205268041</v>
      </c>
    </row>
    <row r="5203" spans="1:4" x14ac:dyDescent="0.3">
      <c r="A5203" s="1">
        <v>33487</v>
      </c>
      <c r="B5203">
        <v>516.94000200000005</v>
      </c>
      <c r="C5203">
        <f t="shared" si="179"/>
        <v>1.9362389754161293E-5</v>
      </c>
      <c r="D5203">
        <f t="shared" si="178"/>
        <v>-3.5629040348345825E-2</v>
      </c>
    </row>
    <row r="5204" spans="1:4" x14ac:dyDescent="0.3">
      <c r="A5204" s="1">
        <v>33490</v>
      </c>
      <c r="B5204">
        <v>518.07000700000003</v>
      </c>
      <c r="C5204">
        <f t="shared" si="179"/>
        <v>2.1859500050839223E-3</v>
      </c>
      <c r="D5204">
        <f t="shared" si="178"/>
        <v>0.1376890598165271</v>
      </c>
    </row>
    <row r="5205" spans="1:4" x14ac:dyDescent="0.3">
      <c r="A5205" s="1">
        <v>33491</v>
      </c>
      <c r="B5205">
        <v>511.27999899999998</v>
      </c>
      <c r="C5205">
        <f t="shared" si="179"/>
        <v>-1.3106352246328857E-2</v>
      </c>
      <c r="D5205">
        <f t="shared" si="178"/>
        <v>-1.0856322379739007</v>
      </c>
    </row>
    <row r="5206" spans="1:4" x14ac:dyDescent="0.3">
      <c r="A5206" s="1">
        <v>33492</v>
      </c>
      <c r="B5206">
        <v>514.76000999999997</v>
      </c>
      <c r="C5206">
        <f t="shared" si="179"/>
        <v>6.8064680934252436E-3</v>
      </c>
      <c r="D5206">
        <f t="shared" si="178"/>
        <v>0.5073115071999259</v>
      </c>
    </row>
    <row r="5207" spans="1:4" x14ac:dyDescent="0.3">
      <c r="A5207" s="1">
        <v>33493</v>
      </c>
      <c r="B5207">
        <v>521.13000499999998</v>
      </c>
      <c r="C5207">
        <f t="shared" si="179"/>
        <v>1.2374688935140897E-2</v>
      </c>
      <c r="D5207">
        <f t="shared" si="178"/>
        <v>0.9527462778762642</v>
      </c>
    </row>
    <row r="5208" spans="1:4" x14ac:dyDescent="0.3">
      <c r="A5208" s="1">
        <v>33494</v>
      </c>
      <c r="B5208">
        <v>516.71002199999998</v>
      </c>
      <c r="C5208">
        <f t="shared" si="179"/>
        <v>-8.4815361955602655E-3</v>
      </c>
      <c r="D5208">
        <f t="shared" si="178"/>
        <v>-0.71566597126964737</v>
      </c>
    </row>
    <row r="5209" spans="1:4" x14ac:dyDescent="0.3">
      <c r="A5209" s="1">
        <v>33497</v>
      </c>
      <c r="B5209">
        <v>515.67999299999997</v>
      </c>
      <c r="C5209">
        <f t="shared" si="179"/>
        <v>-1.9934372397367845E-3</v>
      </c>
      <c r="D5209">
        <f t="shared" si="178"/>
        <v>-0.19664473402608992</v>
      </c>
    </row>
    <row r="5210" spans="1:4" x14ac:dyDescent="0.3">
      <c r="A5210" s="1">
        <v>33498</v>
      </c>
      <c r="B5210">
        <v>515.169983</v>
      </c>
      <c r="C5210">
        <f t="shared" si="179"/>
        <v>-9.8900482260898129E-4</v>
      </c>
      <c r="D5210">
        <f t="shared" si="178"/>
        <v>-0.11629427090664408</v>
      </c>
    </row>
    <row r="5211" spans="1:4" x14ac:dyDescent="0.3">
      <c r="A5211" s="1">
        <v>33499</v>
      </c>
      <c r="B5211">
        <v>518.54998799999998</v>
      </c>
      <c r="C5211">
        <f t="shared" si="179"/>
        <v>6.5609509706235792E-3</v>
      </c>
      <c r="D5211">
        <f t="shared" si="178"/>
        <v>0.48767114694823416</v>
      </c>
    </row>
    <row r="5212" spans="1:4" x14ac:dyDescent="0.3">
      <c r="A5212" s="1">
        <v>33500</v>
      </c>
      <c r="B5212">
        <v>522.669983</v>
      </c>
      <c r="C5212">
        <f t="shared" si="179"/>
        <v>7.9452224382271456E-3</v>
      </c>
      <c r="D5212">
        <f t="shared" si="178"/>
        <v>0.5984071721982327</v>
      </c>
    </row>
    <row r="5213" spans="1:4" x14ac:dyDescent="0.3">
      <c r="A5213" s="1">
        <v>33501</v>
      </c>
      <c r="B5213">
        <v>527.19000200000005</v>
      </c>
      <c r="C5213">
        <f t="shared" si="179"/>
        <v>8.6479406643102507E-3</v>
      </c>
      <c r="D5213">
        <f t="shared" si="178"/>
        <v>0.65462174069026957</v>
      </c>
    </row>
    <row r="5214" spans="1:4" x14ac:dyDescent="0.3">
      <c r="A5214" s="1">
        <v>33504</v>
      </c>
      <c r="B5214">
        <v>524.69000200000005</v>
      </c>
      <c r="C5214">
        <f t="shared" si="179"/>
        <v>-4.7421233151534615E-3</v>
      </c>
      <c r="D5214">
        <f t="shared" si="178"/>
        <v>-0.41652831739474588</v>
      </c>
    </row>
    <row r="5215" spans="1:4" x14ac:dyDescent="0.3">
      <c r="A5215" s="1">
        <v>33505</v>
      </c>
      <c r="B5215">
        <v>526.46997099999999</v>
      </c>
      <c r="C5215">
        <f t="shared" si="179"/>
        <v>3.3924202733330092E-3</v>
      </c>
      <c r="D5215">
        <f t="shared" si="178"/>
        <v>0.23420172024106761</v>
      </c>
    </row>
    <row r="5216" spans="1:4" x14ac:dyDescent="0.3">
      <c r="A5216" s="1">
        <v>33506</v>
      </c>
      <c r="B5216">
        <v>527.82000700000003</v>
      </c>
      <c r="C5216">
        <f t="shared" si="179"/>
        <v>2.5643171963554319E-3</v>
      </c>
      <c r="D5216">
        <f t="shared" si="178"/>
        <v>0.16795687926306072</v>
      </c>
    </row>
    <row r="5217" spans="1:4" x14ac:dyDescent="0.3">
      <c r="A5217" s="1">
        <v>33507</v>
      </c>
      <c r="B5217">
        <v>526.94000200000005</v>
      </c>
      <c r="C5217">
        <f t="shared" si="179"/>
        <v>-1.6672444930644374E-3</v>
      </c>
      <c r="D5217">
        <f t="shared" si="178"/>
        <v>-0.1705506556048911</v>
      </c>
    </row>
    <row r="5218" spans="1:4" x14ac:dyDescent="0.3">
      <c r="A5218" s="1">
        <v>33508</v>
      </c>
      <c r="B5218">
        <v>524.47997999999995</v>
      </c>
      <c r="C5218">
        <f t="shared" si="179"/>
        <v>-4.668504935406468E-3</v>
      </c>
      <c r="D5218">
        <f t="shared" si="178"/>
        <v>-0.41063914973557275</v>
      </c>
    </row>
    <row r="5219" spans="1:4" x14ac:dyDescent="0.3">
      <c r="A5219" s="1">
        <v>33511</v>
      </c>
      <c r="B5219">
        <v>526.88000499999998</v>
      </c>
      <c r="C5219">
        <f t="shared" si="179"/>
        <v>4.5760087925568252E-3</v>
      </c>
      <c r="D5219">
        <f t="shared" si="178"/>
        <v>0.32888393483390072</v>
      </c>
    </row>
    <row r="5220" spans="1:4" x14ac:dyDescent="0.3">
      <c r="A5220" s="1">
        <v>33512</v>
      </c>
      <c r="B5220">
        <v>528.51000999999997</v>
      </c>
      <c r="C5220">
        <f t="shared" si="179"/>
        <v>3.0936930316799228E-3</v>
      </c>
      <c r="D5220">
        <f t="shared" si="178"/>
        <v>0.21030476928257821</v>
      </c>
    </row>
    <row r="5221" spans="1:4" x14ac:dyDescent="0.3">
      <c r="A5221" s="1">
        <v>33513</v>
      </c>
      <c r="B5221">
        <v>526.330017</v>
      </c>
      <c r="C5221">
        <f t="shared" si="179"/>
        <v>-4.1247903705739991E-3</v>
      </c>
      <c r="D5221">
        <f t="shared" si="178"/>
        <v>-0.36714422031662508</v>
      </c>
    </row>
    <row r="5222" spans="1:4" x14ac:dyDescent="0.3">
      <c r="A5222" s="1">
        <v>33514</v>
      </c>
      <c r="B5222">
        <v>520.51000999999997</v>
      </c>
      <c r="C5222">
        <f t="shared" si="179"/>
        <v>-1.1057714384547505E-2</v>
      </c>
      <c r="D5222">
        <f t="shared" si="178"/>
        <v>-0.92174963308061586</v>
      </c>
    </row>
    <row r="5223" spans="1:4" x14ac:dyDescent="0.3">
      <c r="A5223" s="1">
        <v>33515</v>
      </c>
      <c r="B5223">
        <v>520.40002400000003</v>
      </c>
      <c r="C5223">
        <f t="shared" si="179"/>
        <v>-2.1130429364833023E-4</v>
      </c>
      <c r="D5223">
        <f t="shared" si="178"/>
        <v>-5.4081426513475445E-2</v>
      </c>
    </row>
    <row r="5224" spans="1:4" x14ac:dyDescent="0.3">
      <c r="A5224" s="1">
        <v>33518</v>
      </c>
      <c r="B5224">
        <v>516.20001200000002</v>
      </c>
      <c r="C5224">
        <f t="shared" si="179"/>
        <v>-8.0707375217185136E-3</v>
      </c>
      <c r="D5224">
        <f t="shared" si="178"/>
        <v>-0.68280376657654751</v>
      </c>
    </row>
    <row r="5225" spans="1:4" x14ac:dyDescent="0.3">
      <c r="A5225" s="1">
        <v>33519</v>
      </c>
      <c r="B5225">
        <v>517.25</v>
      </c>
      <c r="C5225">
        <f t="shared" si="179"/>
        <v>2.034072017805348E-3</v>
      </c>
      <c r="D5225">
        <f t="shared" si="178"/>
        <v>0.12553944536025652</v>
      </c>
    </row>
    <row r="5226" spans="1:4" x14ac:dyDescent="0.3">
      <c r="A5226" s="1">
        <v>33520</v>
      </c>
      <c r="B5226">
        <v>513.80999799999995</v>
      </c>
      <c r="C5226">
        <f t="shared" si="179"/>
        <v>-6.6505596906719176E-3</v>
      </c>
      <c r="D5226">
        <f t="shared" si="178"/>
        <v>-0.5691953798989553</v>
      </c>
    </row>
    <row r="5227" spans="1:4" x14ac:dyDescent="0.3">
      <c r="A5227" s="1">
        <v>33521</v>
      </c>
      <c r="B5227">
        <v>515.94000200000005</v>
      </c>
      <c r="C5227">
        <f t="shared" si="179"/>
        <v>4.1455090564432714E-3</v>
      </c>
      <c r="D5227">
        <f t="shared" si="178"/>
        <v>0.29444572617030884</v>
      </c>
    </row>
    <row r="5228" spans="1:4" x14ac:dyDescent="0.3">
      <c r="A5228" s="1">
        <v>33522</v>
      </c>
      <c r="B5228">
        <v>519.04998799999998</v>
      </c>
      <c r="C5228">
        <f t="shared" si="179"/>
        <v>6.027805535419475E-3</v>
      </c>
      <c r="D5228">
        <f t="shared" si="178"/>
        <v>0.44502170443903494</v>
      </c>
    </row>
    <row r="5229" spans="1:4" x14ac:dyDescent="0.3">
      <c r="A5229" s="1">
        <v>33525</v>
      </c>
      <c r="B5229">
        <v>525.65997300000004</v>
      </c>
      <c r="C5229">
        <f t="shared" si="179"/>
        <v>1.2734775364256538E-2</v>
      </c>
      <c r="D5229">
        <f t="shared" si="178"/>
        <v>0.98155171152127152</v>
      </c>
    </row>
    <row r="5230" spans="1:4" x14ac:dyDescent="0.3">
      <c r="A5230" s="1">
        <v>33526</v>
      </c>
      <c r="B5230">
        <v>534.10998500000005</v>
      </c>
      <c r="C5230">
        <f t="shared" si="179"/>
        <v>1.6075053140863771E-2</v>
      </c>
      <c r="D5230">
        <f t="shared" si="178"/>
        <v>1.248760198345561</v>
      </c>
    </row>
    <row r="5231" spans="1:4" x14ac:dyDescent="0.3">
      <c r="A5231" s="1">
        <v>33527</v>
      </c>
      <c r="B5231">
        <v>540.94000200000005</v>
      </c>
      <c r="C5231">
        <f t="shared" si="179"/>
        <v>1.2787660204480165E-2</v>
      </c>
      <c r="D5231">
        <f t="shared" si="178"/>
        <v>0.98578228127539924</v>
      </c>
    </row>
    <row r="5232" spans="1:4" x14ac:dyDescent="0.3">
      <c r="A5232" s="1">
        <v>33528</v>
      </c>
      <c r="B5232">
        <v>536.27002000000005</v>
      </c>
      <c r="C5232">
        <f t="shared" si="179"/>
        <v>-8.6330868168998966E-3</v>
      </c>
      <c r="D5232">
        <f t="shared" si="178"/>
        <v>-0.72778939779693919</v>
      </c>
    </row>
    <row r="5233" spans="1:4" x14ac:dyDescent="0.3">
      <c r="A5233" s="1">
        <v>33529</v>
      </c>
      <c r="B5233">
        <v>538.90002400000003</v>
      </c>
      <c r="C5233">
        <f t="shared" si="179"/>
        <v>4.9042532715141991E-3</v>
      </c>
      <c r="D5233">
        <f t="shared" si="178"/>
        <v>0.3551421434011281</v>
      </c>
    </row>
    <row r="5234" spans="1:4" x14ac:dyDescent="0.3">
      <c r="A5234" s="1">
        <v>33532</v>
      </c>
      <c r="B5234">
        <v>536.96002199999998</v>
      </c>
      <c r="C5234">
        <f t="shared" si="179"/>
        <v>-3.5999293256666278E-3</v>
      </c>
      <c r="D5234">
        <f t="shared" si="178"/>
        <v>-0.32515749496554797</v>
      </c>
    </row>
    <row r="5235" spans="1:4" x14ac:dyDescent="0.3">
      <c r="A5235" s="1">
        <v>33533</v>
      </c>
      <c r="B5235">
        <v>537.14001499999995</v>
      </c>
      <c r="C5235">
        <f t="shared" si="179"/>
        <v>3.3520745050916965E-4</v>
      </c>
      <c r="D5235">
        <f t="shared" si="178"/>
        <v>-1.0362734250595394E-2</v>
      </c>
    </row>
    <row r="5236" spans="1:4" x14ac:dyDescent="0.3">
      <c r="A5236" s="1">
        <v>33534</v>
      </c>
      <c r="B5236">
        <v>535.169983</v>
      </c>
      <c r="C5236">
        <f t="shared" si="179"/>
        <v>-3.6676321722185355E-3</v>
      </c>
      <c r="D5236">
        <f t="shared" si="178"/>
        <v>-0.33057344429393209</v>
      </c>
    </row>
    <row r="5237" spans="1:4" x14ac:dyDescent="0.3">
      <c r="A5237" s="1">
        <v>33535</v>
      </c>
      <c r="B5237">
        <v>528.75</v>
      </c>
      <c r="C5237">
        <f t="shared" si="179"/>
        <v>-1.1996156742595188E-2</v>
      </c>
      <c r="D5237">
        <f t="shared" si="178"/>
        <v>-0.99682116282639632</v>
      </c>
    </row>
    <row r="5238" spans="1:4" x14ac:dyDescent="0.3">
      <c r="A5238" s="1">
        <v>33536</v>
      </c>
      <c r="B5238">
        <v>525.13000499999998</v>
      </c>
      <c r="C5238">
        <f t="shared" si="179"/>
        <v>-6.8463262411347838E-3</v>
      </c>
      <c r="D5238">
        <f t="shared" si="178"/>
        <v>-0.58485589893911905</v>
      </c>
    </row>
    <row r="5239" spans="1:4" x14ac:dyDescent="0.3">
      <c r="A5239" s="1">
        <v>33539</v>
      </c>
      <c r="B5239">
        <v>529.40997300000004</v>
      </c>
      <c r="C5239">
        <f t="shared" si="179"/>
        <v>8.1503017524204389E-3</v>
      </c>
      <c r="D5239">
        <f t="shared" si="178"/>
        <v>0.61481267404251738</v>
      </c>
    </row>
    <row r="5240" spans="1:4" x14ac:dyDescent="0.3">
      <c r="A5240" s="1">
        <v>33540</v>
      </c>
      <c r="B5240">
        <v>534.51000999999997</v>
      </c>
      <c r="C5240">
        <f t="shared" si="179"/>
        <v>9.6334358249800644E-3</v>
      </c>
      <c r="D5240">
        <f t="shared" si="178"/>
        <v>0.73345730116354002</v>
      </c>
    </row>
    <row r="5241" spans="1:4" x14ac:dyDescent="0.3">
      <c r="A5241" s="1">
        <v>33541</v>
      </c>
      <c r="B5241">
        <v>541.32000700000003</v>
      </c>
      <c r="C5241">
        <f t="shared" si="179"/>
        <v>1.2740635109901996E-2</v>
      </c>
      <c r="D5241">
        <f t="shared" si="178"/>
        <v>0.98202046707749002</v>
      </c>
    </row>
    <row r="5242" spans="1:4" x14ac:dyDescent="0.3">
      <c r="A5242" s="1">
        <v>33542</v>
      </c>
      <c r="B5242">
        <v>542.97997999999995</v>
      </c>
      <c r="C5242">
        <f t="shared" si="179"/>
        <v>3.0665280768015701E-3</v>
      </c>
      <c r="D5242">
        <f t="shared" si="178"/>
        <v>0.2081316845952719</v>
      </c>
    </row>
    <row r="5243" spans="1:4" x14ac:dyDescent="0.3">
      <c r="A5243" s="1">
        <v>33543</v>
      </c>
      <c r="B5243">
        <v>540.92999299999997</v>
      </c>
      <c r="C5243">
        <f t="shared" si="179"/>
        <v>-3.7754375400728172E-3</v>
      </c>
      <c r="D5243">
        <f t="shared" si="178"/>
        <v>-0.33919743042395323</v>
      </c>
    </row>
    <row r="5244" spans="1:4" x14ac:dyDescent="0.3">
      <c r="A5244" s="1">
        <v>33546</v>
      </c>
      <c r="B5244">
        <v>537.5</v>
      </c>
      <c r="C5244">
        <f t="shared" si="179"/>
        <v>-6.3409185003353435E-3</v>
      </c>
      <c r="D5244">
        <f t="shared" si="178"/>
        <v>-0.54442535792421209</v>
      </c>
    </row>
    <row r="5245" spans="1:4" x14ac:dyDescent="0.3">
      <c r="A5245" s="1">
        <v>33547</v>
      </c>
      <c r="B5245">
        <v>538.82000700000003</v>
      </c>
      <c r="C5245">
        <f t="shared" si="179"/>
        <v>2.4558269767442462E-3</v>
      </c>
      <c r="D5245">
        <f t="shared" si="178"/>
        <v>0.15927810780861454</v>
      </c>
    </row>
    <row r="5246" spans="1:4" x14ac:dyDescent="0.3">
      <c r="A5246" s="1">
        <v>33548</v>
      </c>
      <c r="B5246">
        <v>539.47997999999995</v>
      </c>
      <c r="C5246">
        <f t="shared" si="179"/>
        <v>1.2248487276381381E-3</v>
      </c>
      <c r="D5246">
        <f t="shared" si="178"/>
        <v>6.0804909692931765E-2</v>
      </c>
    </row>
    <row r="5247" spans="1:4" x14ac:dyDescent="0.3">
      <c r="A5247" s="1">
        <v>33549</v>
      </c>
      <c r="B5247">
        <v>545.28002900000001</v>
      </c>
      <c r="C5247">
        <f t="shared" si="179"/>
        <v>1.075118487251382E-2</v>
      </c>
      <c r="D5247">
        <f t="shared" si="178"/>
        <v>0.82287262875469358</v>
      </c>
    </row>
    <row r="5248" spans="1:4" x14ac:dyDescent="0.3">
      <c r="A5248" s="1">
        <v>33550</v>
      </c>
      <c r="B5248">
        <v>548.080017</v>
      </c>
      <c r="C5248">
        <f t="shared" si="179"/>
        <v>5.1349542456835236E-3</v>
      </c>
      <c r="D5248">
        <f t="shared" si="178"/>
        <v>0.37359727268659987</v>
      </c>
    </row>
    <row r="5249" spans="1:4" x14ac:dyDescent="0.3">
      <c r="A5249" s="1">
        <v>33553</v>
      </c>
      <c r="B5249">
        <v>550.71002199999998</v>
      </c>
      <c r="C5249">
        <f t="shared" si="179"/>
        <v>4.7985785258067215E-3</v>
      </c>
      <c r="D5249">
        <f t="shared" si="178"/>
        <v>0.34668859828168069</v>
      </c>
    </row>
    <row r="5250" spans="1:4" x14ac:dyDescent="0.3">
      <c r="A5250" s="1">
        <v>33554</v>
      </c>
      <c r="B5250">
        <v>555.67999299999997</v>
      </c>
      <c r="C5250">
        <f t="shared" si="179"/>
        <v>9.0246605317816191E-3</v>
      </c>
      <c r="D5250">
        <f t="shared" si="178"/>
        <v>0.68475778100662787</v>
      </c>
    </row>
    <row r="5251" spans="1:4" x14ac:dyDescent="0.3">
      <c r="A5251" s="1">
        <v>33555</v>
      </c>
      <c r="B5251">
        <v>556.169983</v>
      </c>
      <c r="C5251">
        <f t="shared" si="179"/>
        <v>8.8178449138447633E-4</v>
      </c>
      <c r="D5251">
        <f t="shared" ref="D5251:D5314" si="180">(C5251-avrtn)/sdrtn</f>
        <v>3.3361181481207494E-2</v>
      </c>
    </row>
    <row r="5252" spans="1:4" x14ac:dyDescent="0.3">
      <c r="A5252" s="1">
        <v>33556</v>
      </c>
      <c r="B5252">
        <v>554.84002699999996</v>
      </c>
      <c r="C5252">
        <f t="shared" ref="C5252:C5315" si="181">(B5252-B5251)/B5251</f>
        <v>-2.3912761217824269E-3</v>
      </c>
      <c r="D5252">
        <f t="shared" si="180"/>
        <v>-0.22847020866648332</v>
      </c>
    </row>
    <row r="5253" spans="1:4" x14ac:dyDescent="0.3">
      <c r="A5253" s="1">
        <v>33557</v>
      </c>
      <c r="B5253">
        <v>531.28997800000002</v>
      </c>
      <c r="C5253">
        <f t="shared" si="181"/>
        <v>-4.2444754981601114E-2</v>
      </c>
      <c r="D5253">
        <f t="shared" si="180"/>
        <v>-3.4325838165627798</v>
      </c>
    </row>
    <row r="5254" spans="1:4" x14ac:dyDescent="0.3">
      <c r="A5254" s="1">
        <v>33560</v>
      </c>
      <c r="B5254">
        <v>534.72997999999995</v>
      </c>
      <c r="C5254">
        <f t="shared" si="181"/>
        <v>6.4748106353324352E-3</v>
      </c>
      <c r="D5254">
        <f t="shared" si="180"/>
        <v>0.48078027433611786</v>
      </c>
    </row>
    <row r="5255" spans="1:4" x14ac:dyDescent="0.3">
      <c r="A5255" s="1">
        <v>33561</v>
      </c>
      <c r="B5255">
        <v>523.46997099999999</v>
      </c>
      <c r="C5255">
        <f t="shared" si="181"/>
        <v>-2.1057373667360057E-2</v>
      </c>
      <c r="D5255">
        <f t="shared" si="180"/>
        <v>-1.7216812568609545</v>
      </c>
    </row>
    <row r="5256" spans="1:4" x14ac:dyDescent="0.3">
      <c r="A5256" s="1">
        <v>33562</v>
      </c>
      <c r="B5256">
        <v>526.11999500000002</v>
      </c>
      <c r="C5256">
        <f t="shared" si="181"/>
        <v>5.0624183750934406E-3</v>
      </c>
      <c r="D5256">
        <f t="shared" si="180"/>
        <v>0.36779470130867531</v>
      </c>
    </row>
    <row r="5257" spans="1:4" x14ac:dyDescent="0.3">
      <c r="A5257" s="1">
        <v>33563</v>
      </c>
      <c r="B5257">
        <v>530.330017</v>
      </c>
      <c r="C5257">
        <f t="shared" si="181"/>
        <v>8.0020186269483644E-3</v>
      </c>
      <c r="D5257">
        <f t="shared" si="180"/>
        <v>0.60295063374860669</v>
      </c>
    </row>
    <row r="5258" spans="1:4" x14ac:dyDescent="0.3">
      <c r="A5258" s="1">
        <v>33564</v>
      </c>
      <c r="B5258">
        <v>526.46002199999998</v>
      </c>
      <c r="C5258">
        <f t="shared" si="181"/>
        <v>-7.297333501678856E-3</v>
      </c>
      <c r="D5258">
        <f t="shared" si="180"/>
        <v>-0.6209346252297081</v>
      </c>
    </row>
    <row r="5259" spans="1:4" x14ac:dyDescent="0.3">
      <c r="A5259" s="1">
        <v>33567</v>
      </c>
      <c r="B5259">
        <v>522.88000499999998</v>
      </c>
      <c r="C5259">
        <f t="shared" si="181"/>
        <v>-6.8001687695100959E-3</v>
      </c>
      <c r="D5259">
        <f t="shared" si="180"/>
        <v>-0.58116349100980147</v>
      </c>
    </row>
    <row r="5260" spans="1:4" x14ac:dyDescent="0.3">
      <c r="A5260" s="1">
        <v>33568</v>
      </c>
      <c r="B5260">
        <v>522.22997999999995</v>
      </c>
      <c r="C5260">
        <f t="shared" si="181"/>
        <v>-1.243162855309466E-3</v>
      </c>
      <c r="D5260">
        <f t="shared" si="180"/>
        <v>-0.13662586841860766</v>
      </c>
    </row>
    <row r="5261" spans="1:4" x14ac:dyDescent="0.3">
      <c r="A5261" s="1">
        <v>33569</v>
      </c>
      <c r="B5261">
        <v>522.78002900000001</v>
      </c>
      <c r="C5261">
        <f t="shared" si="181"/>
        <v>1.053269672491913E-3</v>
      </c>
      <c r="D5261">
        <f t="shared" si="180"/>
        <v>4.7079290818524272E-2</v>
      </c>
    </row>
    <row r="5262" spans="1:4" x14ac:dyDescent="0.3">
      <c r="A5262" s="1">
        <v>33571</v>
      </c>
      <c r="B5262">
        <v>523.90002400000003</v>
      </c>
      <c r="C5262">
        <f t="shared" si="181"/>
        <v>2.1423829103464414E-3</v>
      </c>
      <c r="D5262">
        <f t="shared" si="180"/>
        <v>0.13420387138649265</v>
      </c>
    </row>
    <row r="5263" spans="1:4" x14ac:dyDescent="0.3">
      <c r="A5263" s="1">
        <v>33574</v>
      </c>
      <c r="B5263">
        <v>530.90997300000004</v>
      </c>
      <c r="C5263">
        <f t="shared" si="181"/>
        <v>1.3380318150166768E-2</v>
      </c>
      <c r="D5263">
        <f t="shared" si="180"/>
        <v>1.033192479906293</v>
      </c>
    </row>
    <row r="5264" spans="1:4" x14ac:dyDescent="0.3">
      <c r="A5264" s="1">
        <v>33575</v>
      </c>
      <c r="B5264">
        <v>533.34002699999996</v>
      </c>
      <c r="C5264">
        <f t="shared" si="181"/>
        <v>4.5771489020416788E-3</v>
      </c>
      <c r="D5264">
        <f t="shared" si="180"/>
        <v>0.32897513890453078</v>
      </c>
    </row>
    <row r="5265" spans="1:4" x14ac:dyDescent="0.3">
      <c r="A5265" s="1">
        <v>33576</v>
      </c>
      <c r="B5265">
        <v>535.28002900000001</v>
      </c>
      <c r="C5265">
        <f t="shared" si="181"/>
        <v>3.6374580976275567E-3</v>
      </c>
      <c r="D5265">
        <f t="shared" si="180"/>
        <v>0.25380373858307725</v>
      </c>
    </row>
    <row r="5266" spans="1:4" x14ac:dyDescent="0.3">
      <c r="A5266" s="1">
        <v>33577</v>
      </c>
      <c r="B5266">
        <v>534.03002900000001</v>
      </c>
      <c r="C5266">
        <f t="shared" si="181"/>
        <v>-2.3352262970378818E-3</v>
      </c>
      <c r="D5266">
        <f t="shared" si="180"/>
        <v>-0.22398645316517621</v>
      </c>
    </row>
    <row r="5267" spans="1:4" x14ac:dyDescent="0.3">
      <c r="A5267" s="1">
        <v>33578</v>
      </c>
      <c r="B5267">
        <v>536.29998799999998</v>
      </c>
      <c r="C5267">
        <f t="shared" si="181"/>
        <v>4.2506205208171386E-3</v>
      </c>
      <c r="D5267">
        <f t="shared" si="180"/>
        <v>0.30285421109929406</v>
      </c>
    </row>
    <row r="5268" spans="1:4" x14ac:dyDescent="0.3">
      <c r="A5268" s="1">
        <v>33581</v>
      </c>
      <c r="B5268">
        <v>535.34997599999997</v>
      </c>
      <c r="C5268">
        <f t="shared" si="181"/>
        <v>-1.771419021549587E-3</v>
      </c>
      <c r="D5268">
        <f t="shared" si="180"/>
        <v>-0.17888418951548235</v>
      </c>
    </row>
    <row r="5269" spans="1:4" x14ac:dyDescent="0.3">
      <c r="A5269" s="1">
        <v>33582</v>
      </c>
      <c r="B5269">
        <v>534.22997999999995</v>
      </c>
      <c r="C5269">
        <f t="shared" si="181"/>
        <v>-2.0920819094237052E-3</v>
      </c>
      <c r="D5269">
        <f t="shared" si="180"/>
        <v>-0.20453590197173807</v>
      </c>
    </row>
    <row r="5270" spans="1:4" x14ac:dyDescent="0.3">
      <c r="A5270" s="1">
        <v>33583</v>
      </c>
      <c r="B5270">
        <v>531.64001499999995</v>
      </c>
      <c r="C5270">
        <f t="shared" si="181"/>
        <v>-4.8480337999750722E-3</v>
      </c>
      <c r="D5270">
        <f t="shared" si="180"/>
        <v>-0.42500072067395889</v>
      </c>
    </row>
    <row r="5271" spans="1:4" x14ac:dyDescent="0.3">
      <c r="A5271" s="1">
        <v>33584</v>
      </c>
      <c r="B5271">
        <v>536.02002000000005</v>
      </c>
      <c r="C5271">
        <f t="shared" si="181"/>
        <v>8.2386669107292407E-3</v>
      </c>
      <c r="D5271">
        <f t="shared" si="180"/>
        <v>0.62188152334751934</v>
      </c>
    </row>
    <row r="5272" spans="1:4" x14ac:dyDescent="0.3">
      <c r="A5272" s="1">
        <v>33585</v>
      </c>
      <c r="B5272">
        <v>540.90002400000003</v>
      </c>
      <c r="C5272">
        <f t="shared" si="181"/>
        <v>9.1041450280159031E-3</v>
      </c>
      <c r="D5272">
        <f t="shared" si="180"/>
        <v>0.69111621386316913</v>
      </c>
    </row>
    <row r="5273" spans="1:4" x14ac:dyDescent="0.3">
      <c r="A5273" s="1">
        <v>33588</v>
      </c>
      <c r="B5273">
        <v>543.72997999999995</v>
      </c>
      <c r="C5273">
        <f t="shared" si="181"/>
        <v>5.2319391281815224E-3</v>
      </c>
      <c r="D5273">
        <f t="shared" si="180"/>
        <v>0.38135566448221997</v>
      </c>
    </row>
    <row r="5274" spans="1:4" x14ac:dyDescent="0.3">
      <c r="A5274" s="1">
        <v>33589</v>
      </c>
      <c r="B5274">
        <v>539.70001200000002</v>
      </c>
      <c r="C5274">
        <f t="shared" si="181"/>
        <v>-7.4117082894710716E-3</v>
      </c>
      <c r="D5274">
        <f t="shared" si="180"/>
        <v>-0.6300841379411477</v>
      </c>
    </row>
    <row r="5275" spans="1:4" x14ac:dyDescent="0.3">
      <c r="A5275" s="1">
        <v>33590</v>
      </c>
      <c r="B5275">
        <v>539.84002699999996</v>
      </c>
      <c r="C5275">
        <f t="shared" si="181"/>
        <v>2.594311596938569E-4</v>
      </c>
      <c r="D5275">
        <f t="shared" si="180"/>
        <v>-1.6424525921850733E-2</v>
      </c>
    </row>
    <row r="5276" spans="1:4" x14ac:dyDescent="0.3">
      <c r="A5276" s="1">
        <v>33591</v>
      </c>
      <c r="B5276">
        <v>534.53002900000001</v>
      </c>
      <c r="C5276">
        <f t="shared" si="181"/>
        <v>-9.8362435803596888E-3</v>
      </c>
      <c r="D5276">
        <f t="shared" si="180"/>
        <v>-0.82403699146354936</v>
      </c>
    </row>
    <row r="5277" spans="1:4" x14ac:dyDescent="0.3">
      <c r="A5277" s="1">
        <v>33592</v>
      </c>
      <c r="B5277">
        <v>535.76000999999997</v>
      </c>
      <c r="C5277">
        <f t="shared" si="181"/>
        <v>2.3010512661019319E-3</v>
      </c>
      <c r="D5277">
        <f t="shared" si="180"/>
        <v>0.14689668739875447</v>
      </c>
    </row>
    <row r="5278" spans="1:4" x14ac:dyDescent="0.3">
      <c r="A5278" s="1">
        <v>33595</v>
      </c>
      <c r="B5278">
        <v>543.90002400000003</v>
      </c>
      <c r="C5278">
        <f t="shared" si="181"/>
        <v>1.5193396013263598E-2</v>
      </c>
      <c r="D5278">
        <f t="shared" si="180"/>
        <v>1.1782312535333186</v>
      </c>
    </row>
    <row r="5279" spans="1:4" x14ac:dyDescent="0.3">
      <c r="A5279" s="1">
        <v>33596</v>
      </c>
      <c r="B5279">
        <v>549.55999799999995</v>
      </c>
      <c r="C5279">
        <f t="shared" si="181"/>
        <v>1.0406276429949044E-2</v>
      </c>
      <c r="D5279">
        <f t="shared" si="180"/>
        <v>0.79528137162150181</v>
      </c>
    </row>
    <row r="5280" spans="1:4" x14ac:dyDescent="0.3">
      <c r="A5280" s="1">
        <v>33598</v>
      </c>
      <c r="B5280">
        <v>559.29998799999998</v>
      </c>
      <c r="C5280">
        <f t="shared" si="181"/>
        <v>1.7723251392835246E-2</v>
      </c>
      <c r="D5280">
        <f t="shared" si="180"/>
        <v>1.38060928107157</v>
      </c>
    </row>
    <row r="5281" spans="1:4" x14ac:dyDescent="0.3">
      <c r="A5281" s="1">
        <v>33599</v>
      </c>
      <c r="B5281">
        <v>565.71002199999998</v>
      </c>
      <c r="C5281">
        <f t="shared" si="181"/>
        <v>1.1460815550741611E-2</v>
      </c>
      <c r="D5281">
        <f t="shared" si="180"/>
        <v>0.87964016499413211</v>
      </c>
    </row>
    <row r="5282" spans="1:4" x14ac:dyDescent="0.3">
      <c r="A5282" s="1">
        <v>33602</v>
      </c>
      <c r="B5282">
        <v>579.75</v>
      </c>
      <c r="C5282">
        <f t="shared" si="181"/>
        <v>2.4818329981787065E-2</v>
      </c>
      <c r="D5282">
        <f t="shared" si="180"/>
        <v>1.9481863930502294</v>
      </c>
    </row>
    <row r="5283" spans="1:4" x14ac:dyDescent="0.3">
      <c r="A5283" s="1">
        <v>33603</v>
      </c>
      <c r="B5283">
        <v>586.34002699999996</v>
      </c>
      <c r="C5283">
        <f t="shared" si="181"/>
        <v>1.1367015092712313E-2</v>
      </c>
      <c r="D5283">
        <f t="shared" si="180"/>
        <v>0.87213651406157644</v>
      </c>
    </row>
    <row r="5284" spans="1:4" x14ac:dyDescent="0.3">
      <c r="A5284" s="1">
        <v>33605</v>
      </c>
      <c r="B5284">
        <v>586.45001200000002</v>
      </c>
      <c r="C5284">
        <f t="shared" si="181"/>
        <v>1.875788705110039E-4</v>
      </c>
      <c r="D5284">
        <f t="shared" si="180"/>
        <v>-2.2172413598100418E-2</v>
      </c>
    </row>
    <row r="5285" spans="1:4" x14ac:dyDescent="0.3">
      <c r="A5285" s="1">
        <v>33606</v>
      </c>
      <c r="B5285">
        <v>592.65002400000003</v>
      </c>
      <c r="C5285">
        <f t="shared" si="181"/>
        <v>1.0572106527640441E-2</v>
      </c>
      <c r="D5285">
        <f t="shared" si="180"/>
        <v>0.80854709753937737</v>
      </c>
    </row>
    <row r="5286" spans="1:4" x14ac:dyDescent="0.3">
      <c r="A5286" s="1">
        <v>33609</v>
      </c>
      <c r="B5286">
        <v>597.90002400000003</v>
      </c>
      <c r="C5286">
        <f t="shared" si="181"/>
        <v>8.8585164724468146E-3</v>
      </c>
      <c r="D5286">
        <f t="shared" si="180"/>
        <v>0.67146693944829772</v>
      </c>
    </row>
    <row r="5287" spans="1:4" x14ac:dyDescent="0.3">
      <c r="A5287" s="1">
        <v>33610</v>
      </c>
      <c r="B5287">
        <v>602.28997800000002</v>
      </c>
      <c r="C5287">
        <f t="shared" si="181"/>
        <v>7.3422877133050403E-3</v>
      </c>
      <c r="D5287">
        <f t="shared" si="180"/>
        <v>0.55017487348686744</v>
      </c>
    </row>
    <row r="5288" spans="1:4" x14ac:dyDescent="0.3">
      <c r="A5288" s="1">
        <v>33611</v>
      </c>
      <c r="B5288">
        <v>610.32000700000003</v>
      </c>
      <c r="C5288">
        <f t="shared" si="181"/>
        <v>1.3332496460699887E-2</v>
      </c>
      <c r="D5288">
        <f t="shared" si="180"/>
        <v>1.0293669413929047</v>
      </c>
    </row>
    <row r="5289" spans="1:4" x14ac:dyDescent="0.3">
      <c r="A5289" s="1">
        <v>33612</v>
      </c>
      <c r="B5289">
        <v>619.79998799999998</v>
      </c>
      <c r="C5289">
        <f t="shared" si="181"/>
        <v>1.5532803924613849E-2</v>
      </c>
      <c r="D5289">
        <f t="shared" si="180"/>
        <v>1.2053824907876678</v>
      </c>
    </row>
    <row r="5290" spans="1:4" x14ac:dyDescent="0.3">
      <c r="A5290" s="1">
        <v>33613</v>
      </c>
      <c r="B5290">
        <v>615.70001200000002</v>
      </c>
      <c r="C5290">
        <f t="shared" si="181"/>
        <v>-6.6149985146498093E-3</v>
      </c>
      <c r="D5290">
        <f t="shared" si="180"/>
        <v>-0.5663506320456162</v>
      </c>
    </row>
    <row r="5291" spans="1:4" x14ac:dyDescent="0.3">
      <c r="A5291" s="1">
        <v>33616</v>
      </c>
      <c r="B5291">
        <v>617.63000499999998</v>
      </c>
      <c r="C5291">
        <f t="shared" si="181"/>
        <v>3.1346320649413397E-3</v>
      </c>
      <c r="D5291">
        <f t="shared" si="180"/>
        <v>0.21357972360118091</v>
      </c>
    </row>
    <row r="5292" spans="1:4" x14ac:dyDescent="0.3">
      <c r="A5292" s="1">
        <v>33617</v>
      </c>
      <c r="B5292">
        <v>625.75</v>
      </c>
      <c r="C5292">
        <f t="shared" si="181"/>
        <v>1.314702157321521E-2</v>
      </c>
      <c r="D5292">
        <f t="shared" si="180"/>
        <v>1.014529713071425</v>
      </c>
    </row>
    <row r="5293" spans="1:4" x14ac:dyDescent="0.3">
      <c r="A5293" s="1">
        <v>33618</v>
      </c>
      <c r="B5293">
        <v>630.82000700000003</v>
      </c>
      <c r="C5293">
        <f t="shared" si="181"/>
        <v>8.1022884538554246E-3</v>
      </c>
      <c r="D5293">
        <f t="shared" si="180"/>
        <v>0.61097180758917957</v>
      </c>
    </row>
    <row r="5294" spans="1:4" x14ac:dyDescent="0.3">
      <c r="A5294" s="1">
        <v>33619</v>
      </c>
      <c r="B5294">
        <v>627.34002699999996</v>
      </c>
      <c r="C5294">
        <f t="shared" si="181"/>
        <v>-5.5165973833801825E-3</v>
      </c>
      <c r="D5294">
        <f t="shared" si="180"/>
        <v>-0.47848305819648596</v>
      </c>
    </row>
    <row r="5295" spans="1:4" x14ac:dyDescent="0.3">
      <c r="A5295" s="1">
        <v>33620</v>
      </c>
      <c r="B5295">
        <v>626.84997599999997</v>
      </c>
      <c r="C5295">
        <f t="shared" si="181"/>
        <v>-7.8115691476513113E-4</v>
      </c>
      <c r="D5295">
        <f t="shared" si="180"/>
        <v>-9.9667292954840017E-2</v>
      </c>
    </row>
    <row r="5296" spans="1:4" x14ac:dyDescent="0.3">
      <c r="A5296" s="1">
        <v>33623</v>
      </c>
      <c r="B5296">
        <v>619.38000499999998</v>
      </c>
      <c r="C5296">
        <f t="shared" si="181"/>
        <v>-1.191668068277949E-2</v>
      </c>
      <c r="D5296">
        <f t="shared" si="180"/>
        <v>-0.99046340484865125</v>
      </c>
    </row>
    <row r="5297" spans="1:4" x14ac:dyDescent="0.3">
      <c r="A5297" s="1">
        <v>33624</v>
      </c>
      <c r="B5297">
        <v>604.86999500000002</v>
      </c>
      <c r="C5297">
        <f t="shared" si="181"/>
        <v>-2.3426668414974046E-2</v>
      </c>
      <c r="D5297">
        <f t="shared" si="180"/>
        <v>-1.9112150940718571</v>
      </c>
    </row>
    <row r="5298" spans="1:4" x14ac:dyDescent="0.3">
      <c r="A5298" s="1">
        <v>33625</v>
      </c>
      <c r="B5298">
        <v>620.67999299999997</v>
      </c>
      <c r="C5298">
        <f t="shared" si="181"/>
        <v>2.6137844711573023E-2</v>
      </c>
      <c r="D5298">
        <f t="shared" si="180"/>
        <v>2.0537421455561162</v>
      </c>
    </row>
    <row r="5299" spans="1:4" x14ac:dyDescent="0.3">
      <c r="A5299" s="1">
        <v>33626</v>
      </c>
      <c r="B5299">
        <v>622.85998500000005</v>
      </c>
      <c r="C5299">
        <f t="shared" si="181"/>
        <v>3.5122640081619062E-3</v>
      </c>
      <c r="D5299">
        <f t="shared" si="180"/>
        <v>0.24378872622699718</v>
      </c>
    </row>
    <row r="5300" spans="1:4" x14ac:dyDescent="0.3">
      <c r="A5300" s="1">
        <v>33627</v>
      </c>
      <c r="B5300">
        <v>624.67999299999997</v>
      </c>
      <c r="C5300">
        <f t="shared" si="181"/>
        <v>2.9220178592784638E-3</v>
      </c>
      <c r="D5300">
        <f t="shared" si="180"/>
        <v>0.19657146142298851</v>
      </c>
    </row>
    <row r="5301" spans="1:4" x14ac:dyDescent="0.3">
      <c r="A5301" s="1">
        <v>33630</v>
      </c>
      <c r="B5301">
        <v>621</v>
      </c>
      <c r="C5301">
        <f t="shared" si="181"/>
        <v>-5.8910050605702168E-3</v>
      </c>
      <c r="D5301">
        <f t="shared" si="180"/>
        <v>-0.50843413279812077</v>
      </c>
    </row>
    <row r="5302" spans="1:4" x14ac:dyDescent="0.3">
      <c r="A5302" s="1">
        <v>33631</v>
      </c>
      <c r="B5302">
        <v>621.28997800000002</v>
      </c>
      <c r="C5302">
        <f t="shared" si="181"/>
        <v>4.6695330112724503E-4</v>
      </c>
      <c r="D5302">
        <f t="shared" si="180"/>
        <v>1.7639205667585958E-4</v>
      </c>
    </row>
    <row r="5303" spans="1:4" x14ac:dyDescent="0.3">
      <c r="A5303" s="1">
        <v>33632</v>
      </c>
      <c r="B5303">
        <v>616.30999799999995</v>
      </c>
      <c r="C5303">
        <f t="shared" si="181"/>
        <v>-8.0155485785094512E-3</v>
      </c>
      <c r="D5303">
        <f t="shared" si="180"/>
        <v>-0.67838887805811299</v>
      </c>
    </row>
    <row r="5304" spans="1:4" x14ac:dyDescent="0.3">
      <c r="A5304" s="1">
        <v>33633</v>
      </c>
      <c r="B5304">
        <v>621.36999500000002</v>
      </c>
      <c r="C5304">
        <f t="shared" si="181"/>
        <v>8.2101491399139484E-3</v>
      </c>
      <c r="D5304">
        <f t="shared" si="180"/>
        <v>0.61960021894807027</v>
      </c>
    </row>
    <row r="5305" spans="1:4" x14ac:dyDescent="0.3">
      <c r="A5305" s="1">
        <v>33634</v>
      </c>
      <c r="B5305">
        <v>620.21002199999998</v>
      </c>
      <c r="C5305">
        <f t="shared" si="181"/>
        <v>-1.8667991845986002E-3</v>
      </c>
      <c r="D5305">
        <f t="shared" si="180"/>
        <v>-0.18651421035382942</v>
      </c>
    </row>
    <row r="5306" spans="1:4" x14ac:dyDescent="0.3">
      <c r="A5306" s="1">
        <v>33637</v>
      </c>
      <c r="B5306">
        <v>623.42999299999997</v>
      </c>
      <c r="C5306">
        <f t="shared" si="181"/>
        <v>5.1917429351052745E-3</v>
      </c>
      <c r="D5306">
        <f t="shared" si="180"/>
        <v>0.37814013432385374</v>
      </c>
    </row>
    <row r="5307" spans="1:4" x14ac:dyDescent="0.3">
      <c r="A5307" s="1">
        <v>33638</v>
      </c>
      <c r="B5307">
        <v>631</v>
      </c>
      <c r="C5307">
        <f t="shared" si="181"/>
        <v>1.2142513329479855E-2</v>
      </c>
      <c r="D5307">
        <f t="shared" si="180"/>
        <v>0.93417318413517603</v>
      </c>
    </row>
    <row r="5308" spans="1:4" x14ac:dyDescent="0.3">
      <c r="A5308" s="1">
        <v>33639</v>
      </c>
      <c r="B5308">
        <v>636.96997099999999</v>
      </c>
      <c r="C5308">
        <f t="shared" si="181"/>
        <v>9.4611267828842889E-3</v>
      </c>
      <c r="D5308">
        <f t="shared" si="180"/>
        <v>0.7196732863348928</v>
      </c>
    </row>
    <row r="5309" spans="1:4" x14ac:dyDescent="0.3">
      <c r="A5309" s="1">
        <v>33640</v>
      </c>
      <c r="B5309">
        <v>637.669983</v>
      </c>
      <c r="C5309">
        <f t="shared" si="181"/>
        <v>1.0989717441483833E-3</v>
      </c>
      <c r="D5309">
        <f t="shared" si="180"/>
        <v>5.0735268623000332E-2</v>
      </c>
    </row>
    <row r="5310" spans="1:4" x14ac:dyDescent="0.3">
      <c r="A5310" s="1">
        <v>33641</v>
      </c>
      <c r="B5310">
        <v>634.95001200000002</v>
      </c>
      <c r="C5310">
        <f t="shared" si="181"/>
        <v>-4.2654838278627059E-3</v>
      </c>
      <c r="D5310">
        <f t="shared" si="180"/>
        <v>-0.37839911836476836</v>
      </c>
    </row>
    <row r="5311" spans="1:4" x14ac:dyDescent="0.3">
      <c r="A5311" s="1">
        <v>33644</v>
      </c>
      <c r="B5311">
        <v>634.13000499999998</v>
      </c>
      <c r="C5311">
        <f t="shared" si="181"/>
        <v>-1.2914512709703396E-3</v>
      </c>
      <c r="D5311">
        <f t="shared" si="180"/>
        <v>-0.14048874310832588</v>
      </c>
    </row>
    <row r="5312" spans="1:4" x14ac:dyDescent="0.3">
      <c r="A5312" s="1">
        <v>33645</v>
      </c>
      <c r="B5312">
        <v>633.36999500000002</v>
      </c>
      <c r="C5312">
        <f t="shared" si="181"/>
        <v>-1.1985081828764209E-3</v>
      </c>
      <c r="D5312">
        <f t="shared" si="180"/>
        <v>-0.13305367824507427</v>
      </c>
    </row>
    <row r="5313" spans="1:4" x14ac:dyDescent="0.3">
      <c r="A5313" s="1">
        <v>33646</v>
      </c>
      <c r="B5313">
        <v>644.919983</v>
      </c>
      <c r="C5313">
        <f t="shared" si="181"/>
        <v>1.8235767546898058E-2</v>
      </c>
      <c r="D5313">
        <f t="shared" si="180"/>
        <v>1.4216084659175769</v>
      </c>
    </row>
    <row r="5314" spans="1:4" x14ac:dyDescent="0.3">
      <c r="A5314" s="1">
        <v>33647</v>
      </c>
      <c r="B5314">
        <v>639.09997599999997</v>
      </c>
      <c r="C5314">
        <f t="shared" si="181"/>
        <v>-9.0243862082345066E-3</v>
      </c>
      <c r="D5314">
        <f t="shared" si="180"/>
        <v>-0.75909174007099656</v>
      </c>
    </row>
    <row r="5315" spans="1:4" x14ac:dyDescent="0.3">
      <c r="A5315" s="1">
        <v>33648</v>
      </c>
      <c r="B5315">
        <v>636.42999299999997</v>
      </c>
      <c r="C5315">
        <f t="shared" si="181"/>
        <v>-4.1777235178616281E-3</v>
      </c>
      <c r="D5315">
        <f t="shared" ref="D5315:D5378" si="182">(C5315-avrtn)/sdrtn</f>
        <v>-0.37137865443723317</v>
      </c>
    </row>
    <row r="5316" spans="1:4" x14ac:dyDescent="0.3">
      <c r="A5316" s="1">
        <v>33652</v>
      </c>
      <c r="B5316">
        <v>626.40997300000004</v>
      </c>
      <c r="C5316">
        <f t="shared" ref="C5316:C5379" si="183">(B5316-B5315)/B5315</f>
        <v>-1.5744104002339079E-2</v>
      </c>
      <c r="D5316">
        <f t="shared" si="182"/>
        <v>-1.2966415319546876</v>
      </c>
    </row>
    <row r="5317" spans="1:4" x14ac:dyDescent="0.3">
      <c r="A5317" s="1">
        <v>33653</v>
      </c>
      <c r="B5317">
        <v>622.40997300000004</v>
      </c>
      <c r="C5317">
        <f t="shared" si="183"/>
        <v>-6.3855943749477947E-3</v>
      </c>
      <c r="D5317">
        <f t="shared" si="182"/>
        <v>-0.54799924418491408</v>
      </c>
    </row>
    <row r="5318" spans="1:4" x14ac:dyDescent="0.3">
      <c r="A5318" s="1">
        <v>33654</v>
      </c>
      <c r="B5318">
        <v>632.22997999999995</v>
      </c>
      <c r="C5318">
        <f t="shared" si="183"/>
        <v>1.5777393399832168E-2</v>
      </c>
      <c r="D5318">
        <f t="shared" si="182"/>
        <v>1.2249486430472016</v>
      </c>
    </row>
    <row r="5319" spans="1:4" x14ac:dyDescent="0.3">
      <c r="A5319" s="1">
        <v>33655</v>
      </c>
      <c r="B5319">
        <v>629.75</v>
      </c>
      <c r="C5319">
        <f t="shared" si="183"/>
        <v>-3.9225915860553705E-3</v>
      </c>
      <c r="D5319">
        <f t="shared" si="182"/>
        <v>-0.35096914900150478</v>
      </c>
    </row>
    <row r="5320" spans="1:4" x14ac:dyDescent="0.3">
      <c r="A5320" s="1">
        <v>33658</v>
      </c>
      <c r="B5320">
        <v>624.92999299999997</v>
      </c>
      <c r="C5320">
        <f t="shared" si="183"/>
        <v>-7.6538420007940169E-3</v>
      </c>
      <c r="D5320">
        <f t="shared" si="182"/>
        <v>-0.649453839187213</v>
      </c>
    </row>
    <row r="5321" spans="1:4" x14ac:dyDescent="0.3">
      <c r="A5321" s="1">
        <v>33659</v>
      </c>
      <c r="B5321">
        <v>621.40002400000003</v>
      </c>
      <c r="C5321">
        <f t="shared" si="183"/>
        <v>-5.6485831045717432E-3</v>
      </c>
      <c r="D5321">
        <f t="shared" si="182"/>
        <v>-0.48904137316328233</v>
      </c>
    </row>
    <row r="5322" spans="1:4" x14ac:dyDescent="0.3">
      <c r="A5322" s="1">
        <v>33660</v>
      </c>
      <c r="B5322">
        <v>632.40002400000003</v>
      </c>
      <c r="C5322">
        <f t="shared" si="183"/>
        <v>1.7701962624964429E-2</v>
      </c>
      <c r="D5322">
        <f t="shared" si="182"/>
        <v>1.3789062671818413</v>
      </c>
    </row>
    <row r="5323" spans="1:4" x14ac:dyDescent="0.3">
      <c r="A5323" s="1">
        <v>33661</v>
      </c>
      <c r="B5323">
        <v>633.95001200000002</v>
      </c>
      <c r="C5323">
        <f t="shared" si="183"/>
        <v>2.4509613238091602E-3</v>
      </c>
      <c r="D5323">
        <f t="shared" si="182"/>
        <v>0.15888887558149209</v>
      </c>
    </row>
    <row r="5324" spans="1:4" x14ac:dyDescent="0.3">
      <c r="A5324" s="1">
        <v>33662</v>
      </c>
      <c r="B5324">
        <v>633.46997099999999</v>
      </c>
      <c r="C5324">
        <f t="shared" si="183"/>
        <v>-7.5722216407187067E-4</v>
      </c>
      <c r="D5324">
        <f t="shared" si="182"/>
        <v>-9.7752611319662119E-2</v>
      </c>
    </row>
    <row r="5325" spans="1:4" x14ac:dyDescent="0.3">
      <c r="A5325" s="1">
        <v>33665</v>
      </c>
      <c r="B5325">
        <v>635.46997099999999</v>
      </c>
      <c r="C5325">
        <f t="shared" si="183"/>
        <v>3.1572135879508012E-3</v>
      </c>
      <c r="D5325">
        <f t="shared" si="182"/>
        <v>0.21538615258616037</v>
      </c>
    </row>
    <row r="5326" spans="1:4" x14ac:dyDescent="0.3">
      <c r="A5326" s="1">
        <v>33666</v>
      </c>
      <c r="B5326">
        <v>634.25</v>
      </c>
      <c r="C5326">
        <f t="shared" si="183"/>
        <v>-1.9197933115237429E-3</v>
      </c>
      <c r="D5326">
        <f t="shared" si="182"/>
        <v>-0.19075352259468886</v>
      </c>
    </row>
    <row r="5327" spans="1:4" x14ac:dyDescent="0.3">
      <c r="A5327" s="1">
        <v>33667</v>
      </c>
      <c r="B5327">
        <v>630.28997800000002</v>
      </c>
      <c r="C5327">
        <f t="shared" si="183"/>
        <v>-6.243629483642067E-3</v>
      </c>
      <c r="D5327">
        <f t="shared" si="182"/>
        <v>-0.53664263664357703</v>
      </c>
    </row>
    <row r="5328" spans="1:4" x14ac:dyDescent="0.3">
      <c r="A5328" s="1">
        <v>33668</v>
      </c>
      <c r="B5328">
        <v>621.96997099999999</v>
      </c>
      <c r="C5328">
        <f t="shared" si="183"/>
        <v>-1.3200284457005966E-2</v>
      </c>
      <c r="D5328">
        <f t="shared" si="182"/>
        <v>-1.0931464285765111</v>
      </c>
    </row>
    <row r="5329" spans="1:4" x14ac:dyDescent="0.3">
      <c r="A5329" s="1">
        <v>33669</v>
      </c>
      <c r="B5329">
        <v>615.95001200000002</v>
      </c>
      <c r="C5329">
        <f t="shared" si="183"/>
        <v>-9.6788579524524528E-3</v>
      </c>
      <c r="D5329">
        <f t="shared" si="182"/>
        <v>-0.81144678840453943</v>
      </c>
    </row>
    <row r="5330" spans="1:4" x14ac:dyDescent="0.3">
      <c r="A5330" s="1">
        <v>33672</v>
      </c>
      <c r="B5330">
        <v>615.82000700000003</v>
      </c>
      <c r="C5330">
        <f t="shared" si="183"/>
        <v>-2.1106420564528347E-4</v>
      </c>
      <c r="D5330">
        <f t="shared" si="182"/>
        <v>-5.4062220460479468E-2</v>
      </c>
    </row>
    <row r="5331" spans="1:4" x14ac:dyDescent="0.3">
      <c r="A5331" s="1">
        <v>33673</v>
      </c>
      <c r="B5331">
        <v>623.46002199999998</v>
      </c>
      <c r="C5331">
        <f t="shared" si="183"/>
        <v>1.2406246814257772E-2</v>
      </c>
      <c r="D5331">
        <f t="shared" si="182"/>
        <v>0.9552707784388399</v>
      </c>
    </row>
    <row r="5332" spans="1:4" x14ac:dyDescent="0.3">
      <c r="A5332" s="1">
        <v>33674</v>
      </c>
      <c r="B5332">
        <v>617.14001499999995</v>
      </c>
      <c r="C5332">
        <f t="shared" si="183"/>
        <v>-1.0136988382552671E-2</v>
      </c>
      <c r="D5332">
        <f t="shared" si="182"/>
        <v>-0.84809533896897193</v>
      </c>
    </row>
    <row r="5333" spans="1:4" x14ac:dyDescent="0.3">
      <c r="A5333" s="1">
        <v>33675</v>
      </c>
      <c r="B5333">
        <v>615.919983</v>
      </c>
      <c r="C5333">
        <f t="shared" si="183"/>
        <v>-1.9769128080277644E-3</v>
      </c>
      <c r="D5333">
        <f t="shared" si="182"/>
        <v>-0.1953228474382375</v>
      </c>
    </row>
    <row r="5334" spans="1:4" x14ac:dyDescent="0.3">
      <c r="A5334" s="1">
        <v>33676</v>
      </c>
      <c r="B5334">
        <v>618.61999500000002</v>
      </c>
      <c r="C5334">
        <f t="shared" si="183"/>
        <v>4.3837057970564581E-3</v>
      </c>
      <c r="D5334">
        <f t="shared" si="182"/>
        <v>0.31350048594851376</v>
      </c>
    </row>
    <row r="5335" spans="1:4" x14ac:dyDescent="0.3">
      <c r="A5335" s="1">
        <v>33679</v>
      </c>
      <c r="B5335">
        <v>617.94000200000005</v>
      </c>
      <c r="C5335">
        <f t="shared" si="183"/>
        <v>-1.0992095397756544E-3</v>
      </c>
      <c r="D5335">
        <f t="shared" si="182"/>
        <v>-0.12511019511547319</v>
      </c>
    </row>
    <row r="5336" spans="1:4" x14ac:dyDescent="0.3">
      <c r="A5336" s="1">
        <v>33680</v>
      </c>
      <c r="B5336">
        <v>623.27002000000005</v>
      </c>
      <c r="C5336">
        <f t="shared" si="183"/>
        <v>8.6254619910494084E-3</v>
      </c>
      <c r="D5336">
        <f t="shared" si="182"/>
        <v>0.65282353926225889</v>
      </c>
    </row>
    <row r="5337" spans="1:4" x14ac:dyDescent="0.3">
      <c r="A5337" s="1">
        <v>33681</v>
      </c>
      <c r="B5337">
        <v>624.94000200000005</v>
      </c>
      <c r="C5337">
        <f t="shared" si="183"/>
        <v>2.6793876593005457E-3</v>
      </c>
      <c r="D5337">
        <f t="shared" si="182"/>
        <v>0.17716204312609887</v>
      </c>
    </row>
    <row r="5338" spans="1:4" x14ac:dyDescent="0.3">
      <c r="A5338" s="1">
        <v>33682</v>
      </c>
      <c r="B5338">
        <v>625.96002199999998</v>
      </c>
      <c r="C5338">
        <f t="shared" si="183"/>
        <v>1.6321886848906357E-3</v>
      </c>
      <c r="D5338">
        <f t="shared" si="182"/>
        <v>9.3390431281218877E-2</v>
      </c>
    </row>
    <row r="5339" spans="1:4" x14ac:dyDescent="0.3">
      <c r="A5339" s="1">
        <v>33683</v>
      </c>
      <c r="B5339">
        <v>624.28002900000001</v>
      </c>
      <c r="C5339">
        <f t="shared" si="183"/>
        <v>-2.6838662869111594E-3</v>
      </c>
      <c r="D5339">
        <f t="shared" si="182"/>
        <v>-0.25187621873883387</v>
      </c>
    </row>
    <row r="5340" spans="1:4" x14ac:dyDescent="0.3">
      <c r="A5340" s="1">
        <v>33686</v>
      </c>
      <c r="B5340">
        <v>621.830017</v>
      </c>
      <c r="C5340">
        <f t="shared" si="183"/>
        <v>-3.924540088082836E-3</v>
      </c>
      <c r="D5340">
        <f t="shared" si="182"/>
        <v>-0.35112502115141381</v>
      </c>
    </row>
    <row r="5341" spans="1:4" x14ac:dyDescent="0.3">
      <c r="A5341" s="1">
        <v>33687</v>
      </c>
      <c r="B5341">
        <v>618.67999299999997</v>
      </c>
      <c r="C5341">
        <f t="shared" si="183"/>
        <v>-5.0657316531569595E-3</v>
      </c>
      <c r="D5341">
        <f t="shared" si="182"/>
        <v>-0.44241565374958869</v>
      </c>
    </row>
    <row r="5342" spans="1:4" x14ac:dyDescent="0.3">
      <c r="A5342" s="1">
        <v>33688</v>
      </c>
      <c r="B5342">
        <v>619.47997999999995</v>
      </c>
      <c r="C5342">
        <f t="shared" si="183"/>
        <v>1.2930545824196183E-3</v>
      </c>
      <c r="D5342">
        <f t="shared" si="182"/>
        <v>6.6261097611299474E-2</v>
      </c>
    </row>
    <row r="5343" spans="1:4" x14ac:dyDescent="0.3">
      <c r="A5343" s="1">
        <v>33689</v>
      </c>
      <c r="B5343">
        <v>615.40002400000003</v>
      </c>
      <c r="C5343">
        <f t="shared" si="183"/>
        <v>-6.5860982303252557E-3</v>
      </c>
      <c r="D5343">
        <f t="shared" si="182"/>
        <v>-0.56403872813833122</v>
      </c>
    </row>
    <row r="5344" spans="1:4" x14ac:dyDescent="0.3">
      <c r="A5344" s="1">
        <v>33690</v>
      </c>
      <c r="B5344">
        <v>604.669983</v>
      </c>
      <c r="C5344">
        <f t="shared" si="183"/>
        <v>-1.7435880047999522E-2</v>
      </c>
      <c r="D5344">
        <f t="shared" si="182"/>
        <v>-1.4319766589828558</v>
      </c>
    </row>
    <row r="5345" spans="1:4" x14ac:dyDescent="0.3">
      <c r="A5345" s="1">
        <v>33693</v>
      </c>
      <c r="B5345">
        <v>602.07000700000003</v>
      </c>
      <c r="C5345">
        <f t="shared" si="183"/>
        <v>-4.2998264724511213E-3</v>
      </c>
      <c r="D5345">
        <f t="shared" si="182"/>
        <v>-0.38114638871404322</v>
      </c>
    </row>
    <row r="5346" spans="1:4" x14ac:dyDescent="0.3">
      <c r="A5346" s="1">
        <v>33694</v>
      </c>
      <c r="B5346">
        <v>603.77002000000005</v>
      </c>
      <c r="C5346">
        <f t="shared" si="183"/>
        <v>2.8236135004812033E-3</v>
      </c>
      <c r="D5346">
        <f t="shared" si="182"/>
        <v>0.18869951736034887</v>
      </c>
    </row>
    <row r="5347" spans="1:4" x14ac:dyDescent="0.3">
      <c r="A5347" s="1">
        <v>33695</v>
      </c>
      <c r="B5347">
        <v>602.09002699999996</v>
      </c>
      <c r="C5347">
        <f t="shared" si="183"/>
        <v>-2.7825048352021209E-3</v>
      </c>
      <c r="D5347">
        <f t="shared" si="182"/>
        <v>-0.25976689699797662</v>
      </c>
    </row>
    <row r="5348" spans="1:4" x14ac:dyDescent="0.3">
      <c r="A5348" s="1">
        <v>33696</v>
      </c>
      <c r="B5348">
        <v>593.82000700000003</v>
      </c>
      <c r="C5348">
        <f t="shared" si="183"/>
        <v>-1.3735520651631607E-2</v>
      </c>
      <c r="D5348">
        <f t="shared" si="182"/>
        <v>-1.1359631232421792</v>
      </c>
    </row>
    <row r="5349" spans="1:4" x14ac:dyDescent="0.3">
      <c r="A5349" s="1">
        <v>33697</v>
      </c>
      <c r="B5349">
        <v>590.01000999999997</v>
      </c>
      <c r="C5349">
        <f t="shared" si="183"/>
        <v>-6.4160805548609048E-3</v>
      </c>
      <c r="D5349">
        <f t="shared" si="182"/>
        <v>-0.55043801321804198</v>
      </c>
    </row>
    <row r="5350" spans="1:4" x14ac:dyDescent="0.3">
      <c r="A5350" s="1">
        <v>33700</v>
      </c>
      <c r="B5350">
        <v>596.28997800000002</v>
      </c>
      <c r="C5350">
        <f t="shared" si="183"/>
        <v>1.0643832974969448E-2</v>
      </c>
      <c r="D5350">
        <f t="shared" si="182"/>
        <v>0.81428491838478412</v>
      </c>
    </row>
    <row r="5351" spans="1:4" x14ac:dyDescent="0.3">
      <c r="A5351" s="1">
        <v>33701</v>
      </c>
      <c r="B5351">
        <v>581.60998500000005</v>
      </c>
      <c r="C5351">
        <f t="shared" si="183"/>
        <v>-2.4618882660476255E-2</v>
      </c>
      <c r="D5351">
        <f t="shared" si="182"/>
        <v>-2.0065873312977631</v>
      </c>
    </row>
    <row r="5352" spans="1:4" x14ac:dyDescent="0.3">
      <c r="A5352" s="1">
        <v>33702</v>
      </c>
      <c r="B5352">
        <v>573.67999299999997</v>
      </c>
      <c r="C5352">
        <f t="shared" si="183"/>
        <v>-1.3634552714909258E-2</v>
      </c>
      <c r="D5352">
        <f t="shared" si="182"/>
        <v>-1.127886103487028</v>
      </c>
    </row>
    <row r="5353" spans="1:4" x14ac:dyDescent="0.3">
      <c r="A5353" s="1">
        <v>33703</v>
      </c>
      <c r="B5353">
        <v>586.75</v>
      </c>
      <c r="C5353">
        <f t="shared" si="183"/>
        <v>2.2782748499998732E-2</v>
      </c>
      <c r="D5353">
        <f t="shared" si="182"/>
        <v>1.7853482448682307</v>
      </c>
    </row>
    <row r="5354" spans="1:4" x14ac:dyDescent="0.3">
      <c r="A5354" s="1">
        <v>33704</v>
      </c>
      <c r="B5354">
        <v>584.23999000000003</v>
      </c>
      <c r="C5354">
        <f t="shared" si="183"/>
        <v>-4.2778184916914628E-3</v>
      </c>
      <c r="D5354">
        <f t="shared" si="182"/>
        <v>-0.37938584075062814</v>
      </c>
    </row>
    <row r="5355" spans="1:4" x14ac:dyDescent="0.3">
      <c r="A5355" s="1">
        <v>33707</v>
      </c>
      <c r="B5355">
        <v>588.15002400000003</v>
      </c>
      <c r="C5355">
        <f t="shared" si="183"/>
        <v>6.6925134652285542E-3</v>
      </c>
      <c r="D5355">
        <f t="shared" si="182"/>
        <v>0.49819560552842185</v>
      </c>
    </row>
    <row r="5356" spans="1:4" x14ac:dyDescent="0.3">
      <c r="A5356" s="1">
        <v>33708</v>
      </c>
      <c r="B5356">
        <v>594.80999799999995</v>
      </c>
      <c r="C5356">
        <f t="shared" si="183"/>
        <v>1.1323597259599737E-2</v>
      </c>
      <c r="D5356">
        <f t="shared" si="182"/>
        <v>0.86866326594776688</v>
      </c>
    </row>
    <row r="5357" spans="1:4" x14ac:dyDescent="0.3">
      <c r="A5357" s="1">
        <v>33709</v>
      </c>
      <c r="B5357">
        <v>600.03002900000001</v>
      </c>
      <c r="C5357">
        <f t="shared" si="183"/>
        <v>8.7759637826398187E-3</v>
      </c>
      <c r="D5357">
        <f t="shared" si="182"/>
        <v>0.66486306372242687</v>
      </c>
    </row>
    <row r="5358" spans="1:4" x14ac:dyDescent="0.3">
      <c r="A5358" s="1">
        <v>33710</v>
      </c>
      <c r="B5358">
        <v>591.80999799999995</v>
      </c>
      <c r="C5358">
        <f t="shared" si="183"/>
        <v>-1.3699366036228934E-2</v>
      </c>
      <c r="D5358">
        <f t="shared" si="182"/>
        <v>-1.1330709026786323</v>
      </c>
    </row>
    <row r="5359" spans="1:4" x14ac:dyDescent="0.3">
      <c r="A5359" s="1">
        <v>33714</v>
      </c>
      <c r="B5359">
        <v>577.20001200000002</v>
      </c>
      <c r="C5359">
        <f t="shared" si="183"/>
        <v>-2.468695366650419E-2</v>
      </c>
      <c r="D5359">
        <f t="shared" si="182"/>
        <v>-2.0120327318703488</v>
      </c>
    </row>
    <row r="5360" spans="1:4" x14ac:dyDescent="0.3">
      <c r="A5360" s="1">
        <v>33715</v>
      </c>
      <c r="B5360">
        <v>575.04998799999998</v>
      </c>
      <c r="C5360">
        <f t="shared" si="183"/>
        <v>-3.7249202274791883E-3</v>
      </c>
      <c r="D5360">
        <f t="shared" si="182"/>
        <v>-0.3351562531448935</v>
      </c>
    </row>
    <row r="5361" spans="1:4" x14ac:dyDescent="0.3">
      <c r="A5361" s="1">
        <v>33716</v>
      </c>
      <c r="B5361">
        <v>578.22997999999995</v>
      </c>
      <c r="C5361">
        <f t="shared" si="183"/>
        <v>5.5299401206142977E-3</v>
      </c>
      <c r="D5361">
        <f t="shared" si="182"/>
        <v>0.40519451848943916</v>
      </c>
    </row>
    <row r="5362" spans="1:4" x14ac:dyDescent="0.3">
      <c r="A5362" s="1">
        <v>33717</v>
      </c>
      <c r="B5362">
        <v>576.04998799999998</v>
      </c>
      <c r="C5362">
        <f t="shared" si="183"/>
        <v>-3.7701123694761905E-3</v>
      </c>
      <c r="D5362">
        <f t="shared" si="182"/>
        <v>-0.33877143867345538</v>
      </c>
    </row>
    <row r="5363" spans="1:4" x14ac:dyDescent="0.3">
      <c r="A5363" s="1">
        <v>33718</v>
      </c>
      <c r="B5363">
        <v>572.89001499999995</v>
      </c>
      <c r="C5363">
        <f t="shared" si="183"/>
        <v>-5.48558817086554E-3</v>
      </c>
      <c r="D5363">
        <f t="shared" si="182"/>
        <v>-0.47600244870595831</v>
      </c>
    </row>
    <row r="5364" spans="1:4" x14ac:dyDescent="0.3">
      <c r="A5364" s="1">
        <v>33721</v>
      </c>
      <c r="B5364">
        <v>566.94000200000005</v>
      </c>
      <c r="C5364">
        <f t="shared" si="183"/>
        <v>-1.0385960383687083E-2</v>
      </c>
      <c r="D5364">
        <f t="shared" si="182"/>
        <v>-0.86801207528073887</v>
      </c>
    </row>
    <row r="5365" spans="1:4" x14ac:dyDescent="0.3">
      <c r="A5365" s="1">
        <v>33722</v>
      </c>
      <c r="B5365">
        <v>560.330017</v>
      </c>
      <c r="C5365">
        <f t="shared" si="183"/>
        <v>-1.1659055590859597E-2</v>
      </c>
      <c r="D5365">
        <f t="shared" si="182"/>
        <v>-0.96985445685576777</v>
      </c>
    </row>
    <row r="5366" spans="1:4" x14ac:dyDescent="0.3">
      <c r="A5366" s="1">
        <v>33723</v>
      </c>
      <c r="B5366">
        <v>569.94000200000005</v>
      </c>
      <c r="C5366">
        <f t="shared" si="183"/>
        <v>1.7150580387343503E-2</v>
      </c>
      <c r="D5366">
        <f t="shared" si="182"/>
        <v>1.334797955469476</v>
      </c>
    </row>
    <row r="5367" spans="1:4" x14ac:dyDescent="0.3">
      <c r="A5367" s="1">
        <v>33724</v>
      </c>
      <c r="B5367">
        <v>578.67999299999997</v>
      </c>
      <c r="C5367">
        <f t="shared" si="183"/>
        <v>1.5334931693388872E-2</v>
      </c>
      <c r="D5367">
        <f t="shared" si="182"/>
        <v>1.1895535259451462</v>
      </c>
    </row>
    <row r="5368" spans="1:4" x14ac:dyDescent="0.3">
      <c r="A5368" s="1">
        <v>33725</v>
      </c>
      <c r="B5368">
        <v>578.14001499999995</v>
      </c>
      <c r="C5368">
        <f t="shared" si="183"/>
        <v>-9.3312021589109825E-4</v>
      </c>
      <c r="D5368">
        <f t="shared" si="182"/>
        <v>-0.11182373216808938</v>
      </c>
    </row>
    <row r="5369" spans="1:4" x14ac:dyDescent="0.3">
      <c r="A5369" s="1">
        <v>33728</v>
      </c>
      <c r="B5369">
        <v>583.53997800000002</v>
      </c>
      <c r="C5369">
        <f t="shared" si="183"/>
        <v>9.340233956994088E-3</v>
      </c>
      <c r="D5369">
        <f t="shared" si="182"/>
        <v>0.71000235737794715</v>
      </c>
    </row>
    <row r="5370" spans="1:4" x14ac:dyDescent="0.3">
      <c r="A5370" s="1">
        <v>33729</v>
      </c>
      <c r="B5370">
        <v>588.07000700000003</v>
      </c>
      <c r="C5370">
        <f t="shared" si="183"/>
        <v>7.7630139678279472E-3</v>
      </c>
      <c r="D5370">
        <f t="shared" si="182"/>
        <v>0.58383124381200402</v>
      </c>
    </row>
    <row r="5371" spans="1:4" x14ac:dyDescent="0.3">
      <c r="A5371" s="1">
        <v>33730</v>
      </c>
      <c r="B5371">
        <v>589.35998500000005</v>
      </c>
      <c r="C5371">
        <f t="shared" si="183"/>
        <v>2.1935789695868967E-3</v>
      </c>
      <c r="D5371">
        <f t="shared" si="182"/>
        <v>0.13829934560627555</v>
      </c>
    </row>
    <row r="5372" spans="1:4" x14ac:dyDescent="0.3">
      <c r="A5372" s="1">
        <v>33731</v>
      </c>
      <c r="B5372">
        <v>587.15997300000004</v>
      </c>
      <c r="C5372">
        <f t="shared" si="183"/>
        <v>-3.7328832224671903E-3</v>
      </c>
      <c r="D5372">
        <f t="shared" si="182"/>
        <v>-0.33579325999990262</v>
      </c>
    </row>
    <row r="5373" spans="1:4" x14ac:dyDescent="0.3">
      <c r="A5373" s="1">
        <v>33732</v>
      </c>
      <c r="B5373">
        <v>585.76000999999997</v>
      </c>
      <c r="C5373">
        <f t="shared" si="183"/>
        <v>-2.3842957019825166E-3</v>
      </c>
      <c r="D5373">
        <f t="shared" si="182"/>
        <v>-0.22791180378614823</v>
      </c>
    </row>
    <row r="5374" spans="1:4" x14ac:dyDescent="0.3">
      <c r="A5374" s="1">
        <v>33735</v>
      </c>
      <c r="B5374">
        <v>587.13000499999998</v>
      </c>
      <c r="C5374">
        <f t="shared" si="183"/>
        <v>2.3388332706427285E-3</v>
      </c>
      <c r="D5374">
        <f t="shared" si="182"/>
        <v>0.14991909240148721</v>
      </c>
    </row>
    <row r="5375" spans="1:4" x14ac:dyDescent="0.3">
      <c r="A5375" s="1">
        <v>33736</v>
      </c>
      <c r="B5375">
        <v>583.96002199999998</v>
      </c>
      <c r="C5375">
        <f t="shared" si="183"/>
        <v>-5.3991159930584743E-3</v>
      </c>
      <c r="D5375">
        <f t="shared" si="182"/>
        <v>-0.46908503005711283</v>
      </c>
    </row>
    <row r="5376" spans="1:4" x14ac:dyDescent="0.3">
      <c r="A5376" s="1">
        <v>33737</v>
      </c>
      <c r="B5376">
        <v>582.38000499999998</v>
      </c>
      <c r="C5376">
        <f t="shared" si="183"/>
        <v>-2.7056937812088753E-3</v>
      </c>
      <c r="D5376">
        <f t="shared" si="182"/>
        <v>-0.25362232852745825</v>
      </c>
    </row>
    <row r="5377" spans="1:4" x14ac:dyDescent="0.3">
      <c r="A5377" s="1">
        <v>33738</v>
      </c>
      <c r="B5377">
        <v>576.46002199999998</v>
      </c>
      <c r="C5377">
        <f t="shared" si="183"/>
        <v>-1.0165154966129035E-2</v>
      </c>
      <c r="D5377">
        <f t="shared" si="182"/>
        <v>-0.85034854983339725</v>
      </c>
    </row>
    <row r="5378" spans="1:4" x14ac:dyDescent="0.3">
      <c r="A5378" s="1">
        <v>33739</v>
      </c>
      <c r="B5378">
        <v>574.42999299999997</v>
      </c>
      <c r="C5378">
        <f t="shared" si="183"/>
        <v>-3.5215434245672865E-3</v>
      </c>
      <c r="D5378">
        <f t="shared" si="182"/>
        <v>-0.31888694520235195</v>
      </c>
    </row>
    <row r="5379" spans="1:4" x14ac:dyDescent="0.3">
      <c r="A5379" s="1">
        <v>33742</v>
      </c>
      <c r="B5379">
        <v>576.53002900000001</v>
      </c>
      <c r="C5379">
        <f t="shared" si="183"/>
        <v>3.6558606367896353E-3</v>
      </c>
      <c r="D5379">
        <f t="shared" ref="D5379:D5442" si="184">(C5379-avrtn)/sdrtn</f>
        <v>0.25527586604435037</v>
      </c>
    </row>
    <row r="5380" spans="1:4" x14ac:dyDescent="0.3">
      <c r="A5380" s="1">
        <v>33743</v>
      </c>
      <c r="B5380">
        <v>578.04998799999998</v>
      </c>
      <c r="C5380">
        <f t="shared" ref="C5380:C5443" si="185">(B5380-B5379)/B5379</f>
        <v>2.6363917290420473E-3</v>
      </c>
      <c r="D5380">
        <f t="shared" si="184"/>
        <v>0.17372254550574065</v>
      </c>
    </row>
    <row r="5381" spans="1:4" x14ac:dyDescent="0.3">
      <c r="A5381" s="1">
        <v>33744</v>
      </c>
      <c r="B5381">
        <v>580.28997800000002</v>
      </c>
      <c r="C5381">
        <f t="shared" si="185"/>
        <v>3.8750800908243154E-3</v>
      </c>
      <c r="D5381">
        <f t="shared" si="184"/>
        <v>0.27281252093134351</v>
      </c>
    </row>
    <row r="5382" spans="1:4" x14ac:dyDescent="0.3">
      <c r="A5382" s="1">
        <v>33745</v>
      </c>
      <c r="B5382">
        <v>579.09997599999997</v>
      </c>
      <c r="C5382">
        <f t="shared" si="185"/>
        <v>-2.0507023128358243E-3</v>
      </c>
      <c r="D5382">
        <f t="shared" si="184"/>
        <v>-0.2012257043986255</v>
      </c>
    </row>
    <row r="5383" spans="1:4" x14ac:dyDescent="0.3">
      <c r="A5383" s="1">
        <v>33746</v>
      </c>
      <c r="B5383">
        <v>580.29998799999998</v>
      </c>
      <c r="C5383">
        <f t="shared" si="185"/>
        <v>2.0722017781606939E-3</v>
      </c>
      <c r="D5383">
        <f t="shared" si="184"/>
        <v>0.12858966939817276</v>
      </c>
    </row>
    <row r="5384" spans="1:4" x14ac:dyDescent="0.3">
      <c r="A5384" s="1">
        <v>33750</v>
      </c>
      <c r="B5384">
        <v>575.65002400000003</v>
      </c>
      <c r="C5384">
        <f t="shared" si="185"/>
        <v>-8.013034802957732E-3</v>
      </c>
      <c r="D5384">
        <f t="shared" si="184"/>
        <v>-0.67818778635068222</v>
      </c>
    </row>
    <row r="5385" spans="1:4" x14ac:dyDescent="0.3">
      <c r="A5385" s="1">
        <v>33751</v>
      </c>
      <c r="B5385">
        <v>577.34997599999997</v>
      </c>
      <c r="C5385">
        <f t="shared" si="185"/>
        <v>2.953099850821754E-3</v>
      </c>
      <c r="D5385">
        <f t="shared" si="184"/>
        <v>0.19905789293653881</v>
      </c>
    </row>
    <row r="5386" spans="1:4" x14ac:dyDescent="0.3">
      <c r="A5386" s="1">
        <v>33752</v>
      </c>
      <c r="B5386">
        <v>580.48999000000003</v>
      </c>
      <c r="C5386">
        <f t="shared" si="185"/>
        <v>5.4386665463376843E-3</v>
      </c>
      <c r="D5386">
        <f t="shared" si="184"/>
        <v>0.39789300786649012</v>
      </c>
    </row>
    <row r="5387" spans="1:4" x14ac:dyDescent="0.3">
      <c r="A5387" s="1">
        <v>33753</v>
      </c>
      <c r="B5387">
        <v>585.30999799999995</v>
      </c>
      <c r="C5387">
        <f t="shared" si="185"/>
        <v>8.3033438698915645E-3</v>
      </c>
      <c r="D5387">
        <f t="shared" si="184"/>
        <v>0.62705541412726018</v>
      </c>
    </row>
    <row r="5388" spans="1:4" x14ac:dyDescent="0.3">
      <c r="A5388" s="1">
        <v>33756</v>
      </c>
      <c r="B5388">
        <v>588.36999500000002</v>
      </c>
      <c r="C5388">
        <f t="shared" si="185"/>
        <v>5.227993730597554E-3</v>
      </c>
      <c r="D5388">
        <f t="shared" si="184"/>
        <v>0.38104004889907434</v>
      </c>
    </row>
    <row r="5389" spans="1:4" x14ac:dyDescent="0.3">
      <c r="A5389" s="1">
        <v>33757</v>
      </c>
      <c r="B5389">
        <v>589.17999299999997</v>
      </c>
      <c r="C5389">
        <f t="shared" si="185"/>
        <v>1.3766813516721743E-3</v>
      </c>
      <c r="D5389">
        <f t="shared" si="184"/>
        <v>7.2950895276174058E-2</v>
      </c>
    </row>
    <row r="5390" spans="1:4" x14ac:dyDescent="0.3">
      <c r="A5390" s="1">
        <v>33758</v>
      </c>
      <c r="B5390">
        <v>589.92999299999997</v>
      </c>
      <c r="C5390">
        <f t="shared" si="185"/>
        <v>1.272955648376879E-3</v>
      </c>
      <c r="D5390">
        <f t="shared" si="184"/>
        <v>6.4653265535190962E-2</v>
      </c>
    </row>
    <row r="5391" spans="1:4" x14ac:dyDescent="0.3">
      <c r="A5391" s="1">
        <v>33759</v>
      </c>
      <c r="B5391">
        <v>588.26000999999997</v>
      </c>
      <c r="C5391">
        <f t="shared" si="185"/>
        <v>-2.8308155540754175E-3</v>
      </c>
      <c r="D5391">
        <f t="shared" si="184"/>
        <v>-0.26363155585297732</v>
      </c>
    </row>
    <row r="5392" spans="1:4" x14ac:dyDescent="0.3">
      <c r="A5392" s="1">
        <v>33760</v>
      </c>
      <c r="B5392">
        <v>585.42999299999997</v>
      </c>
      <c r="C5392">
        <f t="shared" si="185"/>
        <v>-4.8108267634918754E-3</v>
      </c>
      <c r="D5392">
        <f t="shared" si="184"/>
        <v>-0.42202431075155133</v>
      </c>
    </row>
    <row r="5393" spans="1:4" x14ac:dyDescent="0.3">
      <c r="A5393" s="1">
        <v>33763</v>
      </c>
      <c r="B5393">
        <v>582.01000999999997</v>
      </c>
      <c r="C5393">
        <f t="shared" si="185"/>
        <v>-5.8418308608933914E-3</v>
      </c>
      <c r="D5393">
        <f t="shared" si="184"/>
        <v>-0.50450039902949206</v>
      </c>
    </row>
    <row r="5394" spans="1:4" x14ac:dyDescent="0.3">
      <c r="A5394" s="1">
        <v>33764</v>
      </c>
      <c r="B5394">
        <v>573.79998799999998</v>
      </c>
      <c r="C5394">
        <f t="shared" si="185"/>
        <v>-1.4106324391224785E-2</v>
      </c>
      <c r="D5394">
        <f t="shared" si="184"/>
        <v>-1.1656258976555456</v>
      </c>
    </row>
    <row r="5395" spans="1:4" x14ac:dyDescent="0.3">
      <c r="A5395" s="1">
        <v>33765</v>
      </c>
      <c r="B5395">
        <v>569.71002199999998</v>
      </c>
      <c r="C5395">
        <f t="shared" si="185"/>
        <v>-7.127860030558251E-3</v>
      </c>
      <c r="D5395">
        <f t="shared" si="184"/>
        <v>-0.60737744441913699</v>
      </c>
    </row>
    <row r="5396" spans="1:4" x14ac:dyDescent="0.3">
      <c r="A5396" s="1">
        <v>33766</v>
      </c>
      <c r="B5396">
        <v>567.67999299999997</v>
      </c>
      <c r="C5396">
        <f t="shared" si="185"/>
        <v>-3.5632671387339806E-3</v>
      </c>
      <c r="D5396">
        <f t="shared" si="184"/>
        <v>-0.32222467076674965</v>
      </c>
    </row>
    <row r="5397" spans="1:4" x14ac:dyDescent="0.3">
      <c r="A5397" s="1">
        <v>33767</v>
      </c>
      <c r="B5397">
        <v>569.52002000000005</v>
      </c>
      <c r="C5397">
        <f t="shared" si="185"/>
        <v>3.2413102851769474E-3</v>
      </c>
      <c r="D5397">
        <f t="shared" si="184"/>
        <v>0.22211354255656679</v>
      </c>
    </row>
    <row r="5398" spans="1:4" x14ac:dyDescent="0.3">
      <c r="A5398" s="1">
        <v>33770</v>
      </c>
      <c r="B5398">
        <v>569.01000999999997</v>
      </c>
      <c r="C5398">
        <f t="shared" si="185"/>
        <v>-8.9550846693691171E-4</v>
      </c>
      <c r="D5398">
        <f t="shared" si="184"/>
        <v>-0.10881494691219029</v>
      </c>
    </row>
    <row r="5399" spans="1:4" x14ac:dyDescent="0.3">
      <c r="A5399" s="1">
        <v>33771</v>
      </c>
      <c r="B5399">
        <v>564.07000700000003</v>
      </c>
      <c r="C5399">
        <f t="shared" si="185"/>
        <v>-8.6817506075155572E-3</v>
      </c>
      <c r="D5399">
        <f t="shared" si="184"/>
        <v>-0.73168230093948938</v>
      </c>
    </row>
    <row r="5400" spans="1:4" x14ac:dyDescent="0.3">
      <c r="A5400" s="1">
        <v>33772</v>
      </c>
      <c r="B5400">
        <v>553.23999000000003</v>
      </c>
      <c r="C5400">
        <f t="shared" si="185"/>
        <v>-1.9199774612373599E-2</v>
      </c>
      <c r="D5400">
        <f t="shared" si="184"/>
        <v>-1.5730809709549938</v>
      </c>
    </row>
    <row r="5401" spans="1:4" x14ac:dyDescent="0.3">
      <c r="A5401" s="1">
        <v>33773</v>
      </c>
      <c r="B5401">
        <v>549.169983</v>
      </c>
      <c r="C5401">
        <f t="shared" si="185"/>
        <v>-7.3566753553011089E-3</v>
      </c>
      <c r="D5401">
        <f t="shared" si="184"/>
        <v>-0.62568172950432821</v>
      </c>
    </row>
    <row r="5402" spans="1:4" x14ac:dyDescent="0.3">
      <c r="A5402" s="1">
        <v>33774</v>
      </c>
      <c r="B5402">
        <v>554.20001200000002</v>
      </c>
      <c r="C5402">
        <f t="shared" si="185"/>
        <v>9.1593298171943477E-3</v>
      </c>
      <c r="D5402">
        <f t="shared" si="184"/>
        <v>0.69553077007623565</v>
      </c>
    </row>
    <row r="5403" spans="1:4" x14ac:dyDescent="0.3">
      <c r="A5403" s="1">
        <v>33777</v>
      </c>
      <c r="B5403">
        <v>549.72997999999995</v>
      </c>
      <c r="C5403">
        <f t="shared" si="185"/>
        <v>-8.0657378260757962E-3</v>
      </c>
      <c r="D5403">
        <f t="shared" si="184"/>
        <v>-0.68240381148400142</v>
      </c>
    </row>
    <row r="5404" spans="1:4" x14ac:dyDescent="0.3">
      <c r="A5404" s="1">
        <v>33778</v>
      </c>
      <c r="B5404">
        <v>553.35998500000005</v>
      </c>
      <c r="C5404">
        <f t="shared" si="185"/>
        <v>6.6032509269370694E-3</v>
      </c>
      <c r="D5404">
        <f t="shared" si="184"/>
        <v>0.49105496951485372</v>
      </c>
    </row>
    <row r="5405" spans="1:4" x14ac:dyDescent="0.3">
      <c r="A5405" s="1">
        <v>33779</v>
      </c>
      <c r="B5405">
        <v>551.39001499999995</v>
      </c>
      <c r="C5405">
        <f t="shared" si="185"/>
        <v>-3.5600152764932993E-3</v>
      </c>
      <c r="D5405">
        <f t="shared" si="184"/>
        <v>-0.32196453515923262</v>
      </c>
    </row>
    <row r="5406" spans="1:4" x14ac:dyDescent="0.3">
      <c r="A5406" s="1">
        <v>33780</v>
      </c>
      <c r="B5406">
        <v>548.20001200000002</v>
      </c>
      <c r="C5406">
        <f t="shared" si="185"/>
        <v>-5.7853840534271075E-3</v>
      </c>
      <c r="D5406">
        <f t="shared" si="184"/>
        <v>-0.49998488654284851</v>
      </c>
    </row>
    <row r="5407" spans="1:4" x14ac:dyDescent="0.3">
      <c r="A5407" s="1">
        <v>33781</v>
      </c>
      <c r="B5407">
        <v>547.84002699999996</v>
      </c>
      <c r="C5407">
        <f t="shared" si="185"/>
        <v>-6.5666726034302144E-4</v>
      </c>
      <c r="D5407">
        <f t="shared" si="184"/>
        <v>-8.9708632505588984E-2</v>
      </c>
    </row>
    <row r="5408" spans="1:4" x14ac:dyDescent="0.3">
      <c r="A5408" s="1">
        <v>33784</v>
      </c>
      <c r="B5408">
        <v>558.79998799999998</v>
      </c>
      <c r="C5408">
        <f t="shared" si="185"/>
        <v>2.0005768946853571E-2</v>
      </c>
      <c r="D5408">
        <f t="shared" si="184"/>
        <v>1.5632012996247717</v>
      </c>
    </row>
    <row r="5409" spans="1:4" x14ac:dyDescent="0.3">
      <c r="A5409" s="1">
        <v>33785</v>
      </c>
      <c r="B5409">
        <v>563.59997599999997</v>
      </c>
      <c r="C5409">
        <f t="shared" si="185"/>
        <v>8.589814071363196E-3</v>
      </c>
      <c r="D5409">
        <f t="shared" si="184"/>
        <v>0.64997185227248355</v>
      </c>
    </row>
    <row r="5410" spans="1:4" x14ac:dyDescent="0.3">
      <c r="A5410" s="1">
        <v>33786</v>
      </c>
      <c r="B5410">
        <v>568.98999000000003</v>
      </c>
      <c r="C5410">
        <f t="shared" si="185"/>
        <v>9.5635454746720305E-3</v>
      </c>
      <c r="D5410">
        <f t="shared" si="184"/>
        <v>0.72786636052973497</v>
      </c>
    </row>
    <row r="5411" spans="1:4" x14ac:dyDescent="0.3">
      <c r="A5411" s="1">
        <v>33787</v>
      </c>
      <c r="B5411">
        <v>563.34997599999997</v>
      </c>
      <c r="C5411">
        <f t="shared" si="185"/>
        <v>-9.9123255226336478E-3</v>
      </c>
      <c r="D5411">
        <f t="shared" si="184"/>
        <v>-0.83012323399465004</v>
      </c>
    </row>
    <row r="5412" spans="1:4" x14ac:dyDescent="0.3">
      <c r="A5412" s="1">
        <v>33791</v>
      </c>
      <c r="B5412">
        <v>563.169983</v>
      </c>
      <c r="C5412">
        <f t="shared" si="185"/>
        <v>-3.1950476199180252E-4</v>
      </c>
      <c r="D5412">
        <f t="shared" si="184"/>
        <v>-6.2737019057968871E-2</v>
      </c>
    </row>
    <row r="5413" spans="1:4" x14ac:dyDescent="0.3">
      <c r="A5413" s="1">
        <v>33792</v>
      </c>
      <c r="B5413">
        <v>557.40997300000004</v>
      </c>
      <c r="C5413">
        <f t="shared" si="185"/>
        <v>-1.0227835598261929E-2</v>
      </c>
      <c r="D5413">
        <f t="shared" si="184"/>
        <v>-0.85536274265972934</v>
      </c>
    </row>
    <row r="5414" spans="1:4" x14ac:dyDescent="0.3">
      <c r="A5414" s="1">
        <v>33793</v>
      </c>
      <c r="B5414">
        <v>557.57000700000003</v>
      </c>
      <c r="C5414">
        <f t="shared" si="185"/>
        <v>2.8710286459118664E-4</v>
      </c>
      <c r="D5414">
        <f t="shared" si="184"/>
        <v>-1.4210903316794794E-2</v>
      </c>
    </row>
    <row r="5415" spans="1:4" x14ac:dyDescent="0.3">
      <c r="A5415" s="1">
        <v>33794</v>
      </c>
      <c r="B5415">
        <v>564.75</v>
      </c>
      <c r="C5415">
        <f t="shared" si="185"/>
        <v>1.2877294169088917E-2</v>
      </c>
      <c r="D5415">
        <f t="shared" si="184"/>
        <v>0.9929526298670347</v>
      </c>
    </row>
    <row r="5416" spans="1:4" x14ac:dyDescent="0.3">
      <c r="A5416" s="1">
        <v>33795</v>
      </c>
      <c r="B5416">
        <v>567.79998799999998</v>
      </c>
      <c r="C5416">
        <f t="shared" si="185"/>
        <v>5.4005984949092251E-3</v>
      </c>
      <c r="D5416">
        <f t="shared" si="184"/>
        <v>0.39484772028897619</v>
      </c>
    </row>
    <row r="5417" spans="1:4" x14ac:dyDescent="0.3">
      <c r="A5417" s="1">
        <v>33798</v>
      </c>
      <c r="B5417">
        <v>570.21997099999999</v>
      </c>
      <c r="C5417">
        <f t="shared" si="185"/>
        <v>4.2620342570348947E-3</v>
      </c>
      <c r="D5417">
        <f t="shared" si="184"/>
        <v>0.30376726306315077</v>
      </c>
    </row>
    <row r="5418" spans="1:4" x14ac:dyDescent="0.3">
      <c r="A5418" s="1">
        <v>33799</v>
      </c>
      <c r="B5418">
        <v>575.21002199999998</v>
      </c>
      <c r="C5418">
        <f t="shared" si="185"/>
        <v>8.7510982669528319E-3</v>
      </c>
      <c r="D5418">
        <f t="shared" si="184"/>
        <v>0.66287392471507933</v>
      </c>
    </row>
    <row r="5419" spans="1:4" x14ac:dyDescent="0.3">
      <c r="A5419" s="1">
        <v>33800</v>
      </c>
      <c r="B5419">
        <v>575.46997099999999</v>
      </c>
      <c r="C5419">
        <f t="shared" si="185"/>
        <v>4.5192015100183004E-4</v>
      </c>
      <c r="D5419">
        <f t="shared" si="184"/>
        <v>-1.0261981366746548E-3</v>
      </c>
    </row>
    <row r="5420" spans="1:4" x14ac:dyDescent="0.3">
      <c r="A5420" s="1">
        <v>33801</v>
      </c>
      <c r="B5420">
        <v>576.19000200000005</v>
      </c>
      <c r="C5420">
        <f t="shared" si="185"/>
        <v>1.2512051649695248E-3</v>
      </c>
      <c r="D5420">
        <f t="shared" si="184"/>
        <v>6.2913316301124816E-2</v>
      </c>
    </row>
    <row r="5421" spans="1:4" x14ac:dyDescent="0.3">
      <c r="A5421" s="1">
        <v>33802</v>
      </c>
      <c r="B5421">
        <v>570.52002000000005</v>
      </c>
      <c r="C5421">
        <f t="shared" si="185"/>
        <v>-9.8404727265642561E-3</v>
      </c>
      <c r="D5421">
        <f t="shared" si="184"/>
        <v>-0.82437530576956164</v>
      </c>
    </row>
    <row r="5422" spans="1:4" x14ac:dyDescent="0.3">
      <c r="A5422" s="1">
        <v>33805</v>
      </c>
      <c r="B5422">
        <v>564.28002900000001</v>
      </c>
      <c r="C5422">
        <f t="shared" si="185"/>
        <v>-1.0937374292316738E-2</v>
      </c>
      <c r="D5422">
        <f t="shared" si="184"/>
        <v>-0.91212292054357058</v>
      </c>
    </row>
    <row r="5423" spans="1:4" x14ac:dyDescent="0.3">
      <c r="A5423" s="1">
        <v>33806</v>
      </c>
      <c r="B5423">
        <v>568.63000499999998</v>
      </c>
      <c r="C5423">
        <f t="shared" si="185"/>
        <v>7.7088958964379182E-3</v>
      </c>
      <c r="D5423">
        <f t="shared" si="184"/>
        <v>0.57950202063564094</v>
      </c>
    </row>
    <row r="5424" spans="1:4" x14ac:dyDescent="0.3">
      <c r="A5424" s="1">
        <v>33807</v>
      </c>
      <c r="B5424">
        <v>563.88000499999998</v>
      </c>
      <c r="C5424">
        <f t="shared" si="185"/>
        <v>-8.3534107560855851E-3</v>
      </c>
      <c r="D5424">
        <f t="shared" si="184"/>
        <v>-0.70541646296662808</v>
      </c>
    </row>
    <row r="5425" spans="1:4" x14ac:dyDescent="0.3">
      <c r="A5425" s="1">
        <v>33808</v>
      </c>
      <c r="B5425">
        <v>565.23999000000003</v>
      </c>
      <c r="C5425">
        <f t="shared" si="185"/>
        <v>2.4118340567866946E-3</v>
      </c>
      <c r="D5425">
        <f t="shared" si="184"/>
        <v>0.15575885511197823</v>
      </c>
    </row>
    <row r="5426" spans="1:4" x14ac:dyDescent="0.3">
      <c r="A5426" s="1">
        <v>33809</v>
      </c>
      <c r="B5426">
        <v>565.60998500000005</v>
      </c>
      <c r="C5426">
        <f t="shared" si="185"/>
        <v>6.5458036682793292E-4</v>
      </c>
      <c r="D5426">
        <f t="shared" si="184"/>
        <v>1.5185785785626673E-2</v>
      </c>
    </row>
    <row r="5427" spans="1:4" x14ac:dyDescent="0.3">
      <c r="A5427" s="1">
        <v>33812</v>
      </c>
      <c r="B5427">
        <v>564.72997999999995</v>
      </c>
      <c r="C5427">
        <f t="shared" si="185"/>
        <v>-1.5558512461552397E-3</v>
      </c>
      <c r="D5427">
        <f t="shared" si="184"/>
        <v>-0.16163965390392354</v>
      </c>
    </row>
    <row r="5428" spans="1:4" x14ac:dyDescent="0.3">
      <c r="A5428" s="1">
        <v>33813</v>
      </c>
      <c r="B5428">
        <v>571.63000499999998</v>
      </c>
      <c r="C5428">
        <f t="shared" si="185"/>
        <v>1.2218272881492902E-2</v>
      </c>
      <c r="D5428">
        <f t="shared" si="184"/>
        <v>0.94023363677108041</v>
      </c>
    </row>
    <row r="5429" spans="1:4" x14ac:dyDescent="0.3">
      <c r="A5429" s="1">
        <v>33814</v>
      </c>
      <c r="B5429">
        <v>577.48999000000003</v>
      </c>
      <c r="C5429">
        <f t="shared" si="185"/>
        <v>1.0251360055880992E-2</v>
      </c>
      <c r="D5429">
        <f t="shared" si="184"/>
        <v>0.7828886987159942</v>
      </c>
    </row>
    <row r="5430" spans="1:4" x14ac:dyDescent="0.3">
      <c r="A5430" s="1">
        <v>33815</v>
      </c>
      <c r="B5430">
        <v>578.79998799999998</v>
      </c>
      <c r="C5430">
        <f t="shared" si="185"/>
        <v>2.2684341247195478E-3</v>
      </c>
      <c r="D5430">
        <f t="shared" si="184"/>
        <v>0.14428745021065051</v>
      </c>
    </row>
    <row r="5431" spans="1:4" x14ac:dyDescent="0.3">
      <c r="A5431" s="1">
        <v>33816</v>
      </c>
      <c r="B5431">
        <v>580.830017</v>
      </c>
      <c r="C5431">
        <f t="shared" si="185"/>
        <v>3.5073065689144645E-3</v>
      </c>
      <c r="D5431">
        <f t="shared" si="184"/>
        <v>0.24339215147231383</v>
      </c>
    </row>
    <row r="5432" spans="1:4" x14ac:dyDescent="0.3">
      <c r="A5432" s="1">
        <v>33819</v>
      </c>
      <c r="B5432">
        <v>582.35998500000005</v>
      </c>
      <c r="C5432">
        <f t="shared" si="185"/>
        <v>2.6341062879332105E-3</v>
      </c>
      <c r="D5432">
        <f t="shared" si="184"/>
        <v>0.1735397196148237</v>
      </c>
    </row>
    <row r="5433" spans="1:4" x14ac:dyDescent="0.3">
      <c r="A5433" s="1">
        <v>33820</v>
      </c>
      <c r="B5433">
        <v>581.32000700000003</v>
      </c>
      <c r="C5433">
        <f t="shared" si="185"/>
        <v>-1.7857992080276928E-3</v>
      </c>
      <c r="D5433">
        <f t="shared" si="184"/>
        <v>-0.18003454530205068</v>
      </c>
    </row>
    <row r="5434" spans="1:4" x14ac:dyDescent="0.3">
      <c r="A5434" s="1">
        <v>33821</v>
      </c>
      <c r="B5434">
        <v>576.86999500000002</v>
      </c>
      <c r="C5434">
        <f t="shared" si="185"/>
        <v>-7.6550126374714898E-3</v>
      </c>
      <c r="D5434">
        <f t="shared" si="184"/>
        <v>-0.6495474853077241</v>
      </c>
    </row>
    <row r="5435" spans="1:4" x14ac:dyDescent="0.3">
      <c r="A5435" s="1">
        <v>33822</v>
      </c>
      <c r="B5435">
        <v>574.02002000000005</v>
      </c>
      <c r="C5435">
        <f t="shared" si="185"/>
        <v>-4.9404112273164283E-3</v>
      </c>
      <c r="D5435">
        <f t="shared" si="184"/>
        <v>-0.43239053500301639</v>
      </c>
    </row>
    <row r="5436" spans="1:4" x14ac:dyDescent="0.3">
      <c r="A5436" s="1">
        <v>33823</v>
      </c>
      <c r="B5436">
        <v>573.73999000000003</v>
      </c>
      <c r="C5436">
        <f t="shared" si="185"/>
        <v>-4.8784012794538185E-4</v>
      </c>
      <c r="D5436">
        <f t="shared" si="184"/>
        <v>-7.6203156135094374E-2</v>
      </c>
    </row>
    <row r="5437" spans="1:4" x14ac:dyDescent="0.3">
      <c r="A5437" s="1">
        <v>33826</v>
      </c>
      <c r="B5437">
        <v>573.14001499999995</v>
      </c>
      <c r="C5437">
        <f t="shared" si="185"/>
        <v>-1.0457263053950377E-3</v>
      </c>
      <c r="D5437">
        <f t="shared" si="184"/>
        <v>-0.12083175628939771</v>
      </c>
    </row>
    <row r="5438" spans="1:4" x14ac:dyDescent="0.3">
      <c r="A5438" s="1">
        <v>33827</v>
      </c>
      <c r="B5438">
        <v>571.59997599999997</v>
      </c>
      <c r="C5438">
        <f t="shared" si="185"/>
        <v>-2.6870205529097089E-3</v>
      </c>
      <c r="D5438">
        <f t="shared" si="184"/>
        <v>-0.25212854704829851</v>
      </c>
    </row>
    <row r="5439" spans="1:4" x14ac:dyDescent="0.3">
      <c r="A5439" s="1">
        <v>33828</v>
      </c>
      <c r="B5439">
        <v>570.84997599999997</v>
      </c>
      <c r="C5439">
        <f t="shared" si="185"/>
        <v>-1.3121064231815154E-3</v>
      </c>
      <c r="D5439">
        <f t="shared" si="184"/>
        <v>-0.14214107035072657</v>
      </c>
    </row>
    <row r="5440" spans="1:4" x14ac:dyDescent="0.3">
      <c r="A5440" s="1">
        <v>33829</v>
      </c>
      <c r="B5440">
        <v>570.98999000000003</v>
      </c>
      <c r="C5440">
        <f t="shared" si="185"/>
        <v>2.4527284906124741E-4</v>
      </c>
      <c r="D5440">
        <f t="shared" si="184"/>
        <v>-1.7557132553138295E-2</v>
      </c>
    </row>
    <row r="5441" spans="1:4" x14ac:dyDescent="0.3">
      <c r="A5441" s="1">
        <v>33830</v>
      </c>
      <c r="B5441">
        <v>573.17999299999997</v>
      </c>
      <c r="C5441">
        <f t="shared" si="185"/>
        <v>3.83544902424635E-3</v>
      </c>
      <c r="D5441">
        <f t="shared" si="184"/>
        <v>0.26964219856902577</v>
      </c>
    </row>
    <row r="5442" spans="1:4" x14ac:dyDescent="0.3">
      <c r="A5442" s="1">
        <v>33833</v>
      </c>
      <c r="B5442">
        <v>572.46997099999999</v>
      </c>
      <c r="C5442">
        <f t="shared" si="185"/>
        <v>-1.238741771644463E-3</v>
      </c>
      <c r="D5442">
        <f t="shared" si="184"/>
        <v>-0.13627219990501208</v>
      </c>
    </row>
    <row r="5443" spans="1:4" x14ac:dyDescent="0.3">
      <c r="A5443" s="1">
        <v>33834</v>
      </c>
      <c r="B5443">
        <v>570.86999500000002</v>
      </c>
      <c r="C5443">
        <f t="shared" si="185"/>
        <v>-2.7948645012857271E-3</v>
      </c>
      <c r="D5443">
        <f t="shared" ref="D5443:D5506" si="186">(C5443-avrtn)/sdrtn</f>
        <v>-0.26075561946141451</v>
      </c>
    </row>
    <row r="5444" spans="1:4" x14ac:dyDescent="0.3">
      <c r="A5444" s="1">
        <v>33835</v>
      </c>
      <c r="B5444">
        <v>567.60998500000005</v>
      </c>
      <c r="C5444">
        <f t="shared" ref="C5444:C5507" si="187">(B5444-B5443)/B5443</f>
        <v>-5.7105996611364479E-3</v>
      </c>
      <c r="D5444">
        <f t="shared" si="186"/>
        <v>-0.49400244267485433</v>
      </c>
    </row>
    <row r="5445" spans="1:4" x14ac:dyDescent="0.3">
      <c r="A5445" s="1">
        <v>33836</v>
      </c>
      <c r="B5445">
        <v>567.85998500000005</v>
      </c>
      <c r="C5445">
        <f t="shared" si="187"/>
        <v>4.4044327373839268E-4</v>
      </c>
      <c r="D5445">
        <f t="shared" si="186"/>
        <v>-1.9443011245483459E-3</v>
      </c>
    </row>
    <row r="5446" spans="1:4" x14ac:dyDescent="0.3">
      <c r="A5446" s="1">
        <v>33837</v>
      </c>
      <c r="B5446">
        <v>563.70001200000002</v>
      </c>
      <c r="C5446">
        <f t="shared" si="187"/>
        <v>-7.3257019509836317E-3</v>
      </c>
      <c r="D5446">
        <f t="shared" si="186"/>
        <v>-0.62320398452232961</v>
      </c>
    </row>
    <row r="5447" spans="1:4" x14ac:dyDescent="0.3">
      <c r="A5447" s="1">
        <v>33840</v>
      </c>
      <c r="B5447">
        <v>555.39001499999995</v>
      </c>
      <c r="C5447">
        <f t="shared" si="187"/>
        <v>-1.4741878345037301E-2</v>
      </c>
      <c r="D5447">
        <f t="shared" si="186"/>
        <v>-1.2164676005470729</v>
      </c>
    </row>
    <row r="5448" spans="1:4" x14ac:dyDescent="0.3">
      <c r="A5448" s="1">
        <v>33841</v>
      </c>
      <c r="B5448">
        <v>554.21997099999999</v>
      </c>
      <c r="C5448">
        <f t="shared" si="187"/>
        <v>-2.1067069417874964E-3</v>
      </c>
      <c r="D5448">
        <f t="shared" si="186"/>
        <v>-0.20570584442234896</v>
      </c>
    </row>
    <row r="5449" spans="1:4" x14ac:dyDescent="0.3">
      <c r="A5449" s="1">
        <v>33842</v>
      </c>
      <c r="B5449">
        <v>558.79998799999998</v>
      </c>
      <c r="C5449">
        <f t="shared" si="187"/>
        <v>8.2638974408231827E-3</v>
      </c>
      <c r="D5449">
        <f t="shared" si="186"/>
        <v>0.62389986200647507</v>
      </c>
    </row>
    <row r="5450" spans="1:4" x14ac:dyDescent="0.3">
      <c r="A5450" s="1">
        <v>33843</v>
      </c>
      <c r="B5450">
        <v>563.27002000000005</v>
      </c>
      <c r="C5450">
        <f t="shared" si="187"/>
        <v>7.9993416177382964E-3</v>
      </c>
      <c r="D5450">
        <f t="shared" si="186"/>
        <v>0.6027364840197289</v>
      </c>
    </row>
    <row r="5451" spans="1:4" x14ac:dyDescent="0.3">
      <c r="A5451" s="1">
        <v>33844</v>
      </c>
      <c r="B5451">
        <v>563.55999799999995</v>
      </c>
      <c r="C5451">
        <f t="shared" si="187"/>
        <v>5.1481170611548867E-4</v>
      </c>
      <c r="D5451">
        <f t="shared" si="186"/>
        <v>4.0048676607981433E-3</v>
      </c>
    </row>
    <row r="5452" spans="1:4" x14ac:dyDescent="0.3">
      <c r="A5452" s="1">
        <v>33847</v>
      </c>
      <c r="B5452">
        <v>563.11999500000002</v>
      </c>
      <c r="C5452">
        <f t="shared" si="187"/>
        <v>-7.8075626652254575E-4</v>
      </c>
      <c r="D5452">
        <f t="shared" si="186"/>
        <v>-9.9635242742908608E-2</v>
      </c>
    </row>
    <row r="5453" spans="1:4" x14ac:dyDescent="0.3">
      <c r="A5453" s="1">
        <v>33848</v>
      </c>
      <c r="B5453">
        <v>565.60998500000005</v>
      </c>
      <c r="C5453">
        <f t="shared" si="187"/>
        <v>4.4217751493623204E-3</v>
      </c>
      <c r="D5453">
        <f t="shared" si="186"/>
        <v>0.31654587759087072</v>
      </c>
    </row>
    <row r="5454" spans="1:4" x14ac:dyDescent="0.3">
      <c r="A5454" s="1">
        <v>33849</v>
      </c>
      <c r="B5454">
        <v>571.25</v>
      </c>
      <c r="C5454">
        <f t="shared" si="187"/>
        <v>9.9715619412198819E-3</v>
      </c>
      <c r="D5454">
        <f t="shared" si="186"/>
        <v>0.7605060000798276</v>
      </c>
    </row>
    <row r="5455" spans="1:4" x14ac:dyDescent="0.3">
      <c r="A5455" s="1">
        <v>33850</v>
      </c>
      <c r="B5455">
        <v>574.88000499999998</v>
      </c>
      <c r="C5455">
        <f t="shared" si="187"/>
        <v>6.354494529540451E-3</v>
      </c>
      <c r="D5455">
        <f t="shared" si="186"/>
        <v>0.47115548061554235</v>
      </c>
    </row>
    <row r="5456" spans="1:4" x14ac:dyDescent="0.3">
      <c r="A5456" s="1">
        <v>33851</v>
      </c>
      <c r="B5456">
        <v>573.44000200000005</v>
      </c>
      <c r="C5456">
        <f t="shared" si="187"/>
        <v>-2.5048757783808001E-3</v>
      </c>
      <c r="D5456">
        <f t="shared" si="186"/>
        <v>-0.23755771406977405</v>
      </c>
    </row>
    <row r="5457" spans="1:4" x14ac:dyDescent="0.3">
      <c r="A5457" s="1">
        <v>33855</v>
      </c>
      <c r="B5457">
        <v>571.169983</v>
      </c>
      <c r="C5457">
        <f t="shared" si="187"/>
        <v>-3.9585989677784067E-3</v>
      </c>
      <c r="D5457">
        <f t="shared" si="186"/>
        <v>-0.35384959147610934</v>
      </c>
    </row>
    <row r="5458" spans="1:4" x14ac:dyDescent="0.3">
      <c r="A5458" s="1">
        <v>33856</v>
      </c>
      <c r="B5458">
        <v>574.89001499999995</v>
      </c>
      <c r="C5458">
        <f t="shared" si="187"/>
        <v>6.5130033277675699E-3</v>
      </c>
      <c r="D5458">
        <f t="shared" si="186"/>
        <v>0.48383553268163892</v>
      </c>
    </row>
    <row r="5459" spans="1:4" x14ac:dyDescent="0.3">
      <c r="A5459" s="1">
        <v>33857</v>
      </c>
      <c r="B5459">
        <v>581.23999000000003</v>
      </c>
      <c r="C5459">
        <f t="shared" si="187"/>
        <v>1.104554755573566E-2</v>
      </c>
      <c r="D5459">
        <f t="shared" si="186"/>
        <v>0.84642043298585479</v>
      </c>
    </row>
    <row r="5460" spans="1:4" x14ac:dyDescent="0.3">
      <c r="A5460" s="1">
        <v>33858</v>
      </c>
      <c r="B5460">
        <v>583.01000999999997</v>
      </c>
      <c r="C5460">
        <f t="shared" si="187"/>
        <v>3.0452481426818745E-3</v>
      </c>
      <c r="D5460">
        <f t="shared" si="186"/>
        <v>0.20642937736930822</v>
      </c>
    </row>
    <row r="5461" spans="1:4" x14ac:dyDescent="0.3">
      <c r="A5461" s="1">
        <v>33861</v>
      </c>
      <c r="B5461">
        <v>594.21002199999998</v>
      </c>
      <c r="C5461">
        <f t="shared" si="187"/>
        <v>1.9210668441181682E-2</v>
      </c>
      <c r="D5461">
        <f t="shared" si="186"/>
        <v>1.4995965286438357</v>
      </c>
    </row>
    <row r="5462" spans="1:4" x14ac:dyDescent="0.3">
      <c r="A5462" s="1">
        <v>33862</v>
      </c>
      <c r="B5462">
        <v>587.85998500000005</v>
      </c>
      <c r="C5462">
        <f t="shared" si="187"/>
        <v>-1.068651952154373E-2</v>
      </c>
      <c r="D5462">
        <f t="shared" si="186"/>
        <v>-0.892055570402711</v>
      </c>
    </row>
    <row r="5463" spans="1:4" x14ac:dyDescent="0.3">
      <c r="A5463" s="1">
        <v>33863</v>
      </c>
      <c r="B5463">
        <v>585.89001499999995</v>
      </c>
      <c r="C5463">
        <f t="shared" si="187"/>
        <v>-3.3510870790093034E-3</v>
      </c>
      <c r="D5463">
        <f t="shared" si="186"/>
        <v>-0.30525113847839447</v>
      </c>
    </row>
    <row r="5464" spans="1:4" x14ac:dyDescent="0.3">
      <c r="A5464" s="1">
        <v>33864</v>
      </c>
      <c r="B5464">
        <v>587.82000700000003</v>
      </c>
      <c r="C5464">
        <f t="shared" si="187"/>
        <v>3.2941199723297621E-3</v>
      </c>
      <c r="D5464">
        <f t="shared" si="186"/>
        <v>0.22633810037406085</v>
      </c>
    </row>
    <row r="5465" spans="1:4" x14ac:dyDescent="0.3">
      <c r="A5465" s="1">
        <v>33865</v>
      </c>
      <c r="B5465">
        <v>589.11999500000002</v>
      </c>
      <c r="C5465">
        <f t="shared" si="187"/>
        <v>2.2115409215732679E-3</v>
      </c>
      <c r="D5465">
        <f t="shared" si="186"/>
        <v>0.13973622790519735</v>
      </c>
    </row>
    <row r="5466" spans="1:4" x14ac:dyDescent="0.3">
      <c r="A5466" s="1">
        <v>33868</v>
      </c>
      <c r="B5466">
        <v>588.580017</v>
      </c>
      <c r="C5466">
        <f t="shared" si="187"/>
        <v>-9.1658406535670065E-4</v>
      </c>
      <c r="D5466">
        <f t="shared" si="186"/>
        <v>-0.11050090812239487</v>
      </c>
    </row>
    <row r="5467" spans="1:4" x14ac:dyDescent="0.3">
      <c r="A5467" s="1">
        <v>33869</v>
      </c>
      <c r="B5467">
        <v>583</v>
      </c>
      <c r="C5467">
        <f t="shared" si="187"/>
        <v>-9.4804730687960102E-3</v>
      </c>
      <c r="D5467">
        <f t="shared" si="186"/>
        <v>-0.79557681347553999</v>
      </c>
    </row>
    <row r="5468" spans="1:4" x14ac:dyDescent="0.3">
      <c r="A5468" s="1">
        <v>33870</v>
      </c>
      <c r="B5468">
        <v>582.96002199999998</v>
      </c>
      <c r="C5468">
        <f t="shared" si="187"/>
        <v>-6.8572898799346764E-5</v>
      </c>
      <c r="D5468">
        <f t="shared" si="186"/>
        <v>-4.2663501840559337E-2</v>
      </c>
    </row>
    <row r="5469" spans="1:4" x14ac:dyDescent="0.3">
      <c r="A5469" s="1">
        <v>33871</v>
      </c>
      <c r="B5469">
        <v>585.92999299999997</v>
      </c>
      <c r="C5469">
        <f t="shared" si="187"/>
        <v>5.0946392341119865E-3</v>
      </c>
      <c r="D5469">
        <f t="shared" si="186"/>
        <v>0.370372237537195</v>
      </c>
    </row>
    <row r="5470" spans="1:4" x14ac:dyDescent="0.3">
      <c r="A5470" s="1">
        <v>33872</v>
      </c>
      <c r="B5470">
        <v>577.20001200000002</v>
      </c>
      <c r="C5470">
        <f t="shared" si="187"/>
        <v>-1.4899358463119249E-2</v>
      </c>
      <c r="D5470">
        <f t="shared" si="186"/>
        <v>-1.229065362431514</v>
      </c>
    </row>
    <row r="5471" spans="1:4" x14ac:dyDescent="0.3">
      <c r="A5471" s="1">
        <v>33875</v>
      </c>
      <c r="B5471">
        <v>575.34002699999996</v>
      </c>
      <c r="C5471">
        <f t="shared" si="187"/>
        <v>-3.2224271679329964E-3</v>
      </c>
      <c r="D5471">
        <f t="shared" si="186"/>
        <v>-0.29495887464500548</v>
      </c>
    </row>
    <row r="5472" spans="1:4" x14ac:dyDescent="0.3">
      <c r="A5472" s="1">
        <v>33876</v>
      </c>
      <c r="B5472">
        <v>577.63000499999998</v>
      </c>
      <c r="C5472">
        <f t="shared" si="187"/>
        <v>3.9802167284286993E-3</v>
      </c>
      <c r="D5472">
        <f t="shared" si="186"/>
        <v>0.28122301961525714</v>
      </c>
    </row>
    <row r="5473" spans="1:4" x14ac:dyDescent="0.3">
      <c r="A5473" s="1">
        <v>33877</v>
      </c>
      <c r="B5473">
        <v>583.27002000000005</v>
      </c>
      <c r="C5473">
        <f t="shared" si="187"/>
        <v>9.7640616851267324E-3</v>
      </c>
      <c r="D5473">
        <f t="shared" si="186"/>
        <v>0.74390683283852699</v>
      </c>
    </row>
    <row r="5474" spans="1:4" x14ac:dyDescent="0.3">
      <c r="A5474" s="1">
        <v>33878</v>
      </c>
      <c r="B5474">
        <v>578.330017</v>
      </c>
      <c r="C5474">
        <f t="shared" si="187"/>
        <v>-8.4694958263070788E-3</v>
      </c>
      <c r="D5474">
        <f t="shared" si="186"/>
        <v>-0.71470279123968661</v>
      </c>
    </row>
    <row r="5475" spans="1:4" x14ac:dyDescent="0.3">
      <c r="A5475" s="1">
        <v>33879</v>
      </c>
      <c r="B5475">
        <v>571.63000499999998</v>
      </c>
      <c r="C5475">
        <f t="shared" si="187"/>
        <v>-1.1585101590879408E-2</v>
      </c>
      <c r="D5475">
        <f t="shared" si="186"/>
        <v>-0.96393844095801762</v>
      </c>
    </row>
    <row r="5476" spans="1:4" x14ac:dyDescent="0.3">
      <c r="A5476" s="1">
        <v>33882</v>
      </c>
      <c r="B5476">
        <v>565.21002199999998</v>
      </c>
      <c r="C5476">
        <f t="shared" si="187"/>
        <v>-1.1231011220273509E-2</v>
      </c>
      <c r="D5476">
        <f t="shared" si="186"/>
        <v>-0.93561266733784965</v>
      </c>
    </row>
    <row r="5477" spans="1:4" x14ac:dyDescent="0.3">
      <c r="A5477" s="1">
        <v>33883</v>
      </c>
      <c r="B5477">
        <v>570.54998799999998</v>
      </c>
      <c r="C5477">
        <f t="shared" si="187"/>
        <v>9.4477553336802019E-3</v>
      </c>
      <c r="D5477">
        <f t="shared" si="186"/>
        <v>0.7186036253822935</v>
      </c>
    </row>
    <row r="5478" spans="1:4" x14ac:dyDescent="0.3">
      <c r="A5478" s="1">
        <v>33884</v>
      </c>
      <c r="B5478">
        <v>569.20001200000002</v>
      </c>
      <c r="C5478">
        <f t="shared" si="187"/>
        <v>-2.3660959221682952E-3</v>
      </c>
      <c r="D5478">
        <f t="shared" si="186"/>
        <v>-0.22645589623895226</v>
      </c>
    </row>
    <row r="5479" spans="1:4" x14ac:dyDescent="0.3">
      <c r="A5479" s="1">
        <v>33885</v>
      </c>
      <c r="B5479">
        <v>573.88000499999998</v>
      </c>
      <c r="C5479">
        <f t="shared" si="187"/>
        <v>8.2220535863234794E-3</v>
      </c>
      <c r="D5479">
        <f t="shared" si="186"/>
        <v>0.62055252570945663</v>
      </c>
    </row>
    <row r="5480" spans="1:4" x14ac:dyDescent="0.3">
      <c r="A5480" s="1">
        <v>33886</v>
      </c>
      <c r="B5480">
        <v>570.52002000000005</v>
      </c>
      <c r="C5480">
        <f t="shared" si="187"/>
        <v>-5.8548563649642015E-3</v>
      </c>
      <c r="D5480">
        <f t="shared" si="186"/>
        <v>-0.50554238579396404</v>
      </c>
    </row>
    <row r="5481" spans="1:4" x14ac:dyDescent="0.3">
      <c r="A5481" s="1">
        <v>33889</v>
      </c>
      <c r="B5481">
        <v>573.84002699999996</v>
      </c>
      <c r="C5481">
        <f t="shared" si="187"/>
        <v>5.8192646771622813E-3</v>
      </c>
      <c r="D5481">
        <f t="shared" si="186"/>
        <v>0.42833929330359249</v>
      </c>
    </row>
    <row r="5482" spans="1:4" x14ac:dyDescent="0.3">
      <c r="A5482" s="1">
        <v>33890</v>
      </c>
      <c r="B5482">
        <v>576.44000200000005</v>
      </c>
      <c r="C5482">
        <f t="shared" si="187"/>
        <v>4.5308359083847697E-3</v>
      </c>
      <c r="D5482">
        <f t="shared" si="186"/>
        <v>0.3252702898521459</v>
      </c>
    </row>
    <row r="5483" spans="1:4" x14ac:dyDescent="0.3">
      <c r="A5483" s="1">
        <v>33891</v>
      </c>
      <c r="B5483">
        <v>576.21997099999999</v>
      </c>
      <c r="C5483">
        <f t="shared" si="187"/>
        <v>-3.817066810711424E-4</v>
      </c>
      <c r="D5483">
        <f t="shared" si="186"/>
        <v>-6.771291680849649E-2</v>
      </c>
    </row>
    <row r="5484" spans="1:4" x14ac:dyDescent="0.3">
      <c r="A5484" s="1">
        <v>33892</v>
      </c>
      <c r="B5484">
        <v>578.64001499999995</v>
      </c>
      <c r="C5484">
        <f t="shared" si="187"/>
        <v>4.1998613755092531E-3</v>
      </c>
      <c r="D5484">
        <f t="shared" si="186"/>
        <v>0.29879368819751589</v>
      </c>
    </row>
    <row r="5485" spans="1:4" x14ac:dyDescent="0.3">
      <c r="A5485" s="1">
        <v>33893</v>
      </c>
      <c r="B5485">
        <v>582.60998500000005</v>
      </c>
      <c r="C5485">
        <f t="shared" si="187"/>
        <v>6.8608632259905206E-3</v>
      </c>
      <c r="D5485">
        <f t="shared" si="186"/>
        <v>0.5116628941310265</v>
      </c>
    </row>
    <row r="5486" spans="1:4" x14ac:dyDescent="0.3">
      <c r="A5486" s="1">
        <v>33896</v>
      </c>
      <c r="B5486">
        <v>590.669983</v>
      </c>
      <c r="C5486">
        <f t="shared" si="187"/>
        <v>1.3834294309253814E-2</v>
      </c>
      <c r="D5486">
        <f t="shared" si="186"/>
        <v>1.0695087058721362</v>
      </c>
    </row>
    <row r="5487" spans="1:4" x14ac:dyDescent="0.3">
      <c r="A5487" s="1">
        <v>33897</v>
      </c>
      <c r="B5487">
        <v>592.70001200000002</v>
      </c>
      <c r="C5487">
        <f t="shared" si="187"/>
        <v>3.4368243832021733E-3</v>
      </c>
      <c r="D5487">
        <f t="shared" si="186"/>
        <v>0.23775386643980995</v>
      </c>
    </row>
    <row r="5488" spans="1:4" x14ac:dyDescent="0.3">
      <c r="A5488" s="1">
        <v>33898</v>
      </c>
      <c r="B5488">
        <v>597.15002400000003</v>
      </c>
      <c r="C5488">
        <f t="shared" si="187"/>
        <v>7.5080342667514831E-3</v>
      </c>
      <c r="D5488">
        <f t="shared" si="186"/>
        <v>0.56343391620868266</v>
      </c>
    </row>
    <row r="5489" spans="1:4" x14ac:dyDescent="0.3">
      <c r="A5489" s="1">
        <v>33899</v>
      </c>
      <c r="B5489">
        <v>597.11999500000002</v>
      </c>
      <c r="C5489">
        <f t="shared" si="187"/>
        <v>-5.0287195500494836E-5</v>
      </c>
      <c r="D5489">
        <f t="shared" si="186"/>
        <v>-4.1200720767912438E-2</v>
      </c>
    </row>
    <row r="5490" spans="1:4" x14ac:dyDescent="0.3">
      <c r="A5490" s="1">
        <v>33900</v>
      </c>
      <c r="B5490">
        <v>597.29998799999998</v>
      </c>
      <c r="C5490">
        <f t="shared" si="187"/>
        <v>3.0143522492487903E-4</v>
      </c>
      <c r="D5490">
        <f t="shared" si="186"/>
        <v>-1.3064373425117246E-2</v>
      </c>
    </row>
    <row r="5491" spans="1:4" x14ac:dyDescent="0.3">
      <c r="A5491" s="1">
        <v>33903</v>
      </c>
      <c r="B5491">
        <v>598.919983</v>
      </c>
      <c r="C5491">
        <f t="shared" si="187"/>
        <v>2.7121966056359893E-3</v>
      </c>
      <c r="D5491">
        <f t="shared" si="186"/>
        <v>0.17978662392174091</v>
      </c>
    </row>
    <row r="5492" spans="1:4" x14ac:dyDescent="0.3">
      <c r="A5492" s="1">
        <v>33904</v>
      </c>
      <c r="B5492">
        <v>596.95001200000002</v>
      </c>
      <c r="C5492">
        <f t="shared" si="187"/>
        <v>-3.2892056633882375E-3</v>
      </c>
      <c r="D5492">
        <f t="shared" si="186"/>
        <v>-0.30030087968661068</v>
      </c>
    </row>
    <row r="5493" spans="1:4" x14ac:dyDescent="0.3">
      <c r="A5493" s="1">
        <v>33905</v>
      </c>
      <c r="B5493">
        <v>601.39001499999995</v>
      </c>
      <c r="C5493">
        <f t="shared" si="187"/>
        <v>7.4378137377438119E-3</v>
      </c>
      <c r="D5493">
        <f t="shared" si="186"/>
        <v>0.55781656263660961</v>
      </c>
    </row>
    <row r="5494" spans="1:4" x14ac:dyDescent="0.3">
      <c r="A5494" s="1">
        <v>33906</v>
      </c>
      <c r="B5494">
        <v>605.82000700000003</v>
      </c>
      <c r="C5494">
        <f t="shared" si="187"/>
        <v>7.3662546592165885E-3</v>
      </c>
      <c r="D5494">
        <f t="shared" si="186"/>
        <v>0.55209213060712081</v>
      </c>
    </row>
    <row r="5495" spans="1:4" x14ac:dyDescent="0.3">
      <c r="A5495" s="1">
        <v>33907</v>
      </c>
      <c r="B5495">
        <v>605.169983</v>
      </c>
      <c r="C5495">
        <f t="shared" si="187"/>
        <v>-1.0729655549326061E-3</v>
      </c>
      <c r="D5495">
        <f t="shared" si="186"/>
        <v>-0.12301078424393981</v>
      </c>
    </row>
    <row r="5496" spans="1:4" x14ac:dyDescent="0.3">
      <c r="A5496" s="1">
        <v>33910</v>
      </c>
      <c r="B5496">
        <v>607.57000700000003</v>
      </c>
      <c r="C5496">
        <f t="shared" si="187"/>
        <v>3.9658675536126684E-3</v>
      </c>
      <c r="D5496">
        <f t="shared" si="186"/>
        <v>0.28007514463413408</v>
      </c>
    </row>
    <row r="5497" spans="1:4" x14ac:dyDescent="0.3">
      <c r="A5497" s="1">
        <v>33911</v>
      </c>
      <c r="B5497">
        <v>604.580017</v>
      </c>
      <c r="C5497">
        <f t="shared" si="187"/>
        <v>-4.9212271270000895E-3</v>
      </c>
      <c r="D5497">
        <f t="shared" si="186"/>
        <v>-0.43085588586320117</v>
      </c>
    </row>
    <row r="5498" spans="1:4" x14ac:dyDescent="0.3">
      <c r="A5498" s="1">
        <v>33912</v>
      </c>
      <c r="B5498">
        <v>605.52002000000005</v>
      </c>
      <c r="C5498">
        <f t="shared" si="187"/>
        <v>1.5548032908273364E-3</v>
      </c>
      <c r="D5498">
        <f t="shared" si="186"/>
        <v>8.7199917966796714E-2</v>
      </c>
    </row>
    <row r="5499" spans="1:4" x14ac:dyDescent="0.3">
      <c r="A5499" s="1">
        <v>33913</v>
      </c>
      <c r="B5499">
        <v>614.080017</v>
      </c>
      <c r="C5499">
        <f t="shared" si="187"/>
        <v>1.4136604434647681E-2</v>
      </c>
      <c r="D5499">
        <f t="shared" si="186"/>
        <v>1.0936922727969822</v>
      </c>
    </row>
    <row r="5500" spans="1:4" x14ac:dyDescent="0.3">
      <c r="A5500" s="1">
        <v>33914</v>
      </c>
      <c r="B5500">
        <v>616.82000700000003</v>
      </c>
      <c r="C5500">
        <f t="shared" si="187"/>
        <v>4.4619429457839442E-3</v>
      </c>
      <c r="D5500">
        <f t="shared" si="186"/>
        <v>0.31975913613363482</v>
      </c>
    </row>
    <row r="5501" spans="1:4" x14ac:dyDescent="0.3">
      <c r="A5501" s="1">
        <v>33917</v>
      </c>
      <c r="B5501">
        <v>622.04998799999998</v>
      </c>
      <c r="C5501">
        <f t="shared" si="187"/>
        <v>8.4789418965781904E-3</v>
      </c>
      <c r="D5501">
        <f t="shared" si="186"/>
        <v>0.64110253419878993</v>
      </c>
    </row>
    <row r="5502" spans="1:4" x14ac:dyDescent="0.3">
      <c r="A5502" s="1">
        <v>33918</v>
      </c>
      <c r="B5502">
        <v>627.76000999999997</v>
      </c>
      <c r="C5502">
        <f t="shared" si="187"/>
        <v>9.1793619647171851E-3</v>
      </c>
      <c r="D5502">
        <f t="shared" si="186"/>
        <v>0.69713325950537985</v>
      </c>
    </row>
    <row r="5503" spans="1:4" x14ac:dyDescent="0.3">
      <c r="A5503" s="1">
        <v>33919</v>
      </c>
      <c r="B5503">
        <v>634.919983</v>
      </c>
      <c r="C5503">
        <f t="shared" si="187"/>
        <v>1.1405589534127918E-2</v>
      </c>
      <c r="D5503">
        <f t="shared" si="186"/>
        <v>0.87522231075577395</v>
      </c>
    </row>
    <row r="5504" spans="1:4" x14ac:dyDescent="0.3">
      <c r="A5504" s="1">
        <v>33920</v>
      </c>
      <c r="B5504">
        <v>634.36999500000002</v>
      </c>
      <c r="C5504">
        <f t="shared" si="187"/>
        <v>-8.6623198942532701E-4</v>
      </c>
      <c r="D5504">
        <f t="shared" si="186"/>
        <v>-0.10647294909685838</v>
      </c>
    </row>
    <row r="5505" spans="1:4" x14ac:dyDescent="0.3">
      <c r="A5505" s="1">
        <v>33921</v>
      </c>
      <c r="B5505">
        <v>637.15997300000004</v>
      </c>
      <c r="C5505">
        <f t="shared" si="187"/>
        <v>4.3980295757841117E-3</v>
      </c>
      <c r="D5505">
        <f t="shared" si="186"/>
        <v>0.31464632934699599</v>
      </c>
    </row>
    <row r="5506" spans="1:4" x14ac:dyDescent="0.3">
      <c r="A5506" s="1">
        <v>33924</v>
      </c>
      <c r="B5506">
        <v>634.01000999999997</v>
      </c>
      <c r="C5506">
        <f t="shared" si="187"/>
        <v>-4.9437553102540397E-3</v>
      </c>
      <c r="D5506">
        <f t="shared" si="186"/>
        <v>-0.43265804788707413</v>
      </c>
    </row>
    <row r="5507" spans="1:4" x14ac:dyDescent="0.3">
      <c r="A5507" s="1">
        <v>33925</v>
      </c>
      <c r="B5507">
        <v>627.07000700000003</v>
      </c>
      <c r="C5507">
        <f t="shared" si="187"/>
        <v>-1.0946204145893429E-2</v>
      </c>
      <c r="D5507">
        <f t="shared" ref="D5507:D5570" si="188">(C5507-avrtn)/sdrtn</f>
        <v>-0.912829272521131</v>
      </c>
    </row>
    <row r="5508" spans="1:4" x14ac:dyDescent="0.3">
      <c r="A5508" s="1">
        <v>33926</v>
      </c>
      <c r="B5508">
        <v>634.85998500000005</v>
      </c>
      <c r="C5508">
        <f t="shared" ref="C5508:C5571" si="189">(B5508-B5507)/B5507</f>
        <v>1.2422820280096763E-2</v>
      </c>
      <c r="D5508">
        <f t="shared" si="188"/>
        <v>0.9565965875554604</v>
      </c>
    </row>
    <row r="5509" spans="1:4" x14ac:dyDescent="0.3">
      <c r="A5509" s="1">
        <v>33927</v>
      </c>
      <c r="B5509">
        <v>638.57000700000003</v>
      </c>
      <c r="C5509">
        <f t="shared" si="189"/>
        <v>5.8438428750553252E-3</v>
      </c>
      <c r="D5509">
        <f t="shared" si="188"/>
        <v>0.43030544806888238</v>
      </c>
    </row>
    <row r="5510" spans="1:4" x14ac:dyDescent="0.3">
      <c r="A5510" s="1">
        <v>33928</v>
      </c>
      <c r="B5510">
        <v>642.59997599999997</v>
      </c>
      <c r="C5510">
        <f t="shared" si="189"/>
        <v>6.3109274720444817E-3</v>
      </c>
      <c r="D5510">
        <f t="shared" si="188"/>
        <v>0.46767029516467568</v>
      </c>
    </row>
    <row r="5511" spans="1:4" x14ac:dyDescent="0.3">
      <c r="A5511" s="1">
        <v>33931</v>
      </c>
      <c r="B5511">
        <v>638.84002699999996</v>
      </c>
      <c r="C5511">
        <f t="shared" si="189"/>
        <v>-5.8511502340921444E-3</v>
      </c>
      <c r="D5511">
        <f t="shared" si="188"/>
        <v>-0.50524591056390067</v>
      </c>
    </row>
    <row r="5512" spans="1:4" x14ac:dyDescent="0.3">
      <c r="A5512" s="1">
        <v>33932</v>
      </c>
      <c r="B5512">
        <v>645.94000200000005</v>
      </c>
      <c r="C5512">
        <f t="shared" si="189"/>
        <v>1.1113854329606817E-2</v>
      </c>
      <c r="D5512">
        <f t="shared" si="188"/>
        <v>0.85188469401641487</v>
      </c>
    </row>
    <row r="5513" spans="1:4" x14ac:dyDescent="0.3">
      <c r="A5513" s="1">
        <v>33933</v>
      </c>
      <c r="B5513">
        <v>648.330017</v>
      </c>
      <c r="C5513">
        <f t="shared" si="189"/>
        <v>3.70005726940557E-3</v>
      </c>
      <c r="D5513">
        <f t="shared" si="188"/>
        <v>0.25881141491598592</v>
      </c>
    </row>
    <row r="5514" spans="1:4" x14ac:dyDescent="0.3">
      <c r="A5514" s="1">
        <v>33935</v>
      </c>
      <c r="B5514">
        <v>649.48999000000003</v>
      </c>
      <c r="C5514">
        <f t="shared" si="189"/>
        <v>1.7891705914952821E-3</v>
      </c>
      <c r="D5514">
        <f t="shared" si="188"/>
        <v>0.10594833829613354</v>
      </c>
    </row>
    <row r="5515" spans="1:4" x14ac:dyDescent="0.3">
      <c r="A5515" s="1">
        <v>33938</v>
      </c>
      <c r="B5515">
        <v>652.72997999999995</v>
      </c>
      <c r="C5515">
        <f t="shared" si="189"/>
        <v>4.9885141416881893E-3</v>
      </c>
      <c r="D5515">
        <f t="shared" si="188"/>
        <v>0.36188266653227885</v>
      </c>
    </row>
    <row r="5516" spans="1:4" x14ac:dyDescent="0.3">
      <c r="A5516" s="1">
        <v>33939</v>
      </c>
      <c r="B5516">
        <v>653.95001200000002</v>
      </c>
      <c r="C5516">
        <f t="shared" si="189"/>
        <v>1.8691220525829996E-3</v>
      </c>
      <c r="D5516">
        <f t="shared" si="188"/>
        <v>0.11234412642077851</v>
      </c>
    </row>
    <row r="5517" spans="1:4" x14ac:dyDescent="0.3">
      <c r="A5517" s="1">
        <v>33940</v>
      </c>
      <c r="B5517">
        <v>652.90997300000004</v>
      </c>
      <c r="C5517">
        <f t="shared" si="189"/>
        <v>-1.5903952609759701E-3</v>
      </c>
      <c r="D5517">
        <f t="shared" si="188"/>
        <v>-0.16440303304374429</v>
      </c>
    </row>
    <row r="5518" spans="1:4" x14ac:dyDescent="0.3">
      <c r="A5518" s="1">
        <v>33941</v>
      </c>
      <c r="B5518">
        <v>656.35998500000005</v>
      </c>
      <c r="C5518">
        <f t="shared" si="189"/>
        <v>5.2840546823750461E-3</v>
      </c>
      <c r="D5518">
        <f t="shared" si="188"/>
        <v>0.38552469451726251</v>
      </c>
    </row>
    <row r="5519" spans="1:4" x14ac:dyDescent="0.3">
      <c r="A5519" s="1">
        <v>33942</v>
      </c>
      <c r="B5519">
        <v>661.59997599999997</v>
      </c>
      <c r="C5519">
        <f t="shared" si="189"/>
        <v>7.9834102013393114E-3</v>
      </c>
      <c r="D5519">
        <f t="shared" si="188"/>
        <v>0.60146203621818572</v>
      </c>
    </row>
    <row r="5520" spans="1:4" x14ac:dyDescent="0.3">
      <c r="A5520" s="1">
        <v>33945</v>
      </c>
      <c r="B5520">
        <v>666.53002900000001</v>
      </c>
      <c r="C5520">
        <f t="shared" si="189"/>
        <v>7.4517127854310016E-3</v>
      </c>
      <c r="D5520">
        <f t="shared" si="188"/>
        <v>0.55892842929835918</v>
      </c>
    </row>
    <row r="5521" spans="1:4" x14ac:dyDescent="0.3">
      <c r="A5521" s="1">
        <v>33946</v>
      </c>
      <c r="B5521">
        <v>667.11999500000002</v>
      </c>
      <c r="C5521">
        <f t="shared" si="189"/>
        <v>8.8513041323154548E-4</v>
      </c>
      <c r="D5521">
        <f t="shared" si="188"/>
        <v>3.3628841470460177E-2</v>
      </c>
    </row>
    <row r="5522" spans="1:4" x14ac:dyDescent="0.3">
      <c r="A5522" s="1">
        <v>33947</v>
      </c>
      <c r="B5522">
        <v>663.919983</v>
      </c>
      <c r="C5522">
        <f t="shared" si="189"/>
        <v>-4.7967562417313174E-3</v>
      </c>
      <c r="D5522">
        <f t="shared" si="188"/>
        <v>-0.4208987268690379</v>
      </c>
    </row>
    <row r="5523" spans="1:4" x14ac:dyDescent="0.3">
      <c r="A5523" s="1">
        <v>33948</v>
      </c>
      <c r="B5523">
        <v>658.92999299999997</v>
      </c>
      <c r="C5523">
        <f t="shared" si="189"/>
        <v>-7.5159509094035425E-3</v>
      </c>
      <c r="D5523">
        <f t="shared" si="188"/>
        <v>-0.63842311888753089</v>
      </c>
    </row>
    <row r="5524" spans="1:4" x14ac:dyDescent="0.3">
      <c r="A5524" s="1">
        <v>33949</v>
      </c>
      <c r="B5524">
        <v>655.78997800000002</v>
      </c>
      <c r="C5524">
        <f t="shared" si="189"/>
        <v>-4.7653241366415518E-3</v>
      </c>
      <c r="D5524">
        <f t="shared" si="188"/>
        <v>-0.41838428771144509</v>
      </c>
    </row>
    <row r="5525" spans="1:4" x14ac:dyDescent="0.3">
      <c r="A5525" s="1">
        <v>33952</v>
      </c>
      <c r="B5525">
        <v>654.72997999999995</v>
      </c>
      <c r="C5525">
        <f t="shared" si="189"/>
        <v>-1.6163680988733624E-3</v>
      </c>
      <c r="D5525">
        <f t="shared" si="188"/>
        <v>-0.16648075327458806</v>
      </c>
    </row>
    <row r="5526" spans="1:4" x14ac:dyDescent="0.3">
      <c r="A5526" s="1">
        <v>33953</v>
      </c>
      <c r="B5526">
        <v>650.75</v>
      </c>
      <c r="C5526">
        <f t="shared" si="189"/>
        <v>-6.0788112986669028E-3</v>
      </c>
      <c r="D5526">
        <f t="shared" si="188"/>
        <v>-0.52345785958199009</v>
      </c>
    </row>
    <row r="5527" spans="1:4" x14ac:dyDescent="0.3">
      <c r="A5527" s="1">
        <v>33954</v>
      </c>
      <c r="B5527">
        <v>649.63000499999998</v>
      </c>
      <c r="C5527">
        <f t="shared" si="189"/>
        <v>-1.7210833653477022E-3</v>
      </c>
      <c r="D5527">
        <f t="shared" si="188"/>
        <v>-0.17485754400078662</v>
      </c>
    </row>
    <row r="5528" spans="1:4" x14ac:dyDescent="0.3">
      <c r="A5528" s="1">
        <v>33955</v>
      </c>
      <c r="B5528">
        <v>658.46002199999998</v>
      </c>
      <c r="C5528">
        <f t="shared" si="189"/>
        <v>1.3592378634050313E-2</v>
      </c>
      <c r="D5528">
        <f t="shared" si="188"/>
        <v>1.0501564466190565</v>
      </c>
    </row>
    <row r="5529" spans="1:4" x14ac:dyDescent="0.3">
      <c r="A5529" s="1">
        <v>33956</v>
      </c>
      <c r="B5529">
        <v>661.28997800000002</v>
      </c>
      <c r="C5529">
        <f t="shared" si="189"/>
        <v>4.2978402719186471E-3</v>
      </c>
      <c r="D5529">
        <f t="shared" si="188"/>
        <v>0.30663159701863801</v>
      </c>
    </row>
    <row r="5530" spans="1:4" x14ac:dyDescent="0.3">
      <c r="A5530" s="1">
        <v>33959</v>
      </c>
      <c r="B5530">
        <v>662.46002199999998</v>
      </c>
      <c r="C5530">
        <f t="shared" si="189"/>
        <v>1.7693357512216248E-3</v>
      </c>
      <c r="D5530">
        <f t="shared" si="188"/>
        <v>0.10436163263559151</v>
      </c>
    </row>
    <row r="5531" spans="1:4" x14ac:dyDescent="0.3">
      <c r="A5531" s="1">
        <v>33960</v>
      </c>
      <c r="B5531">
        <v>660.84002699999996</v>
      </c>
      <c r="C5531">
        <f t="shared" si="189"/>
        <v>-2.4454230386751056E-3</v>
      </c>
      <c r="D5531">
        <f t="shared" si="188"/>
        <v>-0.23280173936444493</v>
      </c>
    </row>
    <row r="5532" spans="1:4" x14ac:dyDescent="0.3">
      <c r="A5532" s="1">
        <v>33961</v>
      </c>
      <c r="B5532">
        <v>662.96002199999998</v>
      </c>
      <c r="C5532">
        <f t="shared" si="189"/>
        <v>3.2080305571442289E-3</v>
      </c>
      <c r="D5532">
        <f t="shared" si="188"/>
        <v>0.21945130116100869</v>
      </c>
    </row>
    <row r="5533" spans="1:4" x14ac:dyDescent="0.3">
      <c r="A5533" s="1">
        <v>33962</v>
      </c>
      <c r="B5533">
        <v>665.88000499999998</v>
      </c>
      <c r="C5533">
        <f t="shared" si="189"/>
        <v>4.4044631698772364E-3</v>
      </c>
      <c r="D5533">
        <f t="shared" si="188"/>
        <v>0.31516099041934897</v>
      </c>
    </row>
    <row r="5534" spans="1:4" x14ac:dyDescent="0.3">
      <c r="A5534" s="1">
        <v>33966</v>
      </c>
      <c r="B5534">
        <v>666.25</v>
      </c>
      <c r="C5534">
        <f t="shared" si="189"/>
        <v>5.5564816066224604E-4</v>
      </c>
      <c r="D5534">
        <f t="shared" si="188"/>
        <v>7.2716161040342715E-3</v>
      </c>
    </row>
    <row r="5535" spans="1:4" x14ac:dyDescent="0.3">
      <c r="A5535" s="1">
        <v>33967</v>
      </c>
      <c r="B5535">
        <v>669.01000999999997</v>
      </c>
      <c r="C5535">
        <f t="shared" si="189"/>
        <v>4.1426041275796858E-3</v>
      </c>
      <c r="D5535">
        <f t="shared" si="188"/>
        <v>0.29421334380636083</v>
      </c>
    </row>
    <row r="5536" spans="1:4" x14ac:dyDescent="0.3">
      <c r="A5536" s="1">
        <v>33968</v>
      </c>
      <c r="B5536">
        <v>671.84997599999997</v>
      </c>
      <c r="C5536">
        <f t="shared" si="189"/>
        <v>4.2450276640853312E-3</v>
      </c>
      <c r="D5536">
        <f t="shared" si="188"/>
        <v>0.3024068055587138</v>
      </c>
    </row>
    <row r="5537" spans="1:4" x14ac:dyDescent="0.3">
      <c r="A5537" s="1">
        <v>33969</v>
      </c>
      <c r="B5537">
        <v>676.95001200000002</v>
      </c>
      <c r="C5537">
        <f t="shared" si="189"/>
        <v>7.5910339840512932E-3</v>
      </c>
      <c r="D5537">
        <f t="shared" si="188"/>
        <v>0.5700735522957906</v>
      </c>
    </row>
    <row r="5538" spans="1:4" x14ac:dyDescent="0.3">
      <c r="A5538" s="1">
        <v>33973</v>
      </c>
      <c r="B5538">
        <v>671.79998799999998</v>
      </c>
      <c r="C5538">
        <f t="shared" si="189"/>
        <v>-7.6076872866648682E-3</v>
      </c>
      <c r="D5538">
        <f t="shared" si="188"/>
        <v>-0.64576165184619971</v>
      </c>
    </row>
    <row r="5539" spans="1:4" x14ac:dyDescent="0.3">
      <c r="A5539" s="1">
        <v>33974</v>
      </c>
      <c r="B5539">
        <v>674.34002699999996</v>
      </c>
      <c r="C5539">
        <f t="shared" si="189"/>
        <v>3.7809452893291491E-3</v>
      </c>
      <c r="D5539">
        <f t="shared" si="188"/>
        <v>0.26528212389634687</v>
      </c>
    </row>
    <row r="5540" spans="1:4" x14ac:dyDescent="0.3">
      <c r="A5540" s="1">
        <v>33975</v>
      </c>
      <c r="B5540">
        <v>681.84997599999997</v>
      </c>
      <c r="C5540">
        <f t="shared" si="189"/>
        <v>1.113673918098889E-2</v>
      </c>
      <c r="D5540">
        <f t="shared" si="188"/>
        <v>0.85371538802390956</v>
      </c>
    </row>
    <row r="5541" spans="1:4" x14ac:dyDescent="0.3">
      <c r="A5541" s="1">
        <v>33976</v>
      </c>
      <c r="B5541">
        <v>678.21002199999998</v>
      </c>
      <c r="C5541">
        <f t="shared" si="189"/>
        <v>-5.3383502648975513E-3</v>
      </c>
      <c r="D5541">
        <f t="shared" si="188"/>
        <v>-0.46422402167440624</v>
      </c>
    </row>
    <row r="5542" spans="1:4" x14ac:dyDescent="0.3">
      <c r="A5542" s="1">
        <v>33977</v>
      </c>
      <c r="B5542">
        <v>677.21002199999998</v>
      </c>
      <c r="C5542">
        <f t="shared" si="189"/>
        <v>-1.4744695117466136E-3</v>
      </c>
      <c r="D5542">
        <f t="shared" si="188"/>
        <v>-0.15512944979492491</v>
      </c>
    </row>
    <row r="5543" spans="1:4" x14ac:dyDescent="0.3">
      <c r="A5543" s="1">
        <v>33980</v>
      </c>
      <c r="B5543">
        <v>682.40002400000003</v>
      </c>
      <c r="C5543">
        <f t="shared" si="189"/>
        <v>7.6637997539854034E-3</v>
      </c>
      <c r="D5543">
        <f t="shared" si="188"/>
        <v>0.57589451467588559</v>
      </c>
    </row>
    <row r="5544" spans="1:4" x14ac:dyDescent="0.3">
      <c r="A5544" s="1">
        <v>33981</v>
      </c>
      <c r="B5544">
        <v>679.45001200000002</v>
      </c>
      <c r="C5544">
        <f t="shared" si="189"/>
        <v>-4.322995158628563E-3</v>
      </c>
      <c r="D5544">
        <f t="shared" si="188"/>
        <v>-0.38299978833803172</v>
      </c>
    </row>
    <row r="5545" spans="1:4" x14ac:dyDescent="0.3">
      <c r="A5545" s="1">
        <v>33982</v>
      </c>
      <c r="B5545">
        <v>686.78002900000001</v>
      </c>
      <c r="C5545">
        <f t="shared" si="189"/>
        <v>1.0788162293828906E-2</v>
      </c>
      <c r="D5545">
        <f t="shared" si="188"/>
        <v>0.82583067040783542</v>
      </c>
    </row>
    <row r="5546" spans="1:4" x14ac:dyDescent="0.3">
      <c r="A5546" s="1">
        <v>33983</v>
      </c>
      <c r="B5546">
        <v>695.70001200000002</v>
      </c>
      <c r="C5546">
        <f t="shared" si="189"/>
        <v>1.298812228565837E-2</v>
      </c>
      <c r="D5546">
        <f t="shared" si="188"/>
        <v>1.0018184234646523</v>
      </c>
    </row>
    <row r="5547" spans="1:4" x14ac:dyDescent="0.3">
      <c r="A5547" s="1">
        <v>33984</v>
      </c>
      <c r="B5547">
        <v>697.15002400000003</v>
      </c>
      <c r="C5547">
        <f t="shared" si="189"/>
        <v>2.0842489219333451E-3</v>
      </c>
      <c r="D5547">
        <f t="shared" si="188"/>
        <v>0.12955339136183366</v>
      </c>
    </row>
    <row r="5548" spans="1:4" x14ac:dyDescent="0.3">
      <c r="A5548" s="1">
        <v>33987</v>
      </c>
      <c r="B5548">
        <v>698.13000499999998</v>
      </c>
      <c r="C5548">
        <f t="shared" si="189"/>
        <v>1.4056959998038419E-3</v>
      </c>
      <c r="D5548">
        <f t="shared" si="188"/>
        <v>7.5271947817761448E-2</v>
      </c>
    </row>
    <row r="5549" spans="1:4" x14ac:dyDescent="0.3">
      <c r="A5549" s="1">
        <v>33988</v>
      </c>
      <c r="B5549">
        <v>696.80999799999995</v>
      </c>
      <c r="C5549">
        <f t="shared" si="189"/>
        <v>-1.8907753434835284E-3</v>
      </c>
      <c r="D5549">
        <f t="shared" si="188"/>
        <v>-0.18843220447406925</v>
      </c>
    </row>
    <row r="5550" spans="1:4" x14ac:dyDescent="0.3">
      <c r="A5550" s="1">
        <v>33989</v>
      </c>
      <c r="B5550">
        <v>697.44000200000005</v>
      </c>
      <c r="C5550">
        <f t="shared" si="189"/>
        <v>9.0412594797484389E-4</v>
      </c>
      <c r="D5550">
        <f t="shared" si="188"/>
        <v>3.5148406139818462E-2</v>
      </c>
    </row>
    <row r="5551" spans="1:4" x14ac:dyDescent="0.3">
      <c r="A5551" s="1">
        <v>33990</v>
      </c>
      <c r="B5551">
        <v>700.77002000000005</v>
      </c>
      <c r="C5551">
        <f t="shared" si="189"/>
        <v>4.7746300620135568E-3</v>
      </c>
      <c r="D5551">
        <f t="shared" si="188"/>
        <v>0.34477281965489903</v>
      </c>
    </row>
    <row r="5552" spans="1:4" x14ac:dyDescent="0.3">
      <c r="A5552" s="1">
        <v>33991</v>
      </c>
      <c r="B5552">
        <v>701.63000499999998</v>
      </c>
      <c r="C5552">
        <f t="shared" si="189"/>
        <v>1.2272000448876762E-3</v>
      </c>
      <c r="D5552">
        <f t="shared" si="188"/>
        <v>6.0993005404220507E-2</v>
      </c>
    </row>
    <row r="5553" spans="1:4" x14ac:dyDescent="0.3">
      <c r="A5553" s="1">
        <v>33994</v>
      </c>
      <c r="B5553">
        <v>706.95001200000002</v>
      </c>
      <c r="C5553">
        <f t="shared" si="189"/>
        <v>7.5823538932033455E-3</v>
      </c>
      <c r="D5553">
        <f t="shared" si="188"/>
        <v>0.56937918072070159</v>
      </c>
    </row>
    <row r="5554" spans="1:4" x14ac:dyDescent="0.3">
      <c r="A5554" s="1">
        <v>33995</v>
      </c>
      <c r="B5554">
        <v>707.15997300000004</v>
      </c>
      <c r="C5554">
        <f t="shared" si="189"/>
        <v>2.9699553919806872E-4</v>
      </c>
      <c r="D5554">
        <f t="shared" si="188"/>
        <v>-1.3419530027165278E-2</v>
      </c>
    </row>
    <row r="5555" spans="1:4" x14ac:dyDescent="0.3">
      <c r="A5555" s="1">
        <v>33996</v>
      </c>
      <c r="B5555">
        <v>697.90002400000003</v>
      </c>
      <c r="C5555">
        <f t="shared" si="189"/>
        <v>-1.3094560429822299E-2</v>
      </c>
      <c r="D5555">
        <f t="shared" si="188"/>
        <v>-1.0846889411416152</v>
      </c>
    </row>
    <row r="5556" spans="1:4" x14ac:dyDescent="0.3">
      <c r="A5556" s="1">
        <v>33997</v>
      </c>
      <c r="B5556">
        <v>694.669983</v>
      </c>
      <c r="C5556">
        <f t="shared" si="189"/>
        <v>-4.6282288134726129E-3</v>
      </c>
      <c r="D5556">
        <f t="shared" si="188"/>
        <v>-0.40741722559726734</v>
      </c>
    </row>
    <row r="5557" spans="1:4" x14ac:dyDescent="0.3">
      <c r="A5557" s="1">
        <v>33998</v>
      </c>
      <c r="B5557">
        <v>696.34002699999996</v>
      </c>
      <c r="C5557">
        <f t="shared" si="189"/>
        <v>2.4040825728322301E-3</v>
      </c>
      <c r="D5557">
        <f t="shared" si="188"/>
        <v>0.15513876826991355</v>
      </c>
    </row>
    <row r="5558" spans="1:4" x14ac:dyDescent="0.3">
      <c r="A5558" s="1">
        <v>34001</v>
      </c>
      <c r="B5558">
        <v>701.77002000000005</v>
      </c>
      <c r="C5558">
        <f t="shared" si="189"/>
        <v>7.7979044568122777E-3</v>
      </c>
      <c r="D5558">
        <f t="shared" si="188"/>
        <v>0.58662233946020248</v>
      </c>
    </row>
    <row r="5559" spans="1:4" x14ac:dyDescent="0.3">
      <c r="A5559" s="1">
        <v>34002</v>
      </c>
      <c r="B5559">
        <v>705.11999500000002</v>
      </c>
      <c r="C5559">
        <f t="shared" si="189"/>
        <v>4.7736080261735489E-3</v>
      </c>
      <c r="D5559">
        <f t="shared" si="188"/>
        <v>0.34469106099033492</v>
      </c>
    </row>
    <row r="5560" spans="1:4" x14ac:dyDescent="0.3">
      <c r="A5560" s="1">
        <v>34003</v>
      </c>
      <c r="B5560">
        <v>708.669983</v>
      </c>
      <c r="C5560">
        <f t="shared" si="189"/>
        <v>5.0345870563491607E-3</v>
      </c>
      <c r="D5560">
        <f t="shared" si="188"/>
        <v>0.36556831025219944</v>
      </c>
    </row>
    <row r="5561" spans="1:4" x14ac:dyDescent="0.3">
      <c r="A5561" s="1">
        <v>34004</v>
      </c>
      <c r="B5561">
        <v>708.84997599999997</v>
      </c>
      <c r="C5561">
        <f t="shared" si="189"/>
        <v>2.5398705224963317E-4</v>
      </c>
      <c r="D5561">
        <f t="shared" si="188"/>
        <v>-1.6860032131085056E-2</v>
      </c>
    </row>
    <row r="5562" spans="1:4" x14ac:dyDescent="0.3">
      <c r="A5562" s="1">
        <v>34005</v>
      </c>
      <c r="B5562">
        <v>700.97997999999995</v>
      </c>
      <c r="C5562">
        <f t="shared" si="189"/>
        <v>-1.1102484681469489E-2</v>
      </c>
      <c r="D5562">
        <f t="shared" si="188"/>
        <v>-0.92533107273781368</v>
      </c>
    </row>
    <row r="5563" spans="1:4" x14ac:dyDescent="0.3">
      <c r="A5563" s="1">
        <v>34008</v>
      </c>
      <c r="B5563">
        <v>698.44000200000005</v>
      </c>
      <c r="C5563">
        <f t="shared" si="189"/>
        <v>-3.6234672493783713E-3</v>
      </c>
      <c r="D5563">
        <f t="shared" si="188"/>
        <v>-0.32704043207396688</v>
      </c>
    </row>
    <row r="5564" spans="1:4" x14ac:dyDescent="0.3">
      <c r="A5564" s="1">
        <v>34009</v>
      </c>
      <c r="B5564">
        <v>692.21002199999998</v>
      </c>
      <c r="C5564">
        <f t="shared" si="189"/>
        <v>-8.9198499257779739E-3</v>
      </c>
      <c r="D5564">
        <f t="shared" si="188"/>
        <v>-0.75072926733023582</v>
      </c>
    </row>
    <row r="5565" spans="1:4" x14ac:dyDescent="0.3">
      <c r="A5565" s="1">
        <v>34010</v>
      </c>
      <c r="B5565">
        <v>695.02002000000005</v>
      </c>
      <c r="C5565">
        <f t="shared" si="189"/>
        <v>4.059458705727991E-3</v>
      </c>
      <c r="D5565">
        <f t="shared" si="188"/>
        <v>0.28756205195424284</v>
      </c>
    </row>
    <row r="5566" spans="1:4" x14ac:dyDescent="0.3">
      <c r="A5566" s="1">
        <v>34011</v>
      </c>
      <c r="B5566">
        <v>695.88000499999998</v>
      </c>
      <c r="C5566">
        <f t="shared" si="189"/>
        <v>1.2373528463251141E-3</v>
      </c>
      <c r="D5566">
        <f t="shared" si="188"/>
        <v>6.1805187770646579E-2</v>
      </c>
    </row>
    <row r="5567" spans="1:4" x14ac:dyDescent="0.3">
      <c r="A5567" s="1">
        <v>34012</v>
      </c>
      <c r="B5567">
        <v>690.53997800000002</v>
      </c>
      <c r="C5567">
        <f t="shared" si="189"/>
        <v>-7.6737755958370488E-3</v>
      </c>
      <c r="D5567">
        <f t="shared" si="188"/>
        <v>-0.65104844482322299</v>
      </c>
    </row>
    <row r="5568" spans="1:4" x14ac:dyDescent="0.3">
      <c r="A5568" s="1">
        <v>34016</v>
      </c>
      <c r="B5568">
        <v>665.39001499999995</v>
      </c>
      <c r="C5568">
        <f t="shared" si="189"/>
        <v>-3.642071972840951E-2</v>
      </c>
      <c r="D5568">
        <f t="shared" si="188"/>
        <v>-2.9506857672884252</v>
      </c>
    </row>
    <row r="5569" spans="1:4" x14ac:dyDescent="0.3">
      <c r="A5569" s="1">
        <v>34017</v>
      </c>
      <c r="B5569">
        <v>659.42999299999997</v>
      </c>
      <c r="C5569">
        <f t="shared" si="189"/>
        <v>-8.9571858092880787E-3</v>
      </c>
      <c r="D5569">
        <f t="shared" si="188"/>
        <v>-0.7537159844849739</v>
      </c>
    </row>
    <row r="5570" spans="1:4" x14ac:dyDescent="0.3">
      <c r="A5570" s="1">
        <v>34018</v>
      </c>
      <c r="B5570">
        <v>662.45001200000002</v>
      </c>
      <c r="C5570">
        <f t="shared" si="189"/>
        <v>4.5797416436289514E-3</v>
      </c>
      <c r="D5570">
        <f t="shared" si="188"/>
        <v>0.32918254757009546</v>
      </c>
    </row>
    <row r="5571" spans="1:4" x14ac:dyDescent="0.3">
      <c r="A5571" s="1">
        <v>34019</v>
      </c>
      <c r="B5571">
        <v>663.60998500000005</v>
      </c>
      <c r="C5571">
        <f t="shared" si="189"/>
        <v>1.7510347633596787E-3</v>
      </c>
      <c r="D5571">
        <f t="shared" ref="D5571:D5634" si="190">(C5571-avrtn)/sdrtn</f>
        <v>0.10289762886074758</v>
      </c>
    </row>
    <row r="5572" spans="1:4" x14ac:dyDescent="0.3">
      <c r="A5572" s="1">
        <v>34022</v>
      </c>
      <c r="B5572">
        <v>652.419983</v>
      </c>
      <c r="C5572">
        <f t="shared" ref="C5572:C5635" si="191">(B5572-B5571)/B5571</f>
        <v>-1.6862317103320933E-2</v>
      </c>
      <c r="D5572">
        <f t="shared" si="190"/>
        <v>-1.3860939819134899</v>
      </c>
    </row>
    <row r="5573" spans="1:4" x14ac:dyDescent="0.3">
      <c r="A5573" s="1">
        <v>34023</v>
      </c>
      <c r="B5573">
        <v>651.40002400000003</v>
      </c>
      <c r="C5573">
        <f t="shared" si="191"/>
        <v>-1.5633472710476E-3</v>
      </c>
      <c r="D5573">
        <f t="shared" si="190"/>
        <v>-0.16223930507147383</v>
      </c>
    </row>
    <row r="5574" spans="1:4" x14ac:dyDescent="0.3">
      <c r="A5574" s="1">
        <v>34024</v>
      </c>
      <c r="B5574">
        <v>662.46002199999998</v>
      </c>
      <c r="C5574">
        <f t="shared" si="191"/>
        <v>1.6978811164428127E-2</v>
      </c>
      <c r="D5574">
        <f t="shared" si="190"/>
        <v>1.3210571239555109</v>
      </c>
    </row>
    <row r="5575" spans="1:4" x14ac:dyDescent="0.3">
      <c r="A5575" s="1">
        <v>34025</v>
      </c>
      <c r="B5575">
        <v>667.07000700000003</v>
      </c>
      <c r="C5575">
        <f t="shared" si="191"/>
        <v>6.9588878527073617E-3</v>
      </c>
      <c r="D5575">
        <f t="shared" si="190"/>
        <v>0.5195044611887002</v>
      </c>
    </row>
    <row r="5576" spans="1:4" x14ac:dyDescent="0.3">
      <c r="A5576" s="1">
        <v>34026</v>
      </c>
      <c r="B5576">
        <v>670.77002000000005</v>
      </c>
      <c r="C5576">
        <f t="shared" si="191"/>
        <v>5.5466637102153694E-3</v>
      </c>
      <c r="D5576">
        <f t="shared" si="190"/>
        <v>0.40653233688971352</v>
      </c>
    </row>
    <row r="5577" spans="1:4" x14ac:dyDescent="0.3">
      <c r="A5577" s="1">
        <v>34029</v>
      </c>
      <c r="B5577">
        <v>669.51000999999997</v>
      </c>
      <c r="C5577">
        <f t="shared" si="191"/>
        <v>-1.8784530650312594E-3</v>
      </c>
      <c r="D5577">
        <f t="shared" si="190"/>
        <v>-0.18744647286739949</v>
      </c>
    </row>
    <row r="5578" spans="1:4" x14ac:dyDescent="0.3">
      <c r="A5578" s="1">
        <v>34030</v>
      </c>
      <c r="B5578">
        <v>677.71997099999999</v>
      </c>
      <c r="C5578">
        <f t="shared" si="191"/>
        <v>1.2262641151549057E-2</v>
      </c>
      <c r="D5578">
        <f t="shared" si="190"/>
        <v>0.94378291593215624</v>
      </c>
    </row>
    <row r="5579" spans="1:4" x14ac:dyDescent="0.3">
      <c r="A5579" s="1">
        <v>34031</v>
      </c>
      <c r="B5579">
        <v>683.919983</v>
      </c>
      <c r="C5579">
        <f t="shared" si="191"/>
        <v>9.1483389383548441E-3</v>
      </c>
      <c r="D5579">
        <f t="shared" si="190"/>
        <v>0.69465154496383918</v>
      </c>
    </row>
    <row r="5580" spans="1:4" x14ac:dyDescent="0.3">
      <c r="A5580" s="1">
        <v>34032</v>
      </c>
      <c r="B5580">
        <v>680.72997999999995</v>
      </c>
      <c r="C5580">
        <f t="shared" si="191"/>
        <v>-4.6642927232615266E-3</v>
      </c>
      <c r="D5580">
        <f t="shared" si="190"/>
        <v>-0.41030219008469726</v>
      </c>
    </row>
    <row r="5581" spans="1:4" x14ac:dyDescent="0.3">
      <c r="A5581" s="1">
        <v>34033</v>
      </c>
      <c r="B5581">
        <v>681.36999500000002</v>
      </c>
      <c r="C5581">
        <f t="shared" si="191"/>
        <v>9.4018923626672387E-4</v>
      </c>
      <c r="D5581">
        <f t="shared" si="190"/>
        <v>3.8033320910041316E-2</v>
      </c>
    </row>
    <row r="5582" spans="1:4" x14ac:dyDescent="0.3">
      <c r="A5582" s="1">
        <v>34036</v>
      </c>
      <c r="B5582">
        <v>687.22997999999995</v>
      </c>
      <c r="C5582">
        <f t="shared" si="191"/>
        <v>8.6002979922823533E-3</v>
      </c>
      <c r="D5582">
        <f t="shared" si="190"/>
        <v>0.6508105228358757</v>
      </c>
    </row>
    <row r="5583" spans="1:4" x14ac:dyDescent="0.3">
      <c r="A5583" s="1">
        <v>34037</v>
      </c>
      <c r="B5583">
        <v>688.96002199999998</v>
      </c>
      <c r="C5583">
        <f t="shared" si="191"/>
        <v>2.5174134574280737E-3</v>
      </c>
      <c r="D5583">
        <f t="shared" si="190"/>
        <v>0.164204773018199</v>
      </c>
    </row>
    <row r="5584" spans="1:4" x14ac:dyDescent="0.3">
      <c r="A5584" s="1">
        <v>34038</v>
      </c>
      <c r="B5584">
        <v>692.86999500000002</v>
      </c>
      <c r="C5584">
        <f t="shared" si="191"/>
        <v>5.6751812516634475E-3</v>
      </c>
      <c r="D5584">
        <f t="shared" si="190"/>
        <v>0.41681321173827163</v>
      </c>
    </row>
    <row r="5585" spans="1:4" x14ac:dyDescent="0.3">
      <c r="A5585" s="1">
        <v>34039</v>
      </c>
      <c r="B5585">
        <v>694.28002900000001</v>
      </c>
      <c r="C5585">
        <f t="shared" si="191"/>
        <v>2.0350628691894732E-3</v>
      </c>
      <c r="D5585">
        <f t="shared" si="190"/>
        <v>0.12561870939658129</v>
      </c>
    </row>
    <row r="5586" spans="1:4" x14ac:dyDescent="0.3">
      <c r="A5586" s="1">
        <v>34040</v>
      </c>
      <c r="B5586">
        <v>692.78002900000001</v>
      </c>
      <c r="C5586">
        <f t="shared" si="191"/>
        <v>-2.1605115189047156E-3</v>
      </c>
      <c r="D5586">
        <f t="shared" si="190"/>
        <v>-0.21000998934598339</v>
      </c>
    </row>
    <row r="5587" spans="1:4" x14ac:dyDescent="0.3">
      <c r="A5587" s="1">
        <v>34043</v>
      </c>
      <c r="B5587">
        <v>695.21002199999998</v>
      </c>
      <c r="C5587">
        <f t="shared" si="191"/>
        <v>3.5075967814885835E-3</v>
      </c>
      <c r="D5587">
        <f t="shared" si="190"/>
        <v>0.24341536728488211</v>
      </c>
    </row>
    <row r="5588" spans="1:4" x14ac:dyDescent="0.3">
      <c r="A5588" s="1">
        <v>34044</v>
      </c>
      <c r="B5588">
        <v>695.46997099999999</v>
      </c>
      <c r="C5588">
        <f t="shared" si="191"/>
        <v>3.7391434498049565E-4</v>
      </c>
      <c r="D5588">
        <f t="shared" si="190"/>
        <v>-7.2663418565904192E-3</v>
      </c>
    </row>
    <row r="5589" spans="1:4" x14ac:dyDescent="0.3">
      <c r="A5589" s="1">
        <v>34045</v>
      </c>
      <c r="B5589">
        <v>687.40002400000003</v>
      </c>
      <c r="C5589">
        <f t="shared" si="191"/>
        <v>-1.1603587985828301E-2</v>
      </c>
      <c r="D5589">
        <f t="shared" si="190"/>
        <v>-0.96541727653741882</v>
      </c>
    </row>
    <row r="5590" spans="1:4" x14ac:dyDescent="0.3">
      <c r="A5590" s="1">
        <v>34046</v>
      </c>
      <c r="B5590">
        <v>687.40997300000004</v>
      </c>
      <c r="C5590">
        <f t="shared" si="191"/>
        <v>1.4473377440565786E-5</v>
      </c>
      <c r="D5590">
        <f t="shared" si="190"/>
        <v>-3.6020141229694706E-2</v>
      </c>
    </row>
    <row r="5591" spans="1:4" x14ac:dyDescent="0.3">
      <c r="A5591" s="1">
        <v>34047</v>
      </c>
      <c r="B5591">
        <v>682.71997099999999</v>
      </c>
      <c r="C5591">
        <f t="shared" si="191"/>
        <v>-6.8227145142103563E-3</v>
      </c>
      <c r="D5591">
        <f t="shared" si="190"/>
        <v>-0.58296705787716618</v>
      </c>
    </row>
    <row r="5592" spans="1:4" x14ac:dyDescent="0.3">
      <c r="A5592" s="1">
        <v>34050</v>
      </c>
      <c r="B5592">
        <v>676.61999500000002</v>
      </c>
      <c r="C5592">
        <f t="shared" si="191"/>
        <v>-8.9348140659561426E-3</v>
      </c>
      <c r="D5592">
        <f t="shared" si="190"/>
        <v>-0.75192633701157729</v>
      </c>
    </row>
    <row r="5593" spans="1:4" x14ac:dyDescent="0.3">
      <c r="A5593" s="1">
        <v>34051</v>
      </c>
      <c r="B5593">
        <v>675.03997800000002</v>
      </c>
      <c r="C5593">
        <f t="shared" si="191"/>
        <v>-2.3351615554902394E-3</v>
      </c>
      <c r="D5593">
        <f t="shared" si="190"/>
        <v>-0.22398127410758364</v>
      </c>
    </row>
    <row r="5594" spans="1:4" x14ac:dyDescent="0.3">
      <c r="A5594" s="1">
        <v>34052</v>
      </c>
      <c r="B5594">
        <v>674.35998500000005</v>
      </c>
      <c r="C5594">
        <f t="shared" si="191"/>
        <v>-1.0073373758020115E-3</v>
      </c>
      <c r="D5594">
        <f t="shared" si="190"/>
        <v>-0.11776079977817734</v>
      </c>
    </row>
    <row r="5595" spans="1:4" x14ac:dyDescent="0.3">
      <c r="A5595" s="1">
        <v>34053</v>
      </c>
      <c r="B5595">
        <v>681.01000999999997</v>
      </c>
      <c r="C5595">
        <f t="shared" si="191"/>
        <v>9.861239023546027E-3</v>
      </c>
      <c r="D5595">
        <f t="shared" si="190"/>
        <v>0.75168062031646732</v>
      </c>
    </row>
    <row r="5596" spans="1:4" x14ac:dyDescent="0.3">
      <c r="A5596" s="1">
        <v>34054</v>
      </c>
      <c r="B5596">
        <v>681.53997800000002</v>
      </c>
      <c r="C5596">
        <f t="shared" si="191"/>
        <v>7.7820882544744614E-4</v>
      </c>
      <c r="D5596">
        <f t="shared" si="190"/>
        <v>2.5075554111928296E-2</v>
      </c>
    </row>
    <row r="5597" spans="1:4" x14ac:dyDescent="0.3">
      <c r="A5597" s="1">
        <v>34057</v>
      </c>
      <c r="B5597">
        <v>680.76000999999997</v>
      </c>
      <c r="C5597">
        <f t="shared" si="191"/>
        <v>-1.144420026964366E-3</v>
      </c>
      <c r="D5597">
        <f t="shared" si="190"/>
        <v>-0.12872684818393595</v>
      </c>
    </row>
    <row r="5598" spans="1:4" x14ac:dyDescent="0.3">
      <c r="A5598" s="1">
        <v>34058</v>
      </c>
      <c r="B5598">
        <v>686.25</v>
      </c>
      <c r="C5598">
        <f t="shared" si="191"/>
        <v>8.0645013211043861E-3</v>
      </c>
      <c r="D5598">
        <f t="shared" si="190"/>
        <v>0.60794899235071487</v>
      </c>
    </row>
    <row r="5599" spans="1:4" x14ac:dyDescent="0.3">
      <c r="A5599" s="1">
        <v>34059</v>
      </c>
      <c r="B5599">
        <v>690.13000499999998</v>
      </c>
      <c r="C5599">
        <f t="shared" si="191"/>
        <v>5.6539234972677347E-3</v>
      </c>
      <c r="D5599">
        <f t="shared" si="190"/>
        <v>0.41511267879902303</v>
      </c>
    </row>
    <row r="5600" spans="1:4" x14ac:dyDescent="0.3">
      <c r="A5600" s="1">
        <v>34060</v>
      </c>
      <c r="B5600">
        <v>686.64001499999995</v>
      </c>
      <c r="C5600">
        <f t="shared" si="191"/>
        <v>-5.0570037162781158E-3</v>
      </c>
      <c r="D5600">
        <f t="shared" si="190"/>
        <v>-0.4417174546887721</v>
      </c>
    </row>
    <row r="5601" spans="1:4" x14ac:dyDescent="0.3">
      <c r="A5601" s="1">
        <v>34061</v>
      </c>
      <c r="B5601">
        <v>669.84997599999997</v>
      </c>
      <c r="C5601">
        <f t="shared" si="191"/>
        <v>-2.4452462182822217E-2</v>
      </c>
      <c r="D5601">
        <f t="shared" si="190"/>
        <v>-1.9932743774105333</v>
      </c>
    </row>
    <row r="5602" spans="1:4" x14ac:dyDescent="0.3">
      <c r="A5602" s="1">
        <v>34064</v>
      </c>
      <c r="B5602">
        <v>670.71002199999998</v>
      </c>
      <c r="C5602">
        <f t="shared" si="191"/>
        <v>1.2839382411204434E-3</v>
      </c>
      <c r="D5602">
        <f t="shared" si="190"/>
        <v>6.5531827793984906E-2</v>
      </c>
    </row>
    <row r="5603" spans="1:4" x14ac:dyDescent="0.3">
      <c r="A5603" s="1">
        <v>34065</v>
      </c>
      <c r="B5603">
        <v>664.14001499999995</v>
      </c>
      <c r="C5603">
        <f t="shared" si="191"/>
        <v>-9.7955998635726842E-3</v>
      </c>
      <c r="D5603">
        <f t="shared" si="190"/>
        <v>-0.82078566124855101</v>
      </c>
    </row>
    <row r="5604" spans="1:4" x14ac:dyDescent="0.3">
      <c r="A5604" s="1">
        <v>34066</v>
      </c>
      <c r="B5604">
        <v>668.88000499999998</v>
      </c>
      <c r="C5604">
        <f t="shared" si="191"/>
        <v>7.1370341990311106E-3</v>
      </c>
      <c r="D5604">
        <f t="shared" si="190"/>
        <v>0.53375543635244693</v>
      </c>
    </row>
    <row r="5605" spans="1:4" x14ac:dyDescent="0.3">
      <c r="A5605" s="1">
        <v>34067</v>
      </c>
      <c r="B5605">
        <v>666.330017</v>
      </c>
      <c r="C5605">
        <f t="shared" si="191"/>
        <v>-3.8123250522341221E-3</v>
      </c>
      <c r="D5605">
        <f t="shared" si="190"/>
        <v>-0.34214827971450124</v>
      </c>
    </row>
    <row r="5606" spans="1:4" x14ac:dyDescent="0.3">
      <c r="A5606" s="1">
        <v>34071</v>
      </c>
      <c r="B5606">
        <v>673.11999500000002</v>
      </c>
      <c r="C5606">
        <f t="shared" si="191"/>
        <v>1.0190112747089433E-2</v>
      </c>
      <c r="D5606">
        <f t="shared" si="190"/>
        <v>0.77798916586310807</v>
      </c>
    </row>
    <row r="5607" spans="1:4" x14ac:dyDescent="0.3">
      <c r="A5607" s="1">
        <v>34072</v>
      </c>
      <c r="B5607">
        <v>673.830017</v>
      </c>
      <c r="C5607">
        <f t="shared" si="191"/>
        <v>1.0548223277782453E-3</v>
      </c>
      <c r="D5607">
        <f t="shared" si="190"/>
        <v>4.7203496856874166E-2</v>
      </c>
    </row>
    <row r="5608" spans="1:4" x14ac:dyDescent="0.3">
      <c r="A5608" s="1">
        <v>34073</v>
      </c>
      <c r="B5608">
        <v>673.94000200000005</v>
      </c>
      <c r="C5608">
        <f t="shared" si="191"/>
        <v>1.6322365763656905E-4</v>
      </c>
      <c r="D5608">
        <f t="shared" si="190"/>
        <v>-2.4120730478821451E-2</v>
      </c>
    </row>
    <row r="5609" spans="1:4" x14ac:dyDescent="0.3">
      <c r="A5609" s="1">
        <v>34074</v>
      </c>
      <c r="B5609">
        <v>670.32000700000003</v>
      </c>
      <c r="C5609">
        <f t="shared" si="191"/>
        <v>-5.3713906123055996E-3</v>
      </c>
      <c r="D5609">
        <f t="shared" si="190"/>
        <v>-0.46686711360432975</v>
      </c>
    </row>
    <row r="5610" spans="1:4" x14ac:dyDescent="0.3">
      <c r="A5610" s="1">
        <v>34075</v>
      </c>
      <c r="B5610">
        <v>666.78002900000001</v>
      </c>
      <c r="C5610">
        <f t="shared" si="191"/>
        <v>-5.2810269170438457E-3</v>
      </c>
      <c r="D5610">
        <f t="shared" si="190"/>
        <v>-0.45963838956112463</v>
      </c>
    </row>
    <row r="5611" spans="1:4" x14ac:dyDescent="0.3">
      <c r="A5611" s="1">
        <v>34078</v>
      </c>
      <c r="B5611">
        <v>663.03002900000001</v>
      </c>
      <c r="C5611">
        <f t="shared" si="191"/>
        <v>-5.6240436679305525E-3</v>
      </c>
      <c r="D5611">
        <f t="shared" si="190"/>
        <v>-0.48707831913875349</v>
      </c>
    </row>
    <row r="5612" spans="1:4" x14ac:dyDescent="0.3">
      <c r="A5612" s="1">
        <v>34079</v>
      </c>
      <c r="B5612">
        <v>661.96997099999999</v>
      </c>
      <c r="C5612">
        <f t="shared" si="191"/>
        <v>-1.5988084304399226E-3</v>
      </c>
      <c r="D5612">
        <f t="shared" si="190"/>
        <v>-0.16507605200570094</v>
      </c>
    </row>
    <row r="5613" spans="1:4" x14ac:dyDescent="0.3">
      <c r="A5613" s="1">
        <v>34080</v>
      </c>
      <c r="B5613">
        <v>664.03997800000002</v>
      </c>
      <c r="C5613">
        <f t="shared" si="191"/>
        <v>3.1270406373162091E-3</v>
      </c>
      <c r="D5613">
        <f t="shared" si="190"/>
        <v>0.21297244060730738</v>
      </c>
    </row>
    <row r="5614" spans="1:4" x14ac:dyDescent="0.3">
      <c r="A5614" s="1">
        <v>34081</v>
      </c>
      <c r="B5614">
        <v>663.51000999999997</v>
      </c>
      <c r="C5614">
        <f t="shared" si="191"/>
        <v>-7.9809652665227559E-4</v>
      </c>
      <c r="D5614">
        <f t="shared" si="190"/>
        <v>-0.1010223922497113</v>
      </c>
    </row>
    <row r="5615" spans="1:4" x14ac:dyDescent="0.3">
      <c r="A5615" s="1">
        <v>34082</v>
      </c>
      <c r="B5615">
        <v>658.40997300000004</v>
      </c>
      <c r="C5615">
        <f t="shared" si="191"/>
        <v>-7.6864507289044958E-3</v>
      </c>
      <c r="D5615">
        <f t="shared" si="190"/>
        <v>-0.65206240334816024</v>
      </c>
    </row>
    <row r="5616" spans="1:4" x14ac:dyDescent="0.3">
      <c r="A5616" s="1">
        <v>34085</v>
      </c>
      <c r="B5616">
        <v>645.86999500000002</v>
      </c>
      <c r="C5616">
        <f t="shared" si="191"/>
        <v>-1.9045850631427205E-2</v>
      </c>
      <c r="D5616">
        <f t="shared" si="190"/>
        <v>-1.5607676854184738</v>
      </c>
    </row>
    <row r="5617" spans="1:4" x14ac:dyDescent="0.3">
      <c r="A5617" s="1">
        <v>34086</v>
      </c>
      <c r="B5617">
        <v>652.52002000000005</v>
      </c>
      <c r="C5617">
        <f t="shared" si="191"/>
        <v>1.0296228422873286E-2</v>
      </c>
      <c r="D5617">
        <f t="shared" si="190"/>
        <v>0.78647798357555021</v>
      </c>
    </row>
    <row r="5618" spans="1:4" x14ac:dyDescent="0.3">
      <c r="A5618" s="1">
        <v>34087</v>
      </c>
      <c r="B5618">
        <v>658.15997300000004</v>
      </c>
      <c r="C5618">
        <f t="shared" si="191"/>
        <v>8.6433409353478402E-3</v>
      </c>
      <c r="D5618">
        <f t="shared" si="190"/>
        <v>0.65425378128747524</v>
      </c>
    </row>
    <row r="5619" spans="1:4" x14ac:dyDescent="0.3">
      <c r="A5619" s="1">
        <v>34088</v>
      </c>
      <c r="B5619">
        <v>658.45001200000002</v>
      </c>
      <c r="C5619">
        <f t="shared" si="191"/>
        <v>4.406816152582692E-4</v>
      </c>
      <c r="D5619">
        <f t="shared" si="190"/>
        <v>-1.9252347830244106E-3</v>
      </c>
    </row>
    <row r="5620" spans="1:4" x14ac:dyDescent="0.3">
      <c r="A5620" s="1">
        <v>34089</v>
      </c>
      <c r="B5620">
        <v>661.419983</v>
      </c>
      <c r="C5620">
        <f t="shared" si="191"/>
        <v>4.5105489344269114E-3</v>
      </c>
      <c r="D5620">
        <f t="shared" si="190"/>
        <v>0.32364741535605263</v>
      </c>
    </row>
    <row r="5621" spans="1:4" x14ac:dyDescent="0.3">
      <c r="A5621" s="1">
        <v>34092</v>
      </c>
      <c r="B5621">
        <v>666.71002199999998</v>
      </c>
      <c r="C5621">
        <f t="shared" si="191"/>
        <v>7.9980029874603571E-3</v>
      </c>
      <c r="D5621">
        <f t="shared" si="190"/>
        <v>0.60262939910197433</v>
      </c>
    </row>
    <row r="5622" spans="1:4" x14ac:dyDescent="0.3">
      <c r="A5622" s="1">
        <v>34093</v>
      </c>
      <c r="B5622">
        <v>678.15997300000004</v>
      </c>
      <c r="C5622">
        <f t="shared" si="191"/>
        <v>1.7173809635638051E-2</v>
      </c>
      <c r="D5622">
        <f t="shared" si="190"/>
        <v>1.3366561998138</v>
      </c>
    </row>
    <row r="5623" spans="1:4" x14ac:dyDescent="0.3">
      <c r="A5623" s="1">
        <v>34094</v>
      </c>
      <c r="B5623">
        <v>683.26000999999997</v>
      </c>
      <c r="C5623">
        <f t="shared" si="191"/>
        <v>7.5204040389448478E-3</v>
      </c>
      <c r="D5623">
        <f t="shared" si="190"/>
        <v>0.56442344711934467</v>
      </c>
    </row>
    <row r="5624" spans="1:4" x14ac:dyDescent="0.3">
      <c r="A5624" s="1">
        <v>34095</v>
      </c>
      <c r="B5624">
        <v>680.03997800000002</v>
      </c>
      <c r="C5624">
        <f t="shared" si="191"/>
        <v>-4.71274764053577E-3</v>
      </c>
      <c r="D5624">
        <f t="shared" si="190"/>
        <v>-0.41417838421882636</v>
      </c>
    </row>
    <row r="5625" spans="1:4" x14ac:dyDescent="0.3">
      <c r="A5625" s="1">
        <v>34096</v>
      </c>
      <c r="B5625">
        <v>681.44000200000005</v>
      </c>
      <c r="C5625">
        <f t="shared" si="191"/>
        <v>2.0587377879128605E-3</v>
      </c>
      <c r="D5625">
        <f t="shared" si="190"/>
        <v>0.1275126055426048</v>
      </c>
    </row>
    <row r="5626" spans="1:4" x14ac:dyDescent="0.3">
      <c r="A5626" s="1">
        <v>34099</v>
      </c>
      <c r="B5626">
        <v>682.82000700000003</v>
      </c>
      <c r="C5626">
        <f t="shared" si="191"/>
        <v>2.0251305998322984E-3</v>
      </c>
      <c r="D5626">
        <f t="shared" si="190"/>
        <v>0.12482416868974296</v>
      </c>
    </row>
    <row r="5627" spans="1:4" x14ac:dyDescent="0.3">
      <c r="A5627" s="1">
        <v>34100</v>
      </c>
      <c r="B5627">
        <v>683.05999799999995</v>
      </c>
      <c r="C5627">
        <f t="shared" si="191"/>
        <v>3.5147036926221482E-4</v>
      </c>
      <c r="D5627">
        <f t="shared" si="190"/>
        <v>-9.061767623873276E-3</v>
      </c>
    </row>
    <row r="5628" spans="1:4" x14ac:dyDescent="0.3">
      <c r="A5628" s="1">
        <v>34101</v>
      </c>
      <c r="B5628">
        <v>681.69000200000005</v>
      </c>
      <c r="C5628">
        <f t="shared" si="191"/>
        <v>-2.0056744707803854E-3</v>
      </c>
      <c r="D5628">
        <f t="shared" si="190"/>
        <v>-0.19762366218978325</v>
      </c>
    </row>
    <row r="5629" spans="1:4" x14ac:dyDescent="0.3">
      <c r="A5629" s="1">
        <v>34102</v>
      </c>
      <c r="B5629">
        <v>675.64001499999995</v>
      </c>
      <c r="C5629">
        <f t="shared" si="191"/>
        <v>-8.874982737388161E-3</v>
      </c>
      <c r="D5629">
        <f t="shared" si="190"/>
        <v>-0.74714007675403182</v>
      </c>
    </row>
    <row r="5630" spans="1:4" x14ac:dyDescent="0.3">
      <c r="A5630" s="1">
        <v>34103</v>
      </c>
      <c r="B5630">
        <v>676.36999500000002</v>
      </c>
      <c r="C5630">
        <f t="shared" si="191"/>
        <v>1.0804274225825253E-3</v>
      </c>
      <c r="D5630">
        <f t="shared" si="190"/>
        <v>4.925179915243761E-2</v>
      </c>
    </row>
    <row r="5631" spans="1:4" x14ac:dyDescent="0.3">
      <c r="A5631" s="1">
        <v>34106</v>
      </c>
      <c r="B5631">
        <v>677.96002199999998</v>
      </c>
      <c r="C5631">
        <f t="shared" si="191"/>
        <v>2.3508242703758077E-3</v>
      </c>
      <c r="D5631">
        <f t="shared" si="190"/>
        <v>0.15087832307284801</v>
      </c>
    </row>
    <row r="5632" spans="1:4" x14ac:dyDescent="0.3">
      <c r="A5632" s="1">
        <v>34107</v>
      </c>
      <c r="B5632">
        <v>680.78002900000001</v>
      </c>
      <c r="C5632">
        <f t="shared" si="191"/>
        <v>4.1595476259513606E-3</v>
      </c>
      <c r="D5632">
        <f t="shared" si="190"/>
        <v>0.29556875400401322</v>
      </c>
    </row>
    <row r="5633" spans="1:4" x14ac:dyDescent="0.3">
      <c r="A5633" s="1">
        <v>34108</v>
      </c>
      <c r="B5633">
        <v>690.42999299999997</v>
      </c>
      <c r="C5633">
        <f t="shared" si="191"/>
        <v>1.4174863522619513E-2</v>
      </c>
      <c r="D5633">
        <f t="shared" si="190"/>
        <v>1.0967528425124189</v>
      </c>
    </row>
    <row r="5634" spans="1:4" x14ac:dyDescent="0.3">
      <c r="A5634" s="1">
        <v>34109</v>
      </c>
      <c r="B5634">
        <v>697.42999299999997</v>
      </c>
      <c r="C5634">
        <f t="shared" si="191"/>
        <v>1.0138609375273765E-2</v>
      </c>
      <c r="D5634">
        <f t="shared" si="190"/>
        <v>0.77386910790098495</v>
      </c>
    </row>
    <row r="5635" spans="1:4" x14ac:dyDescent="0.3">
      <c r="A5635" s="1">
        <v>34110</v>
      </c>
      <c r="B5635">
        <v>694.28997800000002</v>
      </c>
      <c r="C5635">
        <f t="shared" si="191"/>
        <v>-4.5022655055214243E-3</v>
      </c>
      <c r="D5635">
        <f t="shared" ref="D5635:D5698" si="192">(C5635-avrtn)/sdrtn</f>
        <v>-0.39734067892538949</v>
      </c>
    </row>
    <row r="5636" spans="1:4" x14ac:dyDescent="0.3">
      <c r="A5636" s="1">
        <v>34113</v>
      </c>
      <c r="B5636">
        <v>694.69000200000005</v>
      </c>
      <c r="C5636">
        <f t="shared" ref="C5636:C5699" si="193">(B5636-B5635)/B5635</f>
        <v>5.7616271684110402E-4</v>
      </c>
      <c r="D5636">
        <f t="shared" si="192"/>
        <v>8.9126962419838526E-3</v>
      </c>
    </row>
    <row r="5637" spans="1:4" x14ac:dyDescent="0.3">
      <c r="A5637" s="1">
        <v>34114</v>
      </c>
      <c r="B5637">
        <v>695.03997800000002</v>
      </c>
      <c r="C5637">
        <f t="shared" si="193"/>
        <v>5.0378729935999513E-4</v>
      </c>
      <c r="D5637">
        <f t="shared" si="192"/>
        <v>3.1229604529901117E-3</v>
      </c>
    </row>
    <row r="5638" spans="1:4" x14ac:dyDescent="0.3">
      <c r="A5638" s="1">
        <v>34115</v>
      </c>
      <c r="B5638">
        <v>704.09002699999996</v>
      </c>
      <c r="C5638">
        <f t="shared" si="193"/>
        <v>1.3020904245021636E-2</v>
      </c>
      <c r="D5638">
        <f t="shared" si="192"/>
        <v>1.0044408454134914</v>
      </c>
    </row>
    <row r="5639" spans="1:4" x14ac:dyDescent="0.3">
      <c r="A5639" s="1">
        <v>34116</v>
      </c>
      <c r="B5639">
        <v>704.59002699999996</v>
      </c>
      <c r="C5639">
        <f t="shared" si="193"/>
        <v>7.1013646100117256E-4</v>
      </c>
      <c r="D5639">
        <f t="shared" si="192"/>
        <v>1.9630044871461572E-2</v>
      </c>
    </row>
    <row r="5640" spans="1:4" x14ac:dyDescent="0.3">
      <c r="A5640" s="1">
        <v>34117</v>
      </c>
      <c r="B5640">
        <v>700.53002900000001</v>
      </c>
      <c r="C5640">
        <f t="shared" si="193"/>
        <v>-5.7622132650480317E-3</v>
      </c>
      <c r="D5640">
        <f t="shared" si="192"/>
        <v>-0.49813131875137356</v>
      </c>
    </row>
    <row r="5641" spans="1:4" x14ac:dyDescent="0.3">
      <c r="A5641" s="1">
        <v>34121</v>
      </c>
      <c r="B5641">
        <v>704.28002900000001</v>
      </c>
      <c r="C5641">
        <f t="shared" si="193"/>
        <v>5.3530895818314737E-3</v>
      </c>
      <c r="D5641">
        <f t="shared" si="192"/>
        <v>0.39104720260057396</v>
      </c>
    </row>
    <row r="5642" spans="1:4" x14ac:dyDescent="0.3">
      <c r="A5642" s="1">
        <v>34122</v>
      </c>
      <c r="B5642">
        <v>705.85998500000005</v>
      </c>
      <c r="C5642">
        <f t="shared" si="193"/>
        <v>2.2433633426229642E-3</v>
      </c>
      <c r="D5642">
        <f t="shared" si="192"/>
        <v>0.14228189073459582</v>
      </c>
    </row>
    <row r="5643" spans="1:4" x14ac:dyDescent="0.3">
      <c r="A5643" s="1">
        <v>34123</v>
      </c>
      <c r="B5643">
        <v>706.21997099999999</v>
      </c>
      <c r="C5643">
        <f t="shared" si="193"/>
        <v>5.0999632738769755E-4</v>
      </c>
      <c r="D5643">
        <f t="shared" si="192"/>
        <v>3.619657163530497E-3</v>
      </c>
    </row>
    <row r="5644" spans="1:4" x14ac:dyDescent="0.3">
      <c r="A5644" s="1">
        <v>34124</v>
      </c>
      <c r="B5644">
        <v>702.01000999999997</v>
      </c>
      <c r="C5644">
        <f t="shared" si="193"/>
        <v>-5.9612601921165739E-3</v>
      </c>
      <c r="D5644">
        <f t="shared" si="192"/>
        <v>-0.51405425443100217</v>
      </c>
    </row>
    <row r="5645" spans="1:4" x14ac:dyDescent="0.3">
      <c r="A5645" s="1">
        <v>34127</v>
      </c>
      <c r="B5645">
        <v>694.60998500000005</v>
      </c>
      <c r="C5645">
        <f t="shared" si="193"/>
        <v>-1.0541195844201587E-2</v>
      </c>
      <c r="D5645">
        <f t="shared" si="192"/>
        <v>-0.88043027378987138</v>
      </c>
    </row>
    <row r="5646" spans="1:4" x14ac:dyDescent="0.3">
      <c r="A5646" s="1">
        <v>34128</v>
      </c>
      <c r="B5646">
        <v>687.73999000000003</v>
      </c>
      <c r="C5646">
        <f t="shared" si="193"/>
        <v>-9.890435133897502E-3</v>
      </c>
      <c r="D5646">
        <f t="shared" si="192"/>
        <v>-0.8283720929095747</v>
      </c>
    </row>
    <row r="5647" spans="1:4" x14ac:dyDescent="0.3">
      <c r="A5647" s="1">
        <v>34129</v>
      </c>
      <c r="B5647">
        <v>689.23999000000003</v>
      </c>
      <c r="C5647">
        <f t="shared" si="193"/>
        <v>2.1810568264323264E-3</v>
      </c>
      <c r="D5647">
        <f t="shared" si="192"/>
        <v>0.13729762564527026</v>
      </c>
    </row>
    <row r="5648" spans="1:4" x14ac:dyDescent="0.3">
      <c r="A5648" s="1">
        <v>34130</v>
      </c>
      <c r="B5648">
        <v>688.04998799999998</v>
      </c>
      <c r="C5648">
        <f t="shared" si="193"/>
        <v>-1.7265423035016431E-3</v>
      </c>
      <c r="D5648">
        <f t="shared" si="192"/>
        <v>-0.17529423660581406</v>
      </c>
    </row>
    <row r="5649" spans="1:4" x14ac:dyDescent="0.3">
      <c r="A5649" s="1">
        <v>34131</v>
      </c>
      <c r="B5649">
        <v>693.19000200000005</v>
      </c>
      <c r="C5649">
        <f t="shared" si="193"/>
        <v>7.470407804149347E-3</v>
      </c>
      <c r="D5649">
        <f t="shared" si="192"/>
        <v>0.5604239539214505</v>
      </c>
    </row>
    <row r="5650" spans="1:4" x14ac:dyDescent="0.3">
      <c r="A5650" s="1">
        <v>34134</v>
      </c>
      <c r="B5650">
        <v>696.40997300000004</v>
      </c>
      <c r="C5650">
        <f t="shared" si="193"/>
        <v>4.6451492241805104E-3</v>
      </c>
      <c r="D5650">
        <f t="shared" si="192"/>
        <v>0.33441488505664191</v>
      </c>
    </row>
    <row r="5651" spans="1:4" x14ac:dyDescent="0.3">
      <c r="A5651" s="1">
        <v>34135</v>
      </c>
      <c r="B5651">
        <v>697.34002699999996</v>
      </c>
      <c r="C5651">
        <f t="shared" si="193"/>
        <v>1.3354978188974431E-3</v>
      </c>
      <c r="D5651">
        <f t="shared" si="192"/>
        <v>6.9656382001894224E-2</v>
      </c>
    </row>
    <row r="5652" spans="1:4" x14ac:dyDescent="0.3">
      <c r="A5652" s="1">
        <v>34136</v>
      </c>
      <c r="B5652">
        <v>696.25</v>
      </c>
      <c r="C5652">
        <f t="shared" si="193"/>
        <v>-1.5631212289495663E-3</v>
      </c>
      <c r="D5652">
        <f t="shared" si="192"/>
        <v>-0.1622212226331218</v>
      </c>
    </row>
    <row r="5653" spans="1:4" x14ac:dyDescent="0.3">
      <c r="A5653" s="1">
        <v>34137</v>
      </c>
      <c r="B5653">
        <v>695.94000200000005</v>
      </c>
      <c r="C5653">
        <f t="shared" si="193"/>
        <v>-4.4523949730693066E-4</v>
      </c>
      <c r="D5653">
        <f t="shared" si="192"/>
        <v>-7.2795280858858169E-2</v>
      </c>
    </row>
    <row r="5654" spans="1:4" x14ac:dyDescent="0.3">
      <c r="A5654" s="1">
        <v>34138</v>
      </c>
      <c r="B5654">
        <v>689.59002699999996</v>
      </c>
      <c r="C5654">
        <f t="shared" si="193"/>
        <v>-9.1243138514116983E-3</v>
      </c>
      <c r="D5654">
        <f t="shared" si="192"/>
        <v>-0.76708554062024781</v>
      </c>
    </row>
    <row r="5655" spans="1:4" x14ac:dyDescent="0.3">
      <c r="A5655" s="1">
        <v>34141</v>
      </c>
      <c r="B5655">
        <v>688.73999000000003</v>
      </c>
      <c r="C5655">
        <f t="shared" si="193"/>
        <v>-1.2326700890642802E-3</v>
      </c>
      <c r="D5655">
        <f t="shared" si="192"/>
        <v>-0.13578649026550541</v>
      </c>
    </row>
    <row r="5656" spans="1:4" x14ac:dyDescent="0.3">
      <c r="A5656" s="1">
        <v>34142</v>
      </c>
      <c r="B5656">
        <v>686.77002000000005</v>
      </c>
      <c r="C5656">
        <f t="shared" si="193"/>
        <v>-2.8602520960050383E-3</v>
      </c>
      <c r="D5656">
        <f t="shared" si="192"/>
        <v>-0.26598635816356331</v>
      </c>
    </row>
    <row r="5657" spans="1:4" x14ac:dyDescent="0.3">
      <c r="A5657" s="1">
        <v>34143</v>
      </c>
      <c r="B5657">
        <v>684.78997800000002</v>
      </c>
      <c r="C5657">
        <f t="shared" si="193"/>
        <v>-2.8831223587774341E-3</v>
      </c>
      <c r="D5657">
        <f t="shared" si="192"/>
        <v>-0.26781588514227256</v>
      </c>
    </row>
    <row r="5658" spans="1:4" x14ac:dyDescent="0.3">
      <c r="A5658" s="1">
        <v>34144</v>
      </c>
      <c r="B5658">
        <v>688.71997099999999</v>
      </c>
      <c r="C5658">
        <f t="shared" si="193"/>
        <v>5.7389756367023925E-3</v>
      </c>
      <c r="D5658">
        <f t="shared" si="192"/>
        <v>0.42191650021730853</v>
      </c>
    </row>
    <row r="5659" spans="1:4" x14ac:dyDescent="0.3">
      <c r="A5659" s="1">
        <v>34145</v>
      </c>
      <c r="B5659">
        <v>694.80999799999995</v>
      </c>
      <c r="C5659">
        <f t="shared" si="193"/>
        <v>8.8425299924981618E-3</v>
      </c>
      <c r="D5659">
        <f t="shared" si="192"/>
        <v>0.67018808678920383</v>
      </c>
    </row>
    <row r="5660" spans="1:4" x14ac:dyDescent="0.3">
      <c r="A5660" s="1">
        <v>34148</v>
      </c>
      <c r="B5660">
        <v>702.84002699999996</v>
      </c>
      <c r="C5660">
        <f t="shared" si="193"/>
        <v>1.1557158105258028E-2</v>
      </c>
      <c r="D5660">
        <f t="shared" si="192"/>
        <v>0.88734717319249412</v>
      </c>
    </row>
    <row r="5661" spans="1:4" x14ac:dyDescent="0.3">
      <c r="A5661" s="1">
        <v>34149</v>
      </c>
      <c r="B5661">
        <v>701.07000700000003</v>
      </c>
      <c r="C5661">
        <f t="shared" si="193"/>
        <v>-2.5183824654311151E-3</v>
      </c>
      <c r="D5661">
        <f t="shared" si="192"/>
        <v>-0.23863819349397022</v>
      </c>
    </row>
    <row r="5662" spans="1:4" x14ac:dyDescent="0.3">
      <c r="A5662" s="1">
        <v>34150</v>
      </c>
      <c r="B5662">
        <v>703.95001200000002</v>
      </c>
      <c r="C5662">
        <f t="shared" si="193"/>
        <v>4.1080134241144092E-3</v>
      </c>
      <c r="D5662">
        <f t="shared" si="192"/>
        <v>0.29144622976696127</v>
      </c>
    </row>
    <row r="5663" spans="1:4" x14ac:dyDescent="0.3">
      <c r="A5663" s="1">
        <v>34151</v>
      </c>
      <c r="B5663">
        <v>703.59002699999996</v>
      </c>
      <c r="C5663">
        <f t="shared" si="193"/>
        <v>-5.1137864033455192E-4</v>
      </c>
      <c r="D5663">
        <f t="shared" si="192"/>
        <v>-7.8086140335286672E-2</v>
      </c>
    </row>
    <row r="5664" spans="1:4" x14ac:dyDescent="0.3">
      <c r="A5664" s="1">
        <v>34152</v>
      </c>
      <c r="B5664">
        <v>704.48999000000003</v>
      </c>
      <c r="C5664">
        <f t="shared" si="193"/>
        <v>1.2791014162570993E-3</v>
      </c>
      <c r="D5664">
        <f t="shared" si="192"/>
        <v>6.5144901694060051E-2</v>
      </c>
    </row>
    <row r="5665" spans="1:4" x14ac:dyDescent="0.3">
      <c r="A5665" s="1">
        <v>34156</v>
      </c>
      <c r="B5665">
        <v>702.21997099999999</v>
      </c>
      <c r="C5665">
        <f t="shared" si="193"/>
        <v>-3.2222161169387907E-3</v>
      </c>
      <c r="D5665">
        <f t="shared" si="192"/>
        <v>-0.29494199143331584</v>
      </c>
    </row>
    <row r="5666" spans="1:4" x14ac:dyDescent="0.3">
      <c r="A5666" s="1">
        <v>34157</v>
      </c>
      <c r="B5666">
        <v>698.78997800000002</v>
      </c>
      <c r="C5666">
        <f t="shared" si="193"/>
        <v>-4.8844993615255183E-3</v>
      </c>
      <c r="D5666">
        <f t="shared" si="192"/>
        <v>-0.42791781565070952</v>
      </c>
    </row>
    <row r="5667" spans="1:4" x14ac:dyDescent="0.3">
      <c r="A5667" s="1">
        <v>34158</v>
      </c>
      <c r="B5667">
        <v>702.71002199999998</v>
      </c>
      <c r="C5667">
        <f t="shared" si="193"/>
        <v>5.6097599041409858E-3</v>
      </c>
      <c r="D5667">
        <f t="shared" si="192"/>
        <v>0.41157977295066311</v>
      </c>
    </row>
    <row r="5668" spans="1:4" x14ac:dyDescent="0.3">
      <c r="A5668" s="1">
        <v>34159</v>
      </c>
      <c r="B5668">
        <v>705.80999799999995</v>
      </c>
      <c r="C5668">
        <f t="shared" si="193"/>
        <v>4.4114583582813473E-3</v>
      </c>
      <c r="D5668">
        <f t="shared" si="192"/>
        <v>0.31572057672729126</v>
      </c>
    </row>
    <row r="5669" spans="1:4" x14ac:dyDescent="0.3">
      <c r="A5669" s="1">
        <v>34162</v>
      </c>
      <c r="B5669">
        <v>707.669983</v>
      </c>
      <c r="C5669">
        <f t="shared" si="193"/>
        <v>2.6352488704758353E-3</v>
      </c>
      <c r="D5669">
        <f t="shared" si="192"/>
        <v>0.1736311215199062</v>
      </c>
    </row>
    <row r="5670" spans="1:4" x14ac:dyDescent="0.3">
      <c r="A5670" s="1">
        <v>34163</v>
      </c>
      <c r="B5670">
        <v>708.46997099999999</v>
      </c>
      <c r="C5670">
        <f t="shared" si="193"/>
        <v>1.1304534871023134E-3</v>
      </c>
      <c r="D5670">
        <f t="shared" si="192"/>
        <v>5.3253678605614189E-2</v>
      </c>
    </row>
    <row r="5671" spans="1:4" x14ac:dyDescent="0.3">
      <c r="A5671" s="1">
        <v>34164</v>
      </c>
      <c r="B5671">
        <v>712.48999000000003</v>
      </c>
      <c r="C5671">
        <f t="shared" si="193"/>
        <v>5.6742263815724205E-3</v>
      </c>
      <c r="D5671">
        <f t="shared" si="192"/>
        <v>0.41673682605743873</v>
      </c>
    </row>
    <row r="5672" spans="1:4" x14ac:dyDescent="0.3">
      <c r="A5672" s="1">
        <v>34165</v>
      </c>
      <c r="B5672">
        <v>708.69000200000005</v>
      </c>
      <c r="C5672">
        <f t="shared" si="193"/>
        <v>-5.333391420699096E-3</v>
      </c>
      <c r="D5672">
        <f t="shared" si="192"/>
        <v>-0.46382733452941899</v>
      </c>
    </row>
    <row r="5673" spans="1:4" x14ac:dyDescent="0.3">
      <c r="A5673" s="1">
        <v>34166</v>
      </c>
      <c r="B5673">
        <v>699.72997999999995</v>
      </c>
      <c r="C5673">
        <f t="shared" si="193"/>
        <v>-1.2643076626894609E-2</v>
      </c>
      <c r="D5673">
        <f t="shared" si="192"/>
        <v>-1.0485720934198908</v>
      </c>
    </row>
    <row r="5674" spans="1:4" x14ac:dyDescent="0.3">
      <c r="A5674" s="1">
        <v>34169</v>
      </c>
      <c r="B5674">
        <v>695.830017</v>
      </c>
      <c r="C5674">
        <f t="shared" si="193"/>
        <v>-5.5735256619988717E-3</v>
      </c>
      <c r="D5674">
        <f t="shared" si="192"/>
        <v>-0.48303708639550064</v>
      </c>
    </row>
    <row r="5675" spans="1:4" x14ac:dyDescent="0.3">
      <c r="A5675" s="1">
        <v>34170</v>
      </c>
      <c r="B5675">
        <v>701.90002400000003</v>
      </c>
      <c r="C5675">
        <f t="shared" si="193"/>
        <v>8.7234049289368794E-3</v>
      </c>
      <c r="D5675">
        <f t="shared" si="192"/>
        <v>0.66065857154948948</v>
      </c>
    </row>
    <row r="5676" spans="1:4" x14ac:dyDescent="0.3">
      <c r="A5676" s="1">
        <v>34171</v>
      </c>
      <c r="B5676">
        <v>700.080017</v>
      </c>
      <c r="C5676">
        <f t="shared" si="193"/>
        <v>-2.5929718446626414E-3</v>
      </c>
      <c r="D5676">
        <f t="shared" si="192"/>
        <v>-0.24460503711913226</v>
      </c>
    </row>
    <row r="5677" spans="1:4" x14ac:dyDescent="0.3">
      <c r="A5677" s="1">
        <v>34172</v>
      </c>
      <c r="B5677">
        <v>695.52002000000005</v>
      </c>
      <c r="C5677">
        <f t="shared" si="193"/>
        <v>-6.513536866172189E-3</v>
      </c>
      <c r="D5677">
        <f t="shared" si="192"/>
        <v>-0.55823411738019812</v>
      </c>
    </row>
    <row r="5678" spans="1:4" x14ac:dyDescent="0.3">
      <c r="A5678" s="1">
        <v>34173</v>
      </c>
      <c r="B5678">
        <v>700.23999000000003</v>
      </c>
      <c r="C5678">
        <f t="shared" si="193"/>
        <v>6.7862460666480726E-3</v>
      </c>
      <c r="D5678">
        <f t="shared" si="192"/>
        <v>0.50569382821122322</v>
      </c>
    </row>
    <row r="5679" spans="1:4" x14ac:dyDescent="0.3">
      <c r="A5679" s="1">
        <v>34176</v>
      </c>
      <c r="B5679">
        <v>704.53997800000002</v>
      </c>
      <c r="C5679">
        <f t="shared" si="193"/>
        <v>6.1407346929728832E-3</v>
      </c>
      <c r="D5679">
        <f t="shared" si="192"/>
        <v>0.45405557267583702</v>
      </c>
    </row>
    <row r="5680" spans="1:4" x14ac:dyDescent="0.3">
      <c r="A5680" s="1">
        <v>34177</v>
      </c>
      <c r="B5680">
        <v>701</v>
      </c>
      <c r="C5680">
        <f t="shared" si="193"/>
        <v>-5.0245239596609786E-3</v>
      </c>
      <c r="D5680">
        <f t="shared" si="192"/>
        <v>-0.43911920771695834</v>
      </c>
    </row>
    <row r="5681" spans="1:4" x14ac:dyDescent="0.3">
      <c r="A5681" s="1">
        <v>34178</v>
      </c>
      <c r="B5681">
        <v>705.59002699999996</v>
      </c>
      <c r="C5681">
        <f t="shared" si="193"/>
        <v>6.5478273894435998E-3</v>
      </c>
      <c r="D5681">
        <f t="shared" si="192"/>
        <v>0.48662131441832407</v>
      </c>
    </row>
    <row r="5682" spans="1:4" x14ac:dyDescent="0.3">
      <c r="A5682" s="1">
        <v>34179</v>
      </c>
      <c r="B5682">
        <v>707.23999000000003</v>
      </c>
      <c r="C5682">
        <f t="shared" si="193"/>
        <v>2.3384159878439875E-3</v>
      </c>
      <c r="D5682">
        <f t="shared" si="192"/>
        <v>0.14988571149346505</v>
      </c>
    </row>
    <row r="5683" spans="1:4" x14ac:dyDescent="0.3">
      <c r="A5683" s="1">
        <v>34180</v>
      </c>
      <c r="B5683">
        <v>704.70001200000002</v>
      </c>
      <c r="C5683">
        <f t="shared" si="193"/>
        <v>-3.591394768273806E-3</v>
      </c>
      <c r="D5683">
        <f t="shared" si="192"/>
        <v>-0.32447476546843196</v>
      </c>
    </row>
    <row r="5684" spans="1:4" x14ac:dyDescent="0.3">
      <c r="A5684" s="1">
        <v>34183</v>
      </c>
      <c r="B5684">
        <v>707.65997300000004</v>
      </c>
      <c r="C5684">
        <f t="shared" si="193"/>
        <v>4.2003135371026798E-3</v>
      </c>
      <c r="D5684">
        <f t="shared" si="192"/>
        <v>0.29882985926569045</v>
      </c>
    </row>
    <row r="5685" spans="1:4" x14ac:dyDescent="0.3">
      <c r="A5685" s="1">
        <v>34184</v>
      </c>
      <c r="B5685">
        <v>709.01000999999997</v>
      </c>
      <c r="C5685">
        <f t="shared" si="193"/>
        <v>1.907748143895556E-3</v>
      </c>
      <c r="D5685">
        <f t="shared" si="192"/>
        <v>0.11543405489434649</v>
      </c>
    </row>
    <row r="5686" spans="1:4" x14ac:dyDescent="0.3">
      <c r="A5686" s="1">
        <v>34185</v>
      </c>
      <c r="B5686">
        <v>713.78997800000002</v>
      </c>
      <c r="C5686">
        <f t="shared" si="193"/>
        <v>6.7417496686683646E-3</v>
      </c>
      <c r="D5686">
        <f t="shared" si="192"/>
        <v>0.50213429934312837</v>
      </c>
    </row>
    <row r="5687" spans="1:4" x14ac:dyDescent="0.3">
      <c r="A5687" s="1">
        <v>34186</v>
      </c>
      <c r="B5687">
        <v>715.5</v>
      </c>
      <c r="C5687">
        <f t="shared" si="193"/>
        <v>2.3956934850659682E-3</v>
      </c>
      <c r="D5687">
        <f t="shared" si="192"/>
        <v>0.15446767574474762</v>
      </c>
    </row>
    <row r="5688" spans="1:4" x14ac:dyDescent="0.3">
      <c r="A5688" s="1">
        <v>34187</v>
      </c>
      <c r="B5688">
        <v>718.080017</v>
      </c>
      <c r="C5688">
        <f t="shared" si="193"/>
        <v>3.6058937805730231E-3</v>
      </c>
      <c r="D5688">
        <f t="shared" si="192"/>
        <v>0.25127872301196186</v>
      </c>
    </row>
    <row r="5689" spans="1:4" x14ac:dyDescent="0.3">
      <c r="A5689" s="1">
        <v>34190</v>
      </c>
      <c r="B5689">
        <v>718.48999000000003</v>
      </c>
      <c r="C5689">
        <f t="shared" si="193"/>
        <v>5.7092940938925521E-4</v>
      </c>
      <c r="D5689">
        <f t="shared" si="192"/>
        <v>8.4940531653247744E-3</v>
      </c>
    </row>
    <row r="5690" spans="1:4" x14ac:dyDescent="0.3">
      <c r="A5690" s="1">
        <v>34191</v>
      </c>
      <c r="B5690">
        <v>717.080017</v>
      </c>
      <c r="C5690">
        <f t="shared" si="193"/>
        <v>-1.9624114735405517E-3</v>
      </c>
      <c r="D5690">
        <f t="shared" si="192"/>
        <v>-0.19416280030910421</v>
      </c>
    </row>
    <row r="5691" spans="1:4" x14ac:dyDescent="0.3">
      <c r="A5691" s="1">
        <v>34192</v>
      </c>
      <c r="B5691">
        <v>718.77002000000005</v>
      </c>
      <c r="C5691">
        <f t="shared" si="193"/>
        <v>2.3567844033227981E-3</v>
      </c>
      <c r="D5691">
        <f t="shared" si="192"/>
        <v>0.15135510920039413</v>
      </c>
    </row>
    <row r="5692" spans="1:4" x14ac:dyDescent="0.3">
      <c r="A5692" s="1">
        <v>34193</v>
      </c>
      <c r="B5692">
        <v>717.11999500000002</v>
      </c>
      <c r="C5692">
        <f t="shared" si="193"/>
        <v>-2.2956230144379531E-3</v>
      </c>
      <c r="D5692">
        <f t="shared" si="192"/>
        <v>-0.22081835340685302</v>
      </c>
    </row>
    <row r="5693" spans="1:4" x14ac:dyDescent="0.3">
      <c r="A5693" s="1">
        <v>34194</v>
      </c>
      <c r="B5693">
        <v>718.26000999999997</v>
      </c>
      <c r="C5693">
        <f t="shared" si="193"/>
        <v>1.5897130298255712E-3</v>
      </c>
      <c r="D5693">
        <f t="shared" si="192"/>
        <v>8.9992553536950987E-2</v>
      </c>
    </row>
    <row r="5694" spans="1:4" x14ac:dyDescent="0.3">
      <c r="A5694" s="1">
        <v>34197</v>
      </c>
      <c r="B5694">
        <v>726.89001499999995</v>
      </c>
      <c r="C5694">
        <f t="shared" si="193"/>
        <v>1.2015154512082587E-2</v>
      </c>
      <c r="D5694">
        <f t="shared" si="192"/>
        <v>0.92398500244598081</v>
      </c>
    </row>
    <row r="5695" spans="1:4" x14ac:dyDescent="0.3">
      <c r="A5695" s="1">
        <v>34198</v>
      </c>
      <c r="B5695">
        <v>731.01000999999997</v>
      </c>
      <c r="C5695">
        <f t="shared" si="193"/>
        <v>5.6679757803524342E-3</v>
      </c>
      <c r="D5695">
        <f t="shared" si="192"/>
        <v>0.41623680366246563</v>
      </c>
    </row>
    <row r="5696" spans="1:4" x14ac:dyDescent="0.3">
      <c r="A5696" s="1">
        <v>34199</v>
      </c>
      <c r="B5696">
        <v>734.830017</v>
      </c>
      <c r="C5696">
        <f t="shared" si="193"/>
        <v>5.225656212286385E-3</v>
      </c>
      <c r="D5696">
        <f t="shared" si="192"/>
        <v>0.38085305704611355</v>
      </c>
    </row>
    <row r="5697" spans="1:4" x14ac:dyDescent="0.3">
      <c r="A5697" s="1">
        <v>34200</v>
      </c>
      <c r="B5697">
        <v>730.47997999999995</v>
      </c>
      <c r="C5697">
        <f t="shared" si="193"/>
        <v>-5.9197867525327876E-3</v>
      </c>
      <c r="D5697">
        <f t="shared" si="192"/>
        <v>-0.51073654980410188</v>
      </c>
    </row>
    <row r="5698" spans="1:4" x14ac:dyDescent="0.3">
      <c r="A5698" s="1">
        <v>34201</v>
      </c>
      <c r="B5698">
        <v>730.96002199999998</v>
      </c>
      <c r="C5698">
        <f t="shared" si="193"/>
        <v>6.5715969382217142E-4</v>
      </c>
      <c r="D5698">
        <f t="shared" si="192"/>
        <v>1.5392121338909777E-2</v>
      </c>
    </row>
    <row r="5699" spans="1:4" x14ac:dyDescent="0.3">
      <c r="A5699" s="1">
        <v>34204</v>
      </c>
      <c r="B5699">
        <v>730.85998500000005</v>
      </c>
      <c r="C5699">
        <f t="shared" si="193"/>
        <v>-1.3685700584036773E-4</v>
      </c>
      <c r="D5699">
        <f t="shared" ref="D5699:D5762" si="194">(C5699-avrtn)/sdrtn</f>
        <v>-4.8125949617915102E-2</v>
      </c>
    </row>
    <row r="5700" spans="1:4" x14ac:dyDescent="0.3">
      <c r="A5700" s="1">
        <v>34205</v>
      </c>
      <c r="B5700">
        <v>735.14001499999995</v>
      </c>
      <c r="C5700">
        <f t="shared" ref="C5700:C5763" si="195">(B5700-B5699)/B5699</f>
        <v>5.8561558818956225E-3</v>
      </c>
      <c r="D5700">
        <f t="shared" si="194"/>
        <v>0.4312904379847195</v>
      </c>
    </row>
    <row r="5701" spans="1:4" x14ac:dyDescent="0.3">
      <c r="A5701" s="1">
        <v>34206</v>
      </c>
      <c r="B5701">
        <v>733.65997300000004</v>
      </c>
      <c r="C5701">
        <f t="shared" si="195"/>
        <v>-2.0132790622204291E-3</v>
      </c>
      <c r="D5701">
        <f t="shared" si="194"/>
        <v>-0.1982319982347199</v>
      </c>
    </row>
    <row r="5702" spans="1:4" x14ac:dyDescent="0.3">
      <c r="A5702" s="1">
        <v>34207</v>
      </c>
      <c r="B5702">
        <v>731.39001499999995</v>
      </c>
      <c r="C5702">
        <f t="shared" si="195"/>
        <v>-3.0940191417531343E-3</v>
      </c>
      <c r="D5702">
        <f t="shared" si="194"/>
        <v>-0.28468676056757514</v>
      </c>
    </row>
    <row r="5703" spans="1:4" x14ac:dyDescent="0.3">
      <c r="A5703" s="1">
        <v>34208</v>
      </c>
      <c r="B5703">
        <v>734.07000700000003</v>
      </c>
      <c r="C5703">
        <f t="shared" si="195"/>
        <v>3.6642447190095755E-3</v>
      </c>
      <c r="D5703">
        <f t="shared" si="194"/>
        <v>0.2559465581463935</v>
      </c>
    </row>
    <row r="5704" spans="1:4" x14ac:dyDescent="0.3">
      <c r="A5704" s="1">
        <v>34211</v>
      </c>
      <c r="B5704">
        <v>737.38000499999998</v>
      </c>
      <c r="C5704">
        <f t="shared" si="195"/>
        <v>4.5091039934014769E-3</v>
      </c>
      <c r="D5704">
        <f t="shared" si="194"/>
        <v>0.32353182601565084</v>
      </c>
    </row>
    <row r="5705" spans="1:4" x14ac:dyDescent="0.3">
      <c r="A5705" s="1">
        <v>34212</v>
      </c>
      <c r="B5705">
        <v>742.84002699999996</v>
      </c>
      <c r="C5705">
        <f t="shared" si="195"/>
        <v>7.4046244310624898E-3</v>
      </c>
      <c r="D5705">
        <f t="shared" si="194"/>
        <v>0.55516155457734839</v>
      </c>
    </row>
    <row r="5706" spans="1:4" x14ac:dyDescent="0.3">
      <c r="A5706" s="1">
        <v>34213</v>
      </c>
      <c r="B5706">
        <v>746.15002400000003</v>
      </c>
      <c r="C5706">
        <f t="shared" si="195"/>
        <v>4.4558678580739249E-3</v>
      </c>
      <c r="D5706">
        <f t="shared" si="194"/>
        <v>0.31927315409774321</v>
      </c>
    </row>
    <row r="5707" spans="1:4" x14ac:dyDescent="0.3">
      <c r="A5707" s="1">
        <v>34214</v>
      </c>
      <c r="B5707">
        <v>748.65002400000003</v>
      </c>
      <c r="C5707">
        <f t="shared" si="195"/>
        <v>3.3505326269345531E-3</v>
      </c>
      <c r="D5707">
        <f t="shared" si="194"/>
        <v>0.23085088077222232</v>
      </c>
    </row>
    <row r="5708" spans="1:4" x14ac:dyDescent="0.3">
      <c r="A5708" s="1">
        <v>34215</v>
      </c>
      <c r="B5708">
        <v>749.71002199999998</v>
      </c>
      <c r="C5708">
        <f t="shared" si="195"/>
        <v>1.4158792039255319E-3</v>
      </c>
      <c r="D5708">
        <f t="shared" si="194"/>
        <v>7.6086562273911099E-2</v>
      </c>
    </row>
    <row r="5709" spans="1:4" x14ac:dyDescent="0.3">
      <c r="A5709" s="1">
        <v>34219</v>
      </c>
      <c r="B5709">
        <v>739.34997599999997</v>
      </c>
      <c r="C5709">
        <f t="shared" si="195"/>
        <v>-1.3818737506486224E-2</v>
      </c>
      <c r="D5709">
        <f t="shared" si="194"/>
        <v>-1.1426201294407967</v>
      </c>
    </row>
    <row r="5710" spans="1:4" x14ac:dyDescent="0.3">
      <c r="A5710" s="1">
        <v>34220</v>
      </c>
      <c r="B5710">
        <v>730.72997999999995</v>
      </c>
      <c r="C5710">
        <f t="shared" si="195"/>
        <v>-1.165888453345945E-2</v>
      </c>
      <c r="D5710">
        <f t="shared" si="194"/>
        <v>-0.96984077296714821</v>
      </c>
    </row>
    <row r="5711" spans="1:4" x14ac:dyDescent="0.3">
      <c r="A5711" s="1">
        <v>34221</v>
      </c>
      <c r="B5711">
        <v>737.71002199999998</v>
      </c>
      <c r="C5711">
        <f t="shared" si="195"/>
        <v>9.5521494820836918E-3</v>
      </c>
      <c r="D5711">
        <f t="shared" si="194"/>
        <v>0.72695472798326943</v>
      </c>
    </row>
    <row r="5712" spans="1:4" x14ac:dyDescent="0.3">
      <c r="A5712" s="1">
        <v>34222</v>
      </c>
      <c r="B5712">
        <v>744.30999799999995</v>
      </c>
      <c r="C5712">
        <f t="shared" si="195"/>
        <v>8.9465722345845669E-3</v>
      </c>
      <c r="D5712">
        <f t="shared" si="194"/>
        <v>0.67851103833186033</v>
      </c>
    </row>
    <row r="5713" spans="1:4" x14ac:dyDescent="0.3">
      <c r="A5713" s="1">
        <v>34225</v>
      </c>
      <c r="B5713">
        <v>740.32000700000003</v>
      </c>
      <c r="C5713">
        <f t="shared" si="195"/>
        <v>-5.3606575361357951E-3</v>
      </c>
      <c r="D5713">
        <f t="shared" si="194"/>
        <v>-0.46600851164541829</v>
      </c>
    </row>
    <row r="5714" spans="1:4" x14ac:dyDescent="0.3">
      <c r="A5714" s="1">
        <v>34226</v>
      </c>
      <c r="B5714">
        <v>732.64001499999995</v>
      </c>
      <c r="C5714">
        <f t="shared" si="195"/>
        <v>-1.0373881466639985E-2</v>
      </c>
      <c r="D5714">
        <f t="shared" si="194"/>
        <v>-0.86704581158577465</v>
      </c>
    </row>
    <row r="5715" spans="1:4" x14ac:dyDescent="0.3">
      <c r="A5715" s="1">
        <v>34227</v>
      </c>
      <c r="B5715">
        <v>739.54998799999998</v>
      </c>
      <c r="C5715">
        <f t="shared" si="195"/>
        <v>9.4316074177302981E-3</v>
      </c>
      <c r="D5715">
        <f t="shared" si="194"/>
        <v>0.71731185850692836</v>
      </c>
    </row>
    <row r="5716" spans="1:4" x14ac:dyDescent="0.3">
      <c r="A5716" s="1">
        <v>34228</v>
      </c>
      <c r="B5716">
        <v>739.79998799999998</v>
      </c>
      <c r="C5716">
        <f t="shared" si="195"/>
        <v>3.3804341025829349E-4</v>
      </c>
      <c r="D5716">
        <f t="shared" si="194"/>
        <v>-1.0135869132201655E-2</v>
      </c>
    </row>
    <row r="5717" spans="1:4" x14ac:dyDescent="0.3">
      <c r="A5717" s="1">
        <v>34229</v>
      </c>
      <c r="B5717">
        <v>740.10998500000005</v>
      </c>
      <c r="C5717">
        <f t="shared" si="195"/>
        <v>4.1902812250392562E-4</v>
      </c>
      <c r="D5717">
        <f t="shared" si="194"/>
        <v>-3.6574251636776575E-3</v>
      </c>
    </row>
    <row r="5718" spans="1:4" x14ac:dyDescent="0.3">
      <c r="A5718" s="1">
        <v>34232</v>
      </c>
      <c r="B5718">
        <v>740.21002199999998</v>
      </c>
      <c r="C5718">
        <f t="shared" si="195"/>
        <v>1.3516504577347287E-4</v>
      </c>
      <c r="D5718">
        <f t="shared" si="194"/>
        <v>-2.6365304050167758E-2</v>
      </c>
    </row>
    <row r="5719" spans="1:4" x14ac:dyDescent="0.3">
      <c r="A5719" s="1">
        <v>34233</v>
      </c>
      <c r="B5719">
        <v>733.55999799999995</v>
      </c>
      <c r="C5719">
        <f t="shared" si="195"/>
        <v>-8.9839691470700329E-3</v>
      </c>
      <c r="D5719">
        <f t="shared" si="194"/>
        <v>-0.75585854137378716</v>
      </c>
    </row>
    <row r="5720" spans="1:4" x14ac:dyDescent="0.3">
      <c r="A5720" s="1">
        <v>34234</v>
      </c>
      <c r="B5720">
        <v>745.53997800000002</v>
      </c>
      <c r="C5720">
        <f t="shared" si="195"/>
        <v>1.6331288555350137E-2</v>
      </c>
      <c r="D5720">
        <f t="shared" si="194"/>
        <v>1.2692579778581501</v>
      </c>
    </row>
    <row r="5721" spans="1:4" x14ac:dyDescent="0.3">
      <c r="A5721" s="1">
        <v>34235</v>
      </c>
      <c r="B5721">
        <v>752.26000999999997</v>
      </c>
      <c r="C5721">
        <f t="shared" si="195"/>
        <v>9.013644067789945E-3</v>
      </c>
      <c r="D5721">
        <f t="shared" si="194"/>
        <v>0.6838765091872645</v>
      </c>
    </row>
    <row r="5722" spans="1:4" x14ac:dyDescent="0.3">
      <c r="A5722" s="1">
        <v>34236</v>
      </c>
      <c r="B5722">
        <v>754.65002400000003</v>
      </c>
      <c r="C5722">
        <f t="shared" si="195"/>
        <v>3.1771115946999029E-3</v>
      </c>
      <c r="D5722">
        <f t="shared" si="194"/>
        <v>0.21697791130499586</v>
      </c>
    </row>
    <row r="5723" spans="1:4" x14ac:dyDescent="0.3">
      <c r="A5723" s="1">
        <v>34239</v>
      </c>
      <c r="B5723">
        <v>759.95001200000002</v>
      </c>
      <c r="C5723">
        <f t="shared" si="195"/>
        <v>7.0231071774271682E-3</v>
      </c>
      <c r="D5723">
        <f t="shared" si="194"/>
        <v>0.52464174309484357</v>
      </c>
    </row>
    <row r="5724" spans="1:4" x14ac:dyDescent="0.3">
      <c r="A5724" s="1">
        <v>34240</v>
      </c>
      <c r="B5724">
        <v>763.65997300000004</v>
      </c>
      <c r="C5724">
        <f t="shared" si="195"/>
        <v>4.8818487287556238E-3</v>
      </c>
      <c r="D5724">
        <f t="shared" si="194"/>
        <v>0.35334987210847235</v>
      </c>
    </row>
    <row r="5725" spans="1:4" x14ac:dyDescent="0.3">
      <c r="A5725" s="1">
        <v>34241</v>
      </c>
      <c r="B5725">
        <v>763.169983</v>
      </c>
      <c r="C5725">
        <f t="shared" si="195"/>
        <v>-6.4163373402318453E-4</v>
      </c>
      <c r="D5725">
        <f t="shared" si="194"/>
        <v>-8.8506012218231636E-2</v>
      </c>
    </row>
    <row r="5726" spans="1:4" x14ac:dyDescent="0.3">
      <c r="A5726" s="1">
        <v>34242</v>
      </c>
      <c r="B5726">
        <v>762.78002900000001</v>
      </c>
      <c r="C5726">
        <f t="shared" si="195"/>
        <v>-5.1096611329901954E-4</v>
      </c>
      <c r="D5726">
        <f t="shared" si="194"/>
        <v>-7.8053139868765387E-2</v>
      </c>
    </row>
    <row r="5727" spans="1:4" x14ac:dyDescent="0.3">
      <c r="A5727" s="1">
        <v>34243</v>
      </c>
      <c r="B5727">
        <v>763.22997999999995</v>
      </c>
      <c r="C5727">
        <f t="shared" si="195"/>
        <v>5.8988303690885144E-4</v>
      </c>
      <c r="D5727">
        <f t="shared" si="194"/>
        <v>1.0010265429110416E-2</v>
      </c>
    </row>
    <row r="5728" spans="1:4" x14ac:dyDescent="0.3">
      <c r="A5728" s="1">
        <v>34246</v>
      </c>
      <c r="B5728">
        <v>764.84002699999996</v>
      </c>
      <c r="C5728">
        <f t="shared" si="195"/>
        <v>2.1095175008717672E-3</v>
      </c>
      <c r="D5728">
        <f t="shared" si="194"/>
        <v>0.13157477377188997</v>
      </c>
    </row>
    <row r="5729" spans="1:4" x14ac:dyDescent="0.3">
      <c r="A5729" s="1">
        <v>34247</v>
      </c>
      <c r="B5729">
        <v>762.27002000000005</v>
      </c>
      <c r="C5729">
        <f t="shared" si="195"/>
        <v>-3.3601889405298069E-3</v>
      </c>
      <c r="D5729">
        <f t="shared" si="194"/>
        <v>-0.3059792499729565</v>
      </c>
    </row>
    <row r="5730" spans="1:4" x14ac:dyDescent="0.3">
      <c r="A5730" s="1">
        <v>34248</v>
      </c>
      <c r="B5730">
        <v>764.77002000000005</v>
      </c>
      <c r="C5730">
        <f t="shared" si="195"/>
        <v>3.2796777184022005E-3</v>
      </c>
      <c r="D5730">
        <f t="shared" si="194"/>
        <v>0.22518277944675893</v>
      </c>
    </row>
    <row r="5731" spans="1:4" x14ac:dyDescent="0.3">
      <c r="A5731" s="1">
        <v>34249</v>
      </c>
      <c r="B5731">
        <v>762.48999000000003</v>
      </c>
      <c r="C5731">
        <f t="shared" si="195"/>
        <v>-2.9813276414784283E-3</v>
      </c>
      <c r="D5731">
        <f t="shared" si="194"/>
        <v>-0.2756719039358167</v>
      </c>
    </row>
    <row r="5732" spans="1:4" x14ac:dyDescent="0.3">
      <c r="A5732" s="1">
        <v>34250</v>
      </c>
      <c r="B5732">
        <v>764.27002000000005</v>
      </c>
      <c r="C5732">
        <f t="shared" si="195"/>
        <v>2.3344962207307281E-3</v>
      </c>
      <c r="D5732">
        <f t="shared" si="194"/>
        <v>0.14957214624258297</v>
      </c>
    </row>
    <row r="5733" spans="1:4" x14ac:dyDescent="0.3">
      <c r="A5733" s="1">
        <v>34253</v>
      </c>
      <c r="B5733">
        <v>767.65002400000003</v>
      </c>
      <c r="C5733">
        <f t="shared" si="195"/>
        <v>4.4225259548974398E-3</v>
      </c>
      <c r="D5733">
        <f t="shared" si="194"/>
        <v>0.31660593894634947</v>
      </c>
    </row>
    <row r="5734" spans="1:4" x14ac:dyDescent="0.3">
      <c r="A5734" s="1">
        <v>34254</v>
      </c>
      <c r="B5734">
        <v>772.46002199999998</v>
      </c>
      <c r="C5734">
        <f t="shared" si="195"/>
        <v>6.2658735747006897E-3</v>
      </c>
      <c r="D5734">
        <f t="shared" si="194"/>
        <v>0.46406616863990519</v>
      </c>
    </row>
    <row r="5735" spans="1:4" x14ac:dyDescent="0.3">
      <c r="A5735" s="1">
        <v>34255</v>
      </c>
      <c r="B5735">
        <v>778.96997099999999</v>
      </c>
      <c r="C5735">
        <f t="shared" si="195"/>
        <v>8.427554584824852E-3</v>
      </c>
      <c r="D5735">
        <f t="shared" si="194"/>
        <v>0.63699176056441142</v>
      </c>
    </row>
    <row r="5736" spans="1:4" x14ac:dyDescent="0.3">
      <c r="A5736" s="1">
        <v>34256</v>
      </c>
      <c r="B5736">
        <v>785.40997300000004</v>
      </c>
      <c r="C5736">
        <f t="shared" si="195"/>
        <v>8.2673302434658931E-3</v>
      </c>
      <c r="D5736">
        <f t="shared" si="194"/>
        <v>0.62417447210212307</v>
      </c>
    </row>
    <row r="5737" spans="1:4" x14ac:dyDescent="0.3">
      <c r="A5737" s="1">
        <v>34257</v>
      </c>
      <c r="B5737">
        <v>787.419983</v>
      </c>
      <c r="C5737">
        <f t="shared" si="195"/>
        <v>2.5591857362370998E-3</v>
      </c>
      <c r="D5737">
        <f t="shared" si="194"/>
        <v>0.16754638355428425</v>
      </c>
    </row>
    <row r="5738" spans="1:4" x14ac:dyDescent="0.3">
      <c r="A5738" s="1">
        <v>34260</v>
      </c>
      <c r="B5738">
        <v>782.90997300000004</v>
      </c>
      <c r="C5738">
        <f t="shared" si="195"/>
        <v>-5.7275787983145018E-3</v>
      </c>
      <c r="D5738">
        <f t="shared" si="194"/>
        <v>-0.49536070383046937</v>
      </c>
    </row>
    <row r="5739" spans="1:4" x14ac:dyDescent="0.3">
      <c r="A5739" s="1">
        <v>34261</v>
      </c>
      <c r="B5739">
        <v>768.71002199999998</v>
      </c>
      <c r="C5739">
        <f t="shared" si="195"/>
        <v>-1.8137399560242996E-2</v>
      </c>
      <c r="D5739">
        <f t="shared" si="194"/>
        <v>-1.4880953352968627</v>
      </c>
    </row>
    <row r="5740" spans="1:4" x14ac:dyDescent="0.3">
      <c r="A5740" s="1">
        <v>34262</v>
      </c>
      <c r="B5740">
        <v>768.25</v>
      </c>
      <c r="C5740">
        <f t="shared" si="195"/>
        <v>-5.9843372251491324E-4</v>
      </c>
      <c r="D5740">
        <f t="shared" si="194"/>
        <v>-8.5050188937078691E-2</v>
      </c>
    </row>
    <row r="5741" spans="1:4" x14ac:dyDescent="0.3">
      <c r="A5741" s="1">
        <v>34263</v>
      </c>
      <c r="B5741">
        <v>771.28002900000001</v>
      </c>
      <c r="C5741">
        <f t="shared" si="195"/>
        <v>3.9440663846404336E-3</v>
      </c>
      <c r="D5741">
        <f t="shared" si="194"/>
        <v>0.27833114076329779</v>
      </c>
    </row>
    <row r="5742" spans="1:4" x14ac:dyDescent="0.3">
      <c r="A5742" s="1">
        <v>34264</v>
      </c>
      <c r="B5742">
        <v>772.67999299999997</v>
      </c>
      <c r="C5742">
        <f t="shared" si="195"/>
        <v>1.8151176581287501E-3</v>
      </c>
      <c r="D5742">
        <f t="shared" si="194"/>
        <v>0.10802399693183545</v>
      </c>
    </row>
    <row r="5743" spans="1:4" x14ac:dyDescent="0.3">
      <c r="A5743" s="1">
        <v>34267</v>
      </c>
      <c r="B5743">
        <v>769.75</v>
      </c>
      <c r="C5743">
        <f t="shared" si="195"/>
        <v>-3.7919876618313936E-3</v>
      </c>
      <c r="D5743">
        <f t="shared" si="194"/>
        <v>-0.34052137211013206</v>
      </c>
    </row>
    <row r="5744" spans="1:4" x14ac:dyDescent="0.3">
      <c r="A5744" s="1">
        <v>34268</v>
      </c>
      <c r="B5744">
        <v>765.46002199999998</v>
      </c>
      <c r="C5744">
        <f t="shared" si="195"/>
        <v>-5.573209483598596E-3</v>
      </c>
      <c r="D5744">
        <f t="shared" si="194"/>
        <v>-0.48301179342361195</v>
      </c>
    </row>
    <row r="5745" spans="1:4" x14ac:dyDescent="0.3">
      <c r="A5745" s="1">
        <v>34269</v>
      </c>
      <c r="B5745">
        <v>771.88000499999998</v>
      </c>
      <c r="C5745">
        <f t="shared" si="195"/>
        <v>8.3870911810989424E-3</v>
      </c>
      <c r="D5745">
        <f t="shared" si="194"/>
        <v>0.63375485465284898</v>
      </c>
    </row>
    <row r="5746" spans="1:4" x14ac:dyDescent="0.3">
      <c r="A5746" s="1">
        <v>34270</v>
      </c>
      <c r="B5746">
        <v>773.48999000000003</v>
      </c>
      <c r="C5746">
        <f t="shared" si="195"/>
        <v>2.0857970015689831E-3</v>
      </c>
      <c r="D5746">
        <f t="shared" si="194"/>
        <v>0.1296772313669432</v>
      </c>
    </row>
    <row r="5747" spans="1:4" x14ac:dyDescent="0.3">
      <c r="A5747" s="1">
        <v>34271</v>
      </c>
      <c r="B5747">
        <v>779.26000999999997</v>
      </c>
      <c r="C5747">
        <f t="shared" si="195"/>
        <v>7.4597216183753473E-3</v>
      </c>
      <c r="D5747">
        <f t="shared" si="194"/>
        <v>0.55956910300138896</v>
      </c>
    </row>
    <row r="5748" spans="1:4" x14ac:dyDescent="0.3">
      <c r="A5748" s="1">
        <v>34274</v>
      </c>
      <c r="B5748">
        <v>783.77002000000005</v>
      </c>
      <c r="C5748">
        <f t="shared" si="195"/>
        <v>5.7875547854689471E-3</v>
      </c>
      <c r="D5748">
        <f t="shared" si="194"/>
        <v>0.42580263235997956</v>
      </c>
    </row>
    <row r="5749" spans="1:4" x14ac:dyDescent="0.3">
      <c r="A5749" s="1">
        <v>34275</v>
      </c>
      <c r="B5749">
        <v>785.65997300000004</v>
      </c>
      <c r="C5749">
        <f t="shared" si="195"/>
        <v>2.4113616900018594E-3</v>
      </c>
      <c r="D5749">
        <f t="shared" si="194"/>
        <v>0.15572106771157523</v>
      </c>
    </row>
    <row r="5750" spans="1:4" x14ac:dyDescent="0.3">
      <c r="A5750" s="1">
        <v>34276</v>
      </c>
      <c r="B5750">
        <v>772.95001200000002</v>
      </c>
      <c r="C5750">
        <f t="shared" si="195"/>
        <v>-1.6177432269417678E-2</v>
      </c>
      <c r="D5750">
        <f t="shared" si="194"/>
        <v>-1.3313060114644941</v>
      </c>
    </row>
    <row r="5751" spans="1:4" x14ac:dyDescent="0.3">
      <c r="A5751" s="1">
        <v>34277</v>
      </c>
      <c r="B5751">
        <v>757.26000999999997</v>
      </c>
      <c r="C5751">
        <f t="shared" si="195"/>
        <v>-2.029885730825249E-2</v>
      </c>
      <c r="D5751">
        <f t="shared" si="194"/>
        <v>-1.6610030671702547</v>
      </c>
    </row>
    <row r="5752" spans="1:4" x14ac:dyDescent="0.3">
      <c r="A5752" s="1">
        <v>34278</v>
      </c>
      <c r="B5752">
        <v>762.98999000000003</v>
      </c>
      <c r="C5752">
        <f t="shared" si="195"/>
        <v>7.5667273120629585E-3</v>
      </c>
      <c r="D5752">
        <f t="shared" si="194"/>
        <v>0.56812911848635628</v>
      </c>
    </row>
    <row r="5753" spans="1:4" x14ac:dyDescent="0.3">
      <c r="A5753" s="1">
        <v>34281</v>
      </c>
      <c r="B5753">
        <v>766.21002199999998</v>
      </c>
      <c r="C5753">
        <f t="shared" si="195"/>
        <v>4.2202807929366754E-3</v>
      </c>
      <c r="D5753">
        <f t="shared" si="194"/>
        <v>0.30042715762656352</v>
      </c>
    </row>
    <row r="5754" spans="1:4" x14ac:dyDescent="0.3">
      <c r="A5754" s="1">
        <v>34282</v>
      </c>
      <c r="B5754">
        <v>769.84002699999996</v>
      </c>
      <c r="C5754">
        <f t="shared" si="195"/>
        <v>4.737610962755043E-3</v>
      </c>
      <c r="D5754">
        <f t="shared" si="194"/>
        <v>0.34181144393766366</v>
      </c>
    </row>
    <row r="5755" spans="1:4" x14ac:dyDescent="0.3">
      <c r="A5755" s="1">
        <v>34283</v>
      </c>
      <c r="B5755">
        <v>776.5</v>
      </c>
      <c r="C5755">
        <f t="shared" si="195"/>
        <v>8.65111291491737E-3</v>
      </c>
      <c r="D5755">
        <f t="shared" si="194"/>
        <v>0.65487550769446667</v>
      </c>
    </row>
    <row r="5756" spans="1:4" x14ac:dyDescent="0.3">
      <c r="A5756" s="1">
        <v>34284</v>
      </c>
      <c r="B5756">
        <v>778.97997999999995</v>
      </c>
      <c r="C5756">
        <f t="shared" si="195"/>
        <v>3.1937926593689054E-3</v>
      </c>
      <c r="D5756">
        <f t="shared" si="194"/>
        <v>0.21831232788556829</v>
      </c>
    </row>
    <row r="5757" spans="1:4" x14ac:dyDescent="0.3">
      <c r="A5757" s="1">
        <v>34285</v>
      </c>
      <c r="B5757">
        <v>779.32000700000003</v>
      </c>
      <c r="C5757">
        <f t="shared" si="195"/>
        <v>4.3650287392504921E-4</v>
      </c>
      <c r="D5757">
        <f t="shared" si="194"/>
        <v>-2.2595169065949745E-3</v>
      </c>
    </row>
    <row r="5758" spans="1:4" x14ac:dyDescent="0.3">
      <c r="A5758" s="1">
        <v>34288</v>
      </c>
      <c r="B5758">
        <v>772.45001200000002</v>
      </c>
      <c r="C5758">
        <f t="shared" si="195"/>
        <v>-8.8153710135662113E-3</v>
      </c>
      <c r="D5758">
        <f t="shared" si="194"/>
        <v>-0.74237138397314895</v>
      </c>
    </row>
    <row r="5759" spans="1:4" x14ac:dyDescent="0.3">
      <c r="A5759" s="1">
        <v>34289</v>
      </c>
      <c r="B5759">
        <v>771.69000200000005</v>
      </c>
      <c r="C5759">
        <f t="shared" si="195"/>
        <v>-9.838953824755272E-4</v>
      </c>
      <c r="D5759">
        <f t="shared" si="194"/>
        <v>-0.11588553670611113</v>
      </c>
    </row>
    <row r="5760" spans="1:4" x14ac:dyDescent="0.3">
      <c r="A5760" s="1">
        <v>34290</v>
      </c>
      <c r="B5760">
        <v>762.35998500000005</v>
      </c>
      <c r="C5760">
        <f t="shared" si="195"/>
        <v>-1.2090369158365741E-2</v>
      </c>
      <c r="D5760">
        <f t="shared" si="194"/>
        <v>-1.0043577686842722</v>
      </c>
    </row>
    <row r="5761" spans="1:4" x14ac:dyDescent="0.3">
      <c r="A5761" s="1">
        <v>34291</v>
      </c>
      <c r="B5761">
        <v>754.34002699999996</v>
      </c>
      <c r="C5761">
        <f t="shared" si="195"/>
        <v>-1.0519909436222689E-2</v>
      </c>
      <c r="D5761">
        <f t="shared" si="194"/>
        <v>-0.8787274486817922</v>
      </c>
    </row>
    <row r="5762" spans="1:4" x14ac:dyDescent="0.3">
      <c r="A5762" s="1">
        <v>34292</v>
      </c>
      <c r="B5762">
        <v>751.55999799999995</v>
      </c>
      <c r="C5762">
        <f t="shared" si="195"/>
        <v>-3.685379140036027E-3</v>
      </c>
      <c r="D5762">
        <f t="shared" si="194"/>
        <v>-0.33199312874336373</v>
      </c>
    </row>
    <row r="5763" spans="1:4" x14ac:dyDescent="0.3">
      <c r="A5763" s="1">
        <v>34295</v>
      </c>
      <c r="B5763">
        <v>738.13000499999998</v>
      </c>
      <c r="C5763">
        <f t="shared" si="195"/>
        <v>-1.7869488844189346E-2</v>
      </c>
      <c r="D5763">
        <f t="shared" ref="D5763:D5826" si="196">(C5763-avrtn)/sdrtn</f>
        <v>-1.4666635796680179</v>
      </c>
    </row>
    <row r="5764" spans="1:4" x14ac:dyDescent="0.3">
      <c r="A5764" s="1">
        <v>34296</v>
      </c>
      <c r="B5764">
        <v>746.82000700000003</v>
      </c>
      <c r="C5764">
        <f t="shared" ref="C5764:C5827" si="197">(B5764-B5763)/B5763</f>
        <v>1.1772996546861755E-2</v>
      </c>
      <c r="D5764">
        <f t="shared" si="196"/>
        <v>0.90461336098781719</v>
      </c>
    </row>
    <row r="5765" spans="1:4" x14ac:dyDescent="0.3">
      <c r="A5765" s="1">
        <v>34297</v>
      </c>
      <c r="B5765">
        <v>753.17999299999997</v>
      </c>
      <c r="C5765">
        <f t="shared" si="197"/>
        <v>8.5160894732161808E-3</v>
      </c>
      <c r="D5765">
        <f t="shared" si="196"/>
        <v>0.64407418757808133</v>
      </c>
    </row>
    <row r="5766" spans="1:4" x14ac:dyDescent="0.3">
      <c r="A5766" s="1">
        <v>34299</v>
      </c>
      <c r="B5766">
        <v>754.86999500000002</v>
      </c>
      <c r="C5766">
        <f t="shared" si="197"/>
        <v>2.243822214751859E-3</v>
      </c>
      <c r="D5766">
        <f t="shared" si="196"/>
        <v>0.14231859861801394</v>
      </c>
    </row>
    <row r="5767" spans="1:4" x14ac:dyDescent="0.3">
      <c r="A5767" s="1">
        <v>34302</v>
      </c>
      <c r="B5767">
        <v>751.53997800000002</v>
      </c>
      <c r="C5767">
        <f t="shared" si="197"/>
        <v>-4.4113781473060108E-3</v>
      </c>
      <c r="D5767">
        <f t="shared" si="196"/>
        <v>-0.39007006399920652</v>
      </c>
    </row>
    <row r="5768" spans="1:4" x14ac:dyDescent="0.3">
      <c r="A5768" s="1">
        <v>34303</v>
      </c>
      <c r="B5768">
        <v>754.39001499999995</v>
      </c>
      <c r="C5768">
        <f t="shared" si="197"/>
        <v>3.792262665233664E-3</v>
      </c>
      <c r="D5768">
        <f t="shared" si="196"/>
        <v>0.26618746743138028</v>
      </c>
    </row>
    <row r="5769" spans="1:4" x14ac:dyDescent="0.3">
      <c r="A5769" s="1">
        <v>34304</v>
      </c>
      <c r="B5769">
        <v>763.80999799999995</v>
      </c>
      <c r="C5769">
        <f t="shared" si="197"/>
        <v>1.2486887170689822E-2</v>
      </c>
      <c r="D5769">
        <f t="shared" si="196"/>
        <v>0.96172167535827691</v>
      </c>
    </row>
    <row r="5770" spans="1:4" x14ac:dyDescent="0.3">
      <c r="A5770" s="1">
        <v>34305</v>
      </c>
      <c r="B5770">
        <v>766.72997999999995</v>
      </c>
      <c r="C5770">
        <f t="shared" si="197"/>
        <v>3.8229167039523417E-3</v>
      </c>
      <c r="D5770">
        <f t="shared" si="196"/>
        <v>0.26863966447871407</v>
      </c>
    </row>
    <row r="5771" spans="1:4" x14ac:dyDescent="0.3">
      <c r="A5771" s="1">
        <v>34306</v>
      </c>
      <c r="B5771">
        <v>772.21997099999999</v>
      </c>
      <c r="C5771">
        <f t="shared" si="197"/>
        <v>7.1602665125994319E-3</v>
      </c>
      <c r="D5771">
        <f t="shared" si="196"/>
        <v>0.53561392590606838</v>
      </c>
    </row>
    <row r="5772" spans="1:4" x14ac:dyDescent="0.3">
      <c r="A5772" s="1">
        <v>34309</v>
      </c>
      <c r="B5772">
        <v>771.09002699999996</v>
      </c>
      <c r="C5772">
        <f t="shared" si="197"/>
        <v>-1.4632411002486532E-3</v>
      </c>
      <c r="D5772">
        <f t="shared" si="196"/>
        <v>-0.15423122304659206</v>
      </c>
    </row>
    <row r="5773" spans="1:4" x14ac:dyDescent="0.3">
      <c r="A5773" s="1">
        <v>34310</v>
      </c>
      <c r="B5773">
        <v>769.34997599999997</v>
      </c>
      <c r="C5773">
        <f t="shared" si="197"/>
        <v>-2.2566119896140144E-3</v>
      </c>
      <c r="D5773">
        <f t="shared" si="196"/>
        <v>-0.21769763183523053</v>
      </c>
    </row>
    <row r="5774" spans="1:4" x14ac:dyDescent="0.3">
      <c r="A5774" s="1">
        <v>34311</v>
      </c>
      <c r="B5774">
        <v>767.89001499999995</v>
      </c>
      <c r="C5774">
        <f t="shared" si="197"/>
        <v>-1.8976552226473602E-3</v>
      </c>
      <c r="D5774">
        <f t="shared" si="196"/>
        <v>-0.18898256651694362</v>
      </c>
    </row>
    <row r="5775" spans="1:4" x14ac:dyDescent="0.3">
      <c r="A5775" s="1">
        <v>34312</v>
      </c>
      <c r="B5775">
        <v>761.48999000000003</v>
      </c>
      <c r="C5775">
        <f t="shared" si="197"/>
        <v>-8.3345594746402768E-3</v>
      </c>
      <c r="D5775">
        <f t="shared" si="196"/>
        <v>-0.7039084379679359</v>
      </c>
    </row>
    <row r="5776" spans="1:4" x14ac:dyDescent="0.3">
      <c r="A5776" s="1">
        <v>34313</v>
      </c>
      <c r="B5776">
        <v>760.73999000000003</v>
      </c>
      <c r="C5776">
        <f t="shared" si="197"/>
        <v>-9.8491117394727671E-4</v>
      </c>
      <c r="D5776">
        <f t="shared" si="196"/>
        <v>-0.1159667958468916</v>
      </c>
    </row>
    <row r="5777" spans="1:4" x14ac:dyDescent="0.3">
      <c r="A5777" s="1">
        <v>34316</v>
      </c>
      <c r="B5777">
        <v>759.71997099999999</v>
      </c>
      <c r="C5777">
        <f t="shared" si="197"/>
        <v>-1.3408247409210702E-3</v>
      </c>
      <c r="D5777">
        <f t="shared" si="196"/>
        <v>-0.14443841767946278</v>
      </c>
    </row>
    <row r="5778" spans="1:4" x14ac:dyDescent="0.3">
      <c r="A5778" s="1">
        <v>34317</v>
      </c>
      <c r="B5778">
        <v>751.46997099999999</v>
      </c>
      <c r="C5778">
        <f t="shared" si="197"/>
        <v>-1.0859264353865458E-2</v>
      </c>
      <c r="D5778">
        <f t="shared" si="196"/>
        <v>-0.90587444665745431</v>
      </c>
    </row>
    <row r="5779" spans="1:4" x14ac:dyDescent="0.3">
      <c r="A5779" s="1">
        <v>34318</v>
      </c>
      <c r="B5779">
        <v>752.96997099999999</v>
      </c>
      <c r="C5779">
        <f t="shared" si="197"/>
        <v>1.9960877452014645E-3</v>
      </c>
      <c r="D5779">
        <f t="shared" si="196"/>
        <v>0.12250085974420807</v>
      </c>
    </row>
    <row r="5780" spans="1:4" x14ac:dyDescent="0.3">
      <c r="A5780" s="1">
        <v>34319</v>
      </c>
      <c r="B5780">
        <v>755.53002900000001</v>
      </c>
      <c r="C5780">
        <f t="shared" si="197"/>
        <v>3.3999470079797197E-3</v>
      </c>
      <c r="D5780">
        <f t="shared" si="196"/>
        <v>0.23480382806268665</v>
      </c>
    </row>
    <row r="5781" spans="1:4" x14ac:dyDescent="0.3">
      <c r="A5781" s="1">
        <v>34320</v>
      </c>
      <c r="B5781">
        <v>759.22997999999995</v>
      </c>
      <c r="C5781">
        <f t="shared" si="197"/>
        <v>4.8971594218393958E-3</v>
      </c>
      <c r="D5781">
        <f t="shared" si="196"/>
        <v>0.35457466459722797</v>
      </c>
    </row>
    <row r="5782" spans="1:4" x14ac:dyDescent="0.3">
      <c r="A5782" s="1">
        <v>34323</v>
      </c>
      <c r="B5782">
        <v>760.15002400000003</v>
      </c>
      <c r="C5782">
        <f t="shared" si="197"/>
        <v>1.2118119993102425E-3</v>
      </c>
      <c r="D5782">
        <f t="shared" si="196"/>
        <v>5.9762025034047324E-2</v>
      </c>
    </row>
    <row r="5783" spans="1:4" x14ac:dyDescent="0.3">
      <c r="A5783" s="1">
        <v>34324</v>
      </c>
      <c r="B5783">
        <v>755.63000499999998</v>
      </c>
      <c r="C5783">
        <f t="shared" si="197"/>
        <v>-5.9462196372962912E-3</v>
      </c>
      <c r="D5783">
        <f t="shared" si="196"/>
        <v>-0.51285107189251056</v>
      </c>
    </row>
    <row r="5784" spans="1:4" x14ac:dyDescent="0.3">
      <c r="A5784" s="1">
        <v>34325</v>
      </c>
      <c r="B5784">
        <v>756.07000700000003</v>
      </c>
      <c r="C5784">
        <f t="shared" si="197"/>
        <v>5.8229821088172579E-4</v>
      </c>
      <c r="D5784">
        <f t="shared" si="196"/>
        <v>9.40351053593135E-3</v>
      </c>
    </row>
    <row r="5785" spans="1:4" x14ac:dyDescent="0.3">
      <c r="A5785" s="1">
        <v>34326</v>
      </c>
      <c r="B5785">
        <v>758.70001200000002</v>
      </c>
      <c r="C5785">
        <f t="shared" si="197"/>
        <v>3.4785204751548657E-3</v>
      </c>
      <c r="D5785">
        <f t="shared" si="196"/>
        <v>0.24108938234067073</v>
      </c>
    </row>
    <row r="5786" spans="1:4" x14ac:dyDescent="0.3">
      <c r="A5786" s="1">
        <v>34330</v>
      </c>
      <c r="B5786">
        <v>761.05999799999995</v>
      </c>
      <c r="C5786">
        <f t="shared" si="197"/>
        <v>3.1105653916872946E-3</v>
      </c>
      <c r="D5786">
        <f t="shared" si="196"/>
        <v>0.21165448870360903</v>
      </c>
    </row>
    <row r="5787" spans="1:4" x14ac:dyDescent="0.3">
      <c r="A5787" s="1">
        <v>34331</v>
      </c>
      <c r="B5787">
        <v>764.55999799999995</v>
      </c>
      <c r="C5787">
        <f t="shared" si="197"/>
        <v>4.5988489858850793E-3</v>
      </c>
      <c r="D5787">
        <f t="shared" si="196"/>
        <v>0.3307110563807249</v>
      </c>
    </row>
    <row r="5788" spans="1:4" x14ac:dyDescent="0.3">
      <c r="A5788" s="1">
        <v>34332</v>
      </c>
      <c r="B5788">
        <v>768.47997999999995</v>
      </c>
      <c r="C5788">
        <f t="shared" si="197"/>
        <v>5.1271084156301943E-3</v>
      </c>
      <c r="D5788">
        <f t="shared" si="196"/>
        <v>0.37296963854457948</v>
      </c>
    </row>
    <row r="5789" spans="1:4" x14ac:dyDescent="0.3">
      <c r="A5789" s="1">
        <v>34333</v>
      </c>
      <c r="B5789">
        <v>771.080017</v>
      </c>
      <c r="C5789">
        <f t="shared" si="197"/>
        <v>3.3833503378969524E-3</v>
      </c>
      <c r="D5789">
        <f t="shared" si="196"/>
        <v>0.23347616270198043</v>
      </c>
    </row>
    <row r="5790" spans="1:4" x14ac:dyDescent="0.3">
      <c r="A5790" s="1">
        <v>34334</v>
      </c>
      <c r="B5790">
        <v>776.79998799999998</v>
      </c>
      <c r="C5790">
        <f t="shared" si="197"/>
        <v>7.4181289540537878E-3</v>
      </c>
      <c r="D5790">
        <f t="shared" si="196"/>
        <v>0.55624186088572181</v>
      </c>
    </row>
    <row r="5791" spans="1:4" x14ac:dyDescent="0.3">
      <c r="A5791" s="1">
        <v>34337</v>
      </c>
      <c r="B5791">
        <v>770.76000999999997</v>
      </c>
      <c r="C5791">
        <f t="shared" si="197"/>
        <v>-7.7754609852028209E-3</v>
      </c>
      <c r="D5791">
        <f t="shared" si="196"/>
        <v>-0.65918285783966535</v>
      </c>
    </row>
    <row r="5792" spans="1:4" x14ac:dyDescent="0.3">
      <c r="A5792" s="1">
        <v>34338</v>
      </c>
      <c r="B5792">
        <v>774.28002900000001</v>
      </c>
      <c r="C5792">
        <f t="shared" si="197"/>
        <v>4.5669455528706627E-3</v>
      </c>
      <c r="D5792">
        <f t="shared" si="196"/>
        <v>0.32815891292727201</v>
      </c>
    </row>
    <row r="5793" spans="1:4" x14ac:dyDescent="0.3">
      <c r="A5793" s="1">
        <v>34339</v>
      </c>
      <c r="B5793">
        <v>778.04998799999998</v>
      </c>
      <c r="C5793">
        <f t="shared" si="197"/>
        <v>4.8689864891245591E-3</v>
      </c>
      <c r="D5793">
        <f t="shared" si="196"/>
        <v>0.35232094582783258</v>
      </c>
    </row>
    <row r="5794" spans="1:4" x14ac:dyDescent="0.3">
      <c r="A5794" s="1">
        <v>34340</v>
      </c>
      <c r="B5794">
        <v>780.40997300000004</v>
      </c>
      <c r="C5794">
        <f t="shared" si="197"/>
        <v>3.0332048536707277E-3</v>
      </c>
      <c r="D5794">
        <f t="shared" si="196"/>
        <v>0.2054659637707168</v>
      </c>
    </row>
    <row r="5795" spans="1:4" x14ac:dyDescent="0.3">
      <c r="A5795" s="1">
        <v>34341</v>
      </c>
      <c r="B5795">
        <v>782.94000200000005</v>
      </c>
      <c r="C5795">
        <f t="shared" si="197"/>
        <v>3.2419229475941268E-3</v>
      </c>
      <c r="D5795">
        <f t="shared" si="196"/>
        <v>0.22216255303065824</v>
      </c>
    </row>
    <row r="5796" spans="1:4" x14ac:dyDescent="0.3">
      <c r="A5796" s="1">
        <v>34344</v>
      </c>
      <c r="B5796">
        <v>786.69000200000005</v>
      </c>
      <c r="C5796">
        <f t="shared" si="197"/>
        <v>4.7896390405659716E-3</v>
      </c>
      <c r="D5796">
        <f t="shared" si="196"/>
        <v>0.34597347622180363</v>
      </c>
    </row>
    <row r="5797" spans="1:4" x14ac:dyDescent="0.3">
      <c r="A5797" s="1">
        <v>34345</v>
      </c>
      <c r="B5797">
        <v>785.52002000000005</v>
      </c>
      <c r="C5797">
        <f t="shared" si="197"/>
        <v>-1.4872211379648428E-3</v>
      </c>
      <c r="D5797">
        <f t="shared" si="196"/>
        <v>-0.15614952745738295</v>
      </c>
    </row>
    <row r="5798" spans="1:4" x14ac:dyDescent="0.3">
      <c r="A5798" s="1">
        <v>34346</v>
      </c>
      <c r="B5798">
        <v>786.86999500000002</v>
      </c>
      <c r="C5798">
        <f t="shared" si="197"/>
        <v>1.7185749129601715E-3</v>
      </c>
      <c r="D5798">
        <f t="shared" si="196"/>
        <v>0.10030097430448939</v>
      </c>
    </row>
    <row r="5799" spans="1:4" x14ac:dyDescent="0.3">
      <c r="A5799" s="1">
        <v>34347</v>
      </c>
      <c r="B5799">
        <v>787.80999799999995</v>
      </c>
      <c r="C5799">
        <f t="shared" si="197"/>
        <v>1.1946102989985445E-3</v>
      </c>
      <c r="D5799">
        <f t="shared" si="196"/>
        <v>5.8385959742925812E-2</v>
      </c>
    </row>
    <row r="5800" spans="1:4" x14ac:dyDescent="0.3">
      <c r="A5800" s="1">
        <v>34348</v>
      </c>
      <c r="B5800">
        <v>792.30999799999995</v>
      </c>
      <c r="C5800">
        <f t="shared" si="197"/>
        <v>5.7120371808228824E-3</v>
      </c>
      <c r="D5800">
        <f t="shared" si="196"/>
        <v>0.41976153451854015</v>
      </c>
    </row>
    <row r="5801" spans="1:4" x14ac:dyDescent="0.3">
      <c r="A5801" s="1">
        <v>34351</v>
      </c>
      <c r="B5801">
        <v>792.17999299999997</v>
      </c>
      <c r="C5801">
        <f t="shared" si="197"/>
        <v>-1.6408350308357819E-4</v>
      </c>
      <c r="D5801">
        <f t="shared" si="196"/>
        <v>-5.030395744134631E-2</v>
      </c>
    </row>
    <row r="5802" spans="1:4" x14ac:dyDescent="0.3">
      <c r="A5802" s="1">
        <v>34352</v>
      </c>
      <c r="B5802">
        <v>793.02002000000005</v>
      </c>
      <c r="C5802">
        <f t="shared" si="197"/>
        <v>1.0603991610781281E-3</v>
      </c>
      <c r="D5802">
        <f t="shared" si="196"/>
        <v>4.7649620588789243E-2</v>
      </c>
    </row>
    <row r="5803" spans="1:4" x14ac:dyDescent="0.3">
      <c r="A5803" s="1">
        <v>34353</v>
      </c>
      <c r="B5803">
        <v>789.28002900000001</v>
      </c>
      <c r="C5803">
        <f t="shared" si="197"/>
        <v>-4.7161369267827965E-3</v>
      </c>
      <c r="D5803">
        <f t="shared" si="196"/>
        <v>-0.41444951318176015</v>
      </c>
    </row>
    <row r="5804" spans="1:4" x14ac:dyDescent="0.3">
      <c r="A5804" s="1">
        <v>34354</v>
      </c>
      <c r="B5804">
        <v>793.03002900000001</v>
      </c>
      <c r="C5804">
        <f t="shared" si="197"/>
        <v>4.7511654447296298E-3</v>
      </c>
      <c r="D5804">
        <f t="shared" si="196"/>
        <v>0.34289574675926771</v>
      </c>
    </row>
    <row r="5805" spans="1:4" x14ac:dyDescent="0.3">
      <c r="A5805" s="1">
        <v>34355</v>
      </c>
      <c r="B5805">
        <v>794.28002900000001</v>
      </c>
      <c r="C5805">
        <f t="shared" si="197"/>
        <v>1.576232871756739E-3</v>
      </c>
      <c r="D5805">
        <f t="shared" si="196"/>
        <v>8.8914196322185599E-2</v>
      </c>
    </row>
    <row r="5806" spans="1:4" x14ac:dyDescent="0.3">
      <c r="A5806" s="1">
        <v>34358</v>
      </c>
      <c r="B5806">
        <v>790.65002400000003</v>
      </c>
      <c r="C5806">
        <f t="shared" si="197"/>
        <v>-4.5701828920087107E-3</v>
      </c>
      <c r="D5806">
        <f t="shared" si="196"/>
        <v>-0.40277379056641044</v>
      </c>
    </row>
    <row r="5807" spans="1:4" x14ac:dyDescent="0.3">
      <c r="A5807" s="1">
        <v>34359</v>
      </c>
      <c r="B5807">
        <v>786.39001499999995</v>
      </c>
      <c r="C5807">
        <f t="shared" si="197"/>
        <v>-5.3879831413248423E-3</v>
      </c>
      <c r="D5807">
        <f t="shared" si="196"/>
        <v>-0.46819444769698215</v>
      </c>
    </row>
    <row r="5808" spans="1:4" x14ac:dyDescent="0.3">
      <c r="A5808" s="1">
        <v>34360</v>
      </c>
      <c r="B5808">
        <v>788.79998799999998</v>
      </c>
      <c r="C5808">
        <f t="shared" si="197"/>
        <v>3.0646027467681369E-3</v>
      </c>
      <c r="D5808">
        <f t="shared" si="196"/>
        <v>0.20797766610960167</v>
      </c>
    </row>
    <row r="5809" spans="1:4" x14ac:dyDescent="0.3">
      <c r="A5809" s="1">
        <v>34361</v>
      </c>
      <c r="B5809">
        <v>792.88000499999998</v>
      </c>
      <c r="C5809">
        <f t="shared" si="197"/>
        <v>5.1724354235157498E-3</v>
      </c>
      <c r="D5809">
        <f t="shared" si="196"/>
        <v>0.37659561278965381</v>
      </c>
    </row>
    <row r="5810" spans="1:4" x14ac:dyDescent="0.3">
      <c r="A5810" s="1">
        <v>34362</v>
      </c>
      <c r="B5810">
        <v>796.53002900000001</v>
      </c>
      <c r="C5810">
        <f t="shared" si="197"/>
        <v>4.6035011312966969E-3</v>
      </c>
      <c r="D5810">
        <f t="shared" si="196"/>
        <v>0.33108320888391807</v>
      </c>
    </row>
    <row r="5811" spans="1:4" x14ac:dyDescent="0.3">
      <c r="A5811" s="1">
        <v>34365</v>
      </c>
      <c r="B5811">
        <v>800.46997099999999</v>
      </c>
      <c r="C5811">
        <f t="shared" si="197"/>
        <v>4.9463822537191169E-3</v>
      </c>
      <c r="D5811">
        <f t="shared" si="196"/>
        <v>0.35851228874211155</v>
      </c>
    </row>
    <row r="5812" spans="1:4" x14ac:dyDescent="0.3">
      <c r="A5812" s="1">
        <v>34366</v>
      </c>
      <c r="B5812">
        <v>797.23999000000003</v>
      </c>
      <c r="C5812">
        <f t="shared" si="197"/>
        <v>-4.0351057716316915E-3</v>
      </c>
      <c r="D5812">
        <f t="shared" si="196"/>
        <v>-0.35996982118651488</v>
      </c>
    </row>
    <row r="5813" spans="1:4" x14ac:dyDescent="0.3">
      <c r="A5813" s="1">
        <v>34367</v>
      </c>
      <c r="B5813">
        <v>799.57000700000003</v>
      </c>
      <c r="C5813">
        <f t="shared" si="197"/>
        <v>2.9226042712684266E-3</v>
      </c>
      <c r="D5813">
        <f t="shared" si="196"/>
        <v>0.19661837197084503</v>
      </c>
    </row>
    <row r="5814" spans="1:4" x14ac:dyDescent="0.3">
      <c r="A5814" s="1">
        <v>34368</v>
      </c>
      <c r="B5814">
        <v>797.78997800000002</v>
      </c>
      <c r="C5814">
        <f t="shared" si="197"/>
        <v>-2.2262328306669626E-3</v>
      </c>
      <c r="D5814">
        <f t="shared" si="196"/>
        <v>-0.2152674240393144</v>
      </c>
    </row>
    <row r="5815" spans="1:4" x14ac:dyDescent="0.3">
      <c r="A5815" s="1">
        <v>34369</v>
      </c>
      <c r="B5815">
        <v>777.28002900000001</v>
      </c>
      <c r="C5815">
        <f t="shared" si="197"/>
        <v>-2.5708456568252359E-2</v>
      </c>
      <c r="D5815">
        <f t="shared" si="196"/>
        <v>-2.0937487635651717</v>
      </c>
    </row>
    <row r="5816" spans="1:4" x14ac:dyDescent="0.3">
      <c r="A5816" s="1">
        <v>34372</v>
      </c>
      <c r="B5816">
        <v>779.20001200000002</v>
      </c>
      <c r="C5816">
        <f t="shared" si="197"/>
        <v>2.4701303627601653E-3</v>
      </c>
      <c r="D5816">
        <f t="shared" si="196"/>
        <v>0.16042231987401334</v>
      </c>
    </row>
    <row r="5817" spans="1:4" x14ac:dyDescent="0.3">
      <c r="A5817" s="1">
        <v>34373</v>
      </c>
      <c r="B5817">
        <v>782.70001200000002</v>
      </c>
      <c r="C5817">
        <f t="shared" si="197"/>
        <v>4.4917863784632488E-3</v>
      </c>
      <c r="D5817">
        <f t="shared" si="196"/>
        <v>0.32214648803105073</v>
      </c>
    </row>
    <row r="5818" spans="1:4" x14ac:dyDescent="0.3">
      <c r="A5818" s="1">
        <v>34374</v>
      </c>
      <c r="B5818">
        <v>786.53002900000001</v>
      </c>
      <c r="C5818">
        <f t="shared" si="197"/>
        <v>4.8933396464544811E-3</v>
      </c>
      <c r="D5818">
        <f t="shared" si="196"/>
        <v>0.35426909827344505</v>
      </c>
    </row>
    <row r="5819" spans="1:4" x14ac:dyDescent="0.3">
      <c r="A5819" s="1">
        <v>34375</v>
      </c>
      <c r="B5819">
        <v>783.419983</v>
      </c>
      <c r="C5819">
        <f t="shared" si="197"/>
        <v>-3.9541351065186239E-3</v>
      </c>
      <c r="D5819">
        <f t="shared" si="196"/>
        <v>-0.3534925009308339</v>
      </c>
    </row>
    <row r="5820" spans="1:4" x14ac:dyDescent="0.3">
      <c r="A5820" s="1">
        <v>34376</v>
      </c>
      <c r="B5820">
        <v>781.39001499999995</v>
      </c>
      <c r="C5820">
        <f t="shared" si="197"/>
        <v>-2.5911618851316097E-3</v>
      </c>
      <c r="D5820">
        <f t="shared" si="196"/>
        <v>-0.2444602477992478</v>
      </c>
    </row>
    <row r="5821" spans="1:4" x14ac:dyDescent="0.3">
      <c r="A5821" s="1">
        <v>34379</v>
      </c>
      <c r="B5821">
        <v>785.45001200000002</v>
      </c>
      <c r="C5821">
        <f t="shared" si="197"/>
        <v>5.1958649612384245E-3</v>
      </c>
      <c r="D5821">
        <f t="shared" si="196"/>
        <v>0.37846987946463295</v>
      </c>
    </row>
    <row r="5822" spans="1:4" x14ac:dyDescent="0.3">
      <c r="A5822" s="1">
        <v>34380</v>
      </c>
      <c r="B5822">
        <v>790.11999500000002</v>
      </c>
      <c r="C5822">
        <f t="shared" si="197"/>
        <v>5.945614524989022E-3</v>
      </c>
      <c r="D5822">
        <f t="shared" si="196"/>
        <v>0.43844676157605306</v>
      </c>
    </row>
    <row r="5823" spans="1:4" x14ac:dyDescent="0.3">
      <c r="A5823" s="1">
        <v>34381</v>
      </c>
      <c r="B5823">
        <v>792.61999500000002</v>
      </c>
      <c r="C5823">
        <f t="shared" si="197"/>
        <v>3.1640763628567581E-3</v>
      </c>
      <c r="D5823">
        <f t="shared" si="196"/>
        <v>0.21593514635873789</v>
      </c>
    </row>
    <row r="5824" spans="1:4" x14ac:dyDescent="0.3">
      <c r="A5824" s="1">
        <v>34382</v>
      </c>
      <c r="B5824">
        <v>790.23999000000003</v>
      </c>
      <c r="C5824">
        <f t="shared" si="197"/>
        <v>-3.0027062337734524E-3</v>
      </c>
      <c r="D5824">
        <f t="shared" si="196"/>
        <v>-0.27738210341012182</v>
      </c>
    </row>
    <row r="5825" spans="1:4" x14ac:dyDescent="0.3">
      <c r="A5825" s="1">
        <v>34383</v>
      </c>
      <c r="B5825">
        <v>788.84997599999997</v>
      </c>
      <c r="C5825">
        <f t="shared" si="197"/>
        <v>-1.7589770418984549E-3</v>
      </c>
      <c r="D5825">
        <f t="shared" si="196"/>
        <v>-0.17788888230511782</v>
      </c>
    </row>
    <row r="5826" spans="1:4" x14ac:dyDescent="0.3">
      <c r="A5826" s="1">
        <v>34387</v>
      </c>
      <c r="B5826">
        <v>791.15002400000003</v>
      </c>
      <c r="C5826">
        <f t="shared" si="197"/>
        <v>2.9156976230928612E-3</v>
      </c>
      <c r="D5826">
        <f t="shared" si="196"/>
        <v>0.19606586851710681</v>
      </c>
    </row>
    <row r="5827" spans="1:4" x14ac:dyDescent="0.3">
      <c r="A5827" s="1">
        <v>34388</v>
      </c>
      <c r="B5827">
        <v>789.10998500000005</v>
      </c>
      <c r="C5827">
        <f t="shared" si="197"/>
        <v>-2.578574149167919E-3</v>
      </c>
      <c r="D5827">
        <f t="shared" ref="D5827:D5890" si="198">(C5827-avrtn)/sdrtn</f>
        <v>-0.2434532806832321</v>
      </c>
    </row>
    <row r="5828" spans="1:4" x14ac:dyDescent="0.3">
      <c r="A5828" s="1">
        <v>34389</v>
      </c>
      <c r="B5828">
        <v>779.44000200000005</v>
      </c>
      <c r="C5828">
        <f t="shared" ref="C5828:C5891" si="199">(B5828-B5827)/B5827</f>
        <v>-1.2254290509326152E-2</v>
      </c>
      <c r="D5828">
        <f t="shared" si="198"/>
        <v>-1.0174708027124824</v>
      </c>
    </row>
    <row r="5829" spans="1:4" x14ac:dyDescent="0.3">
      <c r="A5829" s="1">
        <v>34390</v>
      </c>
      <c r="B5829">
        <v>783.78002900000001</v>
      </c>
      <c r="C5829">
        <f t="shared" si="199"/>
        <v>5.5681348004512137E-3</v>
      </c>
      <c r="D5829">
        <f t="shared" si="198"/>
        <v>0.40824993581893049</v>
      </c>
    </row>
    <row r="5830" spans="1:4" x14ac:dyDescent="0.3">
      <c r="A5830" s="1">
        <v>34393</v>
      </c>
      <c r="B5830">
        <v>792.5</v>
      </c>
      <c r="C5830">
        <f t="shared" si="199"/>
        <v>1.1125533539206811E-2</v>
      </c>
      <c r="D5830">
        <f t="shared" si="198"/>
        <v>0.85281898275921753</v>
      </c>
    </row>
    <row r="5831" spans="1:4" x14ac:dyDescent="0.3">
      <c r="A5831" s="1">
        <v>34394</v>
      </c>
      <c r="B5831">
        <v>788.64001499999995</v>
      </c>
      <c r="C5831">
        <f t="shared" si="199"/>
        <v>-4.8706435331230934E-3</v>
      </c>
      <c r="D5831">
        <f t="shared" si="198"/>
        <v>-0.42680940635402237</v>
      </c>
    </row>
    <row r="5832" spans="1:4" x14ac:dyDescent="0.3">
      <c r="A5832" s="1">
        <v>34395</v>
      </c>
      <c r="B5832">
        <v>783.46997099999999</v>
      </c>
      <c r="C5832">
        <f t="shared" si="199"/>
        <v>-6.5556450366013475E-3</v>
      </c>
      <c r="D5832">
        <f t="shared" si="198"/>
        <v>-0.56160259786469935</v>
      </c>
    </row>
    <row r="5833" spans="1:4" x14ac:dyDescent="0.3">
      <c r="A5833" s="1">
        <v>34396</v>
      </c>
      <c r="B5833">
        <v>784.580017</v>
      </c>
      <c r="C5833">
        <f t="shared" si="199"/>
        <v>1.4168328603369168E-3</v>
      </c>
      <c r="D5833">
        <f t="shared" si="198"/>
        <v>7.6162850865363285E-2</v>
      </c>
    </row>
    <row r="5834" spans="1:4" x14ac:dyDescent="0.3">
      <c r="A5834" s="1">
        <v>34397</v>
      </c>
      <c r="B5834">
        <v>790.54998799999998</v>
      </c>
      <c r="C5834">
        <f t="shared" si="199"/>
        <v>7.6091295605862806E-3</v>
      </c>
      <c r="D5834">
        <f t="shared" si="198"/>
        <v>0.57152112400913424</v>
      </c>
    </row>
    <row r="5835" spans="1:4" x14ac:dyDescent="0.3">
      <c r="A5835" s="1">
        <v>34400</v>
      </c>
      <c r="B5835">
        <v>795.04998799999998</v>
      </c>
      <c r="C5835">
        <f t="shared" si="199"/>
        <v>5.6922396664434586E-3</v>
      </c>
      <c r="D5835">
        <f t="shared" si="198"/>
        <v>0.41817781477605181</v>
      </c>
    </row>
    <row r="5836" spans="1:4" x14ac:dyDescent="0.3">
      <c r="A5836" s="1">
        <v>34401</v>
      </c>
      <c r="B5836">
        <v>792.11999500000002</v>
      </c>
      <c r="C5836">
        <f t="shared" si="199"/>
        <v>-3.6852940622897888E-3</v>
      </c>
      <c r="D5836">
        <f t="shared" si="198"/>
        <v>-0.33198632287350643</v>
      </c>
    </row>
    <row r="5837" spans="1:4" x14ac:dyDescent="0.3">
      <c r="A5837" s="1">
        <v>34402</v>
      </c>
      <c r="B5837">
        <v>793.04998799999998</v>
      </c>
      <c r="C5837">
        <f t="shared" si="199"/>
        <v>1.1740557060423247E-3</v>
      </c>
      <c r="D5837">
        <f t="shared" si="198"/>
        <v>5.6741676827419492E-2</v>
      </c>
    </row>
    <row r="5838" spans="1:4" x14ac:dyDescent="0.3">
      <c r="A5838" s="1">
        <v>34403</v>
      </c>
      <c r="B5838">
        <v>789.09002699999996</v>
      </c>
      <c r="C5838">
        <f t="shared" si="199"/>
        <v>-4.9933308869806337E-3</v>
      </c>
      <c r="D5838">
        <f t="shared" si="198"/>
        <v>-0.43662389016921205</v>
      </c>
    </row>
    <row r="5839" spans="1:4" x14ac:dyDescent="0.3">
      <c r="A5839" s="1">
        <v>34404</v>
      </c>
      <c r="B5839">
        <v>789.20001200000002</v>
      </c>
      <c r="C5839">
        <f t="shared" si="199"/>
        <v>1.3938206825170218E-4</v>
      </c>
      <c r="D5839">
        <f t="shared" si="198"/>
        <v>-2.6027959592409458E-2</v>
      </c>
    </row>
    <row r="5840" spans="1:4" x14ac:dyDescent="0.3">
      <c r="A5840" s="1">
        <v>34407</v>
      </c>
      <c r="B5840">
        <v>792.79998799999998</v>
      </c>
      <c r="C5840">
        <f t="shared" si="199"/>
        <v>4.5615508682987317E-3</v>
      </c>
      <c r="D5840">
        <f t="shared" si="198"/>
        <v>0.32772736034459304</v>
      </c>
    </row>
    <row r="5841" spans="1:4" x14ac:dyDescent="0.3">
      <c r="A5841" s="1">
        <v>34408</v>
      </c>
      <c r="B5841">
        <v>793.52002000000005</v>
      </c>
      <c r="C5841">
        <f t="shared" si="199"/>
        <v>9.0821393907495891E-4</v>
      </c>
      <c r="D5841">
        <f t="shared" si="198"/>
        <v>3.5475428617907818E-2</v>
      </c>
    </row>
    <row r="5842" spans="1:4" x14ac:dyDescent="0.3">
      <c r="A5842" s="1">
        <v>34409</v>
      </c>
      <c r="B5842">
        <v>798.98999000000003</v>
      </c>
      <c r="C5842">
        <f t="shared" si="199"/>
        <v>6.8932980418061653E-3</v>
      </c>
      <c r="D5842">
        <f t="shared" si="198"/>
        <v>0.51425754602351847</v>
      </c>
    </row>
    <row r="5843" spans="1:4" x14ac:dyDescent="0.3">
      <c r="A5843" s="1">
        <v>34410</v>
      </c>
      <c r="B5843">
        <v>803.84997599999997</v>
      </c>
      <c r="C5843">
        <f t="shared" si="199"/>
        <v>6.0826619367283126E-3</v>
      </c>
      <c r="D5843">
        <f t="shared" si="198"/>
        <v>0.44940999097287193</v>
      </c>
    </row>
    <row r="5844" spans="1:4" x14ac:dyDescent="0.3">
      <c r="A5844" s="1">
        <v>34411</v>
      </c>
      <c r="B5844">
        <v>803.92999299999997</v>
      </c>
      <c r="C5844">
        <f t="shared" si="199"/>
        <v>9.9542206119314491E-5</v>
      </c>
      <c r="D5844">
        <f t="shared" si="198"/>
        <v>-2.9214984740508505E-2</v>
      </c>
    </row>
    <row r="5845" spans="1:4" x14ac:dyDescent="0.3">
      <c r="A5845" s="1">
        <v>34414</v>
      </c>
      <c r="B5845">
        <v>797.29998799999998</v>
      </c>
      <c r="C5845">
        <f t="shared" si="199"/>
        <v>-8.2469929691999719E-3</v>
      </c>
      <c r="D5845">
        <f t="shared" si="198"/>
        <v>-0.69690347760833349</v>
      </c>
    </row>
    <row r="5846" spans="1:4" x14ac:dyDescent="0.3">
      <c r="A5846" s="1">
        <v>34415</v>
      </c>
      <c r="B5846">
        <v>796.34002699999996</v>
      </c>
      <c r="C5846">
        <f t="shared" si="199"/>
        <v>-1.2040148180712392E-3</v>
      </c>
      <c r="D5846">
        <f t="shared" si="198"/>
        <v>-0.13349418641724051</v>
      </c>
    </row>
    <row r="5847" spans="1:4" x14ac:dyDescent="0.3">
      <c r="A5847" s="1">
        <v>34416</v>
      </c>
      <c r="B5847">
        <v>797.51000999999997</v>
      </c>
      <c r="C5847">
        <f t="shared" si="199"/>
        <v>1.4692002917492456E-3</v>
      </c>
      <c r="D5847">
        <f t="shared" si="198"/>
        <v>8.0352030042184941E-2</v>
      </c>
    </row>
    <row r="5848" spans="1:4" x14ac:dyDescent="0.3">
      <c r="A5848" s="1">
        <v>34417</v>
      </c>
      <c r="B5848">
        <v>786.67999299999997</v>
      </c>
      <c r="C5848">
        <f t="shared" si="199"/>
        <v>-1.357978817093468E-2</v>
      </c>
      <c r="D5848">
        <f t="shared" si="198"/>
        <v>-1.1235051651622121</v>
      </c>
    </row>
    <row r="5849" spans="1:4" x14ac:dyDescent="0.3">
      <c r="A5849" s="1">
        <v>34418</v>
      </c>
      <c r="B5849">
        <v>783.45001200000002</v>
      </c>
      <c r="C5849">
        <f t="shared" si="199"/>
        <v>-4.1058384968994024E-3</v>
      </c>
      <c r="D5849">
        <f t="shared" si="198"/>
        <v>-0.36562814835322754</v>
      </c>
    </row>
    <row r="5850" spans="1:4" x14ac:dyDescent="0.3">
      <c r="A5850" s="1">
        <v>34421</v>
      </c>
      <c r="B5850">
        <v>772.5</v>
      </c>
      <c r="C5850">
        <f t="shared" si="199"/>
        <v>-1.3976656879545768E-2</v>
      </c>
      <c r="D5850">
        <f t="shared" si="198"/>
        <v>-1.1552530299172181</v>
      </c>
    </row>
    <row r="5851" spans="1:4" x14ac:dyDescent="0.3">
      <c r="A5851" s="1">
        <v>34422</v>
      </c>
      <c r="B5851">
        <v>755.28997800000002</v>
      </c>
      <c r="C5851">
        <f t="shared" si="199"/>
        <v>-2.2278345631067936E-2</v>
      </c>
      <c r="D5851">
        <f t="shared" si="198"/>
        <v>-1.8193539932908702</v>
      </c>
    </row>
    <row r="5852" spans="1:4" x14ac:dyDescent="0.3">
      <c r="A5852" s="1">
        <v>34423</v>
      </c>
      <c r="B5852">
        <v>744.90997300000004</v>
      </c>
      <c r="C5852">
        <f t="shared" si="199"/>
        <v>-1.3743072597740708E-2</v>
      </c>
      <c r="D5852">
        <f t="shared" si="198"/>
        <v>-1.1365672478771194</v>
      </c>
    </row>
    <row r="5853" spans="1:4" x14ac:dyDescent="0.3">
      <c r="A5853" s="1">
        <v>34424</v>
      </c>
      <c r="B5853">
        <v>743.46002199999998</v>
      </c>
      <c r="C5853">
        <f t="shared" si="199"/>
        <v>-1.9464781685773664E-3</v>
      </c>
      <c r="D5853">
        <f t="shared" si="198"/>
        <v>-0.19288820143019086</v>
      </c>
    </row>
    <row r="5854" spans="1:4" x14ac:dyDescent="0.3">
      <c r="A5854" s="1">
        <v>34428</v>
      </c>
      <c r="B5854">
        <v>727.40997300000004</v>
      </c>
      <c r="C5854">
        <f t="shared" si="199"/>
        <v>-2.1588314805177169E-2</v>
      </c>
      <c r="D5854">
        <f t="shared" si="198"/>
        <v>-1.7641543646433193</v>
      </c>
    </row>
    <row r="5855" spans="1:4" x14ac:dyDescent="0.3">
      <c r="A5855" s="1">
        <v>34429</v>
      </c>
      <c r="B5855">
        <v>750.95001200000002</v>
      </c>
      <c r="C5855">
        <f t="shared" si="199"/>
        <v>3.2361446603372285E-2</v>
      </c>
      <c r="D5855">
        <f t="shared" si="198"/>
        <v>2.5516047052961626</v>
      </c>
    </row>
    <row r="5856" spans="1:4" x14ac:dyDescent="0.3">
      <c r="A5856" s="1">
        <v>34430</v>
      </c>
      <c r="B5856">
        <v>750.71997099999999</v>
      </c>
      <c r="C5856">
        <f t="shared" si="199"/>
        <v>-3.0633330624412901E-4</v>
      </c>
      <c r="D5856">
        <f t="shared" si="198"/>
        <v>-6.1683356759504655E-2</v>
      </c>
    </row>
    <row r="5857" spans="1:4" x14ac:dyDescent="0.3">
      <c r="A5857" s="1">
        <v>34431</v>
      </c>
      <c r="B5857">
        <v>755.169983</v>
      </c>
      <c r="C5857">
        <f t="shared" si="199"/>
        <v>5.9276590098866775E-3</v>
      </c>
      <c r="D5857">
        <f t="shared" si="198"/>
        <v>0.43701039420138477</v>
      </c>
    </row>
    <row r="5858" spans="1:4" x14ac:dyDescent="0.3">
      <c r="A5858" s="1">
        <v>34432</v>
      </c>
      <c r="B5858">
        <v>748.71002199999998</v>
      </c>
      <c r="C5858">
        <f t="shared" si="199"/>
        <v>-8.5543137908329989E-3</v>
      </c>
      <c r="D5858">
        <f t="shared" si="198"/>
        <v>-0.72148787962820604</v>
      </c>
    </row>
    <row r="5859" spans="1:4" x14ac:dyDescent="0.3">
      <c r="A5859" s="1">
        <v>34435</v>
      </c>
      <c r="B5859">
        <v>748.10998500000005</v>
      </c>
      <c r="C5859">
        <f t="shared" si="199"/>
        <v>-8.0142776558149149E-4</v>
      </c>
      <c r="D5859">
        <f t="shared" si="198"/>
        <v>-0.10128887766591224</v>
      </c>
    </row>
    <row r="5860" spans="1:4" x14ac:dyDescent="0.3">
      <c r="A5860" s="1">
        <v>34436</v>
      </c>
      <c r="B5860">
        <v>739.21997099999999</v>
      </c>
      <c r="C5860">
        <f t="shared" si="199"/>
        <v>-1.1883298149001532E-2</v>
      </c>
      <c r="D5860">
        <f t="shared" si="198"/>
        <v>-0.98779293941621371</v>
      </c>
    </row>
    <row r="5861" spans="1:4" x14ac:dyDescent="0.3">
      <c r="A5861" s="1">
        <v>34437</v>
      </c>
      <c r="B5861">
        <v>727.38000499999998</v>
      </c>
      <c r="C5861">
        <f t="shared" si="199"/>
        <v>-1.6016837294023818E-2</v>
      </c>
      <c r="D5861">
        <f t="shared" si="198"/>
        <v>-1.31845907380347</v>
      </c>
    </row>
    <row r="5862" spans="1:4" x14ac:dyDescent="0.3">
      <c r="A5862" s="1">
        <v>34438</v>
      </c>
      <c r="B5862">
        <v>727.30999799999995</v>
      </c>
      <c r="C5862">
        <f t="shared" si="199"/>
        <v>-9.6245428137706857E-5</v>
      </c>
      <c r="D5862">
        <f t="shared" si="198"/>
        <v>-4.4877190397507587E-2</v>
      </c>
    </row>
    <row r="5863" spans="1:4" x14ac:dyDescent="0.3">
      <c r="A5863" s="1">
        <v>34439</v>
      </c>
      <c r="B5863">
        <v>727.96997099999999</v>
      </c>
      <c r="C5863">
        <f t="shared" si="199"/>
        <v>9.074163724063592E-4</v>
      </c>
      <c r="D5863">
        <f t="shared" si="198"/>
        <v>3.5411626564033578E-2</v>
      </c>
    </row>
    <row r="5864" spans="1:4" x14ac:dyDescent="0.3">
      <c r="A5864" s="1">
        <v>34442</v>
      </c>
      <c r="B5864">
        <v>720.45001200000002</v>
      </c>
      <c r="C5864">
        <f t="shared" si="199"/>
        <v>-1.0330040110953934E-2</v>
      </c>
      <c r="D5864">
        <f t="shared" si="198"/>
        <v>-0.86353868340762241</v>
      </c>
    </row>
    <row r="5865" spans="1:4" x14ac:dyDescent="0.3">
      <c r="A5865" s="1">
        <v>34443</v>
      </c>
      <c r="B5865">
        <v>712.84997599999997</v>
      </c>
      <c r="C5865">
        <f t="shared" si="199"/>
        <v>-1.054901224708432E-2</v>
      </c>
      <c r="D5865">
        <f t="shared" si="198"/>
        <v>-0.88105555387924928</v>
      </c>
    </row>
    <row r="5866" spans="1:4" x14ac:dyDescent="0.3">
      <c r="A5866" s="1">
        <v>34444</v>
      </c>
      <c r="B5866">
        <v>705.52002000000005</v>
      </c>
      <c r="C5866">
        <f t="shared" si="199"/>
        <v>-1.0282606785133602E-2</v>
      </c>
      <c r="D5866">
        <f t="shared" si="198"/>
        <v>-0.85974421238899701</v>
      </c>
    </row>
    <row r="5867" spans="1:4" x14ac:dyDescent="0.3">
      <c r="A5867" s="1">
        <v>34445</v>
      </c>
      <c r="B5867">
        <v>718.73999000000003</v>
      </c>
      <c r="C5867">
        <f t="shared" si="199"/>
        <v>1.8737909095761719E-2</v>
      </c>
      <c r="D5867">
        <f t="shared" si="198"/>
        <v>1.4617777250082831</v>
      </c>
    </row>
    <row r="5868" spans="1:4" x14ac:dyDescent="0.3">
      <c r="A5868" s="1">
        <v>34446</v>
      </c>
      <c r="B5868">
        <v>722.55999799999995</v>
      </c>
      <c r="C5868">
        <f t="shared" si="199"/>
        <v>5.3148677590625169E-3</v>
      </c>
      <c r="D5868">
        <f t="shared" si="198"/>
        <v>0.38798961394813175</v>
      </c>
    </row>
    <row r="5869" spans="1:4" x14ac:dyDescent="0.3">
      <c r="A5869" s="1">
        <v>34449</v>
      </c>
      <c r="B5869">
        <v>730.79998799999998</v>
      </c>
      <c r="C5869">
        <f t="shared" si="199"/>
        <v>1.14038834460914E-2</v>
      </c>
      <c r="D5869">
        <f t="shared" si="198"/>
        <v>0.87508583072832835</v>
      </c>
    </row>
    <row r="5870" spans="1:4" x14ac:dyDescent="0.3">
      <c r="A5870" s="1">
        <v>34450</v>
      </c>
      <c r="B5870">
        <v>734.21002199999998</v>
      </c>
      <c r="C5870">
        <f t="shared" si="199"/>
        <v>4.6661659222687292E-3</v>
      </c>
      <c r="D5870">
        <f t="shared" si="198"/>
        <v>0.33609613448252046</v>
      </c>
    </row>
    <row r="5871" spans="1:4" x14ac:dyDescent="0.3">
      <c r="A5871" s="1">
        <v>34452</v>
      </c>
      <c r="B5871">
        <v>731.69000200000005</v>
      </c>
      <c r="C5871">
        <f t="shared" si="199"/>
        <v>-3.4322876622350593E-3</v>
      </c>
      <c r="D5871">
        <f t="shared" si="198"/>
        <v>-0.3117468512376616</v>
      </c>
    </row>
    <row r="5872" spans="1:4" x14ac:dyDescent="0.3">
      <c r="A5872" s="1">
        <v>34453</v>
      </c>
      <c r="B5872">
        <v>733.84002699999996</v>
      </c>
      <c r="C5872">
        <f t="shared" si="199"/>
        <v>2.9384370349779822E-3</v>
      </c>
      <c r="D5872">
        <f t="shared" si="198"/>
        <v>0.19788492796289608</v>
      </c>
    </row>
    <row r="5873" spans="1:4" x14ac:dyDescent="0.3">
      <c r="A5873" s="1">
        <v>34456</v>
      </c>
      <c r="B5873">
        <v>740.67999299999997</v>
      </c>
      <c r="C5873">
        <f t="shared" si="199"/>
        <v>9.3207862045388331E-3</v>
      </c>
      <c r="D5873">
        <f t="shared" si="198"/>
        <v>0.70844661715116264</v>
      </c>
    </row>
    <row r="5874" spans="1:4" x14ac:dyDescent="0.3">
      <c r="A5874" s="1">
        <v>34457</v>
      </c>
      <c r="B5874">
        <v>739.36999500000002</v>
      </c>
      <c r="C5874">
        <f t="shared" si="199"/>
        <v>-1.7686423453859251E-3</v>
      </c>
      <c r="D5874">
        <f t="shared" si="198"/>
        <v>-0.17866206684015001</v>
      </c>
    </row>
    <row r="5875" spans="1:4" x14ac:dyDescent="0.3">
      <c r="A5875" s="1">
        <v>34458</v>
      </c>
      <c r="B5875">
        <v>740.29998799999998</v>
      </c>
      <c r="C5875">
        <f t="shared" si="199"/>
        <v>1.2578181509786148E-3</v>
      </c>
      <c r="D5875">
        <f t="shared" si="198"/>
        <v>6.3442327989091052E-2</v>
      </c>
    </row>
    <row r="5876" spans="1:4" x14ac:dyDescent="0.3">
      <c r="A5876" s="1">
        <v>34459</v>
      </c>
      <c r="B5876">
        <v>740.54998799999998</v>
      </c>
      <c r="C5876">
        <f t="shared" si="199"/>
        <v>3.3770093752858468E-4</v>
      </c>
      <c r="D5876">
        <f t="shared" si="198"/>
        <v>-1.0163265542322079E-2</v>
      </c>
    </row>
    <row r="5877" spans="1:4" x14ac:dyDescent="0.3">
      <c r="A5877" s="1">
        <v>34460</v>
      </c>
      <c r="B5877">
        <v>732.85998500000005</v>
      </c>
      <c r="C5877">
        <f t="shared" si="199"/>
        <v>-1.0384178144095702E-2</v>
      </c>
      <c r="D5877">
        <f t="shared" si="198"/>
        <v>-0.86786950344204128</v>
      </c>
    </row>
    <row r="5878" spans="1:4" x14ac:dyDescent="0.3">
      <c r="A5878" s="1">
        <v>34463</v>
      </c>
      <c r="B5878">
        <v>722.96002199999998</v>
      </c>
      <c r="C5878">
        <f t="shared" si="199"/>
        <v>-1.350866905361202E-2</v>
      </c>
      <c r="D5878">
        <f t="shared" si="198"/>
        <v>-1.1178159282199571</v>
      </c>
    </row>
    <row r="5879" spans="1:4" x14ac:dyDescent="0.3">
      <c r="A5879" s="1">
        <v>34464</v>
      </c>
      <c r="B5879">
        <v>725</v>
      </c>
      <c r="C5879">
        <f t="shared" si="199"/>
        <v>2.8217023596361726E-3</v>
      </c>
      <c r="D5879">
        <f t="shared" si="198"/>
        <v>0.18854663395140453</v>
      </c>
    </row>
    <row r="5880" spans="1:4" x14ac:dyDescent="0.3">
      <c r="A5880" s="1">
        <v>34465</v>
      </c>
      <c r="B5880">
        <v>717</v>
      </c>
      <c r="C5880">
        <f t="shared" si="199"/>
        <v>-1.1034482758620689E-2</v>
      </c>
      <c r="D5880">
        <f t="shared" si="198"/>
        <v>-0.91989119853548718</v>
      </c>
    </row>
    <row r="5881" spans="1:4" x14ac:dyDescent="0.3">
      <c r="A5881" s="1">
        <v>34466</v>
      </c>
      <c r="B5881">
        <v>719.60998500000005</v>
      </c>
      <c r="C5881">
        <f t="shared" si="199"/>
        <v>3.6401464435147162E-3</v>
      </c>
      <c r="D5881">
        <f t="shared" si="198"/>
        <v>0.25401879519950571</v>
      </c>
    </row>
    <row r="5882" spans="1:4" x14ac:dyDescent="0.3">
      <c r="A5882" s="1">
        <v>34467</v>
      </c>
      <c r="B5882">
        <v>716.919983</v>
      </c>
      <c r="C5882">
        <f t="shared" si="199"/>
        <v>-3.7381387919458195E-3</v>
      </c>
      <c r="D5882">
        <f t="shared" si="198"/>
        <v>-0.33621368394716211</v>
      </c>
    </row>
    <row r="5883" spans="1:4" x14ac:dyDescent="0.3">
      <c r="A5883" s="1">
        <v>34470</v>
      </c>
      <c r="B5883">
        <v>711.90997300000004</v>
      </c>
      <c r="C5883">
        <f t="shared" si="199"/>
        <v>-6.9882415315517376E-3</v>
      </c>
      <c r="D5883">
        <f t="shared" si="198"/>
        <v>-0.59620853861331435</v>
      </c>
    </row>
    <row r="5884" spans="1:4" x14ac:dyDescent="0.3">
      <c r="A5884" s="1">
        <v>34471</v>
      </c>
      <c r="B5884">
        <v>711.52002000000005</v>
      </c>
      <c r="C5884">
        <f t="shared" si="199"/>
        <v>-5.4775605735191927E-4</v>
      </c>
      <c r="D5884">
        <f t="shared" si="198"/>
        <v>-8.0996184111843492E-2</v>
      </c>
    </row>
    <row r="5885" spans="1:4" x14ac:dyDescent="0.3">
      <c r="A5885" s="1">
        <v>34472</v>
      </c>
      <c r="B5885">
        <v>721.90002400000003</v>
      </c>
      <c r="C5885">
        <f t="shared" si="199"/>
        <v>1.4588491831895306E-2</v>
      </c>
      <c r="D5885">
        <f t="shared" si="198"/>
        <v>1.1298414064047118</v>
      </c>
    </row>
    <row r="5886" spans="1:4" x14ac:dyDescent="0.3">
      <c r="A5886" s="1">
        <v>34473</v>
      </c>
      <c r="B5886">
        <v>727.30999799999995</v>
      </c>
      <c r="C5886">
        <f t="shared" si="199"/>
        <v>7.4940764927858205E-3</v>
      </c>
      <c r="D5886">
        <f t="shared" si="198"/>
        <v>0.56231735168613917</v>
      </c>
    </row>
    <row r="5887" spans="1:4" x14ac:dyDescent="0.3">
      <c r="A5887" s="1">
        <v>34474</v>
      </c>
      <c r="B5887">
        <v>726.70001200000002</v>
      </c>
      <c r="C5887">
        <f t="shared" si="199"/>
        <v>-8.3868776955811262E-4</v>
      </c>
      <c r="D5887">
        <f t="shared" si="198"/>
        <v>-0.10426952476999007</v>
      </c>
    </row>
    <row r="5888" spans="1:4" x14ac:dyDescent="0.3">
      <c r="A5888" s="1">
        <v>34477</v>
      </c>
      <c r="B5888">
        <v>724.95001200000002</v>
      </c>
      <c r="C5888">
        <f t="shared" si="199"/>
        <v>-2.4081463755363198E-3</v>
      </c>
      <c r="D5888">
        <f t="shared" si="198"/>
        <v>-0.22981975959589679</v>
      </c>
    </row>
    <row r="5889" spans="1:4" x14ac:dyDescent="0.3">
      <c r="A5889" s="1">
        <v>34478</v>
      </c>
      <c r="B5889">
        <v>731.46997099999999</v>
      </c>
      <c r="C5889">
        <f t="shared" si="199"/>
        <v>8.9936670005875824E-3</v>
      </c>
      <c r="D5889">
        <f t="shared" si="198"/>
        <v>0.68227842595726673</v>
      </c>
    </row>
    <row r="5890" spans="1:4" x14ac:dyDescent="0.3">
      <c r="A5890" s="1">
        <v>34479</v>
      </c>
      <c r="B5890">
        <v>732.07000700000003</v>
      </c>
      <c r="C5890">
        <f t="shared" si="199"/>
        <v>8.2031528810366642E-4</v>
      </c>
      <c r="D5890">
        <f t="shared" si="198"/>
        <v>2.8443897981616909E-2</v>
      </c>
    </row>
    <row r="5891" spans="1:4" x14ac:dyDescent="0.3">
      <c r="A5891" s="1">
        <v>34480</v>
      </c>
      <c r="B5891">
        <v>731.64001499999995</v>
      </c>
      <c r="C5891">
        <f t="shared" si="199"/>
        <v>-5.8736459066555341E-4</v>
      </c>
      <c r="D5891">
        <f t="shared" ref="D5891:D5954" si="200">(C5891-avrtn)/sdrtn</f>
        <v>-8.4164703905672045E-2</v>
      </c>
    </row>
    <row r="5892" spans="1:4" x14ac:dyDescent="0.3">
      <c r="A5892" s="1">
        <v>34481</v>
      </c>
      <c r="B5892">
        <v>733.14001499999995</v>
      </c>
      <c r="C5892">
        <f t="shared" ref="C5892:C5955" si="201">(B5892-B5891)/B5891</f>
        <v>2.0501885753200638E-3</v>
      </c>
      <c r="D5892">
        <f t="shared" si="200"/>
        <v>0.1268287036897533</v>
      </c>
    </row>
    <row r="5893" spans="1:4" x14ac:dyDescent="0.3">
      <c r="A5893" s="1">
        <v>34485</v>
      </c>
      <c r="B5893">
        <v>735.19000200000005</v>
      </c>
      <c r="C5893">
        <f t="shared" si="201"/>
        <v>2.7961739341155743E-3</v>
      </c>
      <c r="D5893">
        <f t="shared" si="200"/>
        <v>0.18650446488326966</v>
      </c>
    </row>
    <row r="5894" spans="1:4" x14ac:dyDescent="0.3">
      <c r="A5894" s="1">
        <v>34486</v>
      </c>
      <c r="B5894">
        <v>735.52002000000005</v>
      </c>
      <c r="C5894">
        <f t="shared" si="201"/>
        <v>4.4888804132567009E-4</v>
      </c>
      <c r="D5894">
        <f t="shared" si="200"/>
        <v>-1.2687544426579628E-3</v>
      </c>
    </row>
    <row r="5895" spans="1:4" x14ac:dyDescent="0.3">
      <c r="A5895" s="1">
        <v>34487</v>
      </c>
      <c r="B5895">
        <v>739.5</v>
      </c>
      <c r="C5895">
        <f t="shared" si="201"/>
        <v>5.4111103597152318E-3</v>
      </c>
      <c r="D5895">
        <f t="shared" si="200"/>
        <v>0.39568862624841039</v>
      </c>
    </row>
    <row r="5896" spans="1:4" x14ac:dyDescent="0.3">
      <c r="A5896" s="1">
        <v>34488</v>
      </c>
      <c r="B5896">
        <v>742.38000499999998</v>
      </c>
      <c r="C5896">
        <f t="shared" si="201"/>
        <v>3.8945300878972045E-3</v>
      </c>
      <c r="D5896">
        <f t="shared" si="200"/>
        <v>0.27436844071830874</v>
      </c>
    </row>
    <row r="5897" spans="1:4" x14ac:dyDescent="0.3">
      <c r="A5897" s="1">
        <v>34491</v>
      </c>
      <c r="B5897">
        <v>743.42999299999997</v>
      </c>
      <c r="C5897">
        <f t="shared" si="201"/>
        <v>1.4143538254373983E-3</v>
      </c>
      <c r="D5897">
        <f t="shared" si="200"/>
        <v>7.5964538267254231E-2</v>
      </c>
    </row>
    <row r="5898" spans="1:4" x14ac:dyDescent="0.3">
      <c r="A5898" s="1">
        <v>34492</v>
      </c>
      <c r="B5898">
        <v>739.29998799999998</v>
      </c>
      <c r="C5898">
        <f t="shared" si="201"/>
        <v>-5.5553381473539536E-3</v>
      </c>
      <c r="D5898">
        <f t="shared" si="200"/>
        <v>-0.4815821600114143</v>
      </c>
    </row>
    <row r="5899" spans="1:4" x14ac:dyDescent="0.3">
      <c r="A5899" s="1">
        <v>34493</v>
      </c>
      <c r="B5899">
        <v>729.78997800000002</v>
      </c>
      <c r="C5899">
        <f t="shared" si="201"/>
        <v>-1.2863533280619999E-2</v>
      </c>
      <c r="D5899">
        <f t="shared" si="200"/>
        <v>-1.0662077191947452</v>
      </c>
    </row>
    <row r="5900" spans="1:4" x14ac:dyDescent="0.3">
      <c r="A5900" s="1">
        <v>34494</v>
      </c>
      <c r="B5900">
        <v>728.88000499999998</v>
      </c>
      <c r="C5900">
        <f t="shared" si="201"/>
        <v>-1.246897090165352E-3</v>
      </c>
      <c r="D5900">
        <f t="shared" si="200"/>
        <v>-0.13692459185181305</v>
      </c>
    </row>
    <row r="5901" spans="1:4" x14ac:dyDescent="0.3">
      <c r="A5901" s="1">
        <v>34495</v>
      </c>
      <c r="B5901">
        <v>734.25</v>
      </c>
      <c r="C5901">
        <f t="shared" si="201"/>
        <v>7.3674609855706183E-3</v>
      </c>
      <c r="D5901">
        <f t="shared" si="200"/>
        <v>0.55218863175499966</v>
      </c>
    </row>
    <row r="5902" spans="1:4" x14ac:dyDescent="0.3">
      <c r="A5902" s="1">
        <v>34498</v>
      </c>
      <c r="B5902">
        <v>731.70001200000002</v>
      </c>
      <c r="C5902">
        <f t="shared" si="201"/>
        <v>-3.4729152196118283E-3</v>
      </c>
      <c r="D5902">
        <f t="shared" si="200"/>
        <v>-0.3149968887662889</v>
      </c>
    </row>
    <row r="5903" spans="1:4" x14ac:dyDescent="0.3">
      <c r="A5903" s="1">
        <v>34499</v>
      </c>
      <c r="B5903">
        <v>735.97997999999995</v>
      </c>
      <c r="C5903">
        <f t="shared" si="201"/>
        <v>5.8493479975505859E-3</v>
      </c>
      <c r="D5903">
        <f t="shared" si="200"/>
        <v>0.43074583523130427</v>
      </c>
    </row>
    <row r="5904" spans="1:4" x14ac:dyDescent="0.3">
      <c r="A5904" s="1">
        <v>34500</v>
      </c>
      <c r="B5904">
        <v>735.84002699999996</v>
      </c>
      <c r="C5904">
        <f t="shared" si="201"/>
        <v>-1.9015870513215772E-4</v>
      </c>
      <c r="D5904">
        <f t="shared" si="200"/>
        <v>-5.2389866383361176E-2</v>
      </c>
    </row>
    <row r="5905" spans="1:4" x14ac:dyDescent="0.3">
      <c r="A5905" s="1">
        <v>34501</v>
      </c>
      <c r="B5905">
        <v>734.96997099999999</v>
      </c>
      <c r="C5905">
        <f t="shared" si="201"/>
        <v>-1.1823983040813528E-3</v>
      </c>
      <c r="D5905">
        <f t="shared" si="200"/>
        <v>-0.13176495418568626</v>
      </c>
    </row>
    <row r="5906" spans="1:4" x14ac:dyDescent="0.3">
      <c r="A5906" s="1">
        <v>34502</v>
      </c>
      <c r="B5906">
        <v>729.34997599999997</v>
      </c>
      <c r="C5906">
        <f t="shared" si="201"/>
        <v>-7.6465641070388949E-3</v>
      </c>
      <c r="D5906">
        <f t="shared" si="200"/>
        <v>-0.64887163761368127</v>
      </c>
    </row>
    <row r="5907" spans="1:4" x14ac:dyDescent="0.3">
      <c r="A5907" s="1">
        <v>34505</v>
      </c>
      <c r="B5907">
        <v>718.84997599999997</v>
      </c>
      <c r="C5907">
        <f t="shared" si="201"/>
        <v>-1.4396380812385192E-2</v>
      </c>
      <c r="D5907">
        <f t="shared" si="200"/>
        <v>-1.1888292186292475</v>
      </c>
    </row>
    <row r="5908" spans="1:4" x14ac:dyDescent="0.3">
      <c r="A5908" s="1">
        <v>34506</v>
      </c>
      <c r="B5908">
        <v>708.78997800000002</v>
      </c>
      <c r="C5908">
        <f t="shared" si="201"/>
        <v>-1.3994572352882642E-2</v>
      </c>
      <c r="D5908">
        <f t="shared" si="200"/>
        <v>-1.1566861941153015</v>
      </c>
    </row>
    <row r="5909" spans="1:4" x14ac:dyDescent="0.3">
      <c r="A5909" s="1">
        <v>34507</v>
      </c>
      <c r="B5909">
        <v>712.73999000000003</v>
      </c>
      <c r="C5909">
        <f t="shared" si="201"/>
        <v>5.5728948244243024E-3</v>
      </c>
      <c r="D5909">
        <f t="shared" si="200"/>
        <v>0.40863071816344204</v>
      </c>
    </row>
    <row r="5910" spans="1:4" x14ac:dyDescent="0.3">
      <c r="A5910" s="1">
        <v>34508</v>
      </c>
      <c r="B5910">
        <v>700.84997599999997</v>
      </c>
      <c r="C5910">
        <f t="shared" si="201"/>
        <v>-1.6682119941102313E-2</v>
      </c>
      <c r="D5910">
        <f t="shared" si="200"/>
        <v>-1.3716789499111586</v>
      </c>
    </row>
    <row r="5911" spans="1:4" x14ac:dyDescent="0.3">
      <c r="A5911" s="1">
        <v>34509</v>
      </c>
      <c r="B5911">
        <v>693.78997800000002</v>
      </c>
      <c r="C5911">
        <f t="shared" si="201"/>
        <v>-1.0073479691465312E-2</v>
      </c>
      <c r="D5911">
        <f t="shared" si="200"/>
        <v>-0.84301490483128139</v>
      </c>
    </row>
    <row r="5912" spans="1:4" x14ac:dyDescent="0.3">
      <c r="A5912" s="1">
        <v>34512</v>
      </c>
      <c r="B5912">
        <v>702.67999299999997</v>
      </c>
      <c r="C5912">
        <f t="shared" si="201"/>
        <v>1.2813697634588703E-2</v>
      </c>
      <c r="D5912">
        <f t="shared" si="200"/>
        <v>0.98786516861753004</v>
      </c>
    </row>
    <row r="5913" spans="1:4" x14ac:dyDescent="0.3">
      <c r="A5913" s="1">
        <v>34513</v>
      </c>
      <c r="B5913">
        <v>702.04998799999998</v>
      </c>
      <c r="C5913">
        <f t="shared" si="201"/>
        <v>-8.9657455210907485E-4</v>
      </c>
      <c r="D5913">
        <f t="shared" si="200"/>
        <v>-0.10890022934219491</v>
      </c>
    </row>
    <row r="5914" spans="1:4" x14ac:dyDescent="0.3">
      <c r="A5914" s="1">
        <v>34514</v>
      </c>
      <c r="B5914">
        <v>704.01000999999997</v>
      </c>
      <c r="C5914">
        <f t="shared" si="201"/>
        <v>2.7918553286834908E-3</v>
      </c>
      <c r="D5914">
        <f t="shared" si="200"/>
        <v>0.18615899420691462</v>
      </c>
    </row>
    <row r="5915" spans="1:4" x14ac:dyDescent="0.3">
      <c r="A5915" s="1">
        <v>34515</v>
      </c>
      <c r="B5915">
        <v>705.96002199999998</v>
      </c>
      <c r="C5915">
        <f t="shared" si="201"/>
        <v>2.769864025086824E-3</v>
      </c>
      <c r="D5915">
        <f t="shared" si="200"/>
        <v>0.18439978034796201</v>
      </c>
    </row>
    <row r="5916" spans="1:4" x14ac:dyDescent="0.3">
      <c r="A5916" s="1">
        <v>34516</v>
      </c>
      <c r="B5916">
        <v>706.84997599999997</v>
      </c>
      <c r="C5916">
        <f t="shared" si="201"/>
        <v>1.2606294581366377E-3</v>
      </c>
      <c r="D5916">
        <f t="shared" si="200"/>
        <v>6.3667221001568783E-2</v>
      </c>
    </row>
    <row r="5917" spans="1:4" x14ac:dyDescent="0.3">
      <c r="A5917" s="1">
        <v>34520</v>
      </c>
      <c r="B5917">
        <v>703.59002699999996</v>
      </c>
      <c r="C5917">
        <f t="shared" si="201"/>
        <v>-4.6119390403714265E-3</v>
      </c>
      <c r="D5917">
        <f t="shared" si="200"/>
        <v>-0.40611411073311965</v>
      </c>
    </row>
    <row r="5918" spans="1:4" x14ac:dyDescent="0.3">
      <c r="A5918" s="1">
        <v>34521</v>
      </c>
      <c r="B5918">
        <v>701</v>
      </c>
      <c r="C5918">
        <f t="shared" si="201"/>
        <v>-3.6811593408215887E-3</v>
      </c>
      <c r="D5918">
        <f t="shared" si="200"/>
        <v>-0.33165556215812669</v>
      </c>
    </row>
    <row r="5919" spans="1:4" x14ac:dyDescent="0.3">
      <c r="A5919" s="1">
        <v>34522</v>
      </c>
      <c r="B5919">
        <v>706.53002900000001</v>
      </c>
      <c r="C5919">
        <f t="shared" si="201"/>
        <v>7.8887717546362521E-3</v>
      </c>
      <c r="D5919">
        <f t="shared" si="200"/>
        <v>0.59389134963755918</v>
      </c>
    </row>
    <row r="5920" spans="1:4" x14ac:dyDescent="0.3">
      <c r="A5920" s="1">
        <v>34523</v>
      </c>
      <c r="B5920">
        <v>707.46002199999998</v>
      </c>
      <c r="C5920">
        <f t="shared" si="201"/>
        <v>1.3162823402088797E-3</v>
      </c>
      <c r="D5920">
        <f t="shared" si="200"/>
        <v>6.8119222721329656E-2</v>
      </c>
    </row>
    <row r="5921" spans="1:4" x14ac:dyDescent="0.3">
      <c r="A5921" s="1">
        <v>34526</v>
      </c>
      <c r="B5921">
        <v>706.830017</v>
      </c>
      <c r="C5921">
        <f t="shared" si="201"/>
        <v>-8.9051675064118728E-4</v>
      </c>
      <c r="D5921">
        <f t="shared" si="200"/>
        <v>-0.10841563013459238</v>
      </c>
    </row>
    <row r="5922" spans="1:4" x14ac:dyDescent="0.3">
      <c r="A5922" s="1">
        <v>34527</v>
      </c>
      <c r="B5922">
        <v>709.59002699999996</v>
      </c>
      <c r="C5922">
        <f t="shared" si="201"/>
        <v>3.9047719163290227E-3</v>
      </c>
      <c r="D5922">
        <f t="shared" si="200"/>
        <v>0.27518774487820408</v>
      </c>
    </row>
    <row r="5923" spans="1:4" x14ac:dyDescent="0.3">
      <c r="A5923" s="1">
        <v>34528</v>
      </c>
      <c r="B5923">
        <v>719.34997599999997</v>
      </c>
      <c r="C5923">
        <f t="shared" si="201"/>
        <v>1.375434917153931E-2</v>
      </c>
      <c r="D5923">
        <f t="shared" si="200"/>
        <v>1.0631134235913464</v>
      </c>
    </row>
    <row r="5924" spans="1:4" x14ac:dyDescent="0.3">
      <c r="A5924" s="1">
        <v>34529</v>
      </c>
      <c r="B5924">
        <v>721.55999799999995</v>
      </c>
      <c r="C5924">
        <f t="shared" si="201"/>
        <v>3.0722486602265224E-3</v>
      </c>
      <c r="D5924">
        <f t="shared" si="200"/>
        <v>0.2085893077460885</v>
      </c>
    </row>
    <row r="5925" spans="1:4" x14ac:dyDescent="0.3">
      <c r="A5925" s="1">
        <v>34530</v>
      </c>
      <c r="B5925">
        <v>721.35998500000005</v>
      </c>
      <c r="C5925">
        <f t="shared" si="201"/>
        <v>-2.7719524440696471E-4</v>
      </c>
      <c r="D5925">
        <f t="shared" si="200"/>
        <v>-5.9352431628957716E-2</v>
      </c>
    </row>
    <row r="5926" spans="1:4" x14ac:dyDescent="0.3">
      <c r="A5926" s="1">
        <v>34533</v>
      </c>
      <c r="B5926">
        <v>722.61999500000002</v>
      </c>
      <c r="C5926">
        <f t="shared" si="201"/>
        <v>1.7467145755249588E-3</v>
      </c>
      <c r="D5926">
        <f t="shared" si="200"/>
        <v>0.1025520315986885</v>
      </c>
    </row>
    <row r="5927" spans="1:4" x14ac:dyDescent="0.3">
      <c r="A5927" s="1">
        <v>34534</v>
      </c>
      <c r="B5927">
        <v>719.32000700000003</v>
      </c>
      <c r="C5927">
        <f t="shared" si="201"/>
        <v>-4.5666989881728709E-3</v>
      </c>
      <c r="D5927">
        <f t="shared" si="200"/>
        <v>-0.40249509258544142</v>
      </c>
    </row>
    <row r="5928" spans="1:4" x14ac:dyDescent="0.3">
      <c r="A5928" s="1">
        <v>34535</v>
      </c>
      <c r="B5928">
        <v>712.77002000000005</v>
      </c>
      <c r="C5928">
        <f t="shared" si="201"/>
        <v>-9.1058040041419111E-3</v>
      </c>
      <c r="D5928">
        <f t="shared" si="200"/>
        <v>-0.76560482895161164</v>
      </c>
    </row>
    <row r="5929" spans="1:4" x14ac:dyDescent="0.3">
      <c r="A5929" s="1">
        <v>34536</v>
      </c>
      <c r="B5929">
        <v>715.03002900000001</v>
      </c>
      <c r="C5929">
        <f t="shared" si="201"/>
        <v>3.1707408232461405E-3</v>
      </c>
      <c r="D5929">
        <f t="shared" si="200"/>
        <v>0.21646827578546363</v>
      </c>
    </row>
    <row r="5930" spans="1:4" x14ac:dyDescent="0.3">
      <c r="A5930" s="1">
        <v>34537</v>
      </c>
      <c r="B5930">
        <v>716.67999299999997</v>
      </c>
      <c r="C5930">
        <f t="shared" si="201"/>
        <v>2.3075450443773662E-3</v>
      </c>
      <c r="D5930">
        <f t="shared" si="200"/>
        <v>0.14741616295821339</v>
      </c>
    </row>
    <row r="5931" spans="1:4" x14ac:dyDescent="0.3">
      <c r="A5931" s="1">
        <v>34540</v>
      </c>
      <c r="B5931">
        <v>716.88000499999998</v>
      </c>
      <c r="C5931">
        <f t="shared" si="201"/>
        <v>2.7908132214319421E-4</v>
      </c>
      <c r="D5931">
        <f t="shared" si="200"/>
        <v>-1.485259372785455E-2</v>
      </c>
    </row>
    <row r="5932" spans="1:4" x14ac:dyDescent="0.3">
      <c r="A5932" s="1">
        <v>34541</v>
      </c>
      <c r="B5932">
        <v>715.65997300000004</v>
      </c>
      <c r="C5932">
        <f t="shared" si="201"/>
        <v>-1.7018636194211423E-3</v>
      </c>
      <c r="D5932">
        <f t="shared" si="200"/>
        <v>-0.1733200433587293</v>
      </c>
    </row>
    <row r="5933" spans="1:4" x14ac:dyDescent="0.3">
      <c r="A5933" s="1">
        <v>34542</v>
      </c>
      <c r="B5933">
        <v>712.13000499999998</v>
      </c>
      <c r="C5933">
        <f t="shared" si="201"/>
        <v>-4.9324653231654931E-3</v>
      </c>
      <c r="D5933">
        <f t="shared" si="200"/>
        <v>-0.43175489534469469</v>
      </c>
    </row>
    <row r="5934" spans="1:4" x14ac:dyDescent="0.3">
      <c r="A5934" s="1">
        <v>34543</v>
      </c>
      <c r="B5934">
        <v>712.42999299999997</v>
      </c>
      <c r="C5934">
        <f t="shared" si="201"/>
        <v>4.2125454326276396E-4</v>
      </c>
      <c r="D5934">
        <f t="shared" si="200"/>
        <v>-3.4793206580674549E-3</v>
      </c>
    </row>
    <row r="5935" spans="1:4" x14ac:dyDescent="0.3">
      <c r="A5935" s="1">
        <v>34544</v>
      </c>
      <c r="B5935">
        <v>722.15997300000004</v>
      </c>
      <c r="C5935">
        <f t="shared" si="201"/>
        <v>1.365745419985437E-2</v>
      </c>
      <c r="D5935">
        <f t="shared" si="200"/>
        <v>1.0553622242910556</v>
      </c>
    </row>
    <row r="5936" spans="1:4" x14ac:dyDescent="0.3">
      <c r="A5936" s="1">
        <v>34547</v>
      </c>
      <c r="B5936">
        <v>724.84997599999997</v>
      </c>
      <c r="C5936">
        <f t="shared" si="201"/>
        <v>3.7249405956759295E-3</v>
      </c>
      <c r="D5936">
        <f t="shared" si="200"/>
        <v>0.26080197869676564</v>
      </c>
    </row>
    <row r="5937" spans="1:4" x14ac:dyDescent="0.3">
      <c r="A5937" s="1">
        <v>34548</v>
      </c>
      <c r="B5937">
        <v>724.79998799999998</v>
      </c>
      <c r="C5937">
        <f t="shared" si="201"/>
        <v>-6.8963236055877058E-5</v>
      </c>
      <c r="D5937">
        <f t="shared" si="200"/>
        <v>-4.2694727216005375E-2</v>
      </c>
    </row>
    <row r="5938" spans="1:4" x14ac:dyDescent="0.3">
      <c r="A5938" s="1">
        <v>34549</v>
      </c>
      <c r="B5938">
        <v>723.69000200000005</v>
      </c>
      <c r="C5938">
        <f t="shared" si="201"/>
        <v>-1.5314376633239338E-3</v>
      </c>
      <c r="D5938">
        <f t="shared" si="200"/>
        <v>-0.15968666766667153</v>
      </c>
    </row>
    <row r="5939" spans="1:4" x14ac:dyDescent="0.3">
      <c r="A5939" s="1">
        <v>34550</v>
      </c>
      <c r="B5939">
        <v>720.17999299999997</v>
      </c>
      <c r="C5939">
        <f t="shared" si="201"/>
        <v>-4.8501554398979818E-3</v>
      </c>
      <c r="D5939">
        <f t="shared" si="200"/>
        <v>-0.42517044314355618</v>
      </c>
    </row>
    <row r="5940" spans="1:4" x14ac:dyDescent="0.3">
      <c r="A5940" s="1">
        <v>34551</v>
      </c>
      <c r="B5940">
        <v>718.669983</v>
      </c>
      <c r="C5940">
        <f t="shared" si="201"/>
        <v>-2.0967119535073861E-3</v>
      </c>
      <c r="D5940">
        <f t="shared" si="200"/>
        <v>-0.20490628645957754</v>
      </c>
    </row>
    <row r="5941" spans="1:4" x14ac:dyDescent="0.3">
      <c r="A5941" s="1">
        <v>34554</v>
      </c>
      <c r="B5941">
        <v>720.46997099999999</v>
      </c>
      <c r="C5941">
        <f t="shared" si="201"/>
        <v>2.5046099636527952E-3</v>
      </c>
      <c r="D5941">
        <f t="shared" si="200"/>
        <v>0.16318054616445768</v>
      </c>
    </row>
    <row r="5942" spans="1:4" x14ac:dyDescent="0.3">
      <c r="A5942" s="1">
        <v>34555</v>
      </c>
      <c r="B5942">
        <v>722.60998500000005</v>
      </c>
      <c r="C5942">
        <f t="shared" si="201"/>
        <v>2.9703028386176343E-3</v>
      </c>
      <c r="D5942">
        <f t="shared" si="200"/>
        <v>0.20043406122110075</v>
      </c>
    </row>
    <row r="5943" spans="1:4" x14ac:dyDescent="0.3">
      <c r="A5943" s="1">
        <v>34556</v>
      </c>
      <c r="B5943">
        <v>728.20001200000002</v>
      </c>
      <c r="C5943">
        <f t="shared" si="201"/>
        <v>7.7358839706594467E-3</v>
      </c>
      <c r="D5943">
        <f t="shared" si="200"/>
        <v>0.581660955597739</v>
      </c>
    </row>
    <row r="5944" spans="1:4" x14ac:dyDescent="0.3">
      <c r="A5944" s="1">
        <v>34557</v>
      </c>
      <c r="B5944">
        <v>728.20001200000002</v>
      </c>
      <c r="C5944">
        <f t="shared" si="201"/>
        <v>0</v>
      </c>
      <c r="D5944">
        <f t="shared" si="200"/>
        <v>-3.7177951910056316E-2</v>
      </c>
    </row>
    <row r="5945" spans="1:4" x14ac:dyDescent="0.3">
      <c r="A5945" s="1">
        <v>34558</v>
      </c>
      <c r="B5945">
        <v>731.60998500000005</v>
      </c>
      <c r="C5945">
        <f t="shared" si="201"/>
        <v>4.6827423013006434E-3</v>
      </c>
      <c r="D5945">
        <f t="shared" si="200"/>
        <v>0.33742217664259572</v>
      </c>
    </row>
    <row r="5946" spans="1:4" x14ac:dyDescent="0.3">
      <c r="A5946" s="1">
        <v>34561</v>
      </c>
      <c r="B5946">
        <v>732.89001499999995</v>
      </c>
      <c r="C5946">
        <f t="shared" si="201"/>
        <v>1.7496070669400403E-3</v>
      </c>
      <c r="D5946">
        <f t="shared" si="200"/>
        <v>0.10278341901789927</v>
      </c>
    </row>
    <row r="5947" spans="1:4" x14ac:dyDescent="0.3">
      <c r="A5947" s="1">
        <v>34562</v>
      </c>
      <c r="B5947">
        <v>735.51000999999997</v>
      </c>
      <c r="C5947">
        <f t="shared" si="201"/>
        <v>3.5748815598204285E-3</v>
      </c>
      <c r="D5947">
        <f t="shared" si="200"/>
        <v>0.24879787287476801</v>
      </c>
    </row>
    <row r="5948" spans="1:4" x14ac:dyDescent="0.3">
      <c r="A5948" s="1">
        <v>34563</v>
      </c>
      <c r="B5948">
        <v>742.65997300000004</v>
      </c>
      <c r="C5948">
        <f t="shared" si="201"/>
        <v>9.7210954341737255E-3</v>
      </c>
      <c r="D5948">
        <f t="shared" si="200"/>
        <v>0.74046970944056612</v>
      </c>
    </row>
    <row r="5949" spans="1:4" x14ac:dyDescent="0.3">
      <c r="A5949" s="1">
        <v>34564</v>
      </c>
      <c r="B5949">
        <v>742.169983</v>
      </c>
      <c r="C5949">
        <f t="shared" si="201"/>
        <v>-6.5977704173378728E-4</v>
      </c>
      <c r="D5949">
        <f t="shared" si="200"/>
        <v>-8.9957402229352751E-2</v>
      </c>
    </row>
    <row r="5950" spans="1:4" x14ac:dyDescent="0.3">
      <c r="A5950" s="1">
        <v>34565</v>
      </c>
      <c r="B5950">
        <v>742.42999299999997</v>
      </c>
      <c r="C5950">
        <f t="shared" si="201"/>
        <v>3.5033753177264468E-4</v>
      </c>
      <c r="D5950">
        <f t="shared" si="200"/>
        <v>-9.152389964783297E-3</v>
      </c>
    </row>
    <row r="5951" spans="1:4" x14ac:dyDescent="0.3">
      <c r="A5951" s="1">
        <v>34568</v>
      </c>
      <c r="B5951">
        <v>742.28997800000002</v>
      </c>
      <c r="C5951">
        <f t="shared" si="201"/>
        <v>-1.8859017189510081E-4</v>
      </c>
      <c r="D5951">
        <f t="shared" si="200"/>
        <v>-5.2264390174243835E-2</v>
      </c>
    </row>
    <row r="5952" spans="1:4" x14ac:dyDescent="0.3">
      <c r="A5952" s="1">
        <v>34569</v>
      </c>
      <c r="B5952">
        <v>747.97997999999995</v>
      </c>
      <c r="C5952">
        <f t="shared" si="201"/>
        <v>7.6654705959130374E-3</v>
      </c>
      <c r="D5952">
        <f t="shared" si="200"/>
        <v>0.57602817515955329</v>
      </c>
    </row>
    <row r="5953" spans="1:4" x14ac:dyDescent="0.3">
      <c r="A5953" s="1">
        <v>34570</v>
      </c>
      <c r="B5953">
        <v>751.71997099999999</v>
      </c>
      <c r="C5953">
        <f t="shared" si="201"/>
        <v>5.0001217947036923E-3</v>
      </c>
      <c r="D5953">
        <f t="shared" si="200"/>
        <v>0.36281123104256469</v>
      </c>
    </row>
    <row r="5954" spans="1:4" x14ac:dyDescent="0.3">
      <c r="A5954" s="1">
        <v>34571</v>
      </c>
      <c r="B5954">
        <v>754.79998799999998</v>
      </c>
      <c r="C5954">
        <f t="shared" si="201"/>
        <v>4.0972930330728146E-3</v>
      </c>
      <c r="D5954">
        <f t="shared" si="200"/>
        <v>0.29058864256614508</v>
      </c>
    </row>
    <row r="5955" spans="1:4" x14ac:dyDescent="0.3">
      <c r="A5955" s="1">
        <v>34572</v>
      </c>
      <c r="B5955">
        <v>762.94000200000005</v>
      </c>
      <c r="C5955">
        <f t="shared" si="201"/>
        <v>1.0784332444902033E-2</v>
      </c>
      <c r="D5955">
        <f t="shared" ref="D5955:D6018" si="202">(C5955-avrtn)/sdrtn</f>
        <v>0.82552429824211848</v>
      </c>
    </row>
    <row r="5956" spans="1:4" x14ac:dyDescent="0.3">
      <c r="A5956" s="1">
        <v>34575</v>
      </c>
      <c r="B5956">
        <v>763.21002199999998</v>
      </c>
      <c r="C5956">
        <f t="shared" ref="C5956:C6019" si="203">(B5956-B5955)/B5955</f>
        <v>3.5392035978201508E-4</v>
      </c>
      <c r="D5956">
        <f t="shared" si="202"/>
        <v>-8.8657784567104693E-3</v>
      </c>
    </row>
    <row r="5957" spans="1:4" x14ac:dyDescent="0.3">
      <c r="A5957" s="1">
        <v>34576</v>
      </c>
      <c r="B5957">
        <v>766.46002199999998</v>
      </c>
      <c r="C5957">
        <f t="shared" si="203"/>
        <v>4.258329825757975E-3</v>
      </c>
      <c r="D5957">
        <f t="shared" si="202"/>
        <v>0.30347092379370966</v>
      </c>
    </row>
    <row r="5958" spans="1:4" x14ac:dyDescent="0.3">
      <c r="A5958" s="1">
        <v>34577</v>
      </c>
      <c r="B5958">
        <v>765.61999500000002</v>
      </c>
      <c r="C5958">
        <f t="shared" si="203"/>
        <v>-1.0959827986957468E-3</v>
      </c>
      <c r="D5958">
        <f t="shared" si="202"/>
        <v>-0.12485206909751918</v>
      </c>
    </row>
    <row r="5959" spans="1:4" x14ac:dyDescent="0.3">
      <c r="A5959" s="1">
        <v>34578</v>
      </c>
      <c r="B5959">
        <v>758.95001200000002</v>
      </c>
      <c r="C5959">
        <f t="shared" si="203"/>
        <v>-8.7118714813606748E-3</v>
      </c>
      <c r="D5959">
        <f t="shared" si="202"/>
        <v>-0.7340918469893255</v>
      </c>
    </row>
    <row r="5960" spans="1:4" x14ac:dyDescent="0.3">
      <c r="A5960" s="1">
        <v>34579</v>
      </c>
      <c r="B5960">
        <v>759.22997999999995</v>
      </c>
      <c r="C5960">
        <f t="shared" si="203"/>
        <v>3.6888859025400452E-4</v>
      </c>
      <c r="D5960">
        <f t="shared" si="202"/>
        <v>-7.6683815686827894E-3</v>
      </c>
    </row>
    <row r="5961" spans="1:4" x14ac:dyDescent="0.3">
      <c r="A5961" s="1">
        <v>34583</v>
      </c>
      <c r="B5961">
        <v>759.47997999999995</v>
      </c>
      <c r="C5961">
        <f t="shared" si="203"/>
        <v>3.292809907216783E-4</v>
      </c>
      <c r="D5961">
        <f t="shared" si="202"/>
        <v>-1.0836826663846439E-2</v>
      </c>
    </row>
    <row r="5962" spans="1:4" x14ac:dyDescent="0.3">
      <c r="A5962" s="1">
        <v>34584</v>
      </c>
      <c r="B5962">
        <v>764.28002900000001</v>
      </c>
      <c r="C5962">
        <f t="shared" si="203"/>
        <v>6.3201784463101426E-3</v>
      </c>
      <c r="D5962">
        <f t="shared" si="202"/>
        <v>0.46841033506569507</v>
      </c>
    </row>
    <row r="5963" spans="1:4" x14ac:dyDescent="0.3">
      <c r="A5963" s="1">
        <v>34585</v>
      </c>
      <c r="B5963">
        <v>769.29998799999998</v>
      </c>
      <c r="C5963">
        <f t="shared" si="203"/>
        <v>6.5682195131648163E-3</v>
      </c>
      <c r="D5963">
        <f t="shared" si="202"/>
        <v>0.48825260046310764</v>
      </c>
    </row>
    <row r="5964" spans="1:4" x14ac:dyDescent="0.3">
      <c r="A5964" s="1">
        <v>34586</v>
      </c>
      <c r="B5964">
        <v>763.72997999999995</v>
      </c>
      <c r="C5964">
        <f t="shared" si="203"/>
        <v>-7.2403588806503787E-3</v>
      </c>
      <c r="D5964">
        <f t="shared" si="202"/>
        <v>-0.6163768898284715</v>
      </c>
    </row>
    <row r="5965" spans="1:4" x14ac:dyDescent="0.3">
      <c r="A5965" s="1">
        <v>34589</v>
      </c>
      <c r="B5965">
        <v>760.01000999999997</v>
      </c>
      <c r="C5965">
        <f t="shared" si="203"/>
        <v>-4.8707921613866589E-3</v>
      </c>
      <c r="D5965">
        <f t="shared" si="202"/>
        <v>-0.42682129600394453</v>
      </c>
    </row>
    <row r="5966" spans="1:4" x14ac:dyDescent="0.3">
      <c r="A5966" s="1">
        <v>34590</v>
      </c>
      <c r="B5966">
        <v>765.830017</v>
      </c>
      <c r="C5966">
        <f t="shared" si="203"/>
        <v>7.657803086040975E-3</v>
      </c>
      <c r="D5966">
        <f t="shared" si="202"/>
        <v>0.57541480589877725</v>
      </c>
    </row>
    <row r="5967" spans="1:4" x14ac:dyDescent="0.3">
      <c r="A5967" s="1">
        <v>34591</v>
      </c>
      <c r="B5967">
        <v>768.60998500000005</v>
      </c>
      <c r="C5967">
        <f t="shared" si="203"/>
        <v>3.6300065788620736E-3</v>
      </c>
      <c r="D5967">
        <f t="shared" si="202"/>
        <v>0.25320764772266685</v>
      </c>
    </row>
    <row r="5968" spans="1:4" x14ac:dyDescent="0.3">
      <c r="A5968" s="1">
        <v>34592</v>
      </c>
      <c r="B5968">
        <v>778.65997300000004</v>
      </c>
      <c r="C5968">
        <f t="shared" si="203"/>
        <v>1.3075536613019649E-2</v>
      </c>
      <c r="D5968">
        <f t="shared" si="202"/>
        <v>1.0088112102036928</v>
      </c>
    </row>
    <row r="5969" spans="1:4" x14ac:dyDescent="0.3">
      <c r="A5969" s="1">
        <v>34593</v>
      </c>
      <c r="B5969">
        <v>777.90997300000004</v>
      </c>
      <c r="C5969">
        <f t="shared" si="203"/>
        <v>-9.6319321142246514E-4</v>
      </c>
      <c r="D5969">
        <f t="shared" si="202"/>
        <v>-0.11422944814970221</v>
      </c>
    </row>
    <row r="5970" spans="1:4" x14ac:dyDescent="0.3">
      <c r="A5970" s="1">
        <v>34596</v>
      </c>
      <c r="B5970">
        <v>776.71997099999999</v>
      </c>
      <c r="C5970">
        <f t="shared" si="203"/>
        <v>-1.5297425682959452E-3</v>
      </c>
      <c r="D5970">
        <f t="shared" si="202"/>
        <v>-0.15955106703470487</v>
      </c>
    </row>
    <row r="5971" spans="1:4" x14ac:dyDescent="0.3">
      <c r="A5971" s="1">
        <v>34597</v>
      </c>
      <c r="B5971">
        <v>766.73999000000003</v>
      </c>
      <c r="C5971">
        <f t="shared" si="203"/>
        <v>-1.2848879097509329E-2</v>
      </c>
      <c r="D5971">
        <f t="shared" si="202"/>
        <v>-1.0650354448042527</v>
      </c>
    </row>
    <row r="5972" spans="1:4" x14ac:dyDescent="0.3">
      <c r="A5972" s="1">
        <v>34598</v>
      </c>
      <c r="B5972">
        <v>760.71002199999998</v>
      </c>
      <c r="C5972">
        <f t="shared" si="203"/>
        <v>-7.8644235055485411E-3</v>
      </c>
      <c r="D5972">
        <f t="shared" si="202"/>
        <v>-0.6662994936512534</v>
      </c>
    </row>
    <row r="5973" spans="1:4" x14ac:dyDescent="0.3">
      <c r="A5973" s="1">
        <v>34599</v>
      </c>
      <c r="B5973">
        <v>760.44000200000005</v>
      </c>
      <c r="C5973">
        <f t="shared" si="203"/>
        <v>-3.5495785804164325E-4</v>
      </c>
      <c r="D5973">
        <f t="shared" si="202"/>
        <v>-6.557312095795409E-2</v>
      </c>
    </row>
    <row r="5974" spans="1:4" x14ac:dyDescent="0.3">
      <c r="A5974" s="1">
        <v>34600</v>
      </c>
      <c r="B5974">
        <v>757.46002199999998</v>
      </c>
      <c r="C5974">
        <f t="shared" si="203"/>
        <v>-3.9187575511053516E-3</v>
      </c>
      <c r="D5974">
        <f t="shared" si="202"/>
        <v>-0.35066244197114921</v>
      </c>
    </row>
    <row r="5975" spans="1:4" x14ac:dyDescent="0.3">
      <c r="A5975" s="1">
        <v>34603</v>
      </c>
      <c r="B5975">
        <v>755.63000499999998</v>
      </c>
      <c r="C5975">
        <f t="shared" si="203"/>
        <v>-2.4159915333458984E-3</v>
      </c>
      <c r="D5975">
        <f t="shared" si="202"/>
        <v>-0.23044733996118141</v>
      </c>
    </row>
    <row r="5976" spans="1:4" x14ac:dyDescent="0.3">
      <c r="A5976" s="1">
        <v>34604</v>
      </c>
      <c r="B5976">
        <v>755.36999500000002</v>
      </c>
      <c r="C5976">
        <f t="shared" si="203"/>
        <v>-3.4409697640310838E-4</v>
      </c>
      <c r="D5976">
        <f t="shared" si="202"/>
        <v>-6.4704295087083447E-2</v>
      </c>
    </row>
    <row r="5977" spans="1:4" x14ac:dyDescent="0.3">
      <c r="A5977" s="1">
        <v>34605</v>
      </c>
      <c r="B5977">
        <v>760.01000999999997</v>
      </c>
      <c r="C5977">
        <f t="shared" si="203"/>
        <v>6.1427049402458045E-3</v>
      </c>
      <c r="D5977">
        <f t="shared" si="202"/>
        <v>0.45421318435596553</v>
      </c>
    </row>
    <row r="5978" spans="1:4" x14ac:dyDescent="0.3">
      <c r="A5978" s="1">
        <v>34606</v>
      </c>
      <c r="B5978">
        <v>759.34002699999996</v>
      </c>
      <c r="C5978">
        <f t="shared" si="203"/>
        <v>-8.815449680721995E-4</v>
      </c>
      <c r="D5978">
        <f t="shared" si="202"/>
        <v>-0.10769792442126373</v>
      </c>
    </row>
    <row r="5979" spans="1:4" x14ac:dyDescent="0.3">
      <c r="A5979" s="1">
        <v>34607</v>
      </c>
      <c r="B5979">
        <v>764.28997800000002</v>
      </c>
      <c r="C5979">
        <f t="shared" si="203"/>
        <v>6.5187542128607636E-3</v>
      </c>
      <c r="D5979">
        <f t="shared" si="202"/>
        <v>0.48429557984131361</v>
      </c>
    </row>
    <row r="5980" spans="1:4" x14ac:dyDescent="0.3">
      <c r="A5980" s="1">
        <v>34610</v>
      </c>
      <c r="B5980">
        <v>760.88000499999998</v>
      </c>
      <c r="C5980">
        <f t="shared" si="203"/>
        <v>-4.4616220258746299E-3</v>
      </c>
      <c r="D5980">
        <f t="shared" si="202"/>
        <v>-0.39408936768063285</v>
      </c>
    </row>
    <row r="5981" spans="1:4" x14ac:dyDescent="0.3">
      <c r="A5981" s="1">
        <v>34611</v>
      </c>
      <c r="B5981">
        <v>747.29998799999998</v>
      </c>
      <c r="C5981">
        <f t="shared" si="203"/>
        <v>-1.7847777456052347E-2</v>
      </c>
      <c r="D5981">
        <f t="shared" si="202"/>
        <v>-1.4649267578948193</v>
      </c>
    </row>
    <row r="5982" spans="1:4" x14ac:dyDescent="0.3">
      <c r="A5982" s="1">
        <v>34612</v>
      </c>
      <c r="B5982">
        <v>746.28002900000001</v>
      </c>
      <c r="C5982">
        <f t="shared" si="203"/>
        <v>-1.3648588470203103E-3</v>
      </c>
      <c r="D5982">
        <f t="shared" si="202"/>
        <v>-0.14636104733856717</v>
      </c>
    </row>
    <row r="5983" spans="1:4" x14ac:dyDescent="0.3">
      <c r="A5983" s="1">
        <v>34613</v>
      </c>
      <c r="B5983">
        <v>744.19000200000005</v>
      </c>
      <c r="C5983">
        <f t="shared" si="203"/>
        <v>-2.8005935021476551E-3</v>
      </c>
      <c r="D5983">
        <f t="shared" si="202"/>
        <v>-0.26121391597257643</v>
      </c>
    </row>
    <row r="5984" spans="1:4" x14ac:dyDescent="0.3">
      <c r="A5984" s="1">
        <v>34614</v>
      </c>
      <c r="B5984">
        <v>749.96002199999998</v>
      </c>
      <c r="C5984">
        <f t="shared" si="203"/>
        <v>7.7534231641020234E-3</v>
      </c>
      <c r="D5984">
        <f t="shared" si="202"/>
        <v>0.58306401895155069</v>
      </c>
    </row>
    <row r="5985" spans="1:4" x14ac:dyDescent="0.3">
      <c r="A5985" s="1">
        <v>34617</v>
      </c>
      <c r="B5985">
        <v>756.80999799999995</v>
      </c>
      <c r="C5985">
        <f t="shared" si="203"/>
        <v>9.1337882007795478E-3</v>
      </c>
      <c r="D5985">
        <f t="shared" si="202"/>
        <v>0.69348754579080596</v>
      </c>
    </row>
    <row r="5986" spans="1:4" x14ac:dyDescent="0.3">
      <c r="A5986" s="1">
        <v>34618</v>
      </c>
      <c r="B5986">
        <v>765.57000700000003</v>
      </c>
      <c r="C5986">
        <f t="shared" si="203"/>
        <v>1.1574911831437093E-2</v>
      </c>
      <c r="D5986">
        <f t="shared" si="202"/>
        <v>0.88876739828306106</v>
      </c>
    </row>
    <row r="5987" spans="1:4" x14ac:dyDescent="0.3">
      <c r="A5987" s="1">
        <v>34619</v>
      </c>
      <c r="B5987">
        <v>767</v>
      </c>
      <c r="C5987">
        <f t="shared" si="203"/>
        <v>1.8678801245148148E-3</v>
      </c>
      <c r="D5987">
        <f t="shared" si="202"/>
        <v>0.11224477728216246</v>
      </c>
    </row>
    <row r="5988" spans="1:4" x14ac:dyDescent="0.3">
      <c r="A5988" s="1">
        <v>34620</v>
      </c>
      <c r="B5988">
        <v>767.89001499999995</v>
      </c>
      <c r="C5988">
        <f t="shared" si="203"/>
        <v>1.1603846153845482E-3</v>
      </c>
      <c r="D5988">
        <f t="shared" si="202"/>
        <v>5.5648045790658067E-2</v>
      </c>
    </row>
    <row r="5989" spans="1:4" x14ac:dyDescent="0.3">
      <c r="A5989" s="1">
        <v>34621</v>
      </c>
      <c r="B5989">
        <v>767.080017</v>
      </c>
      <c r="C5989">
        <f t="shared" si="203"/>
        <v>-1.0548359585063111E-3</v>
      </c>
      <c r="D5989">
        <f t="shared" si="202"/>
        <v>-0.12156049107918217</v>
      </c>
    </row>
    <row r="5990" spans="1:4" x14ac:dyDescent="0.3">
      <c r="A5990" s="1">
        <v>34624</v>
      </c>
      <c r="B5990">
        <v>765.78002900000001</v>
      </c>
      <c r="C5990">
        <f t="shared" si="203"/>
        <v>-1.6947228075164221E-3</v>
      </c>
      <c r="D5990">
        <f t="shared" si="202"/>
        <v>-0.17274880776954571</v>
      </c>
    </row>
    <row r="5991" spans="1:4" x14ac:dyDescent="0.3">
      <c r="A5991" s="1">
        <v>34625</v>
      </c>
      <c r="B5991">
        <v>764.80999799999995</v>
      </c>
      <c r="C5991">
        <f t="shared" si="203"/>
        <v>-1.2667227705935155E-3</v>
      </c>
      <c r="D5991">
        <f t="shared" si="202"/>
        <v>-0.13851056476238111</v>
      </c>
    </row>
    <row r="5992" spans="1:4" x14ac:dyDescent="0.3">
      <c r="A5992" s="1">
        <v>34626</v>
      </c>
      <c r="B5992">
        <v>770.61999500000002</v>
      </c>
      <c r="C5992">
        <f t="shared" si="203"/>
        <v>7.5966540908112799E-3</v>
      </c>
      <c r="D5992">
        <f t="shared" si="202"/>
        <v>0.57052313772657248</v>
      </c>
    </row>
    <row r="5993" spans="1:4" x14ac:dyDescent="0.3">
      <c r="A5993" s="1">
        <v>34627</v>
      </c>
      <c r="B5993">
        <v>768.23999000000003</v>
      </c>
      <c r="C5993">
        <f t="shared" si="203"/>
        <v>-3.0884288176301249E-3</v>
      </c>
      <c r="D5993">
        <f t="shared" si="202"/>
        <v>-0.28423955762528458</v>
      </c>
    </row>
    <row r="5994" spans="1:4" x14ac:dyDescent="0.3">
      <c r="A5994" s="1">
        <v>34628</v>
      </c>
      <c r="B5994">
        <v>765.38000499999998</v>
      </c>
      <c r="C5994">
        <f t="shared" si="203"/>
        <v>-3.7227754832185335E-3</v>
      </c>
      <c r="D5994">
        <f t="shared" si="202"/>
        <v>-0.33498468242328222</v>
      </c>
    </row>
    <row r="5995" spans="1:4" x14ac:dyDescent="0.3">
      <c r="A5995" s="1">
        <v>34631</v>
      </c>
      <c r="B5995">
        <v>761.21002199999998</v>
      </c>
      <c r="C5995">
        <f t="shared" si="203"/>
        <v>-5.4482518131630606E-3</v>
      </c>
      <c r="D5995">
        <f t="shared" si="202"/>
        <v>-0.47301569361778018</v>
      </c>
    </row>
    <row r="5996" spans="1:4" x14ac:dyDescent="0.3">
      <c r="A5996" s="1">
        <v>34632</v>
      </c>
      <c r="B5996">
        <v>758.26000999999997</v>
      </c>
      <c r="C5996">
        <f t="shared" si="203"/>
        <v>-3.8754245408503243E-3</v>
      </c>
      <c r="D5996">
        <f t="shared" si="202"/>
        <v>-0.34719597933714991</v>
      </c>
    </row>
    <row r="5997" spans="1:4" x14ac:dyDescent="0.3">
      <c r="A5997" s="1">
        <v>34633</v>
      </c>
      <c r="B5997">
        <v>763.23999000000003</v>
      </c>
      <c r="C5997">
        <f t="shared" si="203"/>
        <v>6.5676416193965826E-3</v>
      </c>
      <c r="D5997">
        <f t="shared" si="202"/>
        <v>0.4882063713379623</v>
      </c>
    </row>
    <row r="5998" spans="1:4" x14ac:dyDescent="0.3">
      <c r="A5998" s="1">
        <v>34634</v>
      </c>
      <c r="B5998">
        <v>767.46997099999999</v>
      </c>
      <c r="C5998">
        <f t="shared" si="203"/>
        <v>5.5421375392030389E-3</v>
      </c>
      <c r="D5998">
        <f t="shared" si="202"/>
        <v>0.40617026182045352</v>
      </c>
    </row>
    <row r="5999" spans="1:4" x14ac:dyDescent="0.3">
      <c r="A5999" s="1">
        <v>34635</v>
      </c>
      <c r="B5999">
        <v>776.15002400000003</v>
      </c>
      <c r="C5999">
        <f t="shared" si="203"/>
        <v>1.1309957819835069E-2</v>
      </c>
      <c r="D5999">
        <f t="shared" si="202"/>
        <v>0.86757216685230487</v>
      </c>
    </row>
    <row r="6000" spans="1:4" x14ac:dyDescent="0.3">
      <c r="A6000" s="1">
        <v>34638</v>
      </c>
      <c r="B6000">
        <v>777.48999000000003</v>
      </c>
      <c r="C6000">
        <f t="shared" si="203"/>
        <v>1.726426539413473E-3</v>
      </c>
      <c r="D6000">
        <f t="shared" si="202"/>
        <v>0.10092907213467261</v>
      </c>
    </row>
    <row r="6001" spans="1:4" x14ac:dyDescent="0.3">
      <c r="A6001" s="1">
        <v>34639</v>
      </c>
      <c r="B6001">
        <v>772.19000200000005</v>
      </c>
      <c r="C6001">
        <f t="shared" si="203"/>
        <v>-6.8167925866157901E-3</v>
      </c>
      <c r="D6001">
        <f t="shared" si="202"/>
        <v>-0.58249332802071263</v>
      </c>
    </row>
    <row r="6002" spans="1:4" x14ac:dyDescent="0.3">
      <c r="A6002" s="1">
        <v>34640</v>
      </c>
      <c r="B6002">
        <v>771.82000700000003</v>
      </c>
      <c r="C6002">
        <f t="shared" si="203"/>
        <v>-4.7915020790442346E-4</v>
      </c>
      <c r="D6002">
        <f t="shared" si="202"/>
        <v>-7.5507998264982418E-2</v>
      </c>
    </row>
    <row r="6003" spans="1:4" x14ac:dyDescent="0.3">
      <c r="A6003" s="1">
        <v>34641</v>
      </c>
      <c r="B6003">
        <v>772.09997599999997</v>
      </c>
      <c r="C6003">
        <f t="shared" si="203"/>
        <v>3.6273871817362374E-4</v>
      </c>
      <c r="D6003">
        <f t="shared" si="202"/>
        <v>-8.160346046688154E-3</v>
      </c>
    </row>
    <row r="6004" spans="1:4" x14ac:dyDescent="0.3">
      <c r="A6004" s="1">
        <v>34642</v>
      </c>
      <c r="B6004">
        <v>766.080017</v>
      </c>
      <c r="C6004">
        <f t="shared" si="203"/>
        <v>-7.7968646381617965E-3</v>
      </c>
      <c r="D6004">
        <f t="shared" si="202"/>
        <v>-0.66089506206403648</v>
      </c>
    </row>
    <row r="6005" spans="1:4" x14ac:dyDescent="0.3">
      <c r="A6005" s="1">
        <v>34645</v>
      </c>
      <c r="B6005">
        <v>762.30999799999995</v>
      </c>
      <c r="C6005">
        <f t="shared" si="203"/>
        <v>-4.9211817516968959E-3</v>
      </c>
      <c r="D6005">
        <f t="shared" si="202"/>
        <v>-0.43085225602553001</v>
      </c>
    </row>
    <row r="6006" spans="1:4" x14ac:dyDescent="0.3">
      <c r="A6006" s="1">
        <v>34646</v>
      </c>
      <c r="B6006">
        <v>767.53997800000002</v>
      </c>
      <c r="C6006">
        <f t="shared" si="203"/>
        <v>6.8606997333387583E-3</v>
      </c>
      <c r="D6006">
        <f t="shared" si="202"/>
        <v>0.51164981539117127</v>
      </c>
    </row>
    <row r="6007" spans="1:4" x14ac:dyDescent="0.3">
      <c r="A6007" s="1">
        <v>34647</v>
      </c>
      <c r="B6007">
        <v>767.25</v>
      </c>
      <c r="C6007">
        <f t="shared" si="203"/>
        <v>-3.7780181920376682E-4</v>
      </c>
      <c r="D6007">
        <f t="shared" si="202"/>
        <v>-6.7400543915994385E-2</v>
      </c>
    </row>
    <row r="6008" spans="1:4" x14ac:dyDescent="0.3">
      <c r="A6008" s="1">
        <v>34648</v>
      </c>
      <c r="B6008">
        <v>764.38000499999998</v>
      </c>
      <c r="C6008">
        <f t="shared" si="203"/>
        <v>-3.7406256109482139E-3</v>
      </c>
      <c r="D6008">
        <f t="shared" si="202"/>
        <v>-0.33641261924149285</v>
      </c>
    </row>
    <row r="6009" spans="1:4" x14ac:dyDescent="0.3">
      <c r="A6009" s="1">
        <v>34649</v>
      </c>
      <c r="B6009">
        <v>762.11999500000002</v>
      </c>
      <c r="C6009">
        <f t="shared" si="203"/>
        <v>-2.9566576640109336E-3</v>
      </c>
      <c r="D6009">
        <f t="shared" si="202"/>
        <v>-0.27369840718197058</v>
      </c>
    </row>
    <row r="6010" spans="1:4" x14ac:dyDescent="0.3">
      <c r="A6010" s="1">
        <v>34652</v>
      </c>
      <c r="B6010">
        <v>768.14001499999995</v>
      </c>
      <c r="C6010">
        <f t="shared" si="203"/>
        <v>7.8990448216752687E-3</v>
      </c>
      <c r="D6010">
        <f t="shared" si="202"/>
        <v>0.59471315275757641</v>
      </c>
    </row>
    <row r="6011" spans="1:4" x14ac:dyDescent="0.3">
      <c r="A6011" s="1">
        <v>34653</v>
      </c>
      <c r="B6011">
        <v>769.02002000000005</v>
      </c>
      <c r="C6011">
        <f t="shared" si="203"/>
        <v>1.1456309823933552E-3</v>
      </c>
      <c r="D6011">
        <f t="shared" si="202"/>
        <v>5.4467815818663987E-2</v>
      </c>
    </row>
    <row r="6012" spans="1:4" x14ac:dyDescent="0.3">
      <c r="A6012" s="1">
        <v>34654</v>
      </c>
      <c r="B6012">
        <v>769.64001499999995</v>
      </c>
      <c r="C6012">
        <f t="shared" si="203"/>
        <v>8.0621438177890794E-4</v>
      </c>
      <c r="D6012">
        <f t="shared" si="202"/>
        <v>2.73158834589095E-2</v>
      </c>
    </row>
    <row r="6013" spans="1:4" x14ac:dyDescent="0.3">
      <c r="A6013" s="1">
        <v>34655</v>
      </c>
      <c r="B6013">
        <v>765.84002699999996</v>
      </c>
      <c r="C6013">
        <f t="shared" si="203"/>
        <v>-4.9373576294626329E-3</v>
      </c>
      <c r="D6013">
        <f t="shared" si="202"/>
        <v>-0.4321462597311822</v>
      </c>
    </row>
    <row r="6014" spans="1:4" x14ac:dyDescent="0.3">
      <c r="A6014" s="1">
        <v>34656</v>
      </c>
      <c r="B6014">
        <v>764.669983</v>
      </c>
      <c r="C6014">
        <f t="shared" si="203"/>
        <v>-1.5277916519763751E-3</v>
      </c>
      <c r="D6014">
        <f t="shared" si="202"/>
        <v>-0.15939500175135507</v>
      </c>
    </row>
    <row r="6015" spans="1:4" x14ac:dyDescent="0.3">
      <c r="A6015" s="1">
        <v>34659</v>
      </c>
      <c r="B6015">
        <v>757.73999000000003</v>
      </c>
      <c r="C6015">
        <f t="shared" si="203"/>
        <v>-9.0627239908277757E-3</v>
      </c>
      <c r="D6015">
        <f t="shared" si="202"/>
        <v>-0.76215860503255406</v>
      </c>
    </row>
    <row r="6016" spans="1:4" x14ac:dyDescent="0.3">
      <c r="A6016" s="1">
        <v>34660</v>
      </c>
      <c r="B6016">
        <v>741.21002199999998</v>
      </c>
      <c r="C6016">
        <f t="shared" si="203"/>
        <v>-2.1814828593116821E-2</v>
      </c>
      <c r="D6016">
        <f t="shared" si="202"/>
        <v>-1.78227453624823</v>
      </c>
    </row>
    <row r="6017" spans="1:4" x14ac:dyDescent="0.3">
      <c r="A6017" s="1">
        <v>34661</v>
      </c>
      <c r="B6017">
        <v>736.70001200000002</v>
      </c>
      <c r="C6017">
        <f t="shared" si="203"/>
        <v>-6.0846586880067381E-3</v>
      </c>
      <c r="D6017">
        <f t="shared" si="202"/>
        <v>-0.52392562668456832</v>
      </c>
    </row>
    <row r="6018" spans="1:4" x14ac:dyDescent="0.3">
      <c r="A6018" s="1">
        <v>34663</v>
      </c>
      <c r="B6018">
        <v>742.52002000000005</v>
      </c>
      <c r="C6018">
        <f t="shared" si="203"/>
        <v>7.9001057488784585E-3</v>
      </c>
      <c r="D6018">
        <f t="shared" si="202"/>
        <v>0.5947980225712729</v>
      </c>
    </row>
    <row r="6019" spans="1:4" x14ac:dyDescent="0.3">
      <c r="A6019" s="1">
        <v>34666</v>
      </c>
      <c r="B6019">
        <v>745.72997999999995</v>
      </c>
      <c r="C6019">
        <f t="shared" si="203"/>
        <v>4.3230618886207399E-3</v>
      </c>
      <c r="D6019">
        <f t="shared" ref="D6019:D6082" si="204">(C6019-avrtn)/sdrtn</f>
        <v>0.30864922264289785</v>
      </c>
    </row>
    <row r="6020" spans="1:4" x14ac:dyDescent="0.3">
      <c r="A6020" s="1">
        <v>34667</v>
      </c>
      <c r="B6020">
        <v>751.47997999999995</v>
      </c>
      <c r="C6020">
        <f t="shared" ref="C6020:C6083" si="205">(B6020-B6019)/B6019</f>
        <v>7.7105656929603401E-3</v>
      </c>
      <c r="D6020">
        <f t="shared" si="204"/>
        <v>0.57963559749119042</v>
      </c>
    </row>
    <row r="6021" spans="1:4" x14ac:dyDescent="0.3">
      <c r="A6021" s="1">
        <v>34668</v>
      </c>
      <c r="B6021">
        <v>750.32000700000003</v>
      </c>
      <c r="C6021">
        <f t="shared" si="205"/>
        <v>-1.543584700686135E-3</v>
      </c>
      <c r="D6021">
        <f t="shared" si="204"/>
        <v>-0.16065838070673152</v>
      </c>
    </row>
    <row r="6022" spans="1:4" x14ac:dyDescent="0.3">
      <c r="A6022" s="1">
        <v>34669</v>
      </c>
      <c r="B6022">
        <v>740.60998500000005</v>
      </c>
      <c r="C6022">
        <f t="shared" si="205"/>
        <v>-1.2941174311509436E-2</v>
      </c>
      <c r="D6022">
        <f t="shared" si="204"/>
        <v>-1.0724186824040736</v>
      </c>
    </row>
    <row r="6023" spans="1:4" x14ac:dyDescent="0.3">
      <c r="A6023" s="1">
        <v>34670</v>
      </c>
      <c r="B6023">
        <v>745.02002000000005</v>
      </c>
      <c r="C6023">
        <f t="shared" si="205"/>
        <v>5.9545983571906514E-3</v>
      </c>
      <c r="D6023">
        <f t="shared" si="204"/>
        <v>0.43916543121044466</v>
      </c>
    </row>
    <row r="6024" spans="1:4" x14ac:dyDescent="0.3">
      <c r="A6024" s="1">
        <v>34673</v>
      </c>
      <c r="B6024">
        <v>745.71002199999998</v>
      </c>
      <c r="C6024">
        <f t="shared" si="205"/>
        <v>9.2615229319600802E-4</v>
      </c>
      <c r="D6024">
        <f t="shared" si="204"/>
        <v>3.6910423184638851E-2</v>
      </c>
    </row>
    <row r="6025" spans="1:4" x14ac:dyDescent="0.3">
      <c r="A6025" s="1">
        <v>34674</v>
      </c>
      <c r="B6025">
        <v>741.22997999999995</v>
      </c>
      <c r="C6025">
        <f t="shared" si="205"/>
        <v>-6.0077535071669267E-3</v>
      </c>
      <c r="D6025">
        <f t="shared" si="204"/>
        <v>-0.51777352845337665</v>
      </c>
    </row>
    <row r="6026" spans="1:4" x14ac:dyDescent="0.3">
      <c r="A6026" s="1">
        <v>34675</v>
      </c>
      <c r="B6026">
        <v>734.27002000000005</v>
      </c>
      <c r="C6026">
        <f t="shared" si="205"/>
        <v>-9.3897443273947313E-3</v>
      </c>
      <c r="D6026">
        <f t="shared" si="204"/>
        <v>-0.78831888724225152</v>
      </c>
    </row>
    <row r="6027" spans="1:4" x14ac:dyDescent="0.3">
      <c r="A6027" s="1">
        <v>34676</v>
      </c>
      <c r="B6027">
        <v>719.11999500000002</v>
      </c>
      <c r="C6027">
        <f t="shared" si="205"/>
        <v>-2.0632770761905856E-2</v>
      </c>
      <c r="D6027">
        <f t="shared" si="204"/>
        <v>-1.6877147704021982</v>
      </c>
    </row>
    <row r="6028" spans="1:4" x14ac:dyDescent="0.3">
      <c r="A6028" s="1">
        <v>34677</v>
      </c>
      <c r="B6028">
        <v>719.04998799999998</v>
      </c>
      <c r="C6028">
        <f t="shared" si="205"/>
        <v>-9.7350929590036425E-5</v>
      </c>
      <c r="D6028">
        <f t="shared" si="204"/>
        <v>-4.496562596784482E-2</v>
      </c>
    </row>
    <row r="6029" spans="1:4" x14ac:dyDescent="0.3">
      <c r="A6029" s="1">
        <v>34680</v>
      </c>
      <c r="B6029">
        <v>719.11999500000002</v>
      </c>
      <c r="C6029">
        <f t="shared" si="205"/>
        <v>9.7360407716232862E-5</v>
      </c>
      <c r="D6029">
        <f t="shared" si="204"/>
        <v>-2.9389519641146396E-2</v>
      </c>
    </row>
    <row r="6030" spans="1:4" x14ac:dyDescent="0.3">
      <c r="A6030" s="1">
        <v>34681</v>
      </c>
      <c r="B6030">
        <v>719.48999000000003</v>
      </c>
      <c r="C6030">
        <f t="shared" si="205"/>
        <v>5.1451079454412497E-4</v>
      </c>
      <c r="D6030">
        <f t="shared" si="204"/>
        <v>3.9807959724448214E-3</v>
      </c>
    </row>
    <row r="6031" spans="1:4" x14ac:dyDescent="0.3">
      <c r="A6031" s="1">
        <v>34682</v>
      </c>
      <c r="B6031">
        <v>725.669983</v>
      </c>
      <c r="C6031">
        <f t="shared" si="205"/>
        <v>8.5894078943335502E-3</v>
      </c>
      <c r="D6031">
        <f t="shared" si="204"/>
        <v>0.6499393597803218</v>
      </c>
    </row>
    <row r="6032" spans="1:4" x14ac:dyDescent="0.3">
      <c r="A6032" s="1">
        <v>34683</v>
      </c>
      <c r="B6032">
        <v>730.67999299999997</v>
      </c>
      <c r="C6032">
        <f t="shared" si="205"/>
        <v>6.9039785541190916E-3</v>
      </c>
      <c r="D6032">
        <f t="shared" si="204"/>
        <v>0.51511194309002351</v>
      </c>
    </row>
    <row r="6033" spans="1:4" x14ac:dyDescent="0.3">
      <c r="A6033" s="1">
        <v>34684</v>
      </c>
      <c r="B6033">
        <v>729.07000700000003</v>
      </c>
      <c r="C6033">
        <f t="shared" si="205"/>
        <v>-2.2034078056382958E-3</v>
      </c>
      <c r="D6033">
        <f t="shared" si="204"/>
        <v>-0.21344151589408478</v>
      </c>
    </row>
    <row r="6034" spans="1:4" x14ac:dyDescent="0.3">
      <c r="A6034" s="1">
        <v>34687</v>
      </c>
      <c r="B6034">
        <v>727.89001499999995</v>
      </c>
      <c r="C6034">
        <f t="shared" si="205"/>
        <v>-1.6184892927574291E-3</v>
      </c>
      <c r="D6034">
        <f t="shared" si="204"/>
        <v>-0.16665044006291202</v>
      </c>
    </row>
    <row r="6035" spans="1:4" x14ac:dyDescent="0.3">
      <c r="A6035" s="1">
        <v>34688</v>
      </c>
      <c r="B6035">
        <v>728.51000999999997</v>
      </c>
      <c r="C6035">
        <f t="shared" si="205"/>
        <v>8.5177016750259617E-4</v>
      </c>
      <c r="D6035">
        <f t="shared" si="204"/>
        <v>3.0960158990294345E-2</v>
      </c>
    </row>
    <row r="6036" spans="1:4" x14ac:dyDescent="0.3">
      <c r="A6036" s="1">
        <v>34689</v>
      </c>
      <c r="B6036">
        <v>737.11999500000002</v>
      </c>
      <c r="C6036">
        <f t="shared" si="205"/>
        <v>1.1818622780488702E-2</v>
      </c>
      <c r="D6036">
        <f t="shared" si="204"/>
        <v>0.90826327206177926</v>
      </c>
    </row>
    <row r="6037" spans="1:4" x14ac:dyDescent="0.3">
      <c r="A6037" s="1">
        <v>34690</v>
      </c>
      <c r="B6037">
        <v>739.34002699999996</v>
      </c>
      <c r="C6037">
        <f t="shared" si="205"/>
        <v>3.0117647263115505E-3</v>
      </c>
      <c r="D6037">
        <f t="shared" si="204"/>
        <v>0.2037508417443131</v>
      </c>
    </row>
    <row r="6038" spans="1:4" x14ac:dyDescent="0.3">
      <c r="A6038" s="1">
        <v>34691</v>
      </c>
      <c r="B6038">
        <v>742.19000200000005</v>
      </c>
      <c r="C6038">
        <f t="shared" si="205"/>
        <v>3.8547554520541143E-3</v>
      </c>
      <c r="D6038">
        <f t="shared" si="204"/>
        <v>0.27118663340514143</v>
      </c>
    </row>
    <row r="6039" spans="1:4" x14ac:dyDescent="0.3">
      <c r="A6039" s="1">
        <v>34695</v>
      </c>
      <c r="B6039">
        <v>746.19000200000005</v>
      </c>
      <c r="C6039">
        <f t="shared" si="205"/>
        <v>5.3894555157319403E-3</v>
      </c>
      <c r="D6039">
        <f t="shared" si="204"/>
        <v>0.39395632777499756</v>
      </c>
    </row>
    <row r="6040" spans="1:4" x14ac:dyDescent="0.3">
      <c r="A6040" s="1">
        <v>34696</v>
      </c>
      <c r="B6040">
        <v>742.46002199999998</v>
      </c>
      <c r="C6040">
        <f t="shared" si="205"/>
        <v>-4.9987000495888018E-3</v>
      </c>
      <c r="D6040">
        <f t="shared" si="204"/>
        <v>-0.43705340109973695</v>
      </c>
    </row>
    <row r="6041" spans="1:4" x14ac:dyDescent="0.3">
      <c r="A6041" s="1">
        <v>34697</v>
      </c>
      <c r="B6041">
        <v>749.53002900000001</v>
      </c>
      <c r="C6041">
        <f t="shared" si="205"/>
        <v>9.5224076590079785E-3</v>
      </c>
      <c r="D6041">
        <f t="shared" si="204"/>
        <v>0.72457550443631957</v>
      </c>
    </row>
    <row r="6042" spans="1:4" x14ac:dyDescent="0.3">
      <c r="A6042" s="1">
        <v>34698</v>
      </c>
      <c r="B6042">
        <v>751.96002199999998</v>
      </c>
      <c r="C6042">
        <f t="shared" si="205"/>
        <v>3.2420222085591285E-3</v>
      </c>
      <c r="D6042">
        <f t="shared" si="204"/>
        <v>0.22217049349969484</v>
      </c>
    </row>
    <row r="6043" spans="1:4" x14ac:dyDescent="0.3">
      <c r="A6043" s="1">
        <v>34702</v>
      </c>
      <c r="B6043">
        <v>743.580017</v>
      </c>
      <c r="C6043">
        <f t="shared" si="205"/>
        <v>-1.1144216121638423E-2</v>
      </c>
      <c r="D6043">
        <f t="shared" si="204"/>
        <v>-0.92866941635062106</v>
      </c>
    </row>
    <row r="6044" spans="1:4" x14ac:dyDescent="0.3">
      <c r="A6044" s="1">
        <v>34703</v>
      </c>
      <c r="B6044">
        <v>745.84002699999996</v>
      </c>
      <c r="C6044">
        <f t="shared" si="205"/>
        <v>3.0393635497603286E-3</v>
      </c>
      <c r="D6044">
        <f t="shared" si="204"/>
        <v>0.20595863413317522</v>
      </c>
    </row>
    <row r="6045" spans="1:4" x14ac:dyDescent="0.3">
      <c r="A6045" s="1">
        <v>34704</v>
      </c>
      <c r="B6045">
        <v>745.65997300000004</v>
      </c>
      <c r="C6045">
        <f t="shared" si="205"/>
        <v>-2.4141101775425005E-4</v>
      </c>
      <c r="D6045">
        <f t="shared" si="204"/>
        <v>-5.6489840642359769E-2</v>
      </c>
    </row>
    <row r="6046" spans="1:4" x14ac:dyDescent="0.3">
      <c r="A6046" s="1">
        <v>34705</v>
      </c>
      <c r="B6046">
        <v>749.69000200000005</v>
      </c>
      <c r="C6046">
        <f t="shared" si="205"/>
        <v>5.4046470857032486E-3</v>
      </c>
      <c r="D6046">
        <f t="shared" si="204"/>
        <v>0.39517159090459325</v>
      </c>
    </row>
    <row r="6047" spans="1:4" x14ac:dyDescent="0.3">
      <c r="A6047" s="1">
        <v>34708</v>
      </c>
      <c r="B6047">
        <v>752.09002699999996</v>
      </c>
      <c r="C6047">
        <f t="shared" si="205"/>
        <v>3.2013565521711654E-3</v>
      </c>
      <c r="D6047">
        <f t="shared" si="204"/>
        <v>0.21891740820683603</v>
      </c>
    </row>
    <row r="6048" spans="1:4" x14ac:dyDescent="0.3">
      <c r="A6048" s="1">
        <v>34709</v>
      </c>
      <c r="B6048">
        <v>756.52002000000005</v>
      </c>
      <c r="C6048">
        <f t="shared" si="205"/>
        <v>5.8902429775206707E-3</v>
      </c>
      <c r="D6048">
        <f t="shared" si="204"/>
        <v>0.43401726546774866</v>
      </c>
    </row>
    <row r="6049" spans="1:4" x14ac:dyDescent="0.3">
      <c r="A6049" s="1">
        <v>34710</v>
      </c>
      <c r="B6049">
        <v>755.73999000000003</v>
      </c>
      <c r="C6049">
        <f t="shared" si="205"/>
        <v>-1.0310764809634656E-3</v>
      </c>
      <c r="D6049">
        <f t="shared" si="204"/>
        <v>-0.11965983057530996</v>
      </c>
    </row>
    <row r="6050" spans="1:4" x14ac:dyDescent="0.3">
      <c r="A6050" s="1">
        <v>34711</v>
      </c>
      <c r="B6050">
        <v>756.51000999999997</v>
      </c>
      <c r="C6050">
        <f t="shared" si="205"/>
        <v>1.0188954007845097E-3</v>
      </c>
      <c r="D6050">
        <f t="shared" si="204"/>
        <v>4.4329490429781855E-2</v>
      </c>
    </row>
    <row r="6051" spans="1:4" x14ac:dyDescent="0.3">
      <c r="A6051" s="1">
        <v>34712</v>
      </c>
      <c r="B6051">
        <v>762.15997300000004</v>
      </c>
      <c r="C6051">
        <f t="shared" si="205"/>
        <v>7.4684576876914962E-3</v>
      </c>
      <c r="D6051">
        <f t="shared" si="204"/>
        <v>0.56026795262374918</v>
      </c>
    </row>
    <row r="6052" spans="1:4" x14ac:dyDescent="0.3">
      <c r="A6052" s="1">
        <v>34715</v>
      </c>
      <c r="B6052">
        <v>768.15997300000004</v>
      </c>
      <c r="C6052">
        <f t="shared" si="205"/>
        <v>7.8723630373593485E-3</v>
      </c>
      <c r="D6052">
        <f t="shared" si="204"/>
        <v>0.59257871972845544</v>
      </c>
    </row>
    <row r="6053" spans="1:4" x14ac:dyDescent="0.3">
      <c r="A6053" s="1">
        <v>34716</v>
      </c>
      <c r="B6053">
        <v>772.14001499999995</v>
      </c>
      <c r="C6053">
        <f t="shared" si="205"/>
        <v>5.1812671056734585E-3</v>
      </c>
      <c r="D6053">
        <f t="shared" si="204"/>
        <v>0.37730211104617645</v>
      </c>
    </row>
    <row r="6054" spans="1:4" x14ac:dyDescent="0.3">
      <c r="A6054" s="1">
        <v>34717</v>
      </c>
      <c r="B6054">
        <v>772.38000499999998</v>
      </c>
      <c r="C6054">
        <f t="shared" si="205"/>
        <v>3.1081150482796099E-4</v>
      </c>
      <c r="D6054">
        <f t="shared" si="204"/>
        <v>-1.2314309588364028E-2</v>
      </c>
    </row>
    <row r="6055" spans="1:4" x14ac:dyDescent="0.3">
      <c r="A6055" s="1">
        <v>34718</v>
      </c>
      <c r="B6055">
        <v>768.54998799999998</v>
      </c>
      <c r="C6055">
        <f t="shared" si="205"/>
        <v>-4.9587210637333859E-3</v>
      </c>
      <c r="D6055">
        <f t="shared" si="204"/>
        <v>-0.43385524662587577</v>
      </c>
    </row>
    <row r="6056" spans="1:4" x14ac:dyDescent="0.3">
      <c r="A6056" s="1">
        <v>34719</v>
      </c>
      <c r="B6056">
        <v>762.04998799999998</v>
      </c>
      <c r="C6056">
        <f t="shared" si="205"/>
        <v>-8.4574850061672237E-3</v>
      </c>
      <c r="D6056">
        <f t="shared" si="204"/>
        <v>-0.71374197501728576</v>
      </c>
    </row>
    <row r="6057" spans="1:4" x14ac:dyDescent="0.3">
      <c r="A6057" s="1">
        <v>34722</v>
      </c>
      <c r="B6057">
        <v>759.51000999999997</v>
      </c>
      <c r="C6057">
        <f t="shared" si="205"/>
        <v>-3.3330858080139738E-3</v>
      </c>
      <c r="D6057">
        <f t="shared" si="204"/>
        <v>-0.30381111082043671</v>
      </c>
    </row>
    <row r="6058" spans="1:4" x14ac:dyDescent="0.3">
      <c r="A6058" s="1">
        <v>34723</v>
      </c>
      <c r="B6058">
        <v>763.20001200000002</v>
      </c>
      <c r="C6058">
        <f t="shared" si="205"/>
        <v>4.8583981138050434E-3</v>
      </c>
      <c r="D6058">
        <f t="shared" si="204"/>
        <v>0.35147391934193078</v>
      </c>
    </row>
    <row r="6059" spans="1:4" x14ac:dyDescent="0.3">
      <c r="A6059" s="1">
        <v>34724</v>
      </c>
      <c r="B6059">
        <v>760.97997999999995</v>
      </c>
      <c r="C6059">
        <f t="shared" si="205"/>
        <v>-2.9088469144312071E-3</v>
      </c>
      <c r="D6059">
        <f t="shared" si="204"/>
        <v>-0.26987374381456947</v>
      </c>
    </row>
    <row r="6060" spans="1:4" x14ac:dyDescent="0.3">
      <c r="A6060" s="1">
        <v>34725</v>
      </c>
      <c r="B6060">
        <v>757.55999799999995</v>
      </c>
      <c r="C6060">
        <f t="shared" si="205"/>
        <v>-4.4941813055318549E-3</v>
      </c>
      <c r="D6060">
        <f t="shared" si="204"/>
        <v>-0.39669397616865293</v>
      </c>
    </row>
    <row r="6061" spans="1:4" x14ac:dyDescent="0.3">
      <c r="A6061" s="1">
        <v>34726</v>
      </c>
      <c r="B6061">
        <v>758.90997300000004</v>
      </c>
      <c r="C6061">
        <f t="shared" si="205"/>
        <v>1.7820040703892682E-3</v>
      </c>
      <c r="D6061">
        <f t="shared" si="204"/>
        <v>0.1053750460765633</v>
      </c>
    </row>
    <row r="6062" spans="1:4" x14ac:dyDescent="0.3">
      <c r="A6062" s="1">
        <v>34729</v>
      </c>
      <c r="B6062">
        <v>751.830017</v>
      </c>
      <c r="C6062">
        <f t="shared" si="205"/>
        <v>-9.3291118207508884E-3</v>
      </c>
      <c r="D6062">
        <f t="shared" si="204"/>
        <v>-0.78346853603310118</v>
      </c>
    </row>
    <row r="6063" spans="1:4" x14ac:dyDescent="0.3">
      <c r="A6063" s="1">
        <v>34730</v>
      </c>
      <c r="B6063">
        <v>755.20001200000002</v>
      </c>
      <c r="C6063">
        <f t="shared" si="205"/>
        <v>4.4823895346014324E-3</v>
      </c>
      <c r="D6063">
        <f t="shared" si="204"/>
        <v>0.32139477916215825</v>
      </c>
    </row>
    <row r="6064" spans="1:4" x14ac:dyDescent="0.3">
      <c r="A6064" s="1">
        <v>34731</v>
      </c>
      <c r="B6064">
        <v>758.30999799999995</v>
      </c>
      <c r="C6064">
        <f t="shared" si="205"/>
        <v>4.1180958032081376E-3</v>
      </c>
      <c r="D6064">
        <f t="shared" si="204"/>
        <v>0.29225277863546895</v>
      </c>
    </row>
    <row r="6065" spans="1:4" x14ac:dyDescent="0.3">
      <c r="A6065" s="1">
        <v>34732</v>
      </c>
      <c r="B6065">
        <v>763.64001499999995</v>
      </c>
      <c r="C6065">
        <f t="shared" si="205"/>
        <v>7.0288101357724661E-3</v>
      </c>
      <c r="D6065">
        <f t="shared" si="204"/>
        <v>0.52509795631176259</v>
      </c>
    </row>
    <row r="6066" spans="1:4" x14ac:dyDescent="0.3">
      <c r="A6066" s="1">
        <v>34733</v>
      </c>
      <c r="B6066">
        <v>772.05999799999995</v>
      </c>
      <c r="C6066">
        <f t="shared" si="205"/>
        <v>1.1026115492389438E-2</v>
      </c>
      <c r="D6066">
        <f t="shared" si="204"/>
        <v>0.84486594782327895</v>
      </c>
    </row>
    <row r="6067" spans="1:4" x14ac:dyDescent="0.3">
      <c r="A6067" s="1">
        <v>34736</v>
      </c>
      <c r="B6067">
        <v>778.84997599999997</v>
      </c>
      <c r="C6067">
        <f t="shared" si="205"/>
        <v>8.7946247928778459E-3</v>
      </c>
      <c r="D6067">
        <f t="shared" si="204"/>
        <v>0.66635586780693634</v>
      </c>
    </row>
    <row r="6068" spans="1:4" x14ac:dyDescent="0.3">
      <c r="A6068" s="1">
        <v>34737</v>
      </c>
      <c r="B6068">
        <v>778.96997099999999</v>
      </c>
      <c r="C6068">
        <f t="shared" si="205"/>
        <v>1.5406689824436378E-4</v>
      </c>
      <c r="D6068">
        <f t="shared" si="204"/>
        <v>-2.4853233577378269E-2</v>
      </c>
    </row>
    <row r="6069" spans="1:4" x14ac:dyDescent="0.3">
      <c r="A6069" s="1">
        <v>34738</v>
      </c>
      <c r="B6069">
        <v>783.77002000000005</v>
      </c>
      <c r="C6069">
        <f t="shared" si="205"/>
        <v>6.1620462645537053E-3</v>
      </c>
      <c r="D6069">
        <f t="shared" si="204"/>
        <v>0.45576041076859686</v>
      </c>
    </row>
    <row r="6070" spans="1:4" x14ac:dyDescent="0.3">
      <c r="A6070" s="1">
        <v>34739</v>
      </c>
      <c r="B6070">
        <v>785.44000200000005</v>
      </c>
      <c r="C6070">
        <f t="shared" si="205"/>
        <v>2.1307041062887354E-3</v>
      </c>
      <c r="D6070">
        <f t="shared" si="204"/>
        <v>0.13326961508540539</v>
      </c>
    </row>
    <row r="6071" spans="1:4" x14ac:dyDescent="0.3">
      <c r="A6071" s="1">
        <v>34740</v>
      </c>
      <c r="B6071">
        <v>790.42999299999997</v>
      </c>
      <c r="C6071">
        <f t="shared" si="205"/>
        <v>6.3531154350347412E-3</v>
      </c>
      <c r="D6071">
        <f t="shared" si="204"/>
        <v>0.47104515872595604</v>
      </c>
    </row>
    <row r="6072" spans="1:4" x14ac:dyDescent="0.3">
      <c r="A6072" s="1">
        <v>34743</v>
      </c>
      <c r="B6072">
        <v>789.419983</v>
      </c>
      <c r="C6072">
        <f t="shared" si="205"/>
        <v>-1.2777981718109801E-3</v>
      </c>
      <c r="D6072">
        <f t="shared" si="204"/>
        <v>-0.13939655131745632</v>
      </c>
    </row>
    <row r="6073" spans="1:4" x14ac:dyDescent="0.3">
      <c r="A6073" s="1">
        <v>34744</v>
      </c>
      <c r="B6073">
        <v>790.61999500000002</v>
      </c>
      <c r="C6073">
        <f t="shared" si="205"/>
        <v>1.520118600798094E-3</v>
      </c>
      <c r="D6073">
        <f t="shared" si="204"/>
        <v>8.4425285388754934E-2</v>
      </c>
    </row>
    <row r="6074" spans="1:4" x14ac:dyDescent="0.3">
      <c r="A6074" s="1">
        <v>34745</v>
      </c>
      <c r="B6074">
        <v>795.63000499999998</v>
      </c>
      <c r="C6074">
        <f t="shared" si="205"/>
        <v>6.3368116562748525E-3</v>
      </c>
      <c r="D6074">
        <f t="shared" si="204"/>
        <v>0.46974092346670382</v>
      </c>
    </row>
    <row r="6075" spans="1:4" x14ac:dyDescent="0.3">
      <c r="A6075" s="1">
        <v>34746</v>
      </c>
      <c r="B6075">
        <v>793.30999799999995</v>
      </c>
      <c r="C6075">
        <f t="shared" si="205"/>
        <v>-2.9159370378446605E-3</v>
      </c>
      <c r="D6075">
        <f t="shared" si="204"/>
        <v>-0.27044092453288404</v>
      </c>
    </row>
    <row r="6076" spans="1:4" x14ac:dyDescent="0.3">
      <c r="A6076" s="1">
        <v>34747</v>
      </c>
      <c r="B6076">
        <v>786.96997099999999</v>
      </c>
      <c r="C6076">
        <f t="shared" si="205"/>
        <v>-7.9918657472913442E-3</v>
      </c>
      <c r="D6076">
        <f t="shared" si="204"/>
        <v>-0.67649434894504823</v>
      </c>
    </row>
    <row r="6077" spans="1:4" x14ac:dyDescent="0.3">
      <c r="A6077" s="1">
        <v>34751</v>
      </c>
      <c r="B6077">
        <v>784.61999500000002</v>
      </c>
      <c r="C6077">
        <f t="shared" si="205"/>
        <v>-2.9861063148494261E-3</v>
      </c>
      <c r="D6077">
        <f t="shared" si="204"/>
        <v>-0.27605417815547417</v>
      </c>
    </row>
    <row r="6078" spans="1:4" x14ac:dyDescent="0.3">
      <c r="A6078" s="1">
        <v>34752</v>
      </c>
      <c r="B6078">
        <v>787.92999299999997</v>
      </c>
      <c r="C6078">
        <f t="shared" si="205"/>
        <v>4.2186001135491712E-3</v>
      </c>
      <c r="D6078">
        <f t="shared" si="204"/>
        <v>0.30029271018655812</v>
      </c>
    </row>
    <row r="6079" spans="1:4" x14ac:dyDescent="0.3">
      <c r="A6079" s="1">
        <v>34753</v>
      </c>
      <c r="B6079">
        <v>791.34997599999997</v>
      </c>
      <c r="C6079">
        <f t="shared" si="205"/>
        <v>4.3404655621479844E-3</v>
      </c>
      <c r="D6079">
        <f t="shared" si="204"/>
        <v>0.31004144496074426</v>
      </c>
    </row>
    <row r="6080" spans="1:4" x14ac:dyDescent="0.3">
      <c r="A6080" s="1">
        <v>34754</v>
      </c>
      <c r="B6080">
        <v>791.080017</v>
      </c>
      <c r="C6080">
        <f t="shared" si="205"/>
        <v>-3.4113730737002216E-4</v>
      </c>
      <c r="D6080">
        <f t="shared" si="204"/>
        <v>-6.4467533734668334E-2</v>
      </c>
    </row>
    <row r="6081" spans="1:4" x14ac:dyDescent="0.3">
      <c r="A6081" s="1">
        <v>34757</v>
      </c>
      <c r="B6081">
        <v>784.5</v>
      </c>
      <c r="C6081">
        <f t="shared" si="205"/>
        <v>-8.3177641434469436E-3</v>
      </c>
      <c r="D6081">
        <f t="shared" si="204"/>
        <v>-0.70256488053528376</v>
      </c>
    </row>
    <row r="6082" spans="1:4" x14ac:dyDescent="0.3">
      <c r="A6082" s="1">
        <v>34758</v>
      </c>
      <c r="B6082">
        <v>793.72997999999995</v>
      </c>
      <c r="C6082">
        <f t="shared" si="205"/>
        <v>1.176543021032499E-2</v>
      </c>
      <c r="D6082">
        <f t="shared" si="204"/>
        <v>0.90400808517783782</v>
      </c>
    </row>
    <row r="6083" spans="1:4" x14ac:dyDescent="0.3">
      <c r="A6083" s="1">
        <v>34759</v>
      </c>
      <c r="B6083">
        <v>791.86999500000002</v>
      </c>
      <c r="C6083">
        <f t="shared" si="205"/>
        <v>-2.3433472929924328E-3</v>
      </c>
      <c r="D6083">
        <f t="shared" ref="D6083:D6146" si="206">(C6083-avrtn)/sdrtn</f>
        <v>-0.22463609944780538</v>
      </c>
    </row>
    <row r="6084" spans="1:4" x14ac:dyDescent="0.3">
      <c r="A6084" s="1">
        <v>34760</v>
      </c>
      <c r="B6084">
        <v>793.67999299999997</v>
      </c>
      <c r="C6084">
        <f t="shared" ref="C6084:C6147" si="207">(B6084-B6083)/B6083</f>
        <v>2.2857262068629717E-3</v>
      </c>
      <c r="D6084">
        <f t="shared" si="206"/>
        <v>0.14567074567665778</v>
      </c>
    </row>
    <row r="6085" spans="1:4" x14ac:dyDescent="0.3">
      <c r="A6085" s="1">
        <v>34761</v>
      </c>
      <c r="B6085">
        <v>798.78997800000002</v>
      </c>
      <c r="C6085">
        <f t="shared" si="207"/>
        <v>6.4383442257187548E-3</v>
      </c>
      <c r="D6085">
        <f t="shared" si="206"/>
        <v>0.47786311151779576</v>
      </c>
    </row>
    <row r="6086" spans="1:4" x14ac:dyDescent="0.3">
      <c r="A6086" s="1">
        <v>34764</v>
      </c>
      <c r="B6086">
        <v>797.77002000000005</v>
      </c>
      <c r="C6086">
        <f t="shared" si="207"/>
        <v>-1.2768788143207952E-3</v>
      </c>
      <c r="D6086">
        <f t="shared" si="206"/>
        <v>-0.13932300649866214</v>
      </c>
    </row>
    <row r="6087" spans="1:4" x14ac:dyDescent="0.3">
      <c r="A6087" s="1">
        <v>34765</v>
      </c>
      <c r="B6087">
        <v>791.330017</v>
      </c>
      <c r="C6087">
        <f t="shared" si="207"/>
        <v>-8.0725056577082791E-3</v>
      </c>
      <c r="D6087">
        <f t="shared" si="206"/>
        <v>-0.68294521018511012</v>
      </c>
    </row>
    <row r="6088" spans="1:4" x14ac:dyDescent="0.3">
      <c r="A6088" s="1">
        <v>34766</v>
      </c>
      <c r="B6088">
        <v>795.80999799999995</v>
      </c>
      <c r="C6088">
        <f t="shared" si="207"/>
        <v>5.6613308022662213E-3</v>
      </c>
      <c r="D6088">
        <f t="shared" si="206"/>
        <v>0.4157052327398818</v>
      </c>
    </row>
    <row r="6089" spans="1:4" x14ac:dyDescent="0.3">
      <c r="A6089" s="1">
        <v>34767</v>
      </c>
      <c r="B6089">
        <v>796.23999000000003</v>
      </c>
      <c r="C6089">
        <f t="shared" si="207"/>
        <v>5.4031992696840171E-4</v>
      </c>
      <c r="D6089">
        <f t="shared" si="206"/>
        <v>6.0454204386002942E-3</v>
      </c>
    </row>
    <row r="6090" spans="1:4" x14ac:dyDescent="0.3">
      <c r="A6090" s="1">
        <v>34768</v>
      </c>
      <c r="B6090">
        <v>802.21997099999999</v>
      </c>
      <c r="C6090">
        <f t="shared" si="207"/>
        <v>7.5102746346612809E-3</v>
      </c>
      <c r="D6090">
        <f t="shared" si="206"/>
        <v>0.56361313642901856</v>
      </c>
    </row>
    <row r="6091" spans="1:4" x14ac:dyDescent="0.3">
      <c r="A6091" s="1">
        <v>34771</v>
      </c>
      <c r="B6091">
        <v>802.30999799999995</v>
      </c>
      <c r="C6091">
        <f t="shared" si="207"/>
        <v>1.1222233708261006E-4</v>
      </c>
      <c r="D6091">
        <f t="shared" si="206"/>
        <v>-2.8200626404454934E-2</v>
      </c>
    </row>
    <row r="6092" spans="1:4" x14ac:dyDescent="0.3">
      <c r="A6092" s="1">
        <v>34772</v>
      </c>
      <c r="B6092">
        <v>808.23999000000003</v>
      </c>
      <c r="C6092">
        <f t="shared" si="207"/>
        <v>7.3911480784015909E-3</v>
      </c>
      <c r="D6092">
        <f t="shared" si="206"/>
        <v>0.55408350177956966</v>
      </c>
    </row>
    <row r="6093" spans="1:4" x14ac:dyDescent="0.3">
      <c r="A6093" s="1">
        <v>34773</v>
      </c>
      <c r="B6093">
        <v>807.38000499999998</v>
      </c>
      <c r="C6093">
        <f t="shared" si="207"/>
        <v>-1.064021838365176E-3</v>
      </c>
      <c r="D6093">
        <f t="shared" si="206"/>
        <v>-0.12229532369532768</v>
      </c>
    </row>
    <row r="6094" spans="1:4" x14ac:dyDescent="0.3">
      <c r="A6094" s="1">
        <v>34774</v>
      </c>
      <c r="B6094">
        <v>809.34002699999996</v>
      </c>
      <c r="C6094">
        <f t="shared" si="207"/>
        <v>2.4276325743290868E-3</v>
      </c>
      <c r="D6094">
        <f t="shared" si="206"/>
        <v>0.15702267155147728</v>
      </c>
    </row>
    <row r="6095" spans="1:4" x14ac:dyDescent="0.3">
      <c r="A6095" s="1">
        <v>34775</v>
      </c>
      <c r="B6095">
        <v>808.330017</v>
      </c>
      <c r="C6095">
        <f t="shared" si="207"/>
        <v>-1.2479427265494256E-3</v>
      </c>
      <c r="D6095">
        <f t="shared" si="206"/>
        <v>-0.13700823846285645</v>
      </c>
    </row>
    <row r="6096" spans="1:4" x14ac:dyDescent="0.3">
      <c r="A6096" s="1">
        <v>34778</v>
      </c>
      <c r="B6096">
        <v>810.48999000000003</v>
      </c>
      <c r="C6096">
        <f t="shared" si="207"/>
        <v>2.6721425093385299E-3</v>
      </c>
      <c r="D6096">
        <f t="shared" si="206"/>
        <v>0.17658246092137228</v>
      </c>
    </row>
    <row r="6097" spans="1:4" x14ac:dyDescent="0.3">
      <c r="A6097" s="1">
        <v>34779</v>
      </c>
      <c r="B6097">
        <v>809.78002900000001</v>
      </c>
      <c r="C6097">
        <f t="shared" si="207"/>
        <v>-8.7596516768827844E-4</v>
      </c>
      <c r="D6097">
        <f t="shared" si="206"/>
        <v>-0.10725156333482631</v>
      </c>
    </row>
    <row r="6098" spans="1:4" x14ac:dyDescent="0.3">
      <c r="A6098" s="1">
        <v>34780</v>
      </c>
      <c r="B6098">
        <v>809.09997599999997</v>
      </c>
      <c r="C6098">
        <f t="shared" si="207"/>
        <v>-8.3979966860857661E-4</v>
      </c>
      <c r="D6098">
        <f t="shared" si="206"/>
        <v>-0.10435847212187099</v>
      </c>
    </row>
    <row r="6099" spans="1:4" x14ac:dyDescent="0.3">
      <c r="A6099" s="1">
        <v>34781</v>
      </c>
      <c r="B6099">
        <v>811.39001499999995</v>
      </c>
      <c r="C6099">
        <f t="shared" si="207"/>
        <v>2.830353563129977E-3</v>
      </c>
      <c r="D6099">
        <f t="shared" si="206"/>
        <v>0.18923869465694756</v>
      </c>
    </row>
    <row r="6100" spans="1:4" x14ac:dyDescent="0.3">
      <c r="A6100" s="1">
        <v>34782</v>
      </c>
      <c r="B6100">
        <v>818.65997300000004</v>
      </c>
      <c r="C6100">
        <f t="shared" si="207"/>
        <v>8.959881025896144E-3</v>
      </c>
      <c r="D6100">
        <f t="shared" si="206"/>
        <v>0.67957568691070969</v>
      </c>
    </row>
    <row r="6101" spans="1:4" x14ac:dyDescent="0.3">
      <c r="A6101" s="1">
        <v>34785</v>
      </c>
      <c r="B6101">
        <v>822.63000499999998</v>
      </c>
      <c r="C6101">
        <f t="shared" si="207"/>
        <v>4.8494272725361966E-3</v>
      </c>
      <c r="D6101">
        <f t="shared" si="206"/>
        <v>0.35075628892874278</v>
      </c>
    </row>
    <row r="6102" spans="1:4" x14ac:dyDescent="0.3">
      <c r="A6102" s="1">
        <v>34786</v>
      </c>
      <c r="B6102">
        <v>826.14001499999995</v>
      </c>
      <c r="C6102">
        <f t="shared" si="207"/>
        <v>4.2668149455598395E-3</v>
      </c>
      <c r="D6102">
        <f t="shared" si="206"/>
        <v>0.30414969848683771</v>
      </c>
    </row>
    <row r="6103" spans="1:4" x14ac:dyDescent="0.3">
      <c r="A6103" s="1">
        <v>34787</v>
      </c>
      <c r="B6103">
        <v>819.15997300000004</v>
      </c>
      <c r="C6103">
        <f t="shared" si="207"/>
        <v>-8.4489818593279399E-3</v>
      </c>
      <c r="D6103">
        <f t="shared" si="206"/>
        <v>-0.71306175823529172</v>
      </c>
    </row>
    <row r="6104" spans="1:4" x14ac:dyDescent="0.3">
      <c r="A6104" s="1">
        <v>34788</v>
      </c>
      <c r="B6104">
        <v>816.85998500000005</v>
      </c>
      <c r="C6104">
        <f t="shared" si="207"/>
        <v>-2.8077397282691508E-3</v>
      </c>
      <c r="D6104">
        <f t="shared" si="206"/>
        <v>-0.26178558467683871</v>
      </c>
    </row>
    <row r="6105" spans="1:4" x14ac:dyDescent="0.3">
      <c r="A6105" s="1">
        <v>34789</v>
      </c>
      <c r="B6105">
        <v>817.21002199999998</v>
      </c>
      <c r="C6105">
        <f t="shared" si="207"/>
        <v>4.2851529812655629E-4</v>
      </c>
      <c r="D6105">
        <f t="shared" si="206"/>
        <v>-2.8984901253664669E-3</v>
      </c>
    </row>
    <row r="6106" spans="1:4" x14ac:dyDescent="0.3">
      <c r="A6106" s="1">
        <v>34792</v>
      </c>
      <c r="B6106">
        <v>818.04998799999998</v>
      </c>
      <c r="C6106">
        <f t="shared" si="207"/>
        <v>1.0278459360352828E-3</v>
      </c>
      <c r="D6106">
        <f t="shared" si="206"/>
        <v>4.5045496445022835E-2</v>
      </c>
    </row>
    <row r="6107" spans="1:4" x14ac:dyDescent="0.3">
      <c r="A6107" s="1">
        <v>34793</v>
      </c>
      <c r="B6107">
        <v>813.71997099999999</v>
      </c>
      <c r="C6107">
        <f t="shared" si="207"/>
        <v>-5.2930958541863556E-3</v>
      </c>
      <c r="D6107">
        <f t="shared" si="206"/>
        <v>-0.46060385490475936</v>
      </c>
    </row>
    <row r="6108" spans="1:4" x14ac:dyDescent="0.3">
      <c r="A6108" s="1">
        <v>34794</v>
      </c>
      <c r="B6108">
        <v>816.32000700000003</v>
      </c>
      <c r="C6108">
        <f t="shared" si="207"/>
        <v>3.1952466360200046E-3</v>
      </c>
      <c r="D6108">
        <f t="shared" si="206"/>
        <v>0.2184286400388685</v>
      </c>
    </row>
    <row r="6109" spans="1:4" x14ac:dyDescent="0.3">
      <c r="A6109" s="1">
        <v>34795</v>
      </c>
      <c r="B6109">
        <v>813.79998799999998</v>
      </c>
      <c r="C6109">
        <f t="shared" si="207"/>
        <v>-3.0870479449121814E-3</v>
      </c>
      <c r="D6109">
        <f t="shared" si="206"/>
        <v>-0.2841290934860316</v>
      </c>
    </row>
    <row r="6110" spans="1:4" x14ac:dyDescent="0.3">
      <c r="A6110" s="1">
        <v>34796</v>
      </c>
      <c r="B6110">
        <v>814.69000200000005</v>
      </c>
      <c r="C6110">
        <f t="shared" si="207"/>
        <v>1.0936520190758035E-3</v>
      </c>
      <c r="D6110">
        <f t="shared" si="206"/>
        <v>5.0309712492034156E-2</v>
      </c>
    </row>
    <row r="6111" spans="1:4" x14ac:dyDescent="0.3">
      <c r="A6111" s="1">
        <v>34799</v>
      </c>
      <c r="B6111">
        <v>821.26000999999997</v>
      </c>
      <c r="C6111">
        <f t="shared" si="207"/>
        <v>8.0644269401503165E-3</v>
      </c>
      <c r="D6111">
        <f t="shared" si="206"/>
        <v>0.60794304218024553</v>
      </c>
    </row>
    <row r="6112" spans="1:4" x14ac:dyDescent="0.3">
      <c r="A6112" s="1">
        <v>34800</v>
      </c>
      <c r="B6112">
        <v>824.830017</v>
      </c>
      <c r="C6112">
        <f t="shared" si="207"/>
        <v>4.3469875027764135E-3</v>
      </c>
      <c r="D6112">
        <f t="shared" si="206"/>
        <v>0.3105631733926385</v>
      </c>
    </row>
    <row r="6113" spans="1:4" x14ac:dyDescent="0.3">
      <c r="A6113" s="1">
        <v>34801</v>
      </c>
      <c r="B6113">
        <v>828.53002900000001</v>
      </c>
      <c r="C6113">
        <f t="shared" si="207"/>
        <v>4.4857872819146147E-3</v>
      </c>
      <c r="D6113">
        <f t="shared" si="206"/>
        <v>0.32166658497559242</v>
      </c>
    </row>
    <row r="6114" spans="1:4" x14ac:dyDescent="0.3">
      <c r="A6114" s="1">
        <v>34802</v>
      </c>
      <c r="B6114">
        <v>832.64001499999995</v>
      </c>
      <c r="C6114">
        <f t="shared" si="207"/>
        <v>4.9605757862035624E-3</v>
      </c>
      <c r="D6114">
        <f t="shared" si="206"/>
        <v>0.35964771297671289</v>
      </c>
    </row>
    <row r="6115" spans="1:4" x14ac:dyDescent="0.3">
      <c r="A6115" s="1">
        <v>34806</v>
      </c>
      <c r="B6115">
        <v>830.82000700000003</v>
      </c>
      <c r="C6115">
        <f t="shared" si="207"/>
        <v>-2.1858281696921764E-3</v>
      </c>
      <c r="D6115">
        <f t="shared" si="206"/>
        <v>-0.21203521730629019</v>
      </c>
    </row>
    <row r="6116" spans="1:4" x14ac:dyDescent="0.3">
      <c r="A6116" s="1">
        <v>34807</v>
      </c>
      <c r="B6116">
        <v>825.73999000000003</v>
      </c>
      <c r="C6116">
        <f t="shared" si="207"/>
        <v>-6.1144615647177091E-3</v>
      </c>
      <c r="D6116">
        <f t="shared" si="206"/>
        <v>-0.52630973427128469</v>
      </c>
    </row>
    <row r="6117" spans="1:4" x14ac:dyDescent="0.3">
      <c r="A6117" s="1">
        <v>34808</v>
      </c>
      <c r="B6117">
        <v>816.54998799999998</v>
      </c>
      <c r="C6117">
        <f t="shared" si="207"/>
        <v>-1.1129413751658133E-2</v>
      </c>
      <c r="D6117">
        <f t="shared" si="206"/>
        <v>-0.9274852876199069</v>
      </c>
    </row>
    <row r="6118" spans="1:4" x14ac:dyDescent="0.3">
      <c r="A6118" s="1">
        <v>34809</v>
      </c>
      <c r="B6118">
        <v>819.01000999999997</v>
      </c>
      <c r="C6118">
        <f t="shared" si="207"/>
        <v>3.0127022670410975E-3</v>
      </c>
      <c r="D6118">
        <f t="shared" si="206"/>
        <v>0.20382584114748636</v>
      </c>
    </row>
    <row r="6119" spans="1:4" x14ac:dyDescent="0.3">
      <c r="A6119" s="1">
        <v>34810</v>
      </c>
      <c r="B6119">
        <v>823.44000200000005</v>
      </c>
      <c r="C6119">
        <f t="shared" si="207"/>
        <v>5.4089595315203586E-3</v>
      </c>
      <c r="D6119">
        <f t="shared" si="206"/>
        <v>0.39551656883707892</v>
      </c>
    </row>
    <row r="6120" spans="1:4" x14ac:dyDescent="0.3">
      <c r="A6120" s="1">
        <v>34813</v>
      </c>
      <c r="B6120">
        <v>828.90997300000004</v>
      </c>
      <c r="C6120">
        <f t="shared" si="207"/>
        <v>6.6428288481423401E-3</v>
      </c>
      <c r="D6120">
        <f t="shared" si="206"/>
        <v>0.49422104046589094</v>
      </c>
    </row>
    <row r="6121" spans="1:4" x14ac:dyDescent="0.3">
      <c r="A6121" s="1">
        <v>34814</v>
      </c>
      <c r="B6121">
        <v>831.28002900000001</v>
      </c>
      <c r="C6121">
        <f t="shared" si="207"/>
        <v>2.8592441606441824E-3</v>
      </c>
      <c r="D6121">
        <f t="shared" si="206"/>
        <v>0.19154982365923715</v>
      </c>
    </row>
    <row r="6122" spans="1:4" x14ac:dyDescent="0.3">
      <c r="A6122" s="1">
        <v>34815</v>
      </c>
      <c r="B6122">
        <v>836.90997300000004</v>
      </c>
      <c r="C6122">
        <f t="shared" si="207"/>
        <v>6.7726203007338493E-3</v>
      </c>
      <c r="D6122">
        <f t="shared" si="206"/>
        <v>0.50460382296756956</v>
      </c>
    </row>
    <row r="6123" spans="1:4" x14ac:dyDescent="0.3">
      <c r="A6123" s="1">
        <v>34816</v>
      </c>
      <c r="B6123">
        <v>840.95001200000002</v>
      </c>
      <c r="C6123">
        <f t="shared" si="207"/>
        <v>4.8273280643531995E-3</v>
      </c>
      <c r="D6123">
        <f t="shared" si="206"/>
        <v>0.34898844314659005</v>
      </c>
    </row>
    <row r="6124" spans="1:4" x14ac:dyDescent="0.3">
      <c r="A6124" s="1">
        <v>34817</v>
      </c>
      <c r="B6124">
        <v>843.97997999999995</v>
      </c>
      <c r="C6124">
        <f t="shared" si="207"/>
        <v>3.6030298552394095E-3</v>
      </c>
      <c r="D6124">
        <f t="shared" si="206"/>
        <v>0.25104962076180409</v>
      </c>
    </row>
    <row r="6125" spans="1:4" x14ac:dyDescent="0.3">
      <c r="A6125" s="1">
        <v>34820</v>
      </c>
      <c r="B6125">
        <v>841.63000499999998</v>
      </c>
      <c r="C6125">
        <f t="shared" si="207"/>
        <v>-2.7843966156637654E-3</v>
      </c>
      <c r="D6125">
        <f t="shared" si="206"/>
        <v>-0.25991823165586048</v>
      </c>
    </row>
    <row r="6126" spans="1:4" x14ac:dyDescent="0.3">
      <c r="A6126" s="1">
        <v>34821</v>
      </c>
      <c r="B6126">
        <v>841.78997800000002</v>
      </c>
      <c r="C6126">
        <f t="shared" si="207"/>
        <v>1.9007521006815382E-4</v>
      </c>
      <c r="D6126">
        <f t="shared" si="206"/>
        <v>-2.1972716698538019E-2</v>
      </c>
    </row>
    <row r="6127" spans="1:4" x14ac:dyDescent="0.3">
      <c r="A6127" s="1">
        <v>34822</v>
      </c>
      <c r="B6127">
        <v>850.26000999999997</v>
      </c>
      <c r="C6127">
        <f t="shared" si="207"/>
        <v>1.0061930197985734E-2</v>
      </c>
      <c r="D6127">
        <f t="shared" si="206"/>
        <v>0.76773508902460352</v>
      </c>
    </row>
    <row r="6128" spans="1:4" x14ac:dyDescent="0.3">
      <c r="A6128" s="1">
        <v>34823</v>
      </c>
      <c r="B6128">
        <v>846.75</v>
      </c>
      <c r="C6128">
        <f t="shared" si="207"/>
        <v>-4.1281607493218056E-3</v>
      </c>
      <c r="D6128">
        <f t="shared" si="206"/>
        <v>-0.36741383675736938</v>
      </c>
    </row>
    <row r="6129" spans="1:4" x14ac:dyDescent="0.3">
      <c r="A6129" s="1">
        <v>34824</v>
      </c>
      <c r="B6129">
        <v>843.53002900000001</v>
      </c>
      <c r="C6129">
        <f t="shared" si="207"/>
        <v>-3.8027410687924263E-3</v>
      </c>
      <c r="D6129">
        <f t="shared" si="206"/>
        <v>-0.341381600448741</v>
      </c>
    </row>
    <row r="6130" spans="1:4" x14ac:dyDescent="0.3">
      <c r="A6130" s="1">
        <v>34827</v>
      </c>
      <c r="B6130">
        <v>849.28997800000002</v>
      </c>
      <c r="C6130">
        <f t="shared" si="207"/>
        <v>6.8283864260628539E-3</v>
      </c>
      <c r="D6130">
        <f t="shared" si="206"/>
        <v>0.50906488368221237</v>
      </c>
    </row>
    <row r="6131" spans="1:4" x14ac:dyDescent="0.3">
      <c r="A6131" s="1">
        <v>34828</v>
      </c>
      <c r="B6131">
        <v>848.169983</v>
      </c>
      <c r="C6131">
        <f t="shared" si="207"/>
        <v>-1.318742748663422E-3</v>
      </c>
      <c r="D6131">
        <f t="shared" si="206"/>
        <v>-0.14267194910054565</v>
      </c>
    </row>
    <row r="6132" spans="1:4" x14ac:dyDescent="0.3">
      <c r="A6132" s="1">
        <v>34829</v>
      </c>
      <c r="B6132">
        <v>847.61999500000002</v>
      </c>
      <c r="C6132">
        <f t="shared" si="207"/>
        <v>-6.4844077369333739E-4</v>
      </c>
      <c r="D6132">
        <f t="shared" si="206"/>
        <v>-8.9050547401129485E-2</v>
      </c>
    </row>
    <row r="6133" spans="1:4" x14ac:dyDescent="0.3">
      <c r="A6133" s="1">
        <v>34830</v>
      </c>
      <c r="B6133">
        <v>853.830017</v>
      </c>
      <c r="C6133">
        <f t="shared" si="207"/>
        <v>7.3264222607207141E-3</v>
      </c>
      <c r="D6133">
        <f t="shared" si="206"/>
        <v>0.54890570251925219</v>
      </c>
    </row>
    <row r="6134" spans="1:4" x14ac:dyDescent="0.3">
      <c r="A6134" s="1">
        <v>34831</v>
      </c>
      <c r="B6134">
        <v>858.94000200000005</v>
      </c>
      <c r="C6134">
        <f t="shared" si="207"/>
        <v>5.9847802235325391E-3</v>
      </c>
      <c r="D6134">
        <f t="shared" si="206"/>
        <v>0.44157985640921971</v>
      </c>
    </row>
    <row r="6135" spans="1:4" x14ac:dyDescent="0.3">
      <c r="A6135" s="1">
        <v>34834</v>
      </c>
      <c r="B6135">
        <v>863.05999799999995</v>
      </c>
      <c r="C6135">
        <f t="shared" si="207"/>
        <v>4.7966051067672832E-3</v>
      </c>
      <c r="D6135">
        <f t="shared" si="206"/>
        <v>0.34653073287327318</v>
      </c>
    </row>
    <row r="6136" spans="1:4" x14ac:dyDescent="0.3">
      <c r="A6136" s="1">
        <v>34835</v>
      </c>
      <c r="B6136">
        <v>868.25</v>
      </c>
      <c r="C6136">
        <f t="shared" si="207"/>
        <v>6.0134892267362967E-3</v>
      </c>
      <c r="D6136">
        <f t="shared" si="206"/>
        <v>0.44387645861339375</v>
      </c>
    </row>
    <row r="6137" spans="1:4" x14ac:dyDescent="0.3">
      <c r="A6137" s="1">
        <v>34836</v>
      </c>
      <c r="B6137">
        <v>871.92999299999997</v>
      </c>
      <c r="C6137">
        <f t="shared" si="207"/>
        <v>4.2384025338323842E-3</v>
      </c>
      <c r="D6137">
        <f t="shared" si="206"/>
        <v>0.30187682238117641</v>
      </c>
    </row>
    <row r="6138" spans="1:4" x14ac:dyDescent="0.3">
      <c r="A6138" s="1">
        <v>34837</v>
      </c>
      <c r="B6138">
        <v>864.05999799999995</v>
      </c>
      <c r="C6138">
        <f t="shared" si="207"/>
        <v>-9.0259482563756904E-3</v>
      </c>
      <c r="D6138">
        <f t="shared" si="206"/>
        <v>-0.75921669749911092</v>
      </c>
    </row>
    <row r="6139" spans="1:4" x14ac:dyDescent="0.3">
      <c r="A6139" s="1">
        <v>34838</v>
      </c>
      <c r="B6139">
        <v>864.57000700000003</v>
      </c>
      <c r="C6139">
        <f t="shared" si="207"/>
        <v>5.9024720642151737E-4</v>
      </c>
      <c r="D6139">
        <f t="shared" si="206"/>
        <v>1.0039397492649706E-2</v>
      </c>
    </row>
    <row r="6140" spans="1:4" x14ac:dyDescent="0.3">
      <c r="A6140" s="1">
        <v>34841</v>
      </c>
      <c r="B6140">
        <v>871.17999299999997</v>
      </c>
      <c r="C6140">
        <f t="shared" si="207"/>
        <v>7.6454028551558749E-3</v>
      </c>
      <c r="D6140">
        <f t="shared" si="206"/>
        <v>0.57442283841802333</v>
      </c>
    </row>
    <row r="6141" spans="1:4" x14ac:dyDescent="0.3">
      <c r="A6141" s="1">
        <v>34842</v>
      </c>
      <c r="B6141">
        <v>879.64001499999995</v>
      </c>
      <c r="C6141">
        <f t="shared" si="207"/>
        <v>9.7109920659070748E-3</v>
      </c>
      <c r="D6141">
        <f t="shared" si="206"/>
        <v>0.73966148152453259</v>
      </c>
    </row>
    <row r="6142" spans="1:4" x14ac:dyDescent="0.3">
      <c r="A6142" s="1">
        <v>34843</v>
      </c>
      <c r="B6142">
        <v>877.97997999999995</v>
      </c>
      <c r="C6142">
        <f t="shared" si="207"/>
        <v>-1.8871754032244584E-3</v>
      </c>
      <c r="D6142">
        <f t="shared" si="206"/>
        <v>-0.18814422405638642</v>
      </c>
    </row>
    <row r="6143" spans="1:4" x14ac:dyDescent="0.3">
      <c r="A6143" s="1">
        <v>34844</v>
      </c>
      <c r="B6143">
        <v>877.32000700000003</v>
      </c>
      <c r="C6143">
        <f t="shared" si="207"/>
        <v>-7.5169481654914581E-4</v>
      </c>
      <c r="D6143">
        <f t="shared" si="206"/>
        <v>-9.7310446246432952E-2</v>
      </c>
    </row>
    <row r="6144" spans="1:4" x14ac:dyDescent="0.3">
      <c r="A6144" s="1">
        <v>34845</v>
      </c>
      <c r="B6144">
        <v>871.86999500000002</v>
      </c>
      <c r="C6144">
        <f t="shared" si="207"/>
        <v>-6.2121141163033059E-3</v>
      </c>
      <c r="D6144">
        <f t="shared" si="206"/>
        <v>-0.53412153684844099</v>
      </c>
    </row>
    <row r="6145" spans="1:4" x14ac:dyDescent="0.3">
      <c r="A6145" s="1">
        <v>34849</v>
      </c>
      <c r="B6145">
        <v>858.70001200000002</v>
      </c>
      <c r="C6145">
        <f t="shared" si="207"/>
        <v>-1.5105443558703958E-2</v>
      </c>
      <c r="D6145">
        <f t="shared" si="206"/>
        <v>-1.245551322651314</v>
      </c>
    </row>
    <row r="6146" spans="1:4" x14ac:dyDescent="0.3">
      <c r="A6146" s="1">
        <v>34850</v>
      </c>
      <c r="B6146">
        <v>864.580017</v>
      </c>
      <c r="C6146">
        <f t="shared" si="207"/>
        <v>6.8475659925808672E-3</v>
      </c>
      <c r="D6146">
        <f t="shared" si="206"/>
        <v>0.51059917013680467</v>
      </c>
    </row>
    <row r="6147" spans="1:4" x14ac:dyDescent="0.3">
      <c r="A6147" s="1">
        <v>34851</v>
      </c>
      <c r="B6147">
        <v>868.82000700000003</v>
      </c>
      <c r="C6147">
        <f t="shared" si="207"/>
        <v>4.9041036302369624E-3</v>
      </c>
      <c r="D6147">
        <f t="shared" ref="D6147:D6210" si="208">(C6147-avrtn)/sdrtn</f>
        <v>0.35513017271427777</v>
      </c>
    </row>
    <row r="6148" spans="1:4" x14ac:dyDescent="0.3">
      <c r="A6148" s="1">
        <v>34852</v>
      </c>
      <c r="B6148">
        <v>872.96997099999999</v>
      </c>
      <c r="C6148">
        <f t="shared" ref="C6148:C6211" si="209">(B6148-B6147)/B6147</f>
        <v>4.7765520666698397E-3</v>
      </c>
      <c r="D6148">
        <f t="shared" si="208"/>
        <v>0.3449265721240713</v>
      </c>
    </row>
    <row r="6149" spans="1:4" x14ac:dyDescent="0.3">
      <c r="A6149" s="1">
        <v>34855</v>
      </c>
      <c r="B6149">
        <v>882.84997599999997</v>
      </c>
      <c r="C6149">
        <f t="shared" si="209"/>
        <v>1.1317691705571833E-2</v>
      </c>
      <c r="D6149">
        <f t="shared" si="208"/>
        <v>0.86819084590931783</v>
      </c>
    </row>
    <row r="6150" spans="1:4" x14ac:dyDescent="0.3">
      <c r="A6150" s="1">
        <v>34856</v>
      </c>
      <c r="B6150">
        <v>879.40002400000003</v>
      </c>
      <c r="C6150">
        <f t="shared" si="209"/>
        <v>-3.9077443436436581E-3</v>
      </c>
      <c r="D6150">
        <f t="shared" si="208"/>
        <v>-0.34978143066079342</v>
      </c>
    </row>
    <row r="6151" spans="1:4" x14ac:dyDescent="0.3">
      <c r="A6151" s="1">
        <v>34857</v>
      </c>
      <c r="B6151">
        <v>881.580017</v>
      </c>
      <c r="C6151">
        <f t="shared" si="209"/>
        <v>2.4789549016432226E-3</v>
      </c>
      <c r="D6151">
        <f t="shared" si="208"/>
        <v>0.16112824669793721</v>
      </c>
    </row>
    <row r="6152" spans="1:4" x14ac:dyDescent="0.3">
      <c r="A6152" s="1">
        <v>34858</v>
      </c>
      <c r="B6152">
        <v>886.13000499999998</v>
      </c>
      <c r="C6152">
        <f t="shared" si="209"/>
        <v>5.1611741557884986E-3</v>
      </c>
      <c r="D6152">
        <f t="shared" si="208"/>
        <v>0.3756947576780833</v>
      </c>
    </row>
    <row r="6153" spans="1:4" x14ac:dyDescent="0.3">
      <c r="A6153" s="1">
        <v>34859</v>
      </c>
      <c r="B6153">
        <v>884.38000499999998</v>
      </c>
      <c r="C6153">
        <f t="shared" si="209"/>
        <v>-1.9748795212052436E-3</v>
      </c>
      <c r="D6153">
        <f t="shared" si="208"/>
        <v>-0.1951601928533612</v>
      </c>
    </row>
    <row r="6154" spans="1:4" x14ac:dyDescent="0.3">
      <c r="A6154" s="1">
        <v>34862</v>
      </c>
      <c r="B6154">
        <v>887.97997999999995</v>
      </c>
      <c r="C6154">
        <f t="shared" si="209"/>
        <v>4.0706200724200817E-3</v>
      </c>
      <c r="D6154">
        <f t="shared" si="208"/>
        <v>0.28845491539379597</v>
      </c>
    </row>
    <row r="6155" spans="1:4" x14ac:dyDescent="0.3">
      <c r="A6155" s="1">
        <v>34863</v>
      </c>
      <c r="B6155">
        <v>894.22997999999995</v>
      </c>
      <c r="C6155">
        <f t="shared" si="209"/>
        <v>7.0384469703922833E-3</v>
      </c>
      <c r="D6155">
        <f t="shared" si="208"/>
        <v>0.52586886345444717</v>
      </c>
    </row>
    <row r="6156" spans="1:4" x14ac:dyDescent="0.3">
      <c r="A6156" s="1">
        <v>34864</v>
      </c>
      <c r="B6156">
        <v>895.71997099999999</v>
      </c>
      <c r="C6156">
        <f t="shared" si="209"/>
        <v>1.6662279652042442E-3</v>
      </c>
      <c r="D6156">
        <f t="shared" si="208"/>
        <v>9.6113433735950549E-2</v>
      </c>
    </row>
    <row r="6157" spans="1:4" x14ac:dyDescent="0.3">
      <c r="A6157" s="1">
        <v>34865</v>
      </c>
      <c r="B6157">
        <v>902.67999299999997</v>
      </c>
      <c r="C6157">
        <f t="shared" si="209"/>
        <v>7.7703101698510428E-3</v>
      </c>
      <c r="D6157">
        <f t="shared" si="208"/>
        <v>0.58441490997168966</v>
      </c>
    </row>
    <row r="6158" spans="1:4" x14ac:dyDescent="0.3">
      <c r="A6158" s="1">
        <v>34866</v>
      </c>
      <c r="B6158">
        <v>908.65002400000003</v>
      </c>
      <c r="C6158">
        <f t="shared" si="209"/>
        <v>6.6136737784107096E-3</v>
      </c>
      <c r="D6158">
        <f t="shared" si="208"/>
        <v>0.49188875477372357</v>
      </c>
    </row>
    <row r="6159" spans="1:4" x14ac:dyDescent="0.3">
      <c r="A6159" s="1">
        <v>34869</v>
      </c>
      <c r="B6159">
        <v>922.09002699999996</v>
      </c>
      <c r="C6159">
        <f t="shared" si="209"/>
        <v>1.4791176630178499E-2</v>
      </c>
      <c r="D6159">
        <f t="shared" si="208"/>
        <v>1.1460553568224965</v>
      </c>
    </row>
    <row r="6160" spans="1:4" x14ac:dyDescent="0.3">
      <c r="A6160" s="1">
        <v>34870</v>
      </c>
      <c r="B6160">
        <v>929.830017</v>
      </c>
      <c r="C6160">
        <f t="shared" si="209"/>
        <v>8.393963467083496E-3</v>
      </c>
      <c r="D6160">
        <f t="shared" si="208"/>
        <v>0.63430460927260446</v>
      </c>
    </row>
    <row r="6161" spans="1:4" x14ac:dyDescent="0.3">
      <c r="A6161" s="1">
        <v>34871</v>
      </c>
      <c r="B6161">
        <v>929.19000200000005</v>
      </c>
      <c r="C6161">
        <f t="shared" si="209"/>
        <v>-6.8831398029597967E-4</v>
      </c>
      <c r="D6161">
        <f t="shared" si="208"/>
        <v>-9.2240239969735613E-2</v>
      </c>
    </row>
    <row r="6162" spans="1:4" x14ac:dyDescent="0.3">
      <c r="A6162" s="1">
        <v>34872</v>
      </c>
      <c r="B6162">
        <v>940.09002699999996</v>
      </c>
      <c r="C6162">
        <f t="shared" si="209"/>
        <v>1.1730674002667448E-2</v>
      </c>
      <c r="D6162">
        <f t="shared" si="208"/>
        <v>0.90122773148361424</v>
      </c>
    </row>
    <row r="6163" spans="1:4" x14ac:dyDescent="0.3">
      <c r="A6163" s="1">
        <v>34873</v>
      </c>
      <c r="B6163">
        <v>938.86999500000002</v>
      </c>
      <c r="C6163">
        <f t="shared" si="209"/>
        <v>-1.2977820899699286E-3</v>
      </c>
      <c r="D6163">
        <f t="shared" si="208"/>
        <v>-0.14099518259580973</v>
      </c>
    </row>
    <row r="6164" spans="1:4" x14ac:dyDescent="0.3">
      <c r="A6164" s="1">
        <v>34876</v>
      </c>
      <c r="B6164">
        <v>926.97997999999995</v>
      </c>
      <c r="C6164">
        <f t="shared" si="209"/>
        <v>-1.2664176151459672E-2</v>
      </c>
      <c r="D6164">
        <f t="shared" si="208"/>
        <v>-1.0502599686233325</v>
      </c>
    </row>
    <row r="6165" spans="1:4" x14ac:dyDescent="0.3">
      <c r="A6165" s="1">
        <v>34877</v>
      </c>
      <c r="B6165">
        <v>919.55999799999995</v>
      </c>
      <c r="C6165">
        <f t="shared" si="209"/>
        <v>-8.0044684460175777E-3</v>
      </c>
      <c r="D6165">
        <f t="shared" si="208"/>
        <v>-0.6775025130205401</v>
      </c>
    </row>
    <row r="6166" spans="1:4" x14ac:dyDescent="0.3">
      <c r="A6166" s="1">
        <v>34878</v>
      </c>
      <c r="B6166">
        <v>920.52002000000005</v>
      </c>
      <c r="C6166">
        <f t="shared" si="209"/>
        <v>1.0440014812389594E-3</v>
      </c>
      <c r="D6166">
        <f t="shared" si="208"/>
        <v>4.6337873629318141E-2</v>
      </c>
    </row>
    <row r="6167" spans="1:4" x14ac:dyDescent="0.3">
      <c r="A6167" s="1">
        <v>34879</v>
      </c>
      <c r="B6167">
        <v>926.80999799999995</v>
      </c>
      <c r="C6167">
        <f t="shared" si="209"/>
        <v>6.8330702899866372E-3</v>
      </c>
      <c r="D6167">
        <f t="shared" si="208"/>
        <v>0.50943957353595148</v>
      </c>
    </row>
    <row r="6168" spans="1:4" x14ac:dyDescent="0.3">
      <c r="A6168" s="1">
        <v>34880</v>
      </c>
      <c r="B6168">
        <v>933.45001200000002</v>
      </c>
      <c r="C6168">
        <f t="shared" si="209"/>
        <v>7.1643745906159991E-3</v>
      </c>
      <c r="D6168">
        <f t="shared" si="208"/>
        <v>0.535942555254876</v>
      </c>
    </row>
    <row r="6169" spans="1:4" x14ac:dyDescent="0.3">
      <c r="A6169" s="1">
        <v>34883</v>
      </c>
      <c r="B6169">
        <v>934.53002900000001</v>
      </c>
      <c r="C6169">
        <f t="shared" si="209"/>
        <v>1.1570164294989564E-3</v>
      </c>
      <c r="D6169">
        <f t="shared" si="208"/>
        <v>5.5378604769873843E-2</v>
      </c>
    </row>
    <row r="6170" spans="1:4" x14ac:dyDescent="0.3">
      <c r="A6170" s="1">
        <v>34885</v>
      </c>
      <c r="B6170">
        <v>941.82000700000003</v>
      </c>
      <c r="C6170">
        <f t="shared" si="209"/>
        <v>7.8006888743861E-3</v>
      </c>
      <c r="D6170">
        <f t="shared" si="208"/>
        <v>0.58684508141651481</v>
      </c>
    </row>
    <row r="6171" spans="1:4" x14ac:dyDescent="0.3">
      <c r="A6171" s="1">
        <v>34886</v>
      </c>
      <c r="B6171">
        <v>952.92999299999997</v>
      </c>
      <c r="C6171">
        <f t="shared" si="209"/>
        <v>1.1796294321022992E-2</v>
      </c>
      <c r="D6171">
        <f t="shared" si="208"/>
        <v>0.90647708711969632</v>
      </c>
    </row>
    <row r="6172" spans="1:4" x14ac:dyDescent="0.3">
      <c r="A6172" s="1">
        <v>34887</v>
      </c>
      <c r="B6172">
        <v>969.76000999999997</v>
      </c>
      <c r="C6172">
        <f t="shared" si="209"/>
        <v>1.7661336219480288E-2</v>
      </c>
      <c r="D6172">
        <f t="shared" si="208"/>
        <v>1.3756563217998876</v>
      </c>
    </row>
    <row r="6173" spans="1:4" x14ac:dyDescent="0.3">
      <c r="A6173" s="1">
        <v>34890</v>
      </c>
      <c r="B6173">
        <v>976.63000499999998</v>
      </c>
      <c r="C6173">
        <f t="shared" si="209"/>
        <v>7.0842217962772229E-3</v>
      </c>
      <c r="D6173">
        <f t="shared" si="208"/>
        <v>0.52953066129803361</v>
      </c>
    </row>
    <row r="6174" spans="1:4" x14ac:dyDescent="0.3">
      <c r="A6174" s="1">
        <v>34891</v>
      </c>
      <c r="B6174">
        <v>970.21997099999999</v>
      </c>
      <c r="C6174">
        <f t="shared" si="209"/>
        <v>-6.5634211187275537E-3</v>
      </c>
      <c r="D6174">
        <f t="shared" si="208"/>
        <v>-0.56222465245935505</v>
      </c>
    </row>
    <row r="6175" spans="1:4" x14ac:dyDescent="0.3">
      <c r="A6175" s="1">
        <v>34892</v>
      </c>
      <c r="B6175">
        <v>988.63000499999998</v>
      </c>
      <c r="C6175">
        <f t="shared" si="209"/>
        <v>1.8975113428169162E-2</v>
      </c>
      <c r="D6175">
        <f t="shared" si="208"/>
        <v>1.4807530962108353</v>
      </c>
    </row>
    <row r="6176" spans="1:4" x14ac:dyDescent="0.3">
      <c r="A6176" s="1">
        <v>34893</v>
      </c>
      <c r="B6176">
        <v>994.15002400000003</v>
      </c>
      <c r="C6176">
        <f t="shared" si="209"/>
        <v>5.5835034058065508E-3</v>
      </c>
      <c r="D6176">
        <f t="shared" si="208"/>
        <v>0.40947936105127464</v>
      </c>
    </row>
    <row r="6177" spans="1:4" x14ac:dyDescent="0.3">
      <c r="A6177" s="1">
        <v>34894</v>
      </c>
      <c r="B6177">
        <v>999.330017</v>
      </c>
      <c r="C6177">
        <f t="shared" si="209"/>
        <v>5.2104741487185918E-3</v>
      </c>
      <c r="D6177">
        <f t="shared" si="208"/>
        <v>0.3796385543897085</v>
      </c>
    </row>
    <row r="6178" spans="1:4" x14ac:dyDescent="0.3">
      <c r="A6178" s="1">
        <v>34897</v>
      </c>
      <c r="B6178">
        <v>1005.8900149999999</v>
      </c>
      <c r="C6178">
        <f t="shared" si="209"/>
        <v>6.5643960337478293E-3</v>
      </c>
      <c r="D6178">
        <f t="shared" si="208"/>
        <v>0.48794673783198994</v>
      </c>
    </row>
    <row r="6179" spans="1:4" x14ac:dyDescent="0.3">
      <c r="A6179" s="1">
        <v>34898</v>
      </c>
      <c r="B6179">
        <v>988.53002900000001</v>
      </c>
      <c r="C6179">
        <f t="shared" si="209"/>
        <v>-1.7258334152963965E-2</v>
      </c>
      <c r="D6179">
        <f t="shared" si="208"/>
        <v>-1.4177737174530938</v>
      </c>
    </row>
    <row r="6180" spans="1:4" x14ac:dyDescent="0.3">
      <c r="A6180" s="1">
        <v>34899</v>
      </c>
      <c r="B6180">
        <v>952.86999500000002</v>
      </c>
      <c r="C6180">
        <f t="shared" si="209"/>
        <v>-3.6073799433360455E-2</v>
      </c>
      <c r="D6180">
        <f t="shared" si="208"/>
        <v>-2.922933570229278</v>
      </c>
    </row>
    <row r="6181" spans="1:4" x14ac:dyDescent="0.3">
      <c r="A6181" s="1">
        <v>34900</v>
      </c>
      <c r="B6181">
        <v>960.57000700000003</v>
      </c>
      <c r="C6181">
        <f t="shared" si="209"/>
        <v>8.0808631192128312E-3</v>
      </c>
      <c r="D6181">
        <f t="shared" si="208"/>
        <v>0.60925786891927458</v>
      </c>
    </row>
    <row r="6182" spans="1:4" x14ac:dyDescent="0.3">
      <c r="A6182" s="1">
        <v>34901</v>
      </c>
      <c r="B6182">
        <v>961.77002000000005</v>
      </c>
      <c r="C6182">
        <f t="shared" si="209"/>
        <v>1.2492717774395517E-3</v>
      </c>
      <c r="D6182">
        <f t="shared" si="208"/>
        <v>6.2758653248863983E-2</v>
      </c>
    </row>
    <row r="6183" spans="1:4" x14ac:dyDescent="0.3">
      <c r="A6183" s="1">
        <v>34904</v>
      </c>
      <c r="B6183">
        <v>978.57000700000003</v>
      </c>
      <c r="C6183">
        <f t="shared" si="209"/>
        <v>1.7467779875276198E-2</v>
      </c>
      <c r="D6183">
        <f t="shared" si="208"/>
        <v>1.3601726101720035</v>
      </c>
    </row>
    <row r="6184" spans="1:4" x14ac:dyDescent="0.3">
      <c r="A6184" s="1">
        <v>34905</v>
      </c>
      <c r="B6184">
        <v>993.75</v>
      </c>
      <c r="C6184">
        <f t="shared" si="209"/>
        <v>1.5512424140749255E-2</v>
      </c>
      <c r="D6184">
        <f t="shared" si="208"/>
        <v>1.2037521918806722</v>
      </c>
    </row>
    <row r="6185" spans="1:4" x14ac:dyDescent="0.3">
      <c r="A6185" s="1">
        <v>34906</v>
      </c>
      <c r="B6185">
        <v>1000.179993</v>
      </c>
      <c r="C6185">
        <f t="shared" si="209"/>
        <v>6.4704332075471369E-3</v>
      </c>
      <c r="D6185">
        <f t="shared" si="208"/>
        <v>0.48043009811338461</v>
      </c>
    </row>
    <row r="6186" spans="1:4" x14ac:dyDescent="0.3">
      <c r="A6186" s="1">
        <v>34907</v>
      </c>
      <c r="B6186">
        <v>1010.659973</v>
      </c>
      <c r="C6186">
        <f t="shared" si="209"/>
        <v>1.0478094016423771E-2</v>
      </c>
      <c r="D6186">
        <f t="shared" si="208"/>
        <v>0.80102648322379977</v>
      </c>
    </row>
    <row r="6187" spans="1:4" x14ac:dyDescent="0.3">
      <c r="A6187" s="1">
        <v>34908</v>
      </c>
      <c r="B6187">
        <v>1005.280029</v>
      </c>
      <c r="C6187">
        <f t="shared" si="209"/>
        <v>-5.3231988440488312E-3</v>
      </c>
      <c r="D6187">
        <f t="shared" si="208"/>
        <v>-0.4630119703095234</v>
      </c>
    </row>
    <row r="6188" spans="1:4" x14ac:dyDescent="0.3">
      <c r="A6188" s="1">
        <v>34911</v>
      </c>
      <c r="B6188">
        <v>1001.210022</v>
      </c>
      <c r="C6188">
        <f t="shared" si="209"/>
        <v>-4.0486301155794992E-3</v>
      </c>
      <c r="D6188">
        <f t="shared" si="208"/>
        <v>-0.36105171308990491</v>
      </c>
    </row>
    <row r="6189" spans="1:4" x14ac:dyDescent="0.3">
      <c r="A6189" s="1">
        <v>34912</v>
      </c>
      <c r="B6189">
        <v>991.10998500000005</v>
      </c>
      <c r="C6189">
        <f t="shared" si="209"/>
        <v>-1.0087830503158837E-2</v>
      </c>
      <c r="D6189">
        <f t="shared" si="208"/>
        <v>-0.84416291075587302</v>
      </c>
    </row>
    <row r="6190" spans="1:4" x14ac:dyDescent="0.3">
      <c r="A6190" s="1">
        <v>34913</v>
      </c>
      <c r="B6190">
        <v>983.75</v>
      </c>
      <c r="C6190">
        <f t="shared" si="209"/>
        <v>-7.4260022715844712E-3</v>
      </c>
      <c r="D6190">
        <f t="shared" si="208"/>
        <v>-0.63122759773301396</v>
      </c>
    </row>
    <row r="6191" spans="1:4" x14ac:dyDescent="0.3">
      <c r="A6191" s="1">
        <v>34914</v>
      </c>
      <c r="B6191">
        <v>982.70001200000002</v>
      </c>
      <c r="C6191">
        <f t="shared" si="209"/>
        <v>-1.067332147395156E-3</v>
      </c>
      <c r="D6191">
        <f t="shared" si="208"/>
        <v>-0.12256013480565402</v>
      </c>
    </row>
    <row r="6192" spans="1:4" x14ac:dyDescent="0.3">
      <c r="A6192" s="1">
        <v>34915</v>
      </c>
      <c r="B6192">
        <v>991.09002699999996</v>
      </c>
      <c r="C6192">
        <f t="shared" si="209"/>
        <v>8.5377174087181637E-3</v>
      </c>
      <c r="D6192">
        <f t="shared" si="208"/>
        <v>0.64580433348363775</v>
      </c>
    </row>
    <row r="6193" spans="1:4" x14ac:dyDescent="0.3">
      <c r="A6193" s="1">
        <v>34918</v>
      </c>
      <c r="B6193">
        <v>995.21997099999999</v>
      </c>
      <c r="C6193">
        <f t="shared" si="209"/>
        <v>4.1670725034952082E-3</v>
      </c>
      <c r="D6193">
        <f t="shared" si="208"/>
        <v>0.29617071326503969</v>
      </c>
    </row>
    <row r="6194" spans="1:4" x14ac:dyDescent="0.3">
      <c r="A6194" s="1">
        <v>34919</v>
      </c>
      <c r="B6194">
        <v>997.11999500000002</v>
      </c>
      <c r="C6194">
        <f t="shared" si="209"/>
        <v>1.909149791368114E-3</v>
      </c>
      <c r="D6194">
        <f t="shared" si="208"/>
        <v>0.11554618092854228</v>
      </c>
    </row>
    <row r="6195" spans="1:4" x14ac:dyDescent="0.3">
      <c r="A6195" s="1">
        <v>34920</v>
      </c>
      <c r="B6195">
        <v>1005.099976</v>
      </c>
      <c r="C6195">
        <f t="shared" si="209"/>
        <v>8.0030297657404329E-3</v>
      </c>
      <c r="D6195">
        <f t="shared" si="208"/>
        <v>0.60303152069414456</v>
      </c>
    </row>
    <row r="6196" spans="1:4" x14ac:dyDescent="0.3">
      <c r="A6196" s="1">
        <v>34921</v>
      </c>
      <c r="B6196">
        <v>1000.6099850000001</v>
      </c>
      <c r="C6196">
        <f t="shared" si="209"/>
        <v>-4.4672083446551771E-3</v>
      </c>
      <c r="D6196">
        <f t="shared" si="208"/>
        <v>-0.39453625021199656</v>
      </c>
    </row>
    <row r="6197" spans="1:4" x14ac:dyDescent="0.3">
      <c r="A6197" s="1">
        <v>34922</v>
      </c>
      <c r="B6197">
        <v>1004.1099850000001</v>
      </c>
      <c r="C6197">
        <f t="shared" si="209"/>
        <v>3.4978663539920601E-3</v>
      </c>
      <c r="D6197">
        <f t="shared" si="208"/>
        <v>0.24263697309691717</v>
      </c>
    </row>
    <row r="6198" spans="1:4" x14ac:dyDescent="0.3">
      <c r="A6198" s="1">
        <v>34925</v>
      </c>
      <c r="B6198">
        <v>1012.440002</v>
      </c>
      <c r="C6198">
        <f t="shared" si="209"/>
        <v>8.2959208895826263E-3</v>
      </c>
      <c r="D6198">
        <f t="shared" si="208"/>
        <v>0.62646160622602254</v>
      </c>
    </row>
    <row r="6199" spans="1:4" x14ac:dyDescent="0.3">
      <c r="A6199" s="1">
        <v>34926</v>
      </c>
      <c r="B6199">
        <v>1012.369995</v>
      </c>
      <c r="C6199">
        <f t="shared" si="209"/>
        <v>-6.9146813501776621E-5</v>
      </c>
      <c r="D6199">
        <f t="shared" si="208"/>
        <v>-4.2709412656802365E-2</v>
      </c>
    </row>
    <row r="6200" spans="1:4" x14ac:dyDescent="0.3">
      <c r="A6200" s="1">
        <v>34927</v>
      </c>
      <c r="B6200">
        <v>1025.75</v>
      </c>
      <c r="C6200">
        <f t="shared" si="209"/>
        <v>1.3216516753837596E-2</v>
      </c>
      <c r="D6200">
        <f t="shared" si="208"/>
        <v>1.0200890417553257</v>
      </c>
    </row>
    <row r="6201" spans="1:4" x14ac:dyDescent="0.3">
      <c r="A6201" s="1">
        <v>34928</v>
      </c>
      <c r="B6201">
        <v>1029.23999</v>
      </c>
      <c r="C6201">
        <f t="shared" si="209"/>
        <v>3.4023787472581375E-3</v>
      </c>
      <c r="D6201">
        <f t="shared" si="208"/>
        <v>0.23499835720558843</v>
      </c>
    </row>
    <row r="6202" spans="1:4" x14ac:dyDescent="0.3">
      <c r="A6202" s="1">
        <v>34929</v>
      </c>
      <c r="B6202">
        <v>1031.280029</v>
      </c>
      <c r="C6202">
        <f t="shared" si="209"/>
        <v>1.9820829153752361E-3</v>
      </c>
      <c r="D6202">
        <f t="shared" si="208"/>
        <v>0.12138053094631415</v>
      </c>
    </row>
    <row r="6203" spans="1:4" x14ac:dyDescent="0.3">
      <c r="A6203" s="1">
        <v>34932</v>
      </c>
      <c r="B6203">
        <v>1019.700012</v>
      </c>
      <c r="C6203">
        <f t="shared" si="209"/>
        <v>-1.1228780422741997E-2</v>
      </c>
      <c r="D6203">
        <f t="shared" si="208"/>
        <v>-0.93543421270842297</v>
      </c>
    </row>
    <row r="6204" spans="1:4" x14ac:dyDescent="0.3">
      <c r="A6204" s="1">
        <v>34933</v>
      </c>
      <c r="B6204">
        <v>1025.290039</v>
      </c>
      <c r="C6204">
        <f t="shared" si="209"/>
        <v>5.4820309249932258E-3</v>
      </c>
      <c r="D6204">
        <f t="shared" si="208"/>
        <v>0.40136197984354294</v>
      </c>
    </row>
    <row r="6205" spans="1:4" x14ac:dyDescent="0.3">
      <c r="A6205" s="1">
        <v>34934</v>
      </c>
      <c r="B6205">
        <v>1028.1899410000001</v>
      </c>
      <c r="C6205">
        <f t="shared" si="209"/>
        <v>2.8283723528890257E-3</v>
      </c>
      <c r="D6205">
        <f t="shared" si="208"/>
        <v>0.18908020598445666</v>
      </c>
    </row>
    <row r="6206" spans="1:4" x14ac:dyDescent="0.3">
      <c r="A6206" s="1">
        <v>34935</v>
      </c>
      <c r="B6206">
        <v>1020.929993</v>
      </c>
      <c r="C6206">
        <f t="shared" si="209"/>
        <v>-7.0609016004759004E-3</v>
      </c>
      <c r="D6206">
        <f t="shared" si="208"/>
        <v>-0.60202104534725864</v>
      </c>
    </row>
    <row r="6207" spans="1:4" x14ac:dyDescent="0.3">
      <c r="A6207" s="1">
        <v>34936</v>
      </c>
      <c r="B6207">
        <v>1019.969971</v>
      </c>
      <c r="C6207">
        <f t="shared" si="209"/>
        <v>-9.4034067622889483E-4</v>
      </c>
      <c r="D6207">
        <f t="shared" si="208"/>
        <v>-0.11240133930440278</v>
      </c>
    </row>
    <row r="6208" spans="1:4" x14ac:dyDescent="0.3">
      <c r="A6208" s="1">
        <v>34939</v>
      </c>
      <c r="B6208">
        <v>1008.150024</v>
      </c>
      <c r="C6208">
        <f t="shared" si="209"/>
        <v>-1.1588524501766883E-2</v>
      </c>
      <c r="D6208">
        <f t="shared" si="208"/>
        <v>-0.96421225975392189</v>
      </c>
    </row>
    <row r="6209" spans="1:4" x14ac:dyDescent="0.3">
      <c r="A6209" s="1">
        <v>34940</v>
      </c>
      <c r="B6209">
        <v>1003.6400149999999</v>
      </c>
      <c r="C6209">
        <f t="shared" si="209"/>
        <v>-4.4735494644992258E-3</v>
      </c>
      <c r="D6209">
        <f t="shared" si="208"/>
        <v>-0.39504351372467983</v>
      </c>
    </row>
    <row r="6210" spans="1:4" x14ac:dyDescent="0.3">
      <c r="A6210" s="1">
        <v>34941</v>
      </c>
      <c r="B6210">
        <v>1012.6099850000001</v>
      </c>
      <c r="C6210">
        <f t="shared" si="209"/>
        <v>8.9374375930996574E-3</v>
      </c>
      <c r="D6210">
        <f t="shared" si="208"/>
        <v>0.67778030457493788</v>
      </c>
    </row>
    <row r="6211" spans="1:4" x14ac:dyDescent="0.3">
      <c r="A6211" s="1">
        <v>34942</v>
      </c>
      <c r="B6211">
        <v>1020.1099850000001</v>
      </c>
      <c r="C6211">
        <f t="shared" si="209"/>
        <v>7.4066028491709965E-3</v>
      </c>
      <c r="D6211">
        <f t="shared" ref="D6211:D6274" si="210">(C6211-avrtn)/sdrtn</f>
        <v>0.55531981989072499</v>
      </c>
    </row>
    <row r="6212" spans="1:4" x14ac:dyDescent="0.3">
      <c r="A6212" s="1">
        <v>34943</v>
      </c>
      <c r="B6212">
        <v>1019.469971</v>
      </c>
      <c r="C6212">
        <f t="shared" ref="C6212:C6275" si="211">(B6212-B6211)/B6211</f>
        <v>-6.2739705464216647E-4</v>
      </c>
      <c r="D6212">
        <f t="shared" si="210"/>
        <v>-8.7367136409325599E-2</v>
      </c>
    </row>
    <row r="6213" spans="1:4" x14ac:dyDescent="0.3">
      <c r="A6213" s="1">
        <v>34947</v>
      </c>
      <c r="B6213">
        <v>1039.3000489999999</v>
      </c>
      <c r="C6213">
        <f t="shared" si="211"/>
        <v>1.9451360573719104E-2</v>
      </c>
      <c r="D6213">
        <f t="shared" si="210"/>
        <v>1.5188509095148668</v>
      </c>
    </row>
    <row r="6214" spans="1:4" x14ac:dyDescent="0.3">
      <c r="A6214" s="1">
        <v>34948</v>
      </c>
      <c r="B6214">
        <v>1044.280029</v>
      </c>
      <c r="C6214">
        <f t="shared" si="211"/>
        <v>4.7916672425751695E-3</v>
      </c>
      <c r="D6214">
        <f t="shared" si="210"/>
        <v>0.34613572404252296</v>
      </c>
    </row>
    <row r="6215" spans="1:4" x14ac:dyDescent="0.3">
      <c r="A6215" s="1">
        <v>34949</v>
      </c>
      <c r="B6215">
        <v>1051.079956</v>
      </c>
      <c r="C6215">
        <f t="shared" si="211"/>
        <v>6.5115934530622201E-3</v>
      </c>
      <c r="D6215">
        <f t="shared" si="210"/>
        <v>0.4837227485026504</v>
      </c>
    </row>
    <row r="6216" spans="1:4" x14ac:dyDescent="0.3">
      <c r="A6216" s="1">
        <v>34950</v>
      </c>
      <c r="B6216">
        <v>1060.030029</v>
      </c>
      <c r="C6216">
        <f t="shared" si="211"/>
        <v>8.5151209942775988E-3</v>
      </c>
      <c r="D6216">
        <f t="shared" si="210"/>
        <v>0.64399671324540397</v>
      </c>
    </row>
    <row r="6217" spans="1:4" x14ac:dyDescent="0.3">
      <c r="A6217" s="1">
        <v>34953</v>
      </c>
      <c r="B6217">
        <v>1066.5600589999999</v>
      </c>
      <c r="C6217">
        <f t="shared" si="211"/>
        <v>6.1602311456781349E-3</v>
      </c>
      <c r="D6217">
        <f t="shared" si="210"/>
        <v>0.45561520872236461</v>
      </c>
    </row>
    <row r="6218" spans="1:4" x14ac:dyDescent="0.3">
      <c r="A6218" s="1">
        <v>34954</v>
      </c>
      <c r="B6218">
        <v>1065</v>
      </c>
      <c r="C6218">
        <f t="shared" si="211"/>
        <v>-1.4627015017444134E-3</v>
      </c>
      <c r="D6218">
        <f t="shared" si="210"/>
        <v>-0.15418805738509517</v>
      </c>
    </row>
    <row r="6219" spans="1:4" x14ac:dyDescent="0.3">
      <c r="A6219" s="1">
        <v>34955</v>
      </c>
      <c r="B6219">
        <v>1067.400024</v>
      </c>
      <c r="C6219">
        <f t="shared" si="211"/>
        <v>2.2535436619718595E-3</v>
      </c>
      <c r="D6219">
        <f t="shared" si="210"/>
        <v>0.14309627442078413</v>
      </c>
    </row>
    <row r="6220" spans="1:4" x14ac:dyDescent="0.3">
      <c r="A6220" s="1">
        <v>34956</v>
      </c>
      <c r="B6220">
        <v>1066.959961</v>
      </c>
      <c r="C6220">
        <f t="shared" si="211"/>
        <v>-4.122756137393615E-4</v>
      </c>
      <c r="D6220">
        <f t="shared" si="210"/>
        <v>-7.0158305721751801E-2</v>
      </c>
    </row>
    <row r="6221" spans="1:4" x14ac:dyDescent="0.3">
      <c r="A6221" s="1">
        <v>34957</v>
      </c>
      <c r="B6221">
        <v>1051.099976</v>
      </c>
      <c r="C6221">
        <f t="shared" si="211"/>
        <v>-1.4864648702595552E-2</v>
      </c>
      <c r="D6221">
        <f t="shared" si="210"/>
        <v>-1.2262887243170062</v>
      </c>
    </row>
    <row r="6222" spans="1:4" x14ac:dyDescent="0.3">
      <c r="A6222" s="1">
        <v>34960</v>
      </c>
      <c r="B6222">
        <v>1050.1800539999999</v>
      </c>
      <c r="C6222">
        <f t="shared" si="211"/>
        <v>-8.7519933498699117E-4</v>
      </c>
      <c r="D6222">
        <f t="shared" si="210"/>
        <v>-0.10719029986784621</v>
      </c>
    </row>
    <row r="6223" spans="1:4" x14ac:dyDescent="0.3">
      <c r="A6223" s="1">
        <v>34961</v>
      </c>
      <c r="B6223">
        <v>1060.3199460000001</v>
      </c>
      <c r="C6223">
        <f t="shared" si="211"/>
        <v>9.6553842947012837E-3</v>
      </c>
      <c r="D6223">
        <f t="shared" si="210"/>
        <v>0.73521308848859079</v>
      </c>
    </row>
    <row r="6224" spans="1:4" x14ac:dyDescent="0.3">
      <c r="A6224" s="1">
        <v>34962</v>
      </c>
      <c r="B6224">
        <v>1065.089966</v>
      </c>
      <c r="C6224">
        <f t="shared" si="211"/>
        <v>4.4986610107586632E-3</v>
      </c>
      <c r="D6224">
        <f t="shared" si="210"/>
        <v>0.32269643034602696</v>
      </c>
    </row>
    <row r="6225" spans="1:4" x14ac:dyDescent="0.3">
      <c r="A6225" s="1">
        <v>34963</v>
      </c>
      <c r="B6225">
        <v>1058.51001</v>
      </c>
      <c r="C6225">
        <f t="shared" si="211"/>
        <v>-6.1778405675075509E-3</v>
      </c>
      <c r="D6225">
        <f t="shared" si="210"/>
        <v>-0.53137979387845535</v>
      </c>
    </row>
    <row r="6226" spans="1:4" x14ac:dyDescent="0.3">
      <c r="A6226" s="1">
        <v>34964</v>
      </c>
      <c r="B6226">
        <v>1053.3900149999999</v>
      </c>
      <c r="C6226">
        <f t="shared" si="211"/>
        <v>-4.836983072082632E-3</v>
      </c>
      <c r="D6226">
        <f t="shared" si="210"/>
        <v>-0.42411670788342831</v>
      </c>
    </row>
    <row r="6227" spans="1:4" x14ac:dyDescent="0.3">
      <c r="A6227" s="1">
        <v>34967</v>
      </c>
      <c r="B6227">
        <v>1046.150024</v>
      </c>
      <c r="C6227">
        <f t="shared" si="211"/>
        <v>-6.873039327223847E-3</v>
      </c>
      <c r="D6227">
        <f t="shared" si="210"/>
        <v>-0.58699283598137786</v>
      </c>
    </row>
    <row r="6228" spans="1:4" x14ac:dyDescent="0.3">
      <c r="A6228" s="1">
        <v>34968</v>
      </c>
      <c r="B6228">
        <v>1038.0500489999999</v>
      </c>
      <c r="C6228">
        <f t="shared" si="211"/>
        <v>-7.7426514497695841E-3</v>
      </c>
      <c r="D6228">
        <f t="shared" si="210"/>
        <v>-0.65655822991862212</v>
      </c>
    </row>
    <row r="6229" spans="1:4" x14ac:dyDescent="0.3">
      <c r="A6229" s="1">
        <v>34969</v>
      </c>
      <c r="B6229">
        <v>1026.540039</v>
      </c>
      <c r="C6229">
        <f t="shared" si="211"/>
        <v>-1.1088106985870356E-2</v>
      </c>
      <c r="D6229">
        <f t="shared" si="210"/>
        <v>-0.92418091621132059</v>
      </c>
    </row>
    <row r="6230" spans="1:4" x14ac:dyDescent="0.3">
      <c r="A6230" s="1">
        <v>34970</v>
      </c>
      <c r="B6230">
        <v>1047.0500489999999</v>
      </c>
      <c r="C6230">
        <f t="shared" si="211"/>
        <v>1.9979746742250514E-2</v>
      </c>
      <c r="D6230">
        <f t="shared" si="210"/>
        <v>1.561119630260472</v>
      </c>
    </row>
    <row r="6231" spans="1:4" x14ac:dyDescent="0.3">
      <c r="A6231" s="1">
        <v>34971</v>
      </c>
      <c r="B6231">
        <v>1043.540039</v>
      </c>
      <c r="C6231">
        <f t="shared" si="211"/>
        <v>-3.3522848342849043E-3</v>
      </c>
      <c r="D6231">
        <f t="shared" si="210"/>
        <v>-0.30534695397524342</v>
      </c>
    </row>
    <row r="6232" spans="1:4" x14ac:dyDescent="0.3">
      <c r="A6232" s="1">
        <v>34974</v>
      </c>
      <c r="B6232">
        <v>1027.5699460000001</v>
      </c>
      <c r="C6232">
        <f t="shared" si="211"/>
        <v>-1.5303766413508842E-2</v>
      </c>
      <c r="D6232">
        <f t="shared" si="210"/>
        <v>-1.261416335527253</v>
      </c>
    </row>
    <row r="6233" spans="1:4" x14ac:dyDescent="0.3">
      <c r="A6233" s="1">
        <v>34975</v>
      </c>
      <c r="B6233">
        <v>1020.450012</v>
      </c>
      <c r="C6233">
        <f t="shared" si="211"/>
        <v>-6.9289044777104221E-3</v>
      </c>
      <c r="D6233">
        <f t="shared" si="210"/>
        <v>-0.59146181830143241</v>
      </c>
    </row>
    <row r="6234" spans="1:4" x14ac:dyDescent="0.3">
      <c r="A6234" s="1">
        <v>34976</v>
      </c>
      <c r="B6234">
        <v>1002.27002</v>
      </c>
      <c r="C6234">
        <f t="shared" si="211"/>
        <v>-1.7815661508365947E-2</v>
      </c>
      <c r="D6234">
        <f t="shared" si="210"/>
        <v>-1.4623576141414734</v>
      </c>
    </row>
    <row r="6235" spans="1:4" x14ac:dyDescent="0.3">
      <c r="A6235" s="1">
        <v>34977</v>
      </c>
      <c r="B6235">
        <v>1014.200012</v>
      </c>
      <c r="C6235">
        <f t="shared" si="211"/>
        <v>1.1902972015465424E-2</v>
      </c>
      <c r="D6235">
        <f t="shared" si="210"/>
        <v>0.91501086401379028</v>
      </c>
    </row>
    <row r="6236" spans="1:4" x14ac:dyDescent="0.3">
      <c r="A6236" s="1">
        <v>34978</v>
      </c>
      <c r="B6236">
        <v>1012.039978</v>
      </c>
      <c r="C6236">
        <f t="shared" si="211"/>
        <v>-2.1297909430511778E-3</v>
      </c>
      <c r="D6236">
        <f t="shared" si="210"/>
        <v>-0.20755246960146309</v>
      </c>
    </row>
    <row r="6237" spans="1:4" x14ac:dyDescent="0.3">
      <c r="A6237" s="1">
        <v>34981</v>
      </c>
      <c r="B6237">
        <v>984.73999000000003</v>
      </c>
      <c r="C6237">
        <f t="shared" si="211"/>
        <v>-2.697520709997089E-2</v>
      </c>
      <c r="D6237">
        <f t="shared" si="210"/>
        <v>-2.1950835971933431</v>
      </c>
    </row>
    <row r="6238" spans="1:4" x14ac:dyDescent="0.3">
      <c r="A6238" s="1">
        <v>34982</v>
      </c>
      <c r="B6238">
        <v>983.46997099999999</v>
      </c>
      <c r="C6238">
        <f t="shared" si="211"/>
        <v>-1.2896998323385317E-3</v>
      </c>
      <c r="D6238">
        <f t="shared" si="210"/>
        <v>-0.14034863521973995</v>
      </c>
    </row>
    <row r="6239" spans="1:4" x14ac:dyDescent="0.3">
      <c r="A6239" s="1">
        <v>34983</v>
      </c>
      <c r="B6239">
        <v>1001.570007</v>
      </c>
      <c r="C6239">
        <f t="shared" si="211"/>
        <v>1.8404258933900939E-2</v>
      </c>
      <c r="D6239">
        <f t="shared" si="210"/>
        <v>1.4350870840370842</v>
      </c>
    </row>
    <row r="6240" spans="1:4" x14ac:dyDescent="0.3">
      <c r="A6240" s="1">
        <v>34984</v>
      </c>
      <c r="B6240">
        <v>1015.630005</v>
      </c>
      <c r="C6240">
        <f t="shared" si="211"/>
        <v>1.403795830719195E-2</v>
      </c>
      <c r="D6240">
        <f t="shared" si="210"/>
        <v>1.0858009882358235</v>
      </c>
    </row>
    <row r="6241" spans="1:4" x14ac:dyDescent="0.3">
      <c r="A6241" s="1">
        <v>34985</v>
      </c>
      <c r="B6241">
        <v>1018.380005</v>
      </c>
      <c r="C6241">
        <f t="shared" si="211"/>
        <v>2.7076789642503721E-3</v>
      </c>
      <c r="D6241">
        <f t="shared" si="210"/>
        <v>0.17942523118754392</v>
      </c>
    </row>
    <row r="6242" spans="1:4" x14ac:dyDescent="0.3">
      <c r="A6242" s="1">
        <v>34988</v>
      </c>
      <c r="B6242">
        <v>1018.130005</v>
      </c>
      <c r="C6242">
        <f t="shared" si="211"/>
        <v>-2.454879306079856E-4</v>
      </c>
      <c r="D6242">
        <f t="shared" si="210"/>
        <v>-5.6815976906292788E-2</v>
      </c>
    </row>
    <row r="6243" spans="1:4" x14ac:dyDescent="0.3">
      <c r="A6243" s="1">
        <v>34989</v>
      </c>
      <c r="B6243">
        <v>1035.4399410000001</v>
      </c>
      <c r="C6243">
        <f t="shared" si="211"/>
        <v>1.700169518135369E-2</v>
      </c>
      <c r="D6243">
        <f t="shared" si="210"/>
        <v>1.322887751209916</v>
      </c>
    </row>
    <row r="6244" spans="1:4" x14ac:dyDescent="0.3">
      <c r="A6244" s="1">
        <v>34990</v>
      </c>
      <c r="B6244">
        <v>1045.369995</v>
      </c>
      <c r="C6244">
        <f t="shared" si="211"/>
        <v>9.590178634996201E-3</v>
      </c>
      <c r="D6244">
        <f t="shared" si="210"/>
        <v>0.72999690383945903</v>
      </c>
    </row>
    <row r="6245" spans="1:4" x14ac:dyDescent="0.3">
      <c r="A6245" s="1">
        <v>34991</v>
      </c>
      <c r="B6245">
        <v>1046.969971</v>
      </c>
      <c r="C6245">
        <f t="shared" si="211"/>
        <v>1.5305356071559808E-3</v>
      </c>
      <c r="D6245">
        <f t="shared" si="210"/>
        <v>8.5258603062399782E-2</v>
      </c>
    </row>
    <row r="6246" spans="1:4" x14ac:dyDescent="0.3">
      <c r="A6246" s="1">
        <v>34992</v>
      </c>
      <c r="B6246">
        <v>1039.530029</v>
      </c>
      <c r="C6246">
        <f t="shared" si="211"/>
        <v>-7.1061656074947483E-3</v>
      </c>
      <c r="D6246">
        <f t="shared" si="210"/>
        <v>-0.60564197978205747</v>
      </c>
    </row>
    <row r="6247" spans="1:4" x14ac:dyDescent="0.3">
      <c r="A6247" s="1">
        <v>34995</v>
      </c>
      <c r="B6247">
        <v>1036.920044</v>
      </c>
      <c r="C6247">
        <f t="shared" si="211"/>
        <v>-2.5107355508631021E-3</v>
      </c>
      <c r="D6247">
        <f t="shared" si="210"/>
        <v>-0.23802647177282979</v>
      </c>
    </row>
    <row r="6248" spans="1:4" x14ac:dyDescent="0.3">
      <c r="A6248" s="1">
        <v>34996</v>
      </c>
      <c r="B6248">
        <v>1039.23999</v>
      </c>
      <c r="C6248">
        <f t="shared" si="211"/>
        <v>2.2373431909472018E-3</v>
      </c>
      <c r="D6248">
        <f t="shared" si="210"/>
        <v>0.14180030335554641</v>
      </c>
    </row>
    <row r="6249" spans="1:4" x14ac:dyDescent="0.3">
      <c r="A6249" s="1">
        <v>34997</v>
      </c>
      <c r="B6249">
        <v>1026.469971</v>
      </c>
      <c r="C6249">
        <f t="shared" si="211"/>
        <v>-1.2287844119624426E-2</v>
      </c>
      <c r="D6249">
        <f t="shared" si="210"/>
        <v>-1.0201549535630743</v>
      </c>
    </row>
    <row r="6250" spans="1:4" x14ac:dyDescent="0.3">
      <c r="A6250" s="1">
        <v>34998</v>
      </c>
      <c r="B6250">
        <v>1017.570007</v>
      </c>
      <c r="C6250">
        <f t="shared" si="211"/>
        <v>-8.6704572480863686E-3</v>
      </c>
      <c r="D6250">
        <f t="shared" si="210"/>
        <v>-0.7307788786237257</v>
      </c>
    </row>
    <row r="6251" spans="1:4" x14ac:dyDescent="0.3">
      <c r="A6251" s="1">
        <v>34999</v>
      </c>
      <c r="B6251">
        <v>1025.5500489999999</v>
      </c>
      <c r="C6251">
        <f t="shared" si="211"/>
        <v>7.8422535502266546E-3</v>
      </c>
      <c r="D6251">
        <f t="shared" si="210"/>
        <v>0.59017008456879083</v>
      </c>
    </row>
    <row r="6252" spans="1:4" x14ac:dyDescent="0.3">
      <c r="A6252" s="1">
        <v>35002</v>
      </c>
      <c r="B6252">
        <v>1039.6899410000001</v>
      </c>
      <c r="C6252">
        <f t="shared" si="211"/>
        <v>1.3787617692366905E-2</v>
      </c>
      <c r="D6252">
        <f t="shared" si="210"/>
        <v>1.065774768456579</v>
      </c>
    </row>
    <row r="6253" spans="1:4" x14ac:dyDescent="0.3">
      <c r="A6253" s="1">
        <v>35003</v>
      </c>
      <c r="B6253">
        <v>1036.0600589999999</v>
      </c>
      <c r="C6253">
        <f t="shared" si="211"/>
        <v>-3.491312031458982E-3</v>
      </c>
      <c r="D6253">
        <f t="shared" si="210"/>
        <v>-0.31646855806591889</v>
      </c>
    </row>
    <row r="6254" spans="1:4" x14ac:dyDescent="0.3">
      <c r="A6254" s="1">
        <v>35004</v>
      </c>
      <c r="B6254">
        <v>1040.5</v>
      </c>
      <c r="C6254">
        <f t="shared" si="211"/>
        <v>4.2854089021494559E-3</v>
      </c>
      <c r="D6254">
        <f t="shared" si="210"/>
        <v>0.30563713855520064</v>
      </c>
    </row>
    <row r="6255" spans="1:4" x14ac:dyDescent="0.3">
      <c r="A6255" s="1">
        <v>35005</v>
      </c>
      <c r="B6255">
        <v>1057.3199460000001</v>
      </c>
      <c r="C6255">
        <f t="shared" si="211"/>
        <v>1.6165253243632938E-2</v>
      </c>
      <c r="D6255">
        <f t="shared" si="210"/>
        <v>1.2559758356620554</v>
      </c>
    </row>
    <row r="6256" spans="1:4" x14ac:dyDescent="0.3">
      <c r="A6256" s="1">
        <v>35006</v>
      </c>
      <c r="B6256">
        <v>1065.660034</v>
      </c>
      <c r="C6256">
        <f t="shared" si="211"/>
        <v>7.8879510705834373E-3</v>
      </c>
      <c r="D6256">
        <f t="shared" si="210"/>
        <v>0.59382569828800702</v>
      </c>
    </row>
    <row r="6257" spans="1:4" x14ac:dyDescent="0.3">
      <c r="A6257" s="1">
        <v>35009</v>
      </c>
      <c r="B6257">
        <v>1062.1400149999999</v>
      </c>
      <c r="C6257">
        <f t="shared" si="211"/>
        <v>-3.3031350409074714E-3</v>
      </c>
      <c r="D6257">
        <f t="shared" si="210"/>
        <v>-0.30141517261020678</v>
      </c>
    </row>
    <row r="6258" spans="1:4" x14ac:dyDescent="0.3">
      <c r="A6258" s="1">
        <v>35010</v>
      </c>
      <c r="B6258">
        <v>1043.900024</v>
      </c>
      <c r="C6258">
        <f t="shared" si="211"/>
        <v>-1.7172868682477724E-2</v>
      </c>
      <c r="D6258">
        <f t="shared" si="210"/>
        <v>-1.4109368312503092</v>
      </c>
    </row>
    <row r="6259" spans="1:4" x14ac:dyDescent="0.3">
      <c r="A6259" s="1">
        <v>35011</v>
      </c>
      <c r="B6259">
        <v>1047.9399410000001</v>
      </c>
      <c r="C6259">
        <f t="shared" si="211"/>
        <v>3.8700229017334131E-3</v>
      </c>
      <c r="D6259">
        <f t="shared" si="210"/>
        <v>0.27240796659935712</v>
      </c>
    </row>
    <row r="6260" spans="1:4" x14ac:dyDescent="0.3">
      <c r="A6260" s="1">
        <v>35012</v>
      </c>
      <c r="B6260">
        <v>1065.589966</v>
      </c>
      <c r="C6260">
        <f t="shared" si="211"/>
        <v>1.6842592127137859E-2</v>
      </c>
      <c r="D6260">
        <f t="shared" si="210"/>
        <v>1.3101601611083178</v>
      </c>
    </row>
    <row r="6261" spans="1:4" x14ac:dyDescent="0.3">
      <c r="A6261" s="1">
        <v>35013</v>
      </c>
      <c r="B6261">
        <v>1063.869995</v>
      </c>
      <c r="C6261">
        <f t="shared" si="211"/>
        <v>-1.6141020982549182E-3</v>
      </c>
      <c r="D6261">
        <f t="shared" si="210"/>
        <v>-0.16629948254296276</v>
      </c>
    </row>
    <row r="6262" spans="1:4" x14ac:dyDescent="0.3">
      <c r="A6262" s="1">
        <v>35016</v>
      </c>
      <c r="B6262">
        <v>1058.459961</v>
      </c>
      <c r="C6262">
        <f t="shared" si="211"/>
        <v>-5.0852397618376252E-3</v>
      </c>
      <c r="D6262">
        <f t="shared" si="210"/>
        <v>-0.44397622222621974</v>
      </c>
    </row>
    <row r="6263" spans="1:4" x14ac:dyDescent="0.3">
      <c r="A6263" s="1">
        <v>35017</v>
      </c>
      <c r="B6263">
        <v>1040.619995</v>
      </c>
      <c r="C6263">
        <f t="shared" si="211"/>
        <v>-1.6854644159752023E-2</v>
      </c>
      <c r="D6263">
        <f t="shared" si="210"/>
        <v>-1.3854801779793093</v>
      </c>
    </row>
    <row r="6264" spans="1:4" x14ac:dyDescent="0.3">
      <c r="A6264" s="1">
        <v>35018</v>
      </c>
      <c r="B6264">
        <v>1041.849976</v>
      </c>
      <c r="C6264">
        <f t="shared" si="211"/>
        <v>1.1819694085351037E-3</v>
      </c>
      <c r="D6264">
        <f t="shared" si="210"/>
        <v>5.7374740485502722E-2</v>
      </c>
    </row>
    <row r="6265" spans="1:4" x14ac:dyDescent="0.3">
      <c r="A6265" s="1">
        <v>35019</v>
      </c>
      <c r="B6265">
        <v>1044.4799800000001</v>
      </c>
      <c r="C6265">
        <f t="shared" si="211"/>
        <v>2.5243596108698277E-3</v>
      </c>
      <c r="D6265">
        <f t="shared" si="210"/>
        <v>0.16476043673078566</v>
      </c>
    </row>
    <row r="6266" spans="1:4" x14ac:dyDescent="0.3">
      <c r="A6266" s="1">
        <v>35020</v>
      </c>
      <c r="B6266">
        <v>1045.030029</v>
      </c>
      <c r="C6266">
        <f t="shared" si="211"/>
        <v>5.2662474200792673E-4</v>
      </c>
      <c r="D6266">
        <f t="shared" si="210"/>
        <v>4.9498619566993481E-3</v>
      </c>
    </row>
    <row r="6267" spans="1:4" x14ac:dyDescent="0.3">
      <c r="A6267" s="1">
        <v>35023</v>
      </c>
      <c r="B6267">
        <v>1029.469971</v>
      </c>
      <c r="C6267">
        <f t="shared" si="211"/>
        <v>-1.4889579790247373E-2</v>
      </c>
      <c r="D6267">
        <f t="shared" si="210"/>
        <v>-1.2282831088119068</v>
      </c>
    </row>
    <row r="6268" spans="1:4" x14ac:dyDescent="0.3">
      <c r="A6268" s="1">
        <v>35024</v>
      </c>
      <c r="B6268">
        <v>1024.98999</v>
      </c>
      <c r="C6268">
        <f t="shared" si="211"/>
        <v>-4.3517354815587449E-3</v>
      </c>
      <c r="D6268">
        <f t="shared" si="210"/>
        <v>-0.38529889599153222</v>
      </c>
    </row>
    <row r="6269" spans="1:4" x14ac:dyDescent="0.3">
      <c r="A6269" s="1">
        <v>35025</v>
      </c>
      <c r="B6269">
        <v>1021.23999</v>
      </c>
      <c r="C6269">
        <f t="shared" si="211"/>
        <v>-3.6585723144476755E-3</v>
      </c>
      <c r="D6269">
        <f t="shared" si="210"/>
        <v>-0.32984869292662106</v>
      </c>
    </row>
    <row r="6270" spans="1:4" x14ac:dyDescent="0.3">
      <c r="A6270" s="1">
        <v>35027</v>
      </c>
      <c r="B6270">
        <v>1030.170044</v>
      </c>
      <c r="C6270">
        <f t="shared" si="211"/>
        <v>8.7443246322540958E-3</v>
      </c>
      <c r="D6270">
        <f t="shared" si="210"/>
        <v>0.66233206179253279</v>
      </c>
    </row>
    <row r="6271" spans="1:4" x14ac:dyDescent="0.3">
      <c r="A6271" s="1">
        <v>35030</v>
      </c>
      <c r="B6271">
        <v>1029.3199460000001</v>
      </c>
      <c r="C6271">
        <f t="shared" si="211"/>
        <v>-8.2520163049886646E-4</v>
      </c>
      <c r="D6271">
        <f t="shared" si="210"/>
        <v>-0.10319068910058556</v>
      </c>
    </row>
    <row r="6272" spans="1:4" x14ac:dyDescent="0.3">
      <c r="A6272" s="1">
        <v>35031</v>
      </c>
      <c r="B6272">
        <v>1050.0500489999999</v>
      </c>
      <c r="C6272">
        <f t="shared" si="211"/>
        <v>2.0139610701763153E-2</v>
      </c>
      <c r="D6272">
        <f t="shared" si="210"/>
        <v>1.5739080896569537</v>
      </c>
    </row>
    <row r="6273" spans="1:4" x14ac:dyDescent="0.3">
      <c r="A6273" s="1">
        <v>35032</v>
      </c>
      <c r="B6273">
        <v>1057.5699460000001</v>
      </c>
      <c r="C6273">
        <f t="shared" si="211"/>
        <v>7.1614653103074409E-3</v>
      </c>
      <c r="D6273">
        <f t="shared" si="210"/>
        <v>0.53570982479322349</v>
      </c>
    </row>
    <row r="6274" spans="1:4" x14ac:dyDescent="0.3">
      <c r="A6274" s="1">
        <v>35033</v>
      </c>
      <c r="B6274">
        <v>1059.1999510000001</v>
      </c>
      <c r="C6274">
        <f t="shared" si="211"/>
        <v>1.5412739423667234E-3</v>
      </c>
      <c r="D6274">
        <f t="shared" si="210"/>
        <v>8.6117625722960958E-2</v>
      </c>
    </row>
    <row r="6275" spans="1:4" x14ac:dyDescent="0.3">
      <c r="A6275" s="1">
        <v>35034</v>
      </c>
      <c r="B6275">
        <v>1055.3100589999999</v>
      </c>
      <c r="C6275">
        <f t="shared" si="211"/>
        <v>-3.6724812877187768E-3</v>
      </c>
      <c r="D6275">
        <f t="shared" ref="D6275:D6338" si="212">(C6275-avrtn)/sdrtn</f>
        <v>-0.33096135359426937</v>
      </c>
    </row>
    <row r="6276" spans="1:4" x14ac:dyDescent="0.3">
      <c r="A6276" s="1">
        <v>35037</v>
      </c>
      <c r="B6276">
        <v>1069.790039</v>
      </c>
      <c r="C6276">
        <f t="shared" ref="C6276:C6339" si="213">(B6276-B6275)/B6275</f>
        <v>1.3721066976013795E-2</v>
      </c>
      <c r="D6276">
        <f t="shared" si="212"/>
        <v>1.0604509848065109</v>
      </c>
    </row>
    <row r="6277" spans="1:4" x14ac:dyDescent="0.3">
      <c r="A6277" s="1">
        <v>35038</v>
      </c>
      <c r="B6277">
        <v>1065.8900149999999</v>
      </c>
      <c r="C6277">
        <f t="shared" si="213"/>
        <v>-3.6455976012317597E-3</v>
      </c>
      <c r="D6277">
        <f t="shared" si="212"/>
        <v>-0.32881076922168734</v>
      </c>
    </row>
    <row r="6278" spans="1:4" x14ac:dyDescent="0.3">
      <c r="A6278" s="1">
        <v>35039</v>
      </c>
      <c r="B6278">
        <v>1061.7299800000001</v>
      </c>
      <c r="C6278">
        <f t="shared" si="213"/>
        <v>-3.9028745381387967E-3</v>
      </c>
      <c r="D6278">
        <f t="shared" si="212"/>
        <v>-0.34939186624516433</v>
      </c>
    </row>
    <row r="6279" spans="1:4" x14ac:dyDescent="0.3">
      <c r="A6279" s="1">
        <v>35040</v>
      </c>
      <c r="B6279">
        <v>1053.170044</v>
      </c>
      <c r="C6279">
        <f t="shared" si="213"/>
        <v>-8.0622532670690025E-3</v>
      </c>
      <c r="D6279">
        <f t="shared" si="212"/>
        <v>-0.68212506109205018</v>
      </c>
    </row>
    <row r="6280" spans="1:4" x14ac:dyDescent="0.3">
      <c r="A6280" s="1">
        <v>35041</v>
      </c>
      <c r="B6280">
        <v>1062.410034</v>
      </c>
      <c r="C6280">
        <f t="shared" si="213"/>
        <v>8.7735024867456584E-3</v>
      </c>
      <c r="D6280">
        <f t="shared" si="212"/>
        <v>0.66466617017180318</v>
      </c>
    </row>
    <row r="6281" spans="1:4" x14ac:dyDescent="0.3">
      <c r="A6281" s="1">
        <v>35044</v>
      </c>
      <c r="B6281">
        <v>1061.5</v>
      </c>
      <c r="C6281">
        <f t="shared" si="213"/>
        <v>-8.565751177760394E-4</v>
      </c>
      <c r="D6281">
        <f t="shared" si="212"/>
        <v>-0.10570043907420885</v>
      </c>
    </row>
    <row r="6282" spans="1:4" x14ac:dyDescent="0.3">
      <c r="A6282" s="1">
        <v>35045</v>
      </c>
      <c r="B6282">
        <v>1052.0699460000001</v>
      </c>
      <c r="C6282">
        <f t="shared" si="213"/>
        <v>-8.8837060763070439E-3</v>
      </c>
      <c r="D6282">
        <f t="shared" si="212"/>
        <v>-0.7478379079969586</v>
      </c>
    </row>
    <row r="6283" spans="1:4" x14ac:dyDescent="0.3">
      <c r="A6283" s="1">
        <v>35046</v>
      </c>
      <c r="B6283">
        <v>1056.540039</v>
      </c>
      <c r="C6283">
        <f t="shared" si="213"/>
        <v>4.2488553322859637E-3</v>
      </c>
      <c r="D6283">
        <f t="shared" si="212"/>
        <v>0.30271300327529871</v>
      </c>
    </row>
    <row r="6284" spans="1:4" x14ac:dyDescent="0.3">
      <c r="A6284" s="1">
        <v>35047</v>
      </c>
      <c r="B6284">
        <v>1038.1899410000001</v>
      </c>
      <c r="C6284">
        <f t="shared" si="213"/>
        <v>-1.7368104683820589E-2</v>
      </c>
      <c r="D6284">
        <f t="shared" si="212"/>
        <v>-1.4265549085425038</v>
      </c>
    </row>
    <row r="6285" spans="1:4" x14ac:dyDescent="0.3">
      <c r="A6285" s="1">
        <v>35048</v>
      </c>
      <c r="B6285">
        <v>1030.4799800000001</v>
      </c>
      <c r="C6285">
        <f t="shared" si="213"/>
        <v>-7.426349163596857E-3</v>
      </c>
      <c r="D6285">
        <f t="shared" si="212"/>
        <v>-0.63125534766757641</v>
      </c>
    </row>
    <row r="6286" spans="1:4" x14ac:dyDescent="0.3">
      <c r="A6286" s="1">
        <v>35051</v>
      </c>
      <c r="B6286">
        <v>1002.559998</v>
      </c>
      <c r="C6286">
        <f t="shared" si="213"/>
        <v>-2.7094152765588048E-2</v>
      </c>
      <c r="D6286">
        <f t="shared" si="212"/>
        <v>-2.204598761335216</v>
      </c>
    </row>
    <row r="6287" spans="1:4" x14ac:dyDescent="0.3">
      <c r="A6287" s="1">
        <v>35052</v>
      </c>
      <c r="B6287">
        <v>1026.410034</v>
      </c>
      <c r="C6287">
        <f t="shared" si="213"/>
        <v>2.3789135859777287E-2</v>
      </c>
      <c r="D6287">
        <f t="shared" si="212"/>
        <v>1.8658550953609645</v>
      </c>
    </row>
    <row r="6288" spans="1:4" x14ac:dyDescent="0.3">
      <c r="A6288" s="1">
        <v>35053</v>
      </c>
      <c r="B6288">
        <v>1025.2700199999999</v>
      </c>
      <c r="C6288">
        <f t="shared" si="213"/>
        <v>-1.1106808801910686E-3</v>
      </c>
      <c r="D6288">
        <f t="shared" si="212"/>
        <v>-0.12602785517827267</v>
      </c>
    </row>
    <row r="6289" spans="1:4" x14ac:dyDescent="0.3">
      <c r="A6289" s="1">
        <v>35054</v>
      </c>
      <c r="B6289">
        <v>1040.6400149999999</v>
      </c>
      <c r="C6289">
        <f t="shared" si="213"/>
        <v>1.4991167887655603E-2</v>
      </c>
      <c r="D6289">
        <f t="shared" si="212"/>
        <v>1.1620538350517002</v>
      </c>
    </row>
    <row r="6290" spans="1:4" x14ac:dyDescent="0.3">
      <c r="A6290" s="1">
        <v>35055</v>
      </c>
      <c r="B6290">
        <v>1046.8900149999999</v>
      </c>
      <c r="C6290">
        <f t="shared" si="213"/>
        <v>6.0059193476237798E-3</v>
      </c>
      <c r="D6290">
        <f t="shared" si="212"/>
        <v>0.44327089941192127</v>
      </c>
    </row>
    <row r="6291" spans="1:4" x14ac:dyDescent="0.3">
      <c r="A6291" s="1">
        <v>35059</v>
      </c>
      <c r="B6291">
        <v>1049.369995</v>
      </c>
      <c r="C6291">
        <f t="shared" si="213"/>
        <v>2.3689021429821057E-3</v>
      </c>
      <c r="D6291">
        <f t="shared" si="212"/>
        <v>0.15232447854469552</v>
      </c>
    </row>
    <row r="6292" spans="1:4" x14ac:dyDescent="0.3">
      <c r="A6292" s="1">
        <v>35060</v>
      </c>
      <c r="B6292">
        <v>1048.130005</v>
      </c>
      <c r="C6292">
        <f t="shared" si="213"/>
        <v>-1.1816518538821327E-3</v>
      </c>
      <c r="D6292">
        <f t="shared" si="212"/>
        <v>-0.13170524123917021</v>
      </c>
    </row>
    <row r="6293" spans="1:4" x14ac:dyDescent="0.3">
      <c r="A6293" s="1">
        <v>35061</v>
      </c>
      <c r="B6293">
        <v>1042.219971</v>
      </c>
      <c r="C6293">
        <f t="shared" si="213"/>
        <v>-5.6386459425899135E-3</v>
      </c>
      <c r="D6293">
        <f t="shared" si="212"/>
        <v>-0.48824644106659015</v>
      </c>
    </row>
    <row r="6294" spans="1:4" x14ac:dyDescent="0.3">
      <c r="A6294" s="1">
        <v>35062</v>
      </c>
      <c r="B6294">
        <v>1052.130005</v>
      </c>
      <c r="C6294">
        <f t="shared" si="213"/>
        <v>9.5085819459892074E-3</v>
      </c>
      <c r="D6294">
        <f t="shared" si="212"/>
        <v>0.72346950424648959</v>
      </c>
    </row>
    <row r="6295" spans="1:4" x14ac:dyDescent="0.3">
      <c r="A6295" s="1">
        <v>35066</v>
      </c>
      <c r="B6295">
        <v>1058.650024</v>
      </c>
      <c r="C6295">
        <f t="shared" si="213"/>
        <v>6.1969708771874134E-3</v>
      </c>
      <c r="D6295">
        <f t="shared" si="212"/>
        <v>0.45855423616842822</v>
      </c>
    </row>
    <row r="6296" spans="1:4" x14ac:dyDescent="0.3">
      <c r="A6296" s="1">
        <v>35067</v>
      </c>
      <c r="B6296">
        <v>1046.26001</v>
      </c>
      <c r="C6296">
        <f t="shared" si="213"/>
        <v>-1.1703597713232625E-2</v>
      </c>
      <c r="D6296">
        <f t="shared" si="212"/>
        <v>-0.97341764348730841</v>
      </c>
    </row>
    <row r="6297" spans="1:4" x14ac:dyDescent="0.3">
      <c r="A6297" s="1">
        <v>35068</v>
      </c>
      <c r="B6297">
        <v>1029.8199460000001</v>
      </c>
      <c r="C6297">
        <f t="shared" si="213"/>
        <v>-1.5713172483769015E-2</v>
      </c>
      <c r="D6297">
        <f t="shared" si="212"/>
        <v>-1.2941671376602468</v>
      </c>
    </row>
    <row r="6298" spans="1:4" x14ac:dyDescent="0.3">
      <c r="A6298" s="1">
        <v>35069</v>
      </c>
      <c r="B6298">
        <v>1033.469971</v>
      </c>
      <c r="C6298">
        <f t="shared" si="213"/>
        <v>3.5443331760831071E-3</v>
      </c>
      <c r="D6298">
        <f t="shared" si="212"/>
        <v>0.2463541277914868</v>
      </c>
    </row>
    <row r="6299" spans="1:4" x14ac:dyDescent="0.3">
      <c r="A6299" s="1">
        <v>35072</v>
      </c>
      <c r="B6299">
        <v>1032.369995</v>
      </c>
      <c r="C6299">
        <f t="shared" si="213"/>
        <v>-1.0643521639391394E-3</v>
      </c>
      <c r="D6299">
        <f t="shared" si="212"/>
        <v>-0.12232174838293787</v>
      </c>
    </row>
    <row r="6300" spans="1:4" x14ac:dyDescent="0.3">
      <c r="A6300" s="1">
        <v>35073</v>
      </c>
      <c r="B6300">
        <v>998.80999799999995</v>
      </c>
      <c r="C6300">
        <f t="shared" si="213"/>
        <v>-3.2507722195083813E-2</v>
      </c>
      <c r="D6300">
        <f t="shared" si="212"/>
        <v>-2.6376620549643701</v>
      </c>
    </row>
    <row r="6301" spans="1:4" x14ac:dyDescent="0.3">
      <c r="A6301" s="1">
        <v>35074</v>
      </c>
      <c r="B6301">
        <v>990.21002199999998</v>
      </c>
      <c r="C6301">
        <f t="shared" si="213"/>
        <v>-8.6102221816165385E-3</v>
      </c>
      <c r="D6301">
        <f t="shared" si="212"/>
        <v>-0.7259603209942127</v>
      </c>
    </row>
    <row r="6302" spans="1:4" x14ac:dyDescent="0.3">
      <c r="A6302" s="1">
        <v>35075</v>
      </c>
      <c r="B6302">
        <v>1011.099976</v>
      </c>
      <c r="C6302">
        <f t="shared" si="213"/>
        <v>2.1096488154913856E-2</v>
      </c>
      <c r="D6302">
        <f t="shared" si="212"/>
        <v>1.6504543512054117</v>
      </c>
    </row>
    <row r="6303" spans="1:4" x14ac:dyDescent="0.3">
      <c r="A6303" s="1">
        <v>35076</v>
      </c>
      <c r="B6303">
        <v>1008.22998</v>
      </c>
      <c r="C6303">
        <f t="shared" si="213"/>
        <v>-2.8384888419777936E-3</v>
      </c>
      <c r="D6303">
        <f t="shared" si="212"/>
        <v>-0.26424538733241903</v>
      </c>
    </row>
    <row r="6304" spans="1:4" x14ac:dyDescent="0.3">
      <c r="A6304" s="1">
        <v>35079</v>
      </c>
      <c r="B6304">
        <v>988.57000700000003</v>
      </c>
      <c r="C6304">
        <f t="shared" si="213"/>
        <v>-1.9499492566170194E-2</v>
      </c>
      <c r="D6304">
        <f t="shared" si="212"/>
        <v>-1.5970571748111311</v>
      </c>
    </row>
    <row r="6305" spans="1:4" x14ac:dyDescent="0.3">
      <c r="A6305" s="1">
        <v>35080</v>
      </c>
      <c r="B6305">
        <v>995.86999500000002</v>
      </c>
      <c r="C6305">
        <f t="shared" si="213"/>
        <v>7.3843915436532003E-3</v>
      </c>
      <c r="D6305">
        <f t="shared" si="212"/>
        <v>0.55354300678273538</v>
      </c>
    </row>
    <row r="6306" spans="1:4" x14ac:dyDescent="0.3">
      <c r="A6306" s="1">
        <v>35081</v>
      </c>
      <c r="B6306">
        <v>998.29998799999998</v>
      </c>
      <c r="C6306">
        <f t="shared" si="213"/>
        <v>2.4400705033792765E-3</v>
      </c>
      <c r="D6306">
        <f t="shared" si="212"/>
        <v>0.15801765473042259</v>
      </c>
    </row>
    <row r="6307" spans="1:4" x14ac:dyDescent="0.3">
      <c r="A6307" s="1">
        <v>35082</v>
      </c>
      <c r="B6307">
        <v>1007.23999</v>
      </c>
      <c r="C6307">
        <f t="shared" si="213"/>
        <v>8.9552259916485643E-3</v>
      </c>
      <c r="D6307">
        <f t="shared" si="212"/>
        <v>0.67920330331251855</v>
      </c>
    </row>
    <row r="6308" spans="1:4" x14ac:dyDescent="0.3">
      <c r="A6308" s="1">
        <v>35083</v>
      </c>
      <c r="B6308">
        <v>1018.450012</v>
      </c>
      <c r="C6308">
        <f t="shared" si="213"/>
        <v>1.1129444930001221E-2</v>
      </c>
      <c r="D6308">
        <f t="shared" si="212"/>
        <v>0.85313187793903522</v>
      </c>
    </row>
    <row r="6309" spans="1:4" x14ac:dyDescent="0.3">
      <c r="A6309" s="1">
        <v>35086</v>
      </c>
      <c r="B6309">
        <v>1029.4399410000001</v>
      </c>
      <c r="C6309">
        <f t="shared" si="213"/>
        <v>1.0790837911051126E-2</v>
      </c>
      <c r="D6309">
        <f t="shared" si="212"/>
        <v>0.8260447087834093</v>
      </c>
    </row>
    <row r="6310" spans="1:4" x14ac:dyDescent="0.3">
      <c r="A6310" s="1">
        <v>35087</v>
      </c>
      <c r="B6310">
        <v>1028.040039</v>
      </c>
      <c r="C6310">
        <f t="shared" si="213"/>
        <v>-1.3598675787149304E-3</v>
      </c>
      <c r="D6310">
        <f t="shared" si="212"/>
        <v>-0.1459617663983547</v>
      </c>
    </row>
    <row r="6311" spans="1:4" x14ac:dyDescent="0.3">
      <c r="A6311" s="1">
        <v>35088</v>
      </c>
      <c r="B6311">
        <v>1043.459961</v>
      </c>
      <c r="C6311">
        <f t="shared" si="213"/>
        <v>1.4999339923568913E-2</v>
      </c>
      <c r="D6311">
        <f t="shared" si="212"/>
        <v>1.1627075643211526</v>
      </c>
    </row>
    <row r="6312" spans="1:4" x14ac:dyDescent="0.3">
      <c r="A6312" s="1">
        <v>35089</v>
      </c>
      <c r="B6312">
        <v>1035.9499510000001</v>
      </c>
      <c r="C6312">
        <f t="shared" si="213"/>
        <v>-7.1972191369975959E-3</v>
      </c>
      <c r="D6312">
        <f t="shared" si="212"/>
        <v>-0.61292588772793477</v>
      </c>
    </row>
    <row r="6313" spans="1:4" x14ac:dyDescent="0.3">
      <c r="A6313" s="1">
        <v>35090</v>
      </c>
      <c r="B6313">
        <v>1040.959961</v>
      </c>
      <c r="C6313">
        <f t="shared" si="213"/>
        <v>4.8361506221066127E-3</v>
      </c>
      <c r="D6313">
        <f t="shared" si="212"/>
        <v>0.34969421148828883</v>
      </c>
    </row>
    <row r="6314" spans="1:4" x14ac:dyDescent="0.3">
      <c r="A6314" s="1">
        <v>35093</v>
      </c>
      <c r="B6314">
        <v>1042.51001</v>
      </c>
      <c r="C6314">
        <f t="shared" si="213"/>
        <v>1.489057272203714E-3</v>
      </c>
      <c r="D6314">
        <f t="shared" si="212"/>
        <v>8.1940506826150894E-2</v>
      </c>
    </row>
    <row r="6315" spans="1:4" x14ac:dyDescent="0.3">
      <c r="A6315" s="1">
        <v>35094</v>
      </c>
      <c r="B6315">
        <v>1051.3000489999999</v>
      </c>
      <c r="C6315">
        <f t="shared" si="213"/>
        <v>8.4316111266883459E-3</v>
      </c>
      <c r="D6315">
        <f t="shared" si="212"/>
        <v>0.63731626723289114</v>
      </c>
    </row>
    <row r="6316" spans="1:4" x14ac:dyDescent="0.3">
      <c r="A6316" s="1">
        <v>35095</v>
      </c>
      <c r="B6316">
        <v>1059.790039</v>
      </c>
      <c r="C6316">
        <f t="shared" si="213"/>
        <v>8.0757058920293417E-3</v>
      </c>
      <c r="D6316">
        <f t="shared" si="212"/>
        <v>0.60884531195124036</v>
      </c>
    </row>
    <row r="6317" spans="1:4" x14ac:dyDescent="0.3">
      <c r="A6317" s="1">
        <v>35096</v>
      </c>
      <c r="B6317">
        <v>1069.459961</v>
      </c>
      <c r="C6317">
        <f t="shared" si="213"/>
        <v>9.1243752480674543E-3</v>
      </c>
      <c r="D6317">
        <f t="shared" si="212"/>
        <v>0.69273454828013126</v>
      </c>
    </row>
    <row r="6318" spans="1:4" x14ac:dyDescent="0.3">
      <c r="A6318" s="1">
        <v>35097</v>
      </c>
      <c r="B6318">
        <v>1072.1099850000001</v>
      </c>
      <c r="C6318">
        <f t="shared" si="213"/>
        <v>2.4779085675373218E-3</v>
      </c>
      <c r="D6318">
        <f t="shared" si="212"/>
        <v>0.1610445442720167</v>
      </c>
    </row>
    <row r="6319" spans="1:4" x14ac:dyDescent="0.3">
      <c r="A6319" s="1">
        <v>35100</v>
      </c>
      <c r="B6319">
        <v>1083.339966</v>
      </c>
      <c r="C6319">
        <f t="shared" si="213"/>
        <v>1.0474653866785833E-2</v>
      </c>
      <c r="D6319">
        <f t="shared" si="212"/>
        <v>0.80075128539874463</v>
      </c>
    </row>
    <row r="6320" spans="1:4" x14ac:dyDescent="0.3">
      <c r="A6320" s="1">
        <v>35101</v>
      </c>
      <c r="B6320">
        <v>1089.079956</v>
      </c>
      <c r="C6320">
        <f t="shared" si="213"/>
        <v>5.298419868320481E-3</v>
      </c>
      <c r="D6320">
        <f t="shared" si="212"/>
        <v>0.38667385032289975</v>
      </c>
    </row>
    <row r="6321" spans="1:4" x14ac:dyDescent="0.3">
      <c r="A6321" s="1">
        <v>35102</v>
      </c>
      <c r="B6321">
        <v>1084.880005</v>
      </c>
      <c r="C6321">
        <f t="shared" si="213"/>
        <v>-3.8564211717069335E-3</v>
      </c>
      <c r="D6321">
        <f t="shared" si="212"/>
        <v>-0.34567578794799941</v>
      </c>
    </row>
    <row r="6322" spans="1:4" x14ac:dyDescent="0.3">
      <c r="A6322" s="1">
        <v>35103</v>
      </c>
      <c r="B6322">
        <v>1093.170044</v>
      </c>
      <c r="C6322">
        <f t="shared" si="213"/>
        <v>7.6414340404402413E-3</v>
      </c>
      <c r="D6322">
        <f t="shared" si="212"/>
        <v>0.57410534956063619</v>
      </c>
    </row>
    <row r="6323" spans="1:4" x14ac:dyDescent="0.3">
      <c r="A6323" s="1">
        <v>35104</v>
      </c>
      <c r="B6323">
        <v>1094.599976</v>
      </c>
      <c r="C6323">
        <f t="shared" si="213"/>
        <v>1.3080599929062894E-3</v>
      </c>
      <c r="D6323">
        <f t="shared" si="212"/>
        <v>6.7461468747616563E-2</v>
      </c>
    </row>
    <row r="6324" spans="1:4" x14ac:dyDescent="0.3">
      <c r="A6324" s="1">
        <v>35107</v>
      </c>
      <c r="B6324">
        <v>1095.380005</v>
      </c>
      <c r="C6324">
        <f t="shared" si="213"/>
        <v>7.1261558295522304E-4</v>
      </c>
      <c r="D6324">
        <f t="shared" si="212"/>
        <v>1.9828364433575225E-2</v>
      </c>
    </row>
    <row r="6325" spans="1:4" x14ac:dyDescent="0.3">
      <c r="A6325" s="1">
        <v>35108</v>
      </c>
      <c r="B6325">
        <v>1087.219971</v>
      </c>
      <c r="C6325">
        <f t="shared" si="213"/>
        <v>-7.4495005959141969E-3</v>
      </c>
      <c r="D6325">
        <f t="shared" si="212"/>
        <v>-0.63310736705370507</v>
      </c>
    </row>
    <row r="6326" spans="1:4" x14ac:dyDescent="0.3">
      <c r="A6326" s="1">
        <v>35109</v>
      </c>
      <c r="B6326">
        <v>1088.030029</v>
      </c>
      <c r="C6326">
        <f t="shared" si="213"/>
        <v>7.4507277423809058E-4</v>
      </c>
      <c r="D6326">
        <f t="shared" si="212"/>
        <v>2.2424806271436587E-2</v>
      </c>
    </row>
    <row r="6327" spans="1:4" x14ac:dyDescent="0.3">
      <c r="A6327" s="1">
        <v>35110</v>
      </c>
      <c r="B6327">
        <v>1090.540039</v>
      </c>
      <c r="C6327">
        <f t="shared" si="213"/>
        <v>2.3069308135795631E-3</v>
      </c>
      <c r="D6327">
        <f t="shared" si="212"/>
        <v>0.14736702702012128</v>
      </c>
    </row>
    <row r="6328" spans="1:4" x14ac:dyDescent="0.3">
      <c r="A6328" s="1">
        <v>35111</v>
      </c>
      <c r="B6328">
        <v>1090.709961</v>
      </c>
      <c r="C6328">
        <f t="shared" si="213"/>
        <v>1.558145450173997E-4</v>
      </c>
      <c r="D6328">
        <f t="shared" si="212"/>
        <v>-2.4713429021901868E-2</v>
      </c>
    </row>
    <row r="6329" spans="1:4" x14ac:dyDescent="0.3">
      <c r="A6329" s="1">
        <v>35115</v>
      </c>
      <c r="B6329">
        <v>1083.23999</v>
      </c>
      <c r="C6329">
        <f t="shared" si="213"/>
        <v>-6.8487235535570458E-3</v>
      </c>
      <c r="D6329">
        <f t="shared" si="212"/>
        <v>-0.58504767407509251</v>
      </c>
    </row>
    <row r="6330" spans="1:4" x14ac:dyDescent="0.3">
      <c r="A6330" s="1">
        <v>35116</v>
      </c>
      <c r="B6330">
        <v>1096.849976</v>
      </c>
      <c r="C6330">
        <f t="shared" si="213"/>
        <v>1.2564146565526938E-2</v>
      </c>
      <c r="D6330">
        <f t="shared" si="212"/>
        <v>0.96790210925271625</v>
      </c>
    </row>
    <row r="6331" spans="1:4" x14ac:dyDescent="0.3">
      <c r="A6331" s="1">
        <v>35117</v>
      </c>
      <c r="B6331">
        <v>1117.1099850000001</v>
      </c>
      <c r="C6331">
        <f t="shared" si="213"/>
        <v>1.847108487332463E-2</v>
      </c>
      <c r="D6331">
        <f t="shared" si="212"/>
        <v>1.4404328844010745</v>
      </c>
    </row>
    <row r="6332" spans="1:4" x14ac:dyDescent="0.3">
      <c r="A6332" s="1">
        <v>35118</v>
      </c>
      <c r="B6332">
        <v>1117.790039</v>
      </c>
      <c r="C6332">
        <f t="shared" si="213"/>
        <v>6.0876190270551318E-4</v>
      </c>
      <c r="D6332">
        <f t="shared" si="212"/>
        <v>1.1520497062483339E-2</v>
      </c>
    </row>
    <row r="6333" spans="1:4" x14ac:dyDescent="0.3">
      <c r="A6333" s="1">
        <v>35121</v>
      </c>
      <c r="B6333">
        <v>1113.0500489999999</v>
      </c>
      <c r="C6333">
        <f t="shared" si="213"/>
        <v>-4.2405011984545287E-3</v>
      </c>
      <c r="D6333">
        <f t="shared" si="212"/>
        <v>-0.3764006107413001</v>
      </c>
    </row>
    <row r="6334" spans="1:4" x14ac:dyDescent="0.3">
      <c r="A6334" s="1">
        <v>35122</v>
      </c>
      <c r="B6334">
        <v>1106.170044</v>
      </c>
      <c r="C6334">
        <f t="shared" si="213"/>
        <v>-6.1812180019947902E-3</v>
      </c>
      <c r="D6334">
        <f t="shared" si="212"/>
        <v>-0.53164997474934084</v>
      </c>
    </row>
    <row r="6335" spans="1:4" x14ac:dyDescent="0.3">
      <c r="A6335" s="1">
        <v>35123</v>
      </c>
      <c r="B6335">
        <v>1107.5500489999999</v>
      </c>
      <c r="C6335">
        <f t="shared" si="213"/>
        <v>1.2475523157450311E-3</v>
      </c>
      <c r="D6335">
        <f t="shared" si="212"/>
        <v>6.2621103383771082E-2</v>
      </c>
    </row>
    <row r="6336" spans="1:4" x14ac:dyDescent="0.3">
      <c r="A6336" s="1">
        <v>35124</v>
      </c>
      <c r="B6336">
        <v>1100.0500489999999</v>
      </c>
      <c r="C6336">
        <f t="shared" si="213"/>
        <v>-6.7717030095133879E-3</v>
      </c>
      <c r="D6336">
        <f t="shared" si="212"/>
        <v>-0.57888634726196941</v>
      </c>
    </row>
    <row r="6337" spans="1:4" x14ac:dyDescent="0.3">
      <c r="A6337" s="1">
        <v>35125</v>
      </c>
      <c r="B6337">
        <v>1086.079956</v>
      </c>
      <c r="C6337">
        <f t="shared" si="213"/>
        <v>-1.2699506729443278E-2</v>
      </c>
      <c r="D6337">
        <f t="shared" si="212"/>
        <v>-1.0530862695818162</v>
      </c>
    </row>
    <row r="6338" spans="1:4" x14ac:dyDescent="0.3">
      <c r="A6338" s="1">
        <v>35128</v>
      </c>
      <c r="B6338">
        <v>1084.880005</v>
      </c>
      <c r="C6338">
        <f t="shared" si="213"/>
        <v>-1.1048459124680277E-3</v>
      </c>
      <c r="D6338">
        <f t="shared" si="212"/>
        <v>-0.12556108175396005</v>
      </c>
    </row>
    <row r="6339" spans="1:4" x14ac:dyDescent="0.3">
      <c r="A6339" s="1">
        <v>35129</v>
      </c>
      <c r="B6339">
        <v>1096.8100589999999</v>
      </c>
      <c r="C6339">
        <f t="shared" si="213"/>
        <v>1.0996657644178747E-2</v>
      </c>
      <c r="D6339">
        <f t="shared" ref="D6339:D6402" si="214">(C6339-avrtn)/sdrtn</f>
        <v>0.84250944109781922</v>
      </c>
    </row>
    <row r="6340" spans="1:4" x14ac:dyDescent="0.3">
      <c r="A6340" s="1">
        <v>35130</v>
      </c>
      <c r="B6340">
        <v>1091.8199460000001</v>
      </c>
      <c r="C6340">
        <f t="shared" ref="C6340:C6403" si="215">(B6340-B6339)/B6339</f>
        <v>-4.5496601339975835E-3</v>
      </c>
      <c r="D6340">
        <f t="shared" si="214"/>
        <v>-0.40113205431560545</v>
      </c>
    </row>
    <row r="6341" spans="1:4" x14ac:dyDescent="0.3">
      <c r="A6341" s="1">
        <v>35131</v>
      </c>
      <c r="B6341">
        <v>1093.119995</v>
      </c>
      <c r="C6341">
        <f t="shared" si="215"/>
        <v>1.1907173932504292E-3</v>
      </c>
      <c r="D6341">
        <f t="shared" si="214"/>
        <v>5.8074543290800675E-2</v>
      </c>
    </row>
    <row r="6342" spans="1:4" x14ac:dyDescent="0.3">
      <c r="A6342" s="1">
        <v>35132</v>
      </c>
      <c r="B6342">
        <v>1063.7299800000001</v>
      </c>
      <c r="C6342">
        <f t="shared" si="215"/>
        <v>-2.6886357521984535E-2</v>
      </c>
      <c r="D6342">
        <f t="shared" si="214"/>
        <v>-2.1879759963060827</v>
      </c>
    </row>
    <row r="6343" spans="1:4" x14ac:dyDescent="0.3">
      <c r="A6343" s="1">
        <v>35135</v>
      </c>
      <c r="B6343">
        <v>1080.5</v>
      </c>
      <c r="C6343">
        <f t="shared" si="215"/>
        <v>1.5765297881328803E-2</v>
      </c>
      <c r="D6343">
        <f t="shared" si="214"/>
        <v>1.2239810513040015</v>
      </c>
    </row>
    <row r="6344" spans="1:4" x14ac:dyDescent="0.3">
      <c r="A6344" s="1">
        <v>35136</v>
      </c>
      <c r="B6344">
        <v>1073.0500489999999</v>
      </c>
      <c r="C6344">
        <f t="shared" si="215"/>
        <v>-6.8949106894956556E-3</v>
      </c>
      <c r="D6344">
        <f t="shared" si="214"/>
        <v>-0.58874245502754341</v>
      </c>
    </row>
    <row r="6345" spans="1:4" x14ac:dyDescent="0.3">
      <c r="A6345" s="1">
        <v>35137</v>
      </c>
      <c r="B6345">
        <v>1088.6400149999999</v>
      </c>
      <c r="C6345">
        <f t="shared" si="215"/>
        <v>1.4528647582215436E-2</v>
      </c>
      <c r="D6345">
        <f t="shared" si="214"/>
        <v>1.1250541125113471</v>
      </c>
    </row>
    <row r="6346" spans="1:4" x14ac:dyDescent="0.3">
      <c r="A6346" s="1">
        <v>35138</v>
      </c>
      <c r="B6346">
        <v>1091.0699460000001</v>
      </c>
      <c r="C6346">
        <f t="shared" si="215"/>
        <v>2.2320794445536934E-3</v>
      </c>
      <c r="D6346">
        <f t="shared" si="214"/>
        <v>0.14137922528872027</v>
      </c>
    </row>
    <row r="6347" spans="1:4" x14ac:dyDescent="0.3">
      <c r="A6347" s="1">
        <v>35139</v>
      </c>
      <c r="B6347">
        <v>1099.589966</v>
      </c>
      <c r="C6347">
        <f t="shared" si="215"/>
        <v>7.808866912002662E-3</v>
      </c>
      <c r="D6347">
        <f t="shared" si="214"/>
        <v>0.58749929079754815</v>
      </c>
    </row>
    <row r="6348" spans="1:4" x14ac:dyDescent="0.3">
      <c r="A6348" s="1">
        <v>35142</v>
      </c>
      <c r="B6348">
        <v>1114.420044</v>
      </c>
      <c r="C6348">
        <f t="shared" si="215"/>
        <v>1.348691644936305E-2</v>
      </c>
      <c r="D6348">
        <f t="shared" si="214"/>
        <v>1.0417199055071702</v>
      </c>
    </row>
    <row r="6349" spans="1:4" x14ac:dyDescent="0.3">
      <c r="A6349" s="1">
        <v>35143</v>
      </c>
      <c r="B6349">
        <v>1112.5</v>
      </c>
      <c r="C6349">
        <f t="shared" si="215"/>
        <v>-1.7229087096354862E-3</v>
      </c>
      <c r="D6349">
        <f t="shared" si="214"/>
        <v>-0.17500356403794881</v>
      </c>
    </row>
    <row r="6350" spans="1:4" x14ac:dyDescent="0.3">
      <c r="A6350" s="1">
        <v>35144</v>
      </c>
      <c r="B6350">
        <v>1101.8199460000001</v>
      </c>
      <c r="C6350">
        <f t="shared" si="215"/>
        <v>-9.6000485393257767E-3</v>
      </c>
      <c r="D6350">
        <f t="shared" si="214"/>
        <v>-0.80514235942064849</v>
      </c>
    </row>
    <row r="6351" spans="1:4" x14ac:dyDescent="0.3">
      <c r="A6351" s="1">
        <v>35145</v>
      </c>
      <c r="B6351">
        <v>1099.790039</v>
      </c>
      <c r="C6351">
        <f t="shared" si="215"/>
        <v>-1.8423218851404725E-3</v>
      </c>
      <c r="D6351">
        <f t="shared" si="214"/>
        <v>-0.18455612704843599</v>
      </c>
    </row>
    <row r="6352" spans="1:4" x14ac:dyDescent="0.3">
      <c r="A6352" s="1">
        <v>35146</v>
      </c>
      <c r="B6352">
        <v>1102.219971</v>
      </c>
      <c r="C6352">
        <f t="shared" si="215"/>
        <v>2.2094508168208713E-3</v>
      </c>
      <c r="D6352">
        <f t="shared" si="214"/>
        <v>0.13956902811956773</v>
      </c>
    </row>
    <row r="6353" spans="1:4" x14ac:dyDescent="0.3">
      <c r="A6353" s="1">
        <v>35149</v>
      </c>
      <c r="B6353">
        <v>1087.089966</v>
      </c>
      <c r="C6353">
        <f t="shared" si="215"/>
        <v>-1.3726847088674264E-2</v>
      </c>
      <c r="D6353">
        <f t="shared" si="214"/>
        <v>-1.1352692738714958</v>
      </c>
    </row>
    <row r="6354" spans="1:4" x14ac:dyDescent="0.3">
      <c r="A6354" s="1">
        <v>35150</v>
      </c>
      <c r="B6354">
        <v>1088.349976</v>
      </c>
      <c r="C6354">
        <f t="shared" si="215"/>
        <v>1.1590669028399125E-3</v>
      </c>
      <c r="D6354">
        <f t="shared" si="214"/>
        <v>5.5542634205553568E-2</v>
      </c>
    </row>
    <row r="6355" spans="1:4" x14ac:dyDescent="0.3">
      <c r="A6355" s="1">
        <v>35151</v>
      </c>
      <c r="B6355">
        <v>1093.880005</v>
      </c>
      <c r="C6355">
        <f t="shared" si="215"/>
        <v>5.0811128055742371E-3</v>
      </c>
      <c r="D6355">
        <f t="shared" si="214"/>
        <v>0.36929017887518156</v>
      </c>
    </row>
    <row r="6356" spans="1:4" x14ac:dyDescent="0.3">
      <c r="A6356" s="1">
        <v>35152</v>
      </c>
      <c r="B6356">
        <v>1094.829956</v>
      </c>
      <c r="C6356">
        <f t="shared" si="215"/>
        <v>8.6842340627668341E-4</v>
      </c>
      <c r="D6356">
        <f t="shared" si="214"/>
        <v>3.2292349613694309E-2</v>
      </c>
    </row>
    <row r="6357" spans="1:4" x14ac:dyDescent="0.3">
      <c r="A6357" s="1">
        <v>35153</v>
      </c>
      <c r="B6357">
        <v>1101.400024</v>
      </c>
      <c r="C6357">
        <f t="shared" si="215"/>
        <v>6.0009940027618237E-3</v>
      </c>
      <c r="D6357">
        <f t="shared" si="214"/>
        <v>0.44287689207610387</v>
      </c>
    </row>
    <row r="6358" spans="1:4" x14ac:dyDescent="0.3">
      <c r="A6358" s="1">
        <v>35156</v>
      </c>
      <c r="B6358">
        <v>1106.5699460000001</v>
      </c>
      <c r="C6358">
        <f t="shared" si="215"/>
        <v>4.6939548641230485E-3</v>
      </c>
      <c r="D6358">
        <f t="shared" si="214"/>
        <v>0.33831913556205434</v>
      </c>
    </row>
    <row r="6359" spans="1:4" x14ac:dyDescent="0.3">
      <c r="A6359" s="1">
        <v>35157</v>
      </c>
      <c r="B6359">
        <v>1111.290039</v>
      </c>
      <c r="C6359">
        <f t="shared" si="215"/>
        <v>4.2655170755919892E-3</v>
      </c>
      <c r="D6359">
        <f t="shared" si="214"/>
        <v>0.30404587422628288</v>
      </c>
    </row>
    <row r="6360" spans="1:4" x14ac:dyDescent="0.3">
      <c r="A6360" s="1">
        <v>35158</v>
      </c>
      <c r="B6360">
        <v>1115.849976</v>
      </c>
      <c r="C6360">
        <f t="shared" si="215"/>
        <v>4.1032825274878492E-3</v>
      </c>
      <c r="D6360">
        <f t="shared" si="214"/>
        <v>0.29106777749039964</v>
      </c>
    </row>
    <row r="6361" spans="1:4" x14ac:dyDescent="0.3">
      <c r="A6361" s="1">
        <v>35159</v>
      </c>
      <c r="B6361">
        <v>1118.209961</v>
      </c>
      <c r="C6361">
        <f t="shared" si="215"/>
        <v>2.1149662147772917E-3</v>
      </c>
      <c r="D6361">
        <f t="shared" si="214"/>
        <v>0.13201064847908647</v>
      </c>
    </row>
    <row r="6362" spans="1:4" x14ac:dyDescent="0.3">
      <c r="A6362" s="1">
        <v>35163</v>
      </c>
      <c r="B6362">
        <v>1105.660034</v>
      </c>
      <c r="C6362">
        <f t="shared" si="215"/>
        <v>-1.1223229480782656E-2</v>
      </c>
      <c r="D6362">
        <f t="shared" si="214"/>
        <v>-0.93499016017728553</v>
      </c>
    </row>
    <row r="6363" spans="1:4" x14ac:dyDescent="0.3">
      <c r="A6363" s="1">
        <v>35164</v>
      </c>
      <c r="B6363">
        <v>1109.150024</v>
      </c>
      <c r="C6363">
        <f t="shared" si="215"/>
        <v>3.1564765775010679E-3</v>
      </c>
      <c r="D6363">
        <f t="shared" si="214"/>
        <v>0.2153271947807868</v>
      </c>
    </row>
    <row r="6364" spans="1:4" x14ac:dyDescent="0.3">
      <c r="A6364" s="1">
        <v>35165</v>
      </c>
      <c r="B6364">
        <v>1105.280029</v>
      </c>
      <c r="C6364">
        <f t="shared" si="215"/>
        <v>-3.4891537810578608E-3</v>
      </c>
      <c r="D6364">
        <f t="shared" si="214"/>
        <v>-0.31629590690860787</v>
      </c>
    </row>
    <row r="6365" spans="1:4" x14ac:dyDescent="0.3">
      <c r="A6365" s="1">
        <v>35166</v>
      </c>
      <c r="B6365">
        <v>1097.1400149999999</v>
      </c>
      <c r="C6365">
        <f t="shared" si="215"/>
        <v>-7.3646621547706122E-3</v>
      </c>
      <c r="D6365">
        <f t="shared" si="214"/>
        <v>-0.62632064061997272</v>
      </c>
    </row>
    <row r="6366" spans="1:4" x14ac:dyDescent="0.3">
      <c r="A6366" s="1">
        <v>35167</v>
      </c>
      <c r="B6366">
        <v>1100.9399410000001</v>
      </c>
      <c r="C6366">
        <f t="shared" si="215"/>
        <v>3.4634831908852961E-3</v>
      </c>
      <c r="D6366">
        <f t="shared" si="214"/>
        <v>0.23988646143278758</v>
      </c>
    </row>
    <row r="6367" spans="1:4" x14ac:dyDescent="0.3">
      <c r="A6367" s="1">
        <v>35170</v>
      </c>
      <c r="B6367">
        <v>1110.4399410000001</v>
      </c>
      <c r="C6367">
        <f t="shared" si="215"/>
        <v>8.6289902348088213E-3</v>
      </c>
      <c r="D6367">
        <f t="shared" si="214"/>
        <v>0.65310578425478694</v>
      </c>
    </row>
    <row r="6368" spans="1:4" x14ac:dyDescent="0.3">
      <c r="A6368" s="1">
        <v>35171</v>
      </c>
      <c r="B6368">
        <v>1124.920044</v>
      </c>
      <c r="C6368">
        <f t="shared" si="215"/>
        <v>1.3039969534020814E-2</v>
      </c>
      <c r="D6368">
        <f t="shared" si="214"/>
        <v>1.0059659901364888</v>
      </c>
    </row>
    <row r="6369" spans="1:4" x14ac:dyDescent="0.3">
      <c r="A6369" s="1">
        <v>35172</v>
      </c>
      <c r="B6369">
        <v>1120.869995</v>
      </c>
      <c r="C6369">
        <f t="shared" si="215"/>
        <v>-3.6002994360370246E-3</v>
      </c>
      <c r="D6369">
        <f t="shared" si="214"/>
        <v>-0.3251871022732768</v>
      </c>
    </row>
    <row r="6370" spans="1:4" x14ac:dyDescent="0.3">
      <c r="A6370" s="1">
        <v>35173</v>
      </c>
      <c r="B6370">
        <v>1136.3000489999999</v>
      </c>
      <c r="C6370">
        <f t="shared" si="215"/>
        <v>1.3766140648630644E-2</v>
      </c>
      <c r="D6370">
        <f t="shared" si="214"/>
        <v>1.0640566932718096</v>
      </c>
    </row>
    <row r="6371" spans="1:4" x14ac:dyDescent="0.3">
      <c r="A6371" s="1">
        <v>35174</v>
      </c>
      <c r="B6371">
        <v>1138.6999510000001</v>
      </c>
      <c r="C6371">
        <f t="shared" si="215"/>
        <v>2.1120319427180728E-3</v>
      </c>
      <c r="D6371">
        <f t="shared" si="214"/>
        <v>0.13177591878014777</v>
      </c>
    </row>
    <row r="6372" spans="1:4" x14ac:dyDescent="0.3">
      <c r="A6372" s="1">
        <v>35177</v>
      </c>
      <c r="B6372">
        <v>1153.5</v>
      </c>
      <c r="C6372">
        <f t="shared" si="215"/>
        <v>1.2997321188081744E-2</v>
      </c>
      <c r="D6372">
        <f t="shared" si="214"/>
        <v>1.0025542978324096</v>
      </c>
    </row>
    <row r="6373" spans="1:4" x14ac:dyDescent="0.3">
      <c r="A6373" s="1">
        <v>35178</v>
      </c>
      <c r="B6373">
        <v>1166.76001</v>
      </c>
      <c r="C6373">
        <f t="shared" si="215"/>
        <v>1.1495457303857794E-2</v>
      </c>
      <c r="D6373">
        <f t="shared" si="214"/>
        <v>0.88241136279568677</v>
      </c>
    </row>
    <row r="6374" spans="1:4" x14ac:dyDescent="0.3">
      <c r="A6374" s="1">
        <v>35179</v>
      </c>
      <c r="B6374">
        <v>1176.829956</v>
      </c>
      <c r="C6374">
        <f t="shared" si="215"/>
        <v>8.6306917563964778E-3</v>
      </c>
      <c r="D6374">
        <f t="shared" si="214"/>
        <v>0.65324189898510088</v>
      </c>
    </row>
    <row r="6375" spans="1:4" x14ac:dyDescent="0.3">
      <c r="A6375" s="1">
        <v>35180</v>
      </c>
      <c r="B6375">
        <v>1184.170044</v>
      </c>
      <c r="C6375">
        <f t="shared" si="215"/>
        <v>6.237169577964009E-3</v>
      </c>
      <c r="D6375">
        <f t="shared" si="214"/>
        <v>0.4617699669325106</v>
      </c>
    </row>
    <row r="6376" spans="1:4" x14ac:dyDescent="0.3">
      <c r="A6376" s="1">
        <v>35181</v>
      </c>
      <c r="B6376">
        <v>1186.8900149999999</v>
      </c>
      <c r="C6376">
        <f t="shared" si="215"/>
        <v>2.2969429211468777E-3</v>
      </c>
      <c r="D6376">
        <f t="shared" si="214"/>
        <v>0.14656803669596555</v>
      </c>
    </row>
    <row r="6377" spans="1:4" x14ac:dyDescent="0.3">
      <c r="A6377" s="1">
        <v>35184</v>
      </c>
      <c r="B6377">
        <v>1188.1999510000001</v>
      </c>
      <c r="C6377">
        <f t="shared" si="215"/>
        <v>1.103670924386458E-3</v>
      </c>
      <c r="D6377">
        <f t="shared" si="214"/>
        <v>5.1111183718901707E-2</v>
      </c>
    </row>
    <row r="6378" spans="1:4" x14ac:dyDescent="0.3">
      <c r="A6378" s="1">
        <v>35185</v>
      </c>
      <c r="B6378">
        <v>1190.5200199999999</v>
      </c>
      <c r="C6378">
        <f t="shared" si="215"/>
        <v>1.9525913951160192E-3</v>
      </c>
      <c r="D6378">
        <f t="shared" si="214"/>
        <v>0.11902133059543271</v>
      </c>
    </row>
    <row r="6379" spans="1:4" x14ac:dyDescent="0.3">
      <c r="A6379" s="1">
        <v>35186</v>
      </c>
      <c r="B6379">
        <v>1199.660034</v>
      </c>
      <c r="C6379">
        <f t="shared" si="215"/>
        <v>7.6773291053098503E-3</v>
      </c>
      <c r="D6379">
        <f t="shared" si="214"/>
        <v>0.57697680714881627</v>
      </c>
    </row>
    <row r="6380" spans="1:4" x14ac:dyDescent="0.3">
      <c r="A6380" s="1">
        <v>35187</v>
      </c>
      <c r="B6380">
        <v>1178.329956</v>
      </c>
      <c r="C6380">
        <f t="shared" si="215"/>
        <v>-1.7780102191851426E-2</v>
      </c>
      <c r="D6380">
        <f t="shared" si="214"/>
        <v>-1.4595130150410949</v>
      </c>
    </row>
    <row r="6381" spans="1:4" x14ac:dyDescent="0.3">
      <c r="A6381" s="1">
        <v>35188</v>
      </c>
      <c r="B6381">
        <v>1184.599976</v>
      </c>
      <c r="C6381">
        <f t="shared" si="215"/>
        <v>5.3211071890969823E-3</v>
      </c>
      <c r="D6381">
        <f t="shared" si="214"/>
        <v>0.38848874269419942</v>
      </c>
    </row>
    <row r="6382" spans="1:4" x14ac:dyDescent="0.3">
      <c r="A6382" s="1">
        <v>35191</v>
      </c>
      <c r="B6382">
        <v>1186.3100589999999</v>
      </c>
      <c r="C6382">
        <f t="shared" si="215"/>
        <v>1.4435953356797472E-3</v>
      </c>
      <c r="D6382">
        <f t="shared" si="214"/>
        <v>7.8303738844833562E-2</v>
      </c>
    </row>
    <row r="6383" spans="1:4" x14ac:dyDescent="0.3">
      <c r="A6383" s="1">
        <v>35192</v>
      </c>
      <c r="B6383">
        <v>1182.670044</v>
      </c>
      <c r="C6383">
        <f t="shared" si="215"/>
        <v>-3.0683504471573806E-3</v>
      </c>
      <c r="D6383">
        <f t="shared" si="214"/>
        <v>-0.28263337055021776</v>
      </c>
    </row>
    <row r="6384" spans="1:4" x14ac:dyDescent="0.3">
      <c r="A6384" s="1">
        <v>35193</v>
      </c>
      <c r="B6384">
        <v>1183.4300539999999</v>
      </c>
      <c r="C6384">
        <f t="shared" si="215"/>
        <v>6.4262217839683921E-4</v>
      </c>
      <c r="D6384">
        <f t="shared" si="214"/>
        <v>1.4229179883503822E-2</v>
      </c>
    </row>
    <row r="6385" spans="1:4" x14ac:dyDescent="0.3">
      <c r="A6385" s="1">
        <v>35194</v>
      </c>
      <c r="B6385">
        <v>1187.8199460000001</v>
      </c>
      <c r="C6385">
        <f t="shared" si="215"/>
        <v>3.7094646913539901E-3</v>
      </c>
      <c r="D6385">
        <f t="shared" si="214"/>
        <v>0.25956396998830933</v>
      </c>
    </row>
    <row r="6386" spans="1:4" x14ac:dyDescent="0.3">
      <c r="A6386" s="1">
        <v>35195</v>
      </c>
      <c r="B6386">
        <v>1202.76001</v>
      </c>
      <c r="C6386">
        <f t="shared" si="215"/>
        <v>1.2577717734334031E-2</v>
      </c>
      <c r="D6386">
        <f t="shared" si="214"/>
        <v>0.96898774695230416</v>
      </c>
    </row>
    <row r="6387" spans="1:4" x14ac:dyDescent="0.3">
      <c r="A6387" s="1">
        <v>35198</v>
      </c>
      <c r="B6387">
        <v>1221.869995</v>
      </c>
      <c r="C6387">
        <f t="shared" si="215"/>
        <v>1.5888443946519348E-2</v>
      </c>
      <c r="D6387">
        <f t="shared" si="214"/>
        <v>1.2338322301395994</v>
      </c>
    </row>
    <row r="6388" spans="1:4" x14ac:dyDescent="0.3">
      <c r="A6388" s="1">
        <v>35199</v>
      </c>
      <c r="B6388">
        <v>1234.48999</v>
      </c>
      <c r="C6388">
        <f t="shared" si="215"/>
        <v>1.0328426961658893E-2</v>
      </c>
      <c r="D6388">
        <f t="shared" si="214"/>
        <v>0.78905373427721615</v>
      </c>
    </row>
    <row r="6389" spans="1:4" x14ac:dyDescent="0.3">
      <c r="A6389" s="1">
        <v>35200</v>
      </c>
      <c r="B6389">
        <v>1233.5600589999999</v>
      </c>
      <c r="C6389">
        <f t="shared" si="215"/>
        <v>-7.5329164880480253E-4</v>
      </c>
      <c r="D6389">
        <f t="shared" si="214"/>
        <v>-9.7438186260672022E-2</v>
      </c>
    </row>
    <row r="6390" spans="1:4" x14ac:dyDescent="0.3">
      <c r="A6390" s="1">
        <v>35201</v>
      </c>
      <c r="B6390">
        <v>1239.3100589999999</v>
      </c>
      <c r="C6390">
        <f t="shared" si="215"/>
        <v>4.6613052668560834E-3</v>
      </c>
      <c r="D6390">
        <f t="shared" si="214"/>
        <v>0.33570730203664328</v>
      </c>
    </row>
    <row r="6391" spans="1:4" x14ac:dyDescent="0.3">
      <c r="A6391" s="1">
        <v>35202</v>
      </c>
      <c r="B6391">
        <v>1241.880005</v>
      </c>
      <c r="C6391">
        <f t="shared" si="215"/>
        <v>2.0736909067564286E-3</v>
      </c>
      <c r="D6391">
        <f t="shared" si="214"/>
        <v>0.12870879356249815</v>
      </c>
    </row>
    <row r="6392" spans="1:4" x14ac:dyDescent="0.3">
      <c r="A6392" s="1">
        <v>35205</v>
      </c>
      <c r="B6392">
        <v>1248.1099850000001</v>
      </c>
      <c r="C6392">
        <f t="shared" si="215"/>
        <v>5.0165716292372943E-3</v>
      </c>
      <c r="D6392">
        <f t="shared" si="214"/>
        <v>0.36412715016312902</v>
      </c>
    </row>
    <row r="6393" spans="1:4" x14ac:dyDescent="0.3">
      <c r="A6393" s="1">
        <v>35206</v>
      </c>
      <c r="B6393">
        <v>1244.420044</v>
      </c>
      <c r="C6393">
        <f t="shared" si="215"/>
        <v>-2.9564229469729703E-3</v>
      </c>
      <c r="D6393">
        <f t="shared" si="214"/>
        <v>-0.27367963078409574</v>
      </c>
    </row>
    <row r="6394" spans="1:4" x14ac:dyDescent="0.3">
      <c r="A6394" s="1">
        <v>35207</v>
      </c>
      <c r="B6394">
        <v>1247.380005</v>
      </c>
      <c r="C6394">
        <f t="shared" si="215"/>
        <v>2.3785867274249894E-3</v>
      </c>
      <c r="D6394">
        <f t="shared" si="214"/>
        <v>0.15309920547687705</v>
      </c>
    </row>
    <row r="6395" spans="1:4" x14ac:dyDescent="0.3">
      <c r="A6395" s="1">
        <v>35208</v>
      </c>
      <c r="B6395">
        <v>1248.650024</v>
      </c>
      <c r="C6395">
        <f t="shared" si="215"/>
        <v>1.0181492367276222E-3</v>
      </c>
      <c r="D6395">
        <f t="shared" si="214"/>
        <v>4.426980037347579E-2</v>
      </c>
    </row>
    <row r="6396" spans="1:4" x14ac:dyDescent="0.3">
      <c r="A6396" s="1">
        <v>35209</v>
      </c>
      <c r="B6396">
        <v>1247.8000489999999</v>
      </c>
      <c r="C6396">
        <f t="shared" si="215"/>
        <v>-6.8071515930238414E-4</v>
      </c>
      <c r="D6396">
        <f t="shared" si="214"/>
        <v>-9.1632365536786609E-2</v>
      </c>
    </row>
    <row r="6397" spans="1:4" x14ac:dyDescent="0.3">
      <c r="A6397" s="1">
        <v>35213</v>
      </c>
      <c r="B6397">
        <v>1236.3000489999999</v>
      </c>
      <c r="C6397">
        <f t="shared" si="215"/>
        <v>-9.2162201862519728E-3</v>
      </c>
      <c r="D6397">
        <f t="shared" si="214"/>
        <v>-0.77443766948636283</v>
      </c>
    </row>
    <row r="6398" spans="1:4" x14ac:dyDescent="0.3">
      <c r="A6398" s="1">
        <v>35214</v>
      </c>
      <c r="B6398">
        <v>1225.630005</v>
      </c>
      <c r="C6398">
        <f t="shared" si="215"/>
        <v>-8.6306265284310131E-3</v>
      </c>
      <c r="D6398">
        <f t="shared" si="214"/>
        <v>-0.72759258483619516</v>
      </c>
    </row>
    <row r="6399" spans="1:4" x14ac:dyDescent="0.3">
      <c r="A6399" s="1">
        <v>35215</v>
      </c>
      <c r="B6399">
        <v>1233.4799800000001</v>
      </c>
      <c r="C6399">
        <f t="shared" si="215"/>
        <v>6.4048489087047819E-3</v>
      </c>
      <c r="D6399">
        <f t="shared" si="214"/>
        <v>0.47518362389024449</v>
      </c>
    </row>
    <row r="6400" spans="1:4" x14ac:dyDescent="0.3">
      <c r="A6400" s="1">
        <v>35216</v>
      </c>
      <c r="B6400">
        <v>1243.4300539999999</v>
      </c>
      <c r="C6400">
        <f t="shared" si="215"/>
        <v>8.06666841889064E-3</v>
      </c>
      <c r="D6400">
        <f t="shared" si="214"/>
        <v>0.60812235126245584</v>
      </c>
    </row>
    <row r="6401" spans="1:4" x14ac:dyDescent="0.3">
      <c r="A6401" s="1">
        <v>35219</v>
      </c>
      <c r="B6401">
        <v>1238.7299800000001</v>
      </c>
      <c r="C6401">
        <f t="shared" si="215"/>
        <v>-3.7799263294948948E-3</v>
      </c>
      <c r="D6401">
        <f t="shared" si="214"/>
        <v>-0.33955651511970703</v>
      </c>
    </row>
    <row r="6402" spans="1:4" x14ac:dyDescent="0.3">
      <c r="A6402" s="1">
        <v>35220</v>
      </c>
      <c r="B6402">
        <v>1243.6800539999999</v>
      </c>
      <c r="C6402">
        <f t="shared" si="215"/>
        <v>3.9960879932847502E-3</v>
      </c>
      <c r="D6402">
        <f t="shared" si="214"/>
        <v>0.28249265554071018</v>
      </c>
    </row>
    <row r="6403" spans="1:4" x14ac:dyDescent="0.3">
      <c r="A6403" s="1">
        <v>35221</v>
      </c>
      <c r="B6403">
        <v>1249.150024</v>
      </c>
      <c r="C6403">
        <f t="shared" si="215"/>
        <v>4.3982131758141902E-3</v>
      </c>
      <c r="D6403">
        <f t="shared" ref="D6403:D6466" si="216">(C6403-avrtn)/sdrtn</f>
        <v>0.31466101659443446</v>
      </c>
    </row>
    <row r="6404" spans="1:4" x14ac:dyDescent="0.3">
      <c r="A6404" s="1">
        <v>35222</v>
      </c>
      <c r="B6404">
        <v>1232.5200199999999</v>
      </c>
      <c r="C6404">
        <f t="shared" ref="C6404:C6467" si="217">(B6404-B6403)/B6403</f>
        <v>-1.3313055822348605E-2</v>
      </c>
      <c r="D6404">
        <f t="shared" si="216"/>
        <v>-1.1021676740852973</v>
      </c>
    </row>
    <row r="6405" spans="1:4" x14ac:dyDescent="0.3">
      <c r="A6405" s="1">
        <v>35223</v>
      </c>
      <c r="B6405">
        <v>1229.76001</v>
      </c>
      <c r="C6405">
        <f t="shared" si="217"/>
        <v>-2.2393226521383123E-3</v>
      </c>
      <c r="D6405">
        <f t="shared" si="216"/>
        <v>-0.21631455593135485</v>
      </c>
    </row>
    <row r="6406" spans="1:4" x14ac:dyDescent="0.3">
      <c r="A6406" s="1">
        <v>35226</v>
      </c>
      <c r="B6406">
        <v>1230.040039</v>
      </c>
      <c r="C6406">
        <f t="shared" si="217"/>
        <v>2.277102830819919E-4</v>
      </c>
      <c r="D6406">
        <f t="shared" si="216"/>
        <v>-1.8962065613775912E-2</v>
      </c>
    </row>
    <row r="6407" spans="1:4" x14ac:dyDescent="0.3">
      <c r="A6407" s="1">
        <v>35227</v>
      </c>
      <c r="B6407">
        <v>1230.76001</v>
      </c>
      <c r="C6407">
        <f t="shared" si="217"/>
        <v>5.853232229621648E-4</v>
      </c>
      <c r="D6407">
        <f t="shared" si="216"/>
        <v>9.6454990634424684E-3</v>
      </c>
    </row>
    <row r="6408" spans="1:4" x14ac:dyDescent="0.3">
      <c r="A6408" s="1">
        <v>35228</v>
      </c>
      <c r="B6408">
        <v>1235.469971</v>
      </c>
      <c r="C6408">
        <f t="shared" si="217"/>
        <v>3.8268719829465544E-3</v>
      </c>
      <c r="D6408">
        <f t="shared" si="216"/>
        <v>0.26895607053404669</v>
      </c>
    </row>
    <row r="6409" spans="1:4" x14ac:dyDescent="0.3">
      <c r="A6409" s="1">
        <v>35229</v>
      </c>
      <c r="B6409">
        <v>1225.650024</v>
      </c>
      <c r="C6409">
        <f t="shared" si="217"/>
        <v>-7.948349397801719E-3</v>
      </c>
      <c r="D6409">
        <f t="shared" si="216"/>
        <v>-0.67301321992617658</v>
      </c>
    </row>
    <row r="6410" spans="1:4" x14ac:dyDescent="0.3">
      <c r="A6410" s="1">
        <v>35230</v>
      </c>
      <c r="B6410">
        <v>1213.1800539999999</v>
      </c>
      <c r="C6410">
        <f t="shared" si="217"/>
        <v>-1.017416860916253E-2</v>
      </c>
      <c r="D6410">
        <f t="shared" si="216"/>
        <v>-0.85106960421175526</v>
      </c>
    </row>
    <row r="6411" spans="1:4" x14ac:dyDescent="0.3">
      <c r="A6411" s="1">
        <v>35233</v>
      </c>
      <c r="B6411">
        <v>1207.6400149999999</v>
      </c>
      <c r="C6411">
        <f t="shared" si="217"/>
        <v>-4.5665430961659868E-3</v>
      </c>
      <c r="D6411">
        <f t="shared" si="216"/>
        <v>-0.40248262186592243</v>
      </c>
    </row>
    <row r="6412" spans="1:4" x14ac:dyDescent="0.3">
      <c r="A6412" s="1">
        <v>35234</v>
      </c>
      <c r="B6412">
        <v>1183.079956</v>
      </c>
      <c r="C6412">
        <f t="shared" si="217"/>
        <v>-2.0337235181793731E-2</v>
      </c>
      <c r="D6412">
        <f t="shared" si="216"/>
        <v>-1.6640731392427952</v>
      </c>
    </row>
    <row r="6413" spans="1:4" x14ac:dyDescent="0.3">
      <c r="A6413" s="1">
        <v>35235</v>
      </c>
      <c r="B6413">
        <v>1179.2700199999999</v>
      </c>
      <c r="C6413">
        <f t="shared" si="217"/>
        <v>-3.2203537729449173E-3</v>
      </c>
      <c r="D6413">
        <f t="shared" si="216"/>
        <v>-0.29479301157181026</v>
      </c>
    </row>
    <row r="6414" spans="1:4" x14ac:dyDescent="0.3">
      <c r="A6414" s="1">
        <v>35236</v>
      </c>
      <c r="B6414">
        <v>1167.339966</v>
      </c>
      <c r="C6414">
        <f t="shared" si="217"/>
        <v>-1.0116473579138328E-2</v>
      </c>
      <c r="D6414">
        <f t="shared" si="216"/>
        <v>-0.84645423905320016</v>
      </c>
    </row>
    <row r="6415" spans="1:4" x14ac:dyDescent="0.3">
      <c r="A6415" s="1">
        <v>35237</v>
      </c>
      <c r="B6415">
        <v>1175.4399410000001</v>
      </c>
      <c r="C6415">
        <f t="shared" si="217"/>
        <v>6.9388312196278267E-3</v>
      </c>
      <c r="D6415">
        <f t="shared" si="216"/>
        <v>0.51790001301570543</v>
      </c>
    </row>
    <row r="6416" spans="1:4" x14ac:dyDescent="0.3">
      <c r="A6416" s="1">
        <v>35240</v>
      </c>
      <c r="B6416">
        <v>1182.900024</v>
      </c>
      <c r="C6416">
        <f t="shared" si="217"/>
        <v>6.3466305166160249E-3</v>
      </c>
      <c r="D6416">
        <f t="shared" si="216"/>
        <v>0.47052639191860263</v>
      </c>
    </row>
    <row r="6417" spans="1:4" x14ac:dyDescent="0.3">
      <c r="A6417" s="1">
        <v>35241</v>
      </c>
      <c r="B6417">
        <v>1172.579956</v>
      </c>
      <c r="C6417">
        <f t="shared" si="217"/>
        <v>-8.7243788913812653E-3</v>
      </c>
      <c r="D6417">
        <f t="shared" si="216"/>
        <v>-0.73509238836019541</v>
      </c>
    </row>
    <row r="6418" spans="1:4" x14ac:dyDescent="0.3">
      <c r="A6418" s="1">
        <v>35242</v>
      </c>
      <c r="B6418">
        <v>1153.290039</v>
      </c>
      <c r="C6418">
        <f t="shared" si="217"/>
        <v>-1.6450832969892637E-2</v>
      </c>
      <c r="D6418">
        <f t="shared" si="216"/>
        <v>-1.353176943272093</v>
      </c>
    </row>
    <row r="6419" spans="1:4" x14ac:dyDescent="0.3">
      <c r="A6419" s="1">
        <v>35243</v>
      </c>
      <c r="B6419">
        <v>1166.01001</v>
      </c>
      <c r="C6419">
        <f t="shared" si="217"/>
        <v>1.1029290611951594E-2</v>
      </c>
      <c r="D6419">
        <f t="shared" si="216"/>
        <v>0.84511994433208182</v>
      </c>
    </row>
    <row r="6420" spans="1:4" x14ac:dyDescent="0.3">
      <c r="A6420" s="1">
        <v>35244</v>
      </c>
      <c r="B6420">
        <v>1185.0200199999999</v>
      </c>
      <c r="C6420">
        <f t="shared" si="217"/>
        <v>1.6303470670890694E-2</v>
      </c>
      <c r="D6420">
        <f t="shared" si="216"/>
        <v>1.2670326614892191</v>
      </c>
    </row>
    <row r="6421" spans="1:4" x14ac:dyDescent="0.3">
      <c r="A6421" s="1">
        <v>35247</v>
      </c>
      <c r="B6421">
        <v>1197.4499510000001</v>
      </c>
      <c r="C6421">
        <f t="shared" si="217"/>
        <v>1.0489216038729982E-2</v>
      </c>
      <c r="D6421">
        <f t="shared" si="216"/>
        <v>0.80191619927426772</v>
      </c>
    </row>
    <row r="6422" spans="1:4" x14ac:dyDescent="0.3">
      <c r="A6422" s="1">
        <v>35248</v>
      </c>
      <c r="B6422">
        <v>1191.150024</v>
      </c>
      <c r="C6422">
        <f t="shared" si="217"/>
        <v>-5.2611192599230604E-3</v>
      </c>
      <c r="D6422">
        <f t="shared" si="216"/>
        <v>-0.45804585885223698</v>
      </c>
    </row>
    <row r="6423" spans="1:4" x14ac:dyDescent="0.3">
      <c r="A6423" s="1">
        <v>35249</v>
      </c>
      <c r="B6423">
        <v>1181.599976</v>
      </c>
      <c r="C6423">
        <f t="shared" si="217"/>
        <v>-8.0175022520925215E-3</v>
      </c>
      <c r="D6423">
        <f t="shared" si="216"/>
        <v>-0.67854516391120479</v>
      </c>
    </row>
    <row r="6424" spans="1:4" x14ac:dyDescent="0.3">
      <c r="A6424" s="1">
        <v>35251</v>
      </c>
      <c r="B6424">
        <v>1158.349976</v>
      </c>
      <c r="C6424">
        <f t="shared" si="217"/>
        <v>-1.967670994604015E-2</v>
      </c>
      <c r="D6424">
        <f t="shared" si="216"/>
        <v>-1.6112338364785073</v>
      </c>
    </row>
    <row r="6425" spans="1:4" x14ac:dyDescent="0.3">
      <c r="A6425" s="1">
        <v>35254</v>
      </c>
      <c r="B6425">
        <v>1148.8199460000001</v>
      </c>
      <c r="C6425">
        <f t="shared" si="217"/>
        <v>-8.2272458216029673E-3</v>
      </c>
      <c r="D6425">
        <f t="shared" si="216"/>
        <v>-0.69532378700132924</v>
      </c>
    </row>
    <row r="6426" spans="1:4" x14ac:dyDescent="0.3">
      <c r="A6426" s="1">
        <v>35255</v>
      </c>
      <c r="B6426">
        <v>1153.589966</v>
      </c>
      <c r="C6426">
        <f t="shared" si="217"/>
        <v>4.152104093081207E-3</v>
      </c>
      <c r="D6426">
        <f t="shared" si="216"/>
        <v>0.29497330198239097</v>
      </c>
    </row>
    <row r="6427" spans="1:4" x14ac:dyDescent="0.3">
      <c r="A6427" s="1">
        <v>35256</v>
      </c>
      <c r="B6427">
        <v>1141.1899410000001</v>
      </c>
      <c r="C6427">
        <f t="shared" si="217"/>
        <v>-1.0749074944710392E-2</v>
      </c>
      <c r="D6427">
        <f t="shared" si="216"/>
        <v>-0.89705974702660685</v>
      </c>
    </row>
    <row r="6428" spans="1:4" x14ac:dyDescent="0.3">
      <c r="A6428" s="1">
        <v>35257</v>
      </c>
      <c r="B6428">
        <v>1106.3599850000001</v>
      </c>
      <c r="C6428">
        <f t="shared" si="217"/>
        <v>-3.0520735198103218E-2</v>
      </c>
      <c r="D6428">
        <f t="shared" si="216"/>
        <v>-2.4787112657452752</v>
      </c>
    </row>
    <row r="6429" spans="1:4" x14ac:dyDescent="0.3">
      <c r="A6429" s="1">
        <v>35258</v>
      </c>
      <c r="B6429">
        <v>1103.48999</v>
      </c>
      <c r="C6429">
        <f t="shared" si="217"/>
        <v>-2.5940878546868423E-3</v>
      </c>
      <c r="D6429">
        <f t="shared" si="216"/>
        <v>-0.2446943133320077</v>
      </c>
    </row>
    <row r="6430" spans="1:4" x14ac:dyDescent="0.3">
      <c r="A6430" s="1">
        <v>35261</v>
      </c>
      <c r="B6430">
        <v>1060.1899410000001</v>
      </c>
      <c r="C6430">
        <f t="shared" si="217"/>
        <v>-3.9239186030133308E-2</v>
      </c>
      <c r="D6430">
        <f t="shared" si="216"/>
        <v>-3.1761514818236458</v>
      </c>
    </row>
    <row r="6431" spans="1:4" x14ac:dyDescent="0.3">
      <c r="A6431" s="1">
        <v>35262</v>
      </c>
      <c r="B6431">
        <v>1053.469971</v>
      </c>
      <c r="C6431">
        <f t="shared" si="217"/>
        <v>-6.3384585536263851E-3</v>
      </c>
      <c r="D6431">
        <f t="shared" si="216"/>
        <v>-0.54422857230285671</v>
      </c>
    </row>
    <row r="6432" spans="1:4" x14ac:dyDescent="0.3">
      <c r="A6432" s="1">
        <v>35263</v>
      </c>
      <c r="B6432">
        <v>1086.650024</v>
      </c>
      <c r="C6432">
        <f t="shared" si="217"/>
        <v>3.1495964681844776E-2</v>
      </c>
      <c r="D6432">
        <f t="shared" si="216"/>
        <v>2.4823697104568883</v>
      </c>
    </row>
    <row r="6433" spans="1:4" x14ac:dyDescent="0.3">
      <c r="A6433" s="1">
        <v>35264</v>
      </c>
      <c r="B6433">
        <v>1109.8199460000001</v>
      </c>
      <c r="C6433">
        <f t="shared" si="217"/>
        <v>2.1322340669271491E-2</v>
      </c>
      <c r="D6433">
        <f t="shared" si="216"/>
        <v>1.6685216236429341</v>
      </c>
    </row>
    <row r="6434" spans="1:4" x14ac:dyDescent="0.3">
      <c r="A6434" s="1">
        <v>35265</v>
      </c>
      <c r="B6434">
        <v>1097.6800539999999</v>
      </c>
      <c r="C6434">
        <f t="shared" si="217"/>
        <v>-1.0938614001086033E-2</v>
      </c>
      <c r="D6434">
        <f t="shared" si="216"/>
        <v>-0.91222209214740124</v>
      </c>
    </row>
    <row r="6435" spans="1:4" x14ac:dyDescent="0.3">
      <c r="A6435" s="1">
        <v>35268</v>
      </c>
      <c r="B6435">
        <v>1081.3900149999999</v>
      </c>
      <c r="C6435">
        <f t="shared" si="217"/>
        <v>-1.4840425441492061E-2</v>
      </c>
      <c r="D6435">
        <f t="shared" si="216"/>
        <v>-1.2243509630353717</v>
      </c>
    </row>
    <row r="6436" spans="1:4" x14ac:dyDescent="0.3">
      <c r="A6436" s="1">
        <v>35269</v>
      </c>
      <c r="B6436">
        <v>1049.0699460000001</v>
      </c>
      <c r="C6436">
        <f t="shared" si="217"/>
        <v>-2.9887523050598795E-2</v>
      </c>
      <c r="D6436">
        <f t="shared" si="216"/>
        <v>-2.4280568977288302</v>
      </c>
    </row>
    <row r="6437" spans="1:4" x14ac:dyDescent="0.3">
      <c r="A6437" s="1">
        <v>35270</v>
      </c>
      <c r="B6437">
        <v>1042.369995</v>
      </c>
      <c r="C6437">
        <f t="shared" si="217"/>
        <v>-6.386562712568696E-3</v>
      </c>
      <c r="D6437">
        <f t="shared" si="216"/>
        <v>-0.54807670721275803</v>
      </c>
    </row>
    <row r="6438" spans="1:4" x14ac:dyDescent="0.3">
      <c r="A6438" s="1">
        <v>35271</v>
      </c>
      <c r="B6438">
        <v>1062.3900149999999</v>
      </c>
      <c r="C6438">
        <f t="shared" si="217"/>
        <v>1.9206251231358527E-2</v>
      </c>
      <c r="D6438">
        <f t="shared" si="216"/>
        <v>1.4992431700216586</v>
      </c>
    </row>
    <row r="6439" spans="1:4" x14ac:dyDescent="0.3">
      <c r="A6439" s="1">
        <v>35272</v>
      </c>
      <c r="B6439">
        <v>1079.4399410000001</v>
      </c>
      <c r="C6439">
        <f t="shared" si="217"/>
        <v>1.6048650457242995E-2</v>
      </c>
      <c r="D6439">
        <f t="shared" si="216"/>
        <v>1.2466480922243828</v>
      </c>
    </row>
    <row r="6440" spans="1:4" x14ac:dyDescent="0.3">
      <c r="A6440" s="1">
        <v>35275</v>
      </c>
      <c r="B6440">
        <v>1066.469971</v>
      </c>
      <c r="C6440">
        <f t="shared" si="217"/>
        <v>-1.20154623776332E-2</v>
      </c>
      <c r="D6440">
        <f t="shared" si="216"/>
        <v>-0.99836553424419172</v>
      </c>
    </row>
    <row r="6441" spans="1:4" x14ac:dyDescent="0.3">
      <c r="A6441" s="1">
        <v>35276</v>
      </c>
      <c r="B6441">
        <v>1071.9499510000001</v>
      </c>
      <c r="C6441">
        <f t="shared" si="217"/>
        <v>5.1384287875087939E-3</v>
      </c>
      <c r="D6441">
        <f t="shared" si="216"/>
        <v>0.37387522174522014</v>
      </c>
    </row>
    <row r="6442" spans="1:4" x14ac:dyDescent="0.3">
      <c r="A6442" s="1">
        <v>35277</v>
      </c>
      <c r="B6442">
        <v>1080.589966</v>
      </c>
      <c r="C6442">
        <f t="shared" si="217"/>
        <v>8.0600917906100533E-3</v>
      </c>
      <c r="D6442">
        <f t="shared" si="216"/>
        <v>0.60759624804326595</v>
      </c>
    </row>
    <row r="6443" spans="1:4" x14ac:dyDescent="0.3">
      <c r="A6443" s="1">
        <v>35278</v>
      </c>
      <c r="B6443">
        <v>1098.849976</v>
      </c>
      <c r="C6443">
        <f t="shared" si="217"/>
        <v>1.689818578233954E-2</v>
      </c>
      <c r="D6443">
        <f t="shared" si="216"/>
        <v>1.3146074249219761</v>
      </c>
    </row>
    <row r="6444" spans="1:4" x14ac:dyDescent="0.3">
      <c r="A6444" s="1">
        <v>35279</v>
      </c>
      <c r="B6444">
        <v>1124.920044</v>
      </c>
      <c r="C6444">
        <f t="shared" si="217"/>
        <v>2.3724865604401662E-2</v>
      </c>
      <c r="D6444">
        <f t="shared" si="216"/>
        <v>1.8607137392117838</v>
      </c>
    </row>
    <row r="6445" spans="1:4" x14ac:dyDescent="0.3">
      <c r="A6445" s="1">
        <v>35282</v>
      </c>
      <c r="B6445">
        <v>1120.530029</v>
      </c>
      <c r="C6445">
        <f t="shared" si="217"/>
        <v>-3.9025129149534016E-3</v>
      </c>
      <c r="D6445">
        <f t="shared" si="216"/>
        <v>-0.34936293787733619</v>
      </c>
    </row>
    <row r="6446" spans="1:4" x14ac:dyDescent="0.3">
      <c r="A6446" s="1">
        <v>35283</v>
      </c>
      <c r="B6446">
        <v>1128.869995</v>
      </c>
      <c r="C6446">
        <f t="shared" si="217"/>
        <v>7.4428759463437853E-3</v>
      </c>
      <c r="D6446">
        <f t="shared" si="216"/>
        <v>0.55822151850868129</v>
      </c>
    </row>
    <row r="6447" spans="1:4" x14ac:dyDescent="0.3">
      <c r="A6447" s="1">
        <v>35284</v>
      </c>
      <c r="B6447">
        <v>1141.1099850000001</v>
      </c>
      <c r="C6447">
        <f t="shared" si="217"/>
        <v>1.0842692297796466E-2</v>
      </c>
      <c r="D6447">
        <f t="shared" si="216"/>
        <v>0.83019284649652403</v>
      </c>
    </row>
    <row r="6448" spans="1:4" x14ac:dyDescent="0.3">
      <c r="A6448" s="1">
        <v>35285</v>
      </c>
      <c r="B6448">
        <v>1137.51001</v>
      </c>
      <c r="C6448">
        <f t="shared" si="217"/>
        <v>-3.15480106854037E-3</v>
      </c>
      <c r="D6448">
        <f t="shared" si="216"/>
        <v>-0.28954906477377762</v>
      </c>
    </row>
    <row r="6449" spans="1:4" x14ac:dyDescent="0.3">
      <c r="A6449" s="1">
        <v>35286</v>
      </c>
      <c r="B6449">
        <v>1137.2700199999999</v>
      </c>
      <c r="C6449">
        <f t="shared" si="217"/>
        <v>-2.1097836317065407E-4</v>
      </c>
      <c r="D6449">
        <f t="shared" si="216"/>
        <v>-5.4055353415495486E-2</v>
      </c>
    </row>
    <row r="6450" spans="1:4" x14ac:dyDescent="0.3">
      <c r="A6450" s="1">
        <v>35289</v>
      </c>
      <c r="B6450">
        <v>1138.2700199999999</v>
      </c>
      <c r="C6450">
        <f t="shared" si="217"/>
        <v>8.7929865591638483E-4</v>
      </c>
      <c r="D6450">
        <f t="shared" si="216"/>
        <v>3.3162324865576694E-2</v>
      </c>
    </row>
    <row r="6451" spans="1:4" x14ac:dyDescent="0.3">
      <c r="A6451" s="1">
        <v>35290</v>
      </c>
      <c r="B6451">
        <v>1126.150024</v>
      </c>
      <c r="C6451">
        <f t="shared" si="217"/>
        <v>-1.0647733654620808E-2</v>
      </c>
      <c r="D6451">
        <f t="shared" si="216"/>
        <v>-0.88895286053731493</v>
      </c>
    </row>
    <row r="6452" spans="1:4" x14ac:dyDescent="0.3">
      <c r="A6452" s="1">
        <v>35291</v>
      </c>
      <c r="B6452">
        <v>1133.51001</v>
      </c>
      <c r="C6452">
        <f t="shared" si="217"/>
        <v>6.5355288755025902E-3</v>
      </c>
      <c r="D6452">
        <f t="shared" si="216"/>
        <v>0.4856374838748348</v>
      </c>
    </row>
    <row r="6453" spans="1:4" x14ac:dyDescent="0.3">
      <c r="A6453" s="1">
        <v>35292</v>
      </c>
      <c r="B6453">
        <v>1134.6899410000001</v>
      </c>
      <c r="C6453">
        <f t="shared" si="217"/>
        <v>1.0409533127988205E-3</v>
      </c>
      <c r="D6453">
        <f t="shared" si="216"/>
        <v>4.6094032688250547E-2</v>
      </c>
    </row>
    <row r="6454" spans="1:4" x14ac:dyDescent="0.3">
      <c r="A6454" s="1">
        <v>35293</v>
      </c>
      <c r="B6454">
        <v>1133.650024</v>
      </c>
      <c r="C6454">
        <f t="shared" si="217"/>
        <v>-9.1647679460662404E-4</v>
      </c>
      <c r="D6454">
        <f t="shared" si="216"/>
        <v>-0.11049232690348869</v>
      </c>
    </row>
    <row r="6455" spans="1:4" x14ac:dyDescent="0.3">
      <c r="A6455" s="1">
        <v>35296</v>
      </c>
      <c r="B6455">
        <v>1130.910034</v>
      </c>
      <c r="C6455">
        <f t="shared" si="217"/>
        <v>-2.4169628562545104E-3</v>
      </c>
      <c r="D6455">
        <f t="shared" si="216"/>
        <v>-0.23052504179976671</v>
      </c>
    </row>
    <row r="6456" spans="1:4" x14ac:dyDescent="0.3">
      <c r="A6456" s="1">
        <v>35297</v>
      </c>
      <c r="B6456">
        <v>1124.670044</v>
      </c>
      <c r="C6456">
        <f t="shared" si="217"/>
        <v>-5.5176714437039243E-3</v>
      </c>
      <c r="D6456">
        <f t="shared" si="216"/>
        <v>-0.47856897860582281</v>
      </c>
    </row>
    <row r="6457" spans="1:4" x14ac:dyDescent="0.3">
      <c r="A6457" s="1">
        <v>35298</v>
      </c>
      <c r="B6457">
        <v>1126.839966</v>
      </c>
      <c r="C6457">
        <f t="shared" si="217"/>
        <v>1.9293854331555774E-3</v>
      </c>
      <c r="D6457">
        <f t="shared" si="216"/>
        <v>0.11716494906208313</v>
      </c>
    </row>
    <row r="6458" spans="1:4" x14ac:dyDescent="0.3">
      <c r="A6458" s="1">
        <v>35299</v>
      </c>
      <c r="B6458">
        <v>1143.959961</v>
      </c>
      <c r="C6458">
        <f t="shared" si="217"/>
        <v>1.5192924919739684E-2</v>
      </c>
      <c r="D6458">
        <f t="shared" si="216"/>
        <v>1.1781935679885536</v>
      </c>
    </row>
    <row r="6459" spans="1:4" x14ac:dyDescent="0.3">
      <c r="A6459" s="1">
        <v>35300</v>
      </c>
      <c r="B6459">
        <v>1143.0500489999999</v>
      </c>
      <c r="C6459">
        <f t="shared" si="217"/>
        <v>-7.9540546087353541E-4</v>
      </c>
      <c r="D6459">
        <f t="shared" si="216"/>
        <v>-0.10080711805314067</v>
      </c>
    </row>
    <row r="6460" spans="1:4" x14ac:dyDescent="0.3">
      <c r="A6460" s="1">
        <v>35303</v>
      </c>
      <c r="B6460">
        <v>1139.219971</v>
      </c>
      <c r="C6460">
        <f t="shared" si="217"/>
        <v>-3.3507526668239162E-3</v>
      </c>
      <c r="D6460">
        <f t="shared" si="216"/>
        <v>-0.30522438687867459</v>
      </c>
    </row>
    <row r="6461" spans="1:4" x14ac:dyDescent="0.3">
      <c r="A6461" s="1">
        <v>35304</v>
      </c>
      <c r="B6461">
        <v>1149.0200199999999</v>
      </c>
      <c r="C6461">
        <f t="shared" si="217"/>
        <v>8.6024202958779987E-3</v>
      </c>
      <c r="D6461">
        <f t="shared" si="216"/>
        <v>0.6509802983965628</v>
      </c>
    </row>
    <row r="6462" spans="1:4" x14ac:dyDescent="0.3">
      <c r="A6462" s="1">
        <v>35305</v>
      </c>
      <c r="B6462">
        <v>1153.880005</v>
      </c>
      <c r="C6462">
        <f t="shared" si="217"/>
        <v>4.2296782609584577E-3</v>
      </c>
      <c r="D6462">
        <f t="shared" si="216"/>
        <v>0.30117891642568667</v>
      </c>
    </row>
    <row r="6463" spans="1:4" x14ac:dyDescent="0.3">
      <c r="A6463" s="1">
        <v>35306</v>
      </c>
      <c r="B6463">
        <v>1145.030029</v>
      </c>
      <c r="C6463">
        <f t="shared" si="217"/>
        <v>-7.6697541873082115E-3</v>
      </c>
      <c r="D6463">
        <f t="shared" si="216"/>
        <v>-0.65072674867704672</v>
      </c>
    </row>
    <row r="6464" spans="1:4" x14ac:dyDescent="0.3">
      <c r="A6464" s="1">
        <v>35307</v>
      </c>
      <c r="B6464">
        <v>1141.5</v>
      </c>
      <c r="C6464">
        <f t="shared" si="217"/>
        <v>-3.0829139067059465E-3</v>
      </c>
      <c r="D6464">
        <f t="shared" si="216"/>
        <v>-0.28379838742879954</v>
      </c>
    </row>
    <row r="6465" spans="1:4" x14ac:dyDescent="0.3">
      <c r="A6465" s="1">
        <v>35311</v>
      </c>
      <c r="B6465">
        <v>1142.290039</v>
      </c>
      <c r="C6465">
        <f t="shared" si="217"/>
        <v>6.9210600087602175E-4</v>
      </c>
      <c r="D6465">
        <f t="shared" si="216"/>
        <v>1.8187682203144557E-2</v>
      </c>
    </row>
    <row r="6466" spans="1:4" x14ac:dyDescent="0.3">
      <c r="A6466" s="1">
        <v>35312</v>
      </c>
      <c r="B6466">
        <v>1143.8199460000001</v>
      </c>
      <c r="C6466">
        <f t="shared" si="217"/>
        <v>1.3393332234074519E-3</v>
      </c>
      <c r="D6466">
        <f t="shared" si="216"/>
        <v>6.996319859141735E-2</v>
      </c>
    </row>
    <row r="6467" spans="1:4" x14ac:dyDescent="0.3">
      <c r="A6467" s="1">
        <v>35313</v>
      </c>
      <c r="B6467">
        <v>1125.660034</v>
      </c>
      <c r="C6467">
        <f t="shared" si="217"/>
        <v>-1.5876547758680259E-2</v>
      </c>
      <c r="D6467">
        <f t="shared" ref="D6467:D6530" si="218">(C6467-avrtn)/sdrtn</f>
        <v>-1.3072364878500016</v>
      </c>
    </row>
    <row r="6468" spans="1:4" x14ac:dyDescent="0.3">
      <c r="A6468" s="1">
        <v>35314</v>
      </c>
      <c r="B6468">
        <v>1139.3900149999999</v>
      </c>
      <c r="C6468">
        <f t="shared" ref="C6468:C6531" si="219">(B6468-B6467)/B6467</f>
        <v>1.2197271454340318E-2</v>
      </c>
      <c r="D6468">
        <f t="shared" si="218"/>
        <v>0.93855360895725815</v>
      </c>
    </row>
    <row r="6469" spans="1:4" x14ac:dyDescent="0.3">
      <c r="A6469" s="1">
        <v>35317</v>
      </c>
      <c r="B6469">
        <v>1148.709961</v>
      </c>
      <c r="C6469">
        <f t="shared" si="219"/>
        <v>8.1797680138526348E-3</v>
      </c>
      <c r="D6469">
        <f t="shared" si="218"/>
        <v>0.61716985379110201</v>
      </c>
    </row>
    <row r="6470" spans="1:4" x14ac:dyDescent="0.3">
      <c r="A6470" s="1">
        <v>35318</v>
      </c>
      <c r="B6470">
        <v>1149.4300539999999</v>
      </c>
      <c r="C6470">
        <f t="shared" si="219"/>
        <v>6.2687103311355908E-4</v>
      </c>
      <c r="D6470">
        <f t="shared" si="218"/>
        <v>1.2969153029937827E-2</v>
      </c>
    </row>
    <row r="6471" spans="1:4" x14ac:dyDescent="0.3">
      <c r="A6471" s="1">
        <v>35319</v>
      </c>
      <c r="B6471">
        <v>1153.9499510000001</v>
      </c>
      <c r="C6471">
        <f t="shared" si="219"/>
        <v>3.932294082855196E-3</v>
      </c>
      <c r="D6471">
        <f t="shared" si="218"/>
        <v>0.27738940502847292</v>
      </c>
    </row>
    <row r="6472" spans="1:4" x14ac:dyDescent="0.3">
      <c r="A6472" s="1">
        <v>35320</v>
      </c>
      <c r="B6472">
        <v>1165.8100589999999</v>
      </c>
      <c r="C6472">
        <f t="shared" si="219"/>
        <v>1.027783569791915E-2</v>
      </c>
      <c r="D6472">
        <f t="shared" si="218"/>
        <v>0.7850066412105563</v>
      </c>
    </row>
    <row r="6473" spans="1:4" x14ac:dyDescent="0.3">
      <c r="A6473" s="1">
        <v>35321</v>
      </c>
      <c r="B6473">
        <v>1188.670044</v>
      </c>
      <c r="C6473">
        <f t="shared" si="219"/>
        <v>1.9608670231931885E-2</v>
      </c>
      <c r="D6473">
        <f t="shared" si="218"/>
        <v>1.5314350353107096</v>
      </c>
    </row>
    <row r="6474" spans="1:4" x14ac:dyDescent="0.3">
      <c r="A6474" s="1">
        <v>35324</v>
      </c>
      <c r="B6474">
        <v>1193.959961</v>
      </c>
      <c r="C6474">
        <f t="shared" si="219"/>
        <v>4.4502820834947023E-3</v>
      </c>
      <c r="D6474">
        <f t="shared" si="218"/>
        <v>0.31882631510024767</v>
      </c>
    </row>
    <row r="6475" spans="1:4" x14ac:dyDescent="0.3">
      <c r="A6475" s="1">
        <v>35325</v>
      </c>
      <c r="B6475">
        <v>1203.3100589999999</v>
      </c>
      <c r="C6475">
        <f t="shared" si="219"/>
        <v>7.8311654539644053E-3</v>
      </c>
      <c r="D6475">
        <f t="shared" si="218"/>
        <v>0.58928308246233518</v>
      </c>
    </row>
    <row r="6476" spans="1:4" x14ac:dyDescent="0.3">
      <c r="A6476" s="1">
        <v>35326</v>
      </c>
      <c r="B6476">
        <v>1205.709961</v>
      </c>
      <c r="C6476">
        <f t="shared" si="219"/>
        <v>1.9944169684698956E-3</v>
      </c>
      <c r="D6476">
        <f t="shared" si="218"/>
        <v>0.12236720447595753</v>
      </c>
    </row>
    <row r="6477" spans="1:4" x14ac:dyDescent="0.3">
      <c r="A6477" s="1">
        <v>35327</v>
      </c>
      <c r="B6477">
        <v>1212.089966</v>
      </c>
      <c r="C6477">
        <f t="shared" si="219"/>
        <v>5.291492321012667E-3</v>
      </c>
      <c r="D6477">
        <f t="shared" si="218"/>
        <v>0.38611967502451938</v>
      </c>
    </row>
    <row r="6478" spans="1:4" x14ac:dyDescent="0.3">
      <c r="A6478" s="1">
        <v>35328</v>
      </c>
      <c r="B6478">
        <v>1219.6899410000001</v>
      </c>
      <c r="C6478">
        <f t="shared" si="219"/>
        <v>6.2701410070084562E-3</v>
      </c>
      <c r="D6478">
        <f t="shared" si="218"/>
        <v>0.46440754567674003</v>
      </c>
    </row>
    <row r="6479" spans="1:4" x14ac:dyDescent="0.3">
      <c r="A6479" s="1">
        <v>35331</v>
      </c>
      <c r="B6479">
        <v>1211.469971</v>
      </c>
      <c r="C6479">
        <f t="shared" si="219"/>
        <v>-6.7393931225346575E-3</v>
      </c>
      <c r="D6479">
        <f t="shared" si="218"/>
        <v>-0.57630168916272007</v>
      </c>
    </row>
    <row r="6480" spans="1:4" x14ac:dyDescent="0.3">
      <c r="A6480" s="1">
        <v>35332</v>
      </c>
      <c r="B6480">
        <v>1215.2700199999999</v>
      </c>
      <c r="C6480">
        <f t="shared" si="219"/>
        <v>3.1367257059316286E-3</v>
      </c>
      <c r="D6480">
        <f t="shared" si="218"/>
        <v>0.21374720627130084</v>
      </c>
    </row>
    <row r="6481" spans="1:4" x14ac:dyDescent="0.3">
      <c r="A6481" s="1">
        <v>35333</v>
      </c>
      <c r="B6481">
        <v>1224.660034</v>
      </c>
      <c r="C6481">
        <f t="shared" si="219"/>
        <v>7.7266894150816497E-3</v>
      </c>
      <c r="D6481">
        <f t="shared" si="218"/>
        <v>0.58092542895975363</v>
      </c>
    </row>
    <row r="6482" spans="1:4" x14ac:dyDescent="0.3">
      <c r="A6482" s="1">
        <v>35334</v>
      </c>
      <c r="B6482">
        <v>1227.9799800000001</v>
      </c>
      <c r="C6482">
        <f t="shared" si="219"/>
        <v>2.7109123412449605E-3</v>
      </c>
      <c r="D6482">
        <f t="shared" si="218"/>
        <v>0.17968388805138533</v>
      </c>
    </row>
    <row r="6483" spans="1:4" x14ac:dyDescent="0.3">
      <c r="A6483" s="1">
        <v>35335</v>
      </c>
      <c r="B6483">
        <v>1230.0500489999999</v>
      </c>
      <c r="C6483">
        <f t="shared" si="219"/>
        <v>1.6857514240581314E-3</v>
      </c>
      <c r="D6483">
        <f t="shared" si="218"/>
        <v>9.7675230163319027E-2</v>
      </c>
    </row>
    <row r="6484" spans="1:4" x14ac:dyDescent="0.3">
      <c r="A6484" s="1">
        <v>35338</v>
      </c>
      <c r="B6484">
        <v>1226.920044</v>
      </c>
      <c r="C6484">
        <f t="shared" si="219"/>
        <v>-2.544615971150604E-3</v>
      </c>
      <c r="D6484">
        <f t="shared" si="218"/>
        <v>-0.24073676607870925</v>
      </c>
    </row>
    <row r="6485" spans="1:4" x14ac:dyDescent="0.3">
      <c r="A6485" s="1">
        <v>35339</v>
      </c>
      <c r="B6485">
        <v>1221.51001</v>
      </c>
      <c r="C6485">
        <f t="shared" si="219"/>
        <v>-4.4094430003459913E-3</v>
      </c>
      <c r="D6485">
        <f t="shared" si="218"/>
        <v>-0.38991526019977679</v>
      </c>
    </row>
    <row r="6486" spans="1:4" x14ac:dyDescent="0.3">
      <c r="A6486" s="1">
        <v>35340</v>
      </c>
      <c r="B6486">
        <v>1236.1099850000001</v>
      </c>
      <c r="C6486">
        <f t="shared" si="219"/>
        <v>1.1952398981978123E-2</v>
      </c>
      <c r="D6486">
        <f t="shared" si="218"/>
        <v>0.91896481808990549</v>
      </c>
    </row>
    <row r="6487" spans="1:4" x14ac:dyDescent="0.3">
      <c r="A6487" s="1">
        <v>35341</v>
      </c>
      <c r="B6487">
        <v>1233.089966</v>
      </c>
      <c r="C6487">
        <f t="shared" si="219"/>
        <v>-2.4431636639518348E-3</v>
      </c>
      <c r="D6487">
        <f t="shared" si="218"/>
        <v>-0.23262099867718763</v>
      </c>
    </row>
    <row r="6488" spans="1:4" x14ac:dyDescent="0.3">
      <c r="A6488" s="1">
        <v>35342</v>
      </c>
      <c r="B6488">
        <v>1247.5600589999999</v>
      </c>
      <c r="C6488">
        <f t="shared" si="219"/>
        <v>1.1734823410281408E-2</v>
      </c>
      <c r="D6488">
        <f t="shared" si="218"/>
        <v>0.90155966703026502</v>
      </c>
    </row>
    <row r="6489" spans="1:4" x14ac:dyDescent="0.3">
      <c r="A6489" s="1">
        <v>35345</v>
      </c>
      <c r="B6489">
        <v>1250.869995</v>
      </c>
      <c r="C6489">
        <f t="shared" si="219"/>
        <v>2.6531275798082499E-3</v>
      </c>
      <c r="D6489">
        <f t="shared" si="218"/>
        <v>0.1750613447488073</v>
      </c>
    </row>
    <row r="6490" spans="1:4" x14ac:dyDescent="0.3">
      <c r="A6490" s="1">
        <v>35346</v>
      </c>
      <c r="B6490">
        <v>1240.150024</v>
      </c>
      <c r="C6490">
        <f t="shared" si="219"/>
        <v>-8.5700121058543636E-3</v>
      </c>
      <c r="D6490">
        <f t="shared" si="218"/>
        <v>-0.72274368027805813</v>
      </c>
    </row>
    <row r="6491" spans="1:4" x14ac:dyDescent="0.3">
      <c r="A6491" s="1">
        <v>35347</v>
      </c>
      <c r="B6491">
        <v>1237.9799800000001</v>
      </c>
      <c r="C6491">
        <f t="shared" si="219"/>
        <v>-1.7498237777721977E-3</v>
      </c>
      <c r="D6491">
        <f t="shared" si="218"/>
        <v>-0.17715665881346421</v>
      </c>
    </row>
    <row r="6492" spans="1:4" x14ac:dyDescent="0.3">
      <c r="A6492" s="1">
        <v>35348</v>
      </c>
      <c r="B6492">
        <v>1236.969971</v>
      </c>
      <c r="C6492">
        <f t="shared" si="219"/>
        <v>-8.158524502149718E-4</v>
      </c>
      <c r="D6492">
        <f t="shared" si="218"/>
        <v>-0.10244279312193302</v>
      </c>
    </row>
    <row r="6493" spans="1:4" x14ac:dyDescent="0.3">
      <c r="A6493" s="1">
        <v>35349</v>
      </c>
      <c r="B6493">
        <v>1248.2700199999999</v>
      </c>
      <c r="C6493">
        <f t="shared" si="219"/>
        <v>9.135265418662249E-3</v>
      </c>
      <c r="D6493">
        <f t="shared" si="218"/>
        <v>0.69360571714706576</v>
      </c>
    </row>
    <row r="6494" spans="1:4" x14ac:dyDescent="0.3">
      <c r="A6494" s="1">
        <v>35352</v>
      </c>
      <c r="B6494">
        <v>1256.3599850000001</v>
      </c>
      <c r="C6494">
        <f t="shared" si="219"/>
        <v>6.4809415193678374E-3</v>
      </c>
      <c r="D6494">
        <f t="shared" si="218"/>
        <v>0.48127071984860426</v>
      </c>
    </row>
    <row r="6495" spans="1:4" x14ac:dyDescent="0.3">
      <c r="A6495" s="1">
        <v>35353</v>
      </c>
      <c r="B6495">
        <v>1258.099976</v>
      </c>
      <c r="C6495">
        <f t="shared" si="219"/>
        <v>1.3849462103012761E-3</v>
      </c>
      <c r="D6495">
        <f t="shared" si="218"/>
        <v>7.3612049981200453E-2</v>
      </c>
    </row>
    <row r="6496" spans="1:4" x14ac:dyDescent="0.3">
      <c r="A6496" s="1">
        <v>35354</v>
      </c>
      <c r="B6496">
        <v>1250.98999</v>
      </c>
      <c r="C6496">
        <f t="shared" si="219"/>
        <v>-5.6513680435837915E-3</v>
      </c>
      <c r="D6496">
        <f t="shared" si="218"/>
        <v>-0.48926415683250851</v>
      </c>
    </row>
    <row r="6497" spans="1:4" x14ac:dyDescent="0.3">
      <c r="A6497" s="1">
        <v>35355</v>
      </c>
      <c r="B6497">
        <v>1241.959961</v>
      </c>
      <c r="C6497">
        <f t="shared" si="219"/>
        <v>-7.2183063591100462E-3</v>
      </c>
      <c r="D6497">
        <f t="shared" si="218"/>
        <v>-0.61461277878575526</v>
      </c>
    </row>
    <row r="6498" spans="1:4" x14ac:dyDescent="0.3">
      <c r="A6498" s="1">
        <v>35356</v>
      </c>
      <c r="B6498">
        <v>1242.4799800000001</v>
      </c>
      <c r="C6498">
        <f t="shared" si="219"/>
        <v>4.1870834513967677E-4</v>
      </c>
      <c r="D6498">
        <f t="shared" si="218"/>
        <v>-3.6830060378851867E-3</v>
      </c>
    </row>
    <row r="6499" spans="1:4" x14ac:dyDescent="0.3">
      <c r="A6499" s="1">
        <v>35359</v>
      </c>
      <c r="B6499">
        <v>1236.410034</v>
      </c>
      <c r="C6499">
        <f t="shared" si="219"/>
        <v>-4.8853471264785064E-3</v>
      </c>
      <c r="D6499">
        <f t="shared" si="218"/>
        <v>-0.42798563336091827</v>
      </c>
    </row>
    <row r="6500" spans="1:4" x14ac:dyDescent="0.3">
      <c r="A6500" s="1">
        <v>35360</v>
      </c>
      <c r="B6500">
        <v>1220</v>
      </c>
      <c r="C6500">
        <f t="shared" si="219"/>
        <v>-1.3272323540525389E-2</v>
      </c>
      <c r="D6500">
        <f t="shared" si="218"/>
        <v>-1.0989092590315837</v>
      </c>
    </row>
    <row r="6501" spans="1:4" x14ac:dyDescent="0.3">
      <c r="A6501" s="1">
        <v>35361</v>
      </c>
      <c r="B6501">
        <v>1227.880005</v>
      </c>
      <c r="C6501">
        <f t="shared" si="219"/>
        <v>6.459020491803265E-3</v>
      </c>
      <c r="D6501">
        <f t="shared" si="218"/>
        <v>0.4795171277832424</v>
      </c>
    </row>
    <row r="6502" spans="1:4" x14ac:dyDescent="0.3">
      <c r="A6502" s="1">
        <v>35362</v>
      </c>
      <c r="B6502">
        <v>1227</v>
      </c>
      <c r="C6502">
        <f t="shared" si="219"/>
        <v>-7.1668648110283619E-4</v>
      </c>
      <c r="D6502">
        <f t="shared" si="218"/>
        <v>-9.4509923365863696E-2</v>
      </c>
    </row>
    <row r="6503" spans="1:4" x14ac:dyDescent="0.3">
      <c r="A6503" s="1">
        <v>35363</v>
      </c>
      <c r="B6503">
        <v>1222.599976</v>
      </c>
      <c r="C6503">
        <f t="shared" si="219"/>
        <v>-3.5860016299918748E-3</v>
      </c>
      <c r="D6503">
        <f t="shared" si="218"/>
        <v>-0.3240433365825946</v>
      </c>
    </row>
    <row r="6504" spans="1:4" x14ac:dyDescent="0.3">
      <c r="A6504" s="1">
        <v>35366</v>
      </c>
      <c r="B6504">
        <v>1215.8900149999999</v>
      </c>
      <c r="C6504">
        <f t="shared" si="219"/>
        <v>-5.4882718237514684E-3</v>
      </c>
      <c r="D6504">
        <f t="shared" si="218"/>
        <v>-0.47621712990158599</v>
      </c>
    </row>
    <row r="6505" spans="1:4" x14ac:dyDescent="0.3">
      <c r="A6505" s="1">
        <v>35367</v>
      </c>
      <c r="B6505">
        <v>1203.0500489999999</v>
      </c>
      <c r="C6505">
        <f t="shared" si="219"/>
        <v>-1.0560137711139938E-2</v>
      </c>
      <c r="D6505">
        <f t="shared" si="218"/>
        <v>-0.88194554525551716</v>
      </c>
    </row>
    <row r="6506" spans="1:4" x14ac:dyDescent="0.3">
      <c r="A6506" s="1">
        <v>35368</v>
      </c>
      <c r="B6506">
        <v>1206.2299800000001</v>
      </c>
      <c r="C6506">
        <f t="shared" si="219"/>
        <v>2.6432241972338131E-3</v>
      </c>
      <c r="D6506">
        <f t="shared" si="218"/>
        <v>0.17426911486580485</v>
      </c>
    </row>
    <row r="6507" spans="1:4" x14ac:dyDescent="0.3">
      <c r="A6507" s="1">
        <v>35369</v>
      </c>
      <c r="B6507">
        <v>1221.51001</v>
      </c>
      <c r="C6507">
        <f t="shared" si="219"/>
        <v>1.2667592626076078E-2</v>
      </c>
      <c r="D6507">
        <f t="shared" si="218"/>
        <v>0.97617736872390481</v>
      </c>
    </row>
    <row r="6508" spans="1:4" x14ac:dyDescent="0.3">
      <c r="A6508" s="1">
        <v>35370</v>
      </c>
      <c r="B6508">
        <v>1221.780029</v>
      </c>
      <c r="C6508">
        <f t="shared" si="219"/>
        <v>2.2105344842818564E-4</v>
      </c>
      <c r="D6508">
        <f t="shared" si="218"/>
        <v>-1.9494585013012756E-2</v>
      </c>
    </row>
    <row r="6509" spans="1:4" x14ac:dyDescent="0.3">
      <c r="A6509" s="1">
        <v>35373</v>
      </c>
      <c r="B6509">
        <v>1220.4799800000001</v>
      </c>
      <c r="C6509">
        <f t="shared" si="219"/>
        <v>-1.0640614260686565E-3</v>
      </c>
      <c r="D6509">
        <f t="shared" si="218"/>
        <v>-0.12229849054882051</v>
      </c>
    </row>
    <row r="6510" spans="1:4" x14ac:dyDescent="0.3">
      <c r="A6510" s="1">
        <v>35374</v>
      </c>
      <c r="B6510">
        <v>1229.0699460000001</v>
      </c>
      <c r="C6510">
        <f t="shared" si="219"/>
        <v>7.0381867304369905E-3</v>
      </c>
      <c r="D6510">
        <f t="shared" si="218"/>
        <v>0.52584804532813689</v>
      </c>
    </row>
    <row r="6511" spans="1:4" x14ac:dyDescent="0.3">
      <c r="A6511" s="1">
        <v>35375</v>
      </c>
      <c r="B6511">
        <v>1245.48999</v>
      </c>
      <c r="C6511">
        <f t="shared" si="219"/>
        <v>1.3359731114928719E-2</v>
      </c>
      <c r="D6511">
        <f t="shared" si="218"/>
        <v>1.0315456017416438</v>
      </c>
    </row>
    <row r="6512" spans="1:4" x14ac:dyDescent="0.3">
      <c r="A6512" s="1">
        <v>35376</v>
      </c>
      <c r="B6512">
        <v>1254.1400149999999</v>
      </c>
      <c r="C6512">
        <f t="shared" si="219"/>
        <v>6.945077896611529E-3</v>
      </c>
      <c r="D6512">
        <f t="shared" si="218"/>
        <v>0.51839972148791236</v>
      </c>
    </row>
    <row r="6513" spans="1:4" x14ac:dyDescent="0.3">
      <c r="A6513" s="1">
        <v>35377</v>
      </c>
      <c r="B6513">
        <v>1257.51001</v>
      </c>
      <c r="C6513">
        <f t="shared" si="219"/>
        <v>2.6870963047933823E-3</v>
      </c>
      <c r="D6513">
        <f t="shared" si="218"/>
        <v>0.17777870306738613</v>
      </c>
    </row>
    <row r="6514" spans="1:4" x14ac:dyDescent="0.3">
      <c r="A6514" s="1">
        <v>35380</v>
      </c>
      <c r="B6514">
        <v>1262.670044</v>
      </c>
      <c r="C6514">
        <f t="shared" si="219"/>
        <v>4.1033740956065998E-3</v>
      </c>
      <c r="D6514">
        <f t="shared" si="218"/>
        <v>0.29107510256336933</v>
      </c>
    </row>
    <row r="6515" spans="1:4" x14ac:dyDescent="0.3">
      <c r="A6515" s="1">
        <v>35381</v>
      </c>
      <c r="B6515">
        <v>1256.530029</v>
      </c>
      <c r="C6515">
        <f t="shared" si="219"/>
        <v>-4.8627232658098509E-3</v>
      </c>
      <c r="D6515">
        <f t="shared" si="218"/>
        <v>-0.42617581753729677</v>
      </c>
    </row>
    <row r="6516" spans="1:4" x14ac:dyDescent="0.3">
      <c r="A6516" s="1">
        <v>35382</v>
      </c>
      <c r="B6516">
        <v>1260.719971</v>
      </c>
      <c r="C6516">
        <f t="shared" si="219"/>
        <v>3.3345339174540123E-3</v>
      </c>
      <c r="D6516">
        <f t="shared" si="218"/>
        <v>0.22957104980086554</v>
      </c>
    </row>
    <row r="6517" spans="1:4" x14ac:dyDescent="0.3">
      <c r="A6517" s="1">
        <v>35383</v>
      </c>
      <c r="B6517">
        <v>1270.3599850000001</v>
      </c>
      <c r="C6517">
        <f t="shared" si="219"/>
        <v>7.6464355461535434E-3</v>
      </c>
      <c r="D6517">
        <f t="shared" si="218"/>
        <v>0.57450544945138604</v>
      </c>
    </row>
    <row r="6518" spans="1:4" x14ac:dyDescent="0.3">
      <c r="A6518" s="1">
        <v>35384</v>
      </c>
      <c r="B6518">
        <v>1261.8000489999999</v>
      </c>
      <c r="C6518">
        <f t="shared" si="219"/>
        <v>-6.7381971260690385E-3</v>
      </c>
      <c r="D6518">
        <f t="shared" si="218"/>
        <v>-0.57620601436343744</v>
      </c>
    </row>
    <row r="6519" spans="1:4" x14ac:dyDescent="0.3">
      <c r="A6519" s="1">
        <v>35387</v>
      </c>
      <c r="B6519">
        <v>1254.5699460000001</v>
      </c>
      <c r="C6519">
        <f t="shared" si="219"/>
        <v>-5.7299910597799261E-3</v>
      </c>
      <c r="D6519">
        <f t="shared" si="218"/>
        <v>-0.49555367482842494</v>
      </c>
    </row>
    <row r="6520" spans="1:4" x14ac:dyDescent="0.3">
      <c r="A6520" s="1">
        <v>35388</v>
      </c>
      <c r="B6520">
        <v>1262.619995</v>
      </c>
      <c r="C6520">
        <f t="shared" si="219"/>
        <v>6.416580459037988E-3</v>
      </c>
      <c r="D6520">
        <f t="shared" si="218"/>
        <v>0.47612209967647773</v>
      </c>
    </row>
    <row r="6521" spans="1:4" x14ac:dyDescent="0.3">
      <c r="A6521" s="1">
        <v>35389</v>
      </c>
      <c r="B6521">
        <v>1264.9399410000001</v>
      </c>
      <c r="C6521">
        <f t="shared" si="219"/>
        <v>1.8374063528116967E-3</v>
      </c>
      <c r="D6521">
        <f t="shared" si="218"/>
        <v>0.10980700085481102</v>
      </c>
    </row>
    <row r="6522" spans="1:4" x14ac:dyDescent="0.3">
      <c r="A6522" s="1">
        <v>35390</v>
      </c>
      <c r="B6522">
        <v>1258.079956</v>
      </c>
      <c r="C6522">
        <f t="shared" si="219"/>
        <v>-5.4231705218959888E-3</v>
      </c>
      <c r="D6522">
        <f t="shared" si="218"/>
        <v>-0.47100929345130038</v>
      </c>
    </row>
    <row r="6523" spans="1:4" x14ac:dyDescent="0.3">
      <c r="A6523" s="1">
        <v>35391</v>
      </c>
      <c r="B6523">
        <v>1274.3599850000001</v>
      </c>
      <c r="C6523">
        <f t="shared" si="219"/>
        <v>1.2940377058197096E-2</v>
      </c>
      <c r="D6523">
        <f t="shared" si="218"/>
        <v>0.99799900159729893</v>
      </c>
    </row>
    <row r="6524" spans="1:4" x14ac:dyDescent="0.3">
      <c r="A6524" s="1">
        <v>35394</v>
      </c>
      <c r="B6524">
        <v>1280.369995</v>
      </c>
      <c r="C6524">
        <f t="shared" si="219"/>
        <v>4.7161006864162996E-3</v>
      </c>
      <c r="D6524">
        <f t="shared" si="218"/>
        <v>0.34009071028134902</v>
      </c>
    </row>
    <row r="6525" spans="1:4" x14ac:dyDescent="0.3">
      <c r="A6525" s="1">
        <v>35395</v>
      </c>
      <c r="B6525">
        <v>1281.1999510000001</v>
      </c>
      <c r="C6525">
        <f t="shared" si="219"/>
        <v>6.4821575266611764E-4</v>
      </c>
      <c r="D6525">
        <f t="shared" si="218"/>
        <v>1.4676642824131265E-2</v>
      </c>
    </row>
    <row r="6526" spans="1:4" x14ac:dyDescent="0.3">
      <c r="A6526" s="1">
        <v>35396</v>
      </c>
      <c r="B6526">
        <v>1287.3199460000001</v>
      </c>
      <c r="C6526">
        <f t="shared" si="219"/>
        <v>4.7767680565576429E-3</v>
      </c>
      <c r="D6526">
        <f t="shared" si="218"/>
        <v>0.34494385042693987</v>
      </c>
    </row>
    <row r="6527" spans="1:4" x14ac:dyDescent="0.3">
      <c r="A6527" s="1">
        <v>35398</v>
      </c>
      <c r="B6527">
        <v>1292.6099850000001</v>
      </c>
      <c r="C6527">
        <f t="shared" si="219"/>
        <v>4.1093428377594471E-3</v>
      </c>
      <c r="D6527">
        <f t="shared" si="218"/>
        <v>0.2915525773919827</v>
      </c>
    </row>
    <row r="6528" spans="1:4" x14ac:dyDescent="0.3">
      <c r="A6528" s="1">
        <v>35401</v>
      </c>
      <c r="B6528">
        <v>1299.8199460000001</v>
      </c>
      <c r="C6528">
        <f t="shared" si="219"/>
        <v>5.5778317386276583E-3</v>
      </c>
      <c r="D6528">
        <f t="shared" si="218"/>
        <v>0.40902565099899801</v>
      </c>
    </row>
    <row r="6529" spans="1:4" x14ac:dyDescent="0.3">
      <c r="A6529" s="1">
        <v>35402</v>
      </c>
      <c r="B6529">
        <v>1300.369995</v>
      </c>
      <c r="C6529">
        <f t="shared" si="219"/>
        <v>4.2317322617846983E-4</v>
      </c>
      <c r="D6529">
        <f t="shared" si="218"/>
        <v>-3.3258339144822771E-3</v>
      </c>
    </row>
    <row r="6530" spans="1:4" x14ac:dyDescent="0.3">
      <c r="A6530" s="1">
        <v>35403</v>
      </c>
      <c r="B6530">
        <v>1297.0200199999999</v>
      </c>
      <c r="C6530">
        <f t="shared" si="219"/>
        <v>-2.5761706382652159E-3</v>
      </c>
      <c r="D6530">
        <f t="shared" si="218"/>
        <v>-0.24326100969431172</v>
      </c>
    </row>
    <row r="6531" spans="1:4" x14ac:dyDescent="0.3">
      <c r="A6531" s="1">
        <v>35404</v>
      </c>
      <c r="B6531">
        <v>1300.119995</v>
      </c>
      <c r="C6531">
        <f t="shared" si="219"/>
        <v>2.390074904163843E-3</v>
      </c>
      <c r="D6531">
        <f t="shared" ref="D6531:D6594" si="220">(C6531-avrtn)/sdrtn</f>
        <v>0.15401821237632032</v>
      </c>
    </row>
    <row r="6532" spans="1:4" x14ac:dyDescent="0.3">
      <c r="A6532" s="1">
        <v>35405</v>
      </c>
      <c r="B6532">
        <v>1287.6800539999999</v>
      </c>
      <c r="C6532">
        <f t="shared" ref="C6532:C6595" si="221">(B6532-B6531)/B6531</f>
        <v>-9.5683021935218295E-3</v>
      </c>
      <c r="D6532">
        <f t="shared" si="220"/>
        <v>-0.80260278229808668</v>
      </c>
    </row>
    <row r="6533" spans="1:4" x14ac:dyDescent="0.3">
      <c r="A6533" s="1">
        <v>35408</v>
      </c>
      <c r="B6533">
        <v>1316.2700199999999</v>
      </c>
      <c r="C6533">
        <f t="shared" si="221"/>
        <v>2.2202693837797077E-2</v>
      </c>
      <c r="D6533">
        <f t="shared" si="220"/>
        <v>1.7389462570911216</v>
      </c>
    </row>
    <row r="6534" spans="1:4" x14ac:dyDescent="0.3">
      <c r="A6534" s="1">
        <v>35409</v>
      </c>
      <c r="B6534">
        <v>1312.5500489999999</v>
      </c>
      <c r="C6534">
        <f t="shared" si="221"/>
        <v>-2.8261458085932756E-3</v>
      </c>
      <c r="D6534">
        <f t="shared" si="220"/>
        <v>-0.26325799541651418</v>
      </c>
    </row>
    <row r="6535" spans="1:4" x14ac:dyDescent="0.3">
      <c r="A6535" s="1">
        <v>35410</v>
      </c>
      <c r="B6535">
        <v>1309.119995</v>
      </c>
      <c r="C6535">
        <f t="shared" si="221"/>
        <v>-2.6132748253014826E-3</v>
      </c>
      <c r="D6535">
        <f t="shared" si="220"/>
        <v>-0.2462291920838843</v>
      </c>
    </row>
    <row r="6536" spans="1:4" x14ac:dyDescent="0.3">
      <c r="A6536" s="1">
        <v>35411</v>
      </c>
      <c r="B6536">
        <v>1298.329956</v>
      </c>
      <c r="C6536">
        <f t="shared" si="221"/>
        <v>-8.2422077740856581E-3</v>
      </c>
      <c r="D6536">
        <f t="shared" si="220"/>
        <v>-0.69652068167602821</v>
      </c>
    </row>
    <row r="6537" spans="1:4" x14ac:dyDescent="0.3">
      <c r="A6537" s="1">
        <v>35412</v>
      </c>
      <c r="B6537">
        <v>1284.910034</v>
      </c>
      <c r="C6537">
        <f t="shared" si="221"/>
        <v>-1.0336295437059178E-2</v>
      </c>
      <c r="D6537">
        <f t="shared" si="220"/>
        <v>-0.86403908377398719</v>
      </c>
    </row>
    <row r="6538" spans="1:4" x14ac:dyDescent="0.3">
      <c r="A6538" s="1">
        <v>35415</v>
      </c>
      <c r="B6538">
        <v>1260.9799800000001</v>
      </c>
      <c r="C6538">
        <f t="shared" si="221"/>
        <v>-1.8623914022606138E-2</v>
      </c>
      <c r="D6538">
        <f t="shared" si="220"/>
        <v>-1.527014491726491</v>
      </c>
    </row>
    <row r="6539" spans="1:4" x14ac:dyDescent="0.3">
      <c r="A6539" s="1">
        <v>35416</v>
      </c>
      <c r="B6539">
        <v>1266.3199460000001</v>
      </c>
      <c r="C6539">
        <f t="shared" si="221"/>
        <v>4.2347746076032101E-3</v>
      </c>
      <c r="D6539">
        <f t="shared" si="220"/>
        <v>0.30158660320096425</v>
      </c>
    </row>
    <row r="6540" spans="1:4" x14ac:dyDescent="0.3">
      <c r="A6540" s="1">
        <v>35417</v>
      </c>
      <c r="B6540">
        <v>1285.380005</v>
      </c>
      <c r="C6540">
        <f t="shared" si="221"/>
        <v>1.5051535009146818E-2</v>
      </c>
      <c r="D6540">
        <f t="shared" si="220"/>
        <v>1.1668829565399106</v>
      </c>
    </row>
    <row r="6541" spans="1:4" x14ac:dyDescent="0.3">
      <c r="A6541" s="1">
        <v>35418</v>
      </c>
      <c r="B6541">
        <v>1295.8599850000001</v>
      </c>
      <c r="C6541">
        <f t="shared" si="221"/>
        <v>8.1532153598422186E-3</v>
      </c>
      <c r="D6541">
        <f t="shared" si="220"/>
        <v>0.61504575065543443</v>
      </c>
    </row>
    <row r="6542" spans="1:4" x14ac:dyDescent="0.3">
      <c r="A6542" s="1">
        <v>35419</v>
      </c>
      <c r="B6542">
        <v>1288.5600589999999</v>
      </c>
      <c r="C6542">
        <f t="shared" si="221"/>
        <v>-5.6332675478054373E-3</v>
      </c>
      <c r="D6542">
        <f t="shared" si="220"/>
        <v>-0.48781619159992357</v>
      </c>
    </row>
    <row r="6543" spans="1:4" x14ac:dyDescent="0.3">
      <c r="A6543" s="1">
        <v>35422</v>
      </c>
      <c r="B6543">
        <v>1279.5200199999999</v>
      </c>
      <c r="C6543">
        <f t="shared" si="221"/>
        <v>-7.0156132318858252E-3</v>
      </c>
      <c r="D6543">
        <f t="shared" si="220"/>
        <v>-0.59839816208693697</v>
      </c>
    </row>
    <row r="6544" spans="1:4" x14ac:dyDescent="0.3">
      <c r="A6544" s="1">
        <v>35423</v>
      </c>
      <c r="B6544">
        <v>1287.630005</v>
      </c>
      <c r="C6544">
        <f t="shared" si="221"/>
        <v>6.3383025456686887E-3</v>
      </c>
      <c r="D6544">
        <f t="shared" si="220"/>
        <v>0.46986018848763689</v>
      </c>
    </row>
    <row r="6545" spans="1:4" x14ac:dyDescent="0.3">
      <c r="A6545" s="1">
        <v>35425</v>
      </c>
      <c r="B6545">
        <v>1294.5699460000001</v>
      </c>
      <c r="C6545">
        <f t="shared" si="221"/>
        <v>5.3897012131214591E-3</v>
      </c>
      <c r="D6545">
        <f t="shared" si="220"/>
        <v>0.39397598255584537</v>
      </c>
    </row>
    <row r="6546" spans="1:4" x14ac:dyDescent="0.3">
      <c r="A6546" s="1">
        <v>35426</v>
      </c>
      <c r="B6546">
        <v>1291.380005</v>
      </c>
      <c r="C6546">
        <f t="shared" si="221"/>
        <v>-2.4640931993334639E-3</v>
      </c>
      <c r="D6546">
        <f t="shared" si="220"/>
        <v>-0.23429527544495424</v>
      </c>
    </row>
    <row r="6547" spans="1:4" x14ac:dyDescent="0.3">
      <c r="A6547" s="1">
        <v>35429</v>
      </c>
      <c r="B6547">
        <v>1287.75</v>
      </c>
      <c r="C6547">
        <f t="shared" si="221"/>
        <v>-2.8109502903446168E-3</v>
      </c>
      <c r="D6547">
        <f t="shared" si="220"/>
        <v>-0.26204241644096582</v>
      </c>
    </row>
    <row r="6548" spans="1:4" x14ac:dyDescent="0.3">
      <c r="A6548" s="1">
        <v>35430</v>
      </c>
      <c r="B6548">
        <v>1291.030029</v>
      </c>
      <c r="C6548">
        <f t="shared" si="221"/>
        <v>2.5471007571345474E-3</v>
      </c>
      <c r="D6548">
        <f t="shared" si="220"/>
        <v>0.16657963491981106</v>
      </c>
    </row>
    <row r="6549" spans="1:4" x14ac:dyDescent="0.3">
      <c r="A6549" s="1">
        <v>35432</v>
      </c>
      <c r="B6549">
        <v>1280.6999510000001</v>
      </c>
      <c r="C6549">
        <f t="shared" si="221"/>
        <v>-8.001423489739725E-3</v>
      </c>
      <c r="D6549">
        <f t="shared" si="220"/>
        <v>-0.677258929039247</v>
      </c>
    </row>
    <row r="6550" spans="1:4" x14ac:dyDescent="0.3">
      <c r="A6550" s="1">
        <v>35433</v>
      </c>
      <c r="B6550">
        <v>1310.6800539999999</v>
      </c>
      <c r="C6550">
        <f t="shared" si="221"/>
        <v>2.3409154483523417E-2</v>
      </c>
      <c r="D6550">
        <f t="shared" si="220"/>
        <v>1.8354581477534104</v>
      </c>
    </row>
    <row r="6551" spans="1:4" x14ac:dyDescent="0.3">
      <c r="A6551" s="1">
        <v>35436</v>
      </c>
      <c r="B6551">
        <v>1316.400024</v>
      </c>
      <c r="C6551">
        <f t="shared" si="221"/>
        <v>4.3641237863837239E-3</v>
      </c>
      <c r="D6551">
        <f t="shared" si="220"/>
        <v>0.31193400561640405</v>
      </c>
    </row>
    <row r="6552" spans="1:4" x14ac:dyDescent="0.3">
      <c r="A6552" s="1">
        <v>35437</v>
      </c>
      <c r="B6552">
        <v>1327.7299800000001</v>
      </c>
      <c r="C6552">
        <f t="shared" si="221"/>
        <v>8.6067728604052648E-3</v>
      </c>
      <c r="D6552">
        <f t="shared" si="220"/>
        <v>0.65132848566089185</v>
      </c>
    </row>
    <row r="6553" spans="1:4" x14ac:dyDescent="0.3">
      <c r="A6553" s="1">
        <v>35438</v>
      </c>
      <c r="B6553">
        <v>1320.349976</v>
      </c>
      <c r="C6553">
        <f t="shared" si="221"/>
        <v>-5.5583621001011807E-3</v>
      </c>
      <c r="D6553">
        <f t="shared" si="220"/>
        <v>-0.48182406379662446</v>
      </c>
    </row>
    <row r="6554" spans="1:4" x14ac:dyDescent="0.3">
      <c r="A6554" s="1">
        <v>35439</v>
      </c>
      <c r="B6554">
        <v>1326.1999510000001</v>
      </c>
      <c r="C6554">
        <f t="shared" si="221"/>
        <v>4.4306245361722838E-3</v>
      </c>
      <c r="D6554">
        <f t="shared" si="220"/>
        <v>0.3172537921467718</v>
      </c>
    </row>
    <row r="6555" spans="1:4" x14ac:dyDescent="0.3">
      <c r="A6555" s="1">
        <v>35440</v>
      </c>
      <c r="B6555">
        <v>1332.0200199999999</v>
      </c>
      <c r="C6555">
        <f t="shared" si="221"/>
        <v>4.3885305497194035E-3</v>
      </c>
      <c r="D6555">
        <f t="shared" si="220"/>
        <v>0.31388644632204793</v>
      </c>
    </row>
    <row r="6556" spans="1:4" x14ac:dyDescent="0.3">
      <c r="A6556" s="1">
        <v>35443</v>
      </c>
      <c r="B6556">
        <v>1330.910034</v>
      </c>
      <c r="C6556">
        <f t="shared" si="221"/>
        <v>-8.3331029814396891E-4</v>
      </c>
      <c r="D6556">
        <f t="shared" si="220"/>
        <v>-0.10383934916915318</v>
      </c>
    </row>
    <row r="6557" spans="1:4" x14ac:dyDescent="0.3">
      <c r="A6557" s="1">
        <v>35444</v>
      </c>
      <c r="B6557">
        <v>1346.3599850000001</v>
      </c>
      <c r="C6557">
        <f t="shared" si="221"/>
        <v>1.1608561514534389E-2</v>
      </c>
      <c r="D6557">
        <f t="shared" si="220"/>
        <v>0.89145923456252107</v>
      </c>
    </row>
    <row r="6558" spans="1:4" x14ac:dyDescent="0.3">
      <c r="A6558" s="1">
        <v>35445</v>
      </c>
      <c r="B6558">
        <v>1333.530029</v>
      </c>
      <c r="C6558">
        <f t="shared" si="221"/>
        <v>-9.5293652091123591E-3</v>
      </c>
      <c r="D6558">
        <f t="shared" si="220"/>
        <v>-0.7994879836551656</v>
      </c>
    </row>
    <row r="6559" spans="1:4" x14ac:dyDescent="0.3">
      <c r="A6559" s="1">
        <v>35446</v>
      </c>
      <c r="B6559">
        <v>1340.459961</v>
      </c>
      <c r="C6559">
        <f t="shared" si="221"/>
        <v>5.1966823763216572E-3</v>
      </c>
      <c r="D6559">
        <f t="shared" si="220"/>
        <v>0.37853526931006071</v>
      </c>
    </row>
    <row r="6560" spans="1:4" x14ac:dyDescent="0.3">
      <c r="A6560" s="1">
        <v>35447</v>
      </c>
      <c r="B6560">
        <v>1349.0500489999999</v>
      </c>
      <c r="C6560">
        <f t="shared" si="221"/>
        <v>6.4083137504469803E-3</v>
      </c>
      <c r="D6560">
        <f t="shared" si="220"/>
        <v>0.47546079698210597</v>
      </c>
    </row>
    <row r="6561" spans="1:4" x14ac:dyDescent="0.3">
      <c r="A6561" s="1">
        <v>35450</v>
      </c>
      <c r="B6561">
        <v>1364.280029</v>
      </c>
      <c r="C6561">
        <f t="shared" si="221"/>
        <v>1.1289410656994884E-2</v>
      </c>
      <c r="D6561">
        <f t="shared" si="220"/>
        <v>0.86592847831552844</v>
      </c>
    </row>
    <row r="6562" spans="1:4" x14ac:dyDescent="0.3">
      <c r="A6562" s="1">
        <v>35451</v>
      </c>
      <c r="B6562">
        <v>1376.969971</v>
      </c>
      <c r="C6562">
        <f t="shared" si="221"/>
        <v>9.3015669292627126E-3</v>
      </c>
      <c r="D6562">
        <f t="shared" si="220"/>
        <v>0.70690915415920519</v>
      </c>
    </row>
    <row r="6563" spans="1:4" x14ac:dyDescent="0.3">
      <c r="A6563" s="1">
        <v>35452</v>
      </c>
      <c r="B6563">
        <v>1388.0600589999999</v>
      </c>
      <c r="C6563">
        <f t="shared" si="221"/>
        <v>8.0539795591518561E-3</v>
      </c>
      <c r="D6563">
        <f t="shared" si="220"/>
        <v>0.60710729466025615</v>
      </c>
    </row>
    <row r="6564" spans="1:4" x14ac:dyDescent="0.3">
      <c r="A6564" s="1">
        <v>35453</v>
      </c>
      <c r="B6564">
        <v>1378.369995</v>
      </c>
      <c r="C6564">
        <f t="shared" si="221"/>
        <v>-6.9810120514388297E-3</v>
      </c>
      <c r="D6564">
        <f t="shared" si="220"/>
        <v>-0.59563020993208149</v>
      </c>
    </row>
    <row r="6565" spans="1:4" x14ac:dyDescent="0.3">
      <c r="A6565" s="1">
        <v>35454</v>
      </c>
      <c r="B6565">
        <v>1363.829956</v>
      </c>
      <c r="C6565">
        <f t="shared" si="221"/>
        <v>-1.0548719903032987E-2</v>
      </c>
      <c r="D6565">
        <f t="shared" si="220"/>
        <v>-0.88103216755726854</v>
      </c>
    </row>
    <row r="6566" spans="1:4" x14ac:dyDescent="0.3">
      <c r="A6566" s="1">
        <v>35457</v>
      </c>
      <c r="B6566">
        <v>1352.8100589999999</v>
      </c>
      <c r="C6566">
        <f t="shared" si="221"/>
        <v>-8.0801106850010625E-3</v>
      </c>
      <c r="D6566">
        <f t="shared" si="220"/>
        <v>-0.68355358109647368</v>
      </c>
    </row>
    <row r="6567" spans="1:4" x14ac:dyDescent="0.3">
      <c r="A6567" s="1">
        <v>35458</v>
      </c>
      <c r="B6567">
        <v>1354.369995</v>
      </c>
      <c r="C6567">
        <f t="shared" si="221"/>
        <v>1.1531079249611843E-3</v>
      </c>
      <c r="D6567">
        <f t="shared" si="220"/>
        <v>5.506594047871876E-2</v>
      </c>
    </row>
    <row r="6568" spans="1:4" x14ac:dyDescent="0.3">
      <c r="A6568" s="1">
        <v>35459</v>
      </c>
      <c r="B6568">
        <v>1355.170044</v>
      </c>
      <c r="C6568">
        <f t="shared" si="221"/>
        <v>5.9071671917831025E-4</v>
      </c>
      <c r="D6568">
        <f t="shared" si="220"/>
        <v>1.0076956582545144E-2</v>
      </c>
    </row>
    <row r="6569" spans="1:4" x14ac:dyDescent="0.3">
      <c r="A6569" s="1">
        <v>35460</v>
      </c>
      <c r="B6569">
        <v>1371.0200199999999</v>
      </c>
      <c r="C6569">
        <f t="shared" si="221"/>
        <v>1.1695931495959168E-2</v>
      </c>
      <c r="D6569">
        <f t="shared" si="220"/>
        <v>0.89844847380899306</v>
      </c>
    </row>
    <row r="6570" spans="1:4" x14ac:dyDescent="0.3">
      <c r="A6570" s="1">
        <v>35461</v>
      </c>
      <c r="B6570">
        <v>1379.849976</v>
      </c>
      <c r="C6570">
        <f t="shared" si="221"/>
        <v>6.440428200311793E-3</v>
      </c>
      <c r="D6570">
        <f t="shared" si="220"/>
        <v>0.47802982091588408</v>
      </c>
    </row>
    <row r="6571" spans="1:4" x14ac:dyDescent="0.3">
      <c r="A6571" s="1">
        <v>35464</v>
      </c>
      <c r="B6571">
        <v>1376.0500489999999</v>
      </c>
      <c r="C6571">
        <f t="shared" si="221"/>
        <v>-2.7538696714084119E-3</v>
      </c>
      <c r="D6571">
        <f t="shared" si="220"/>
        <v>-0.25747620164297702</v>
      </c>
    </row>
    <row r="6572" spans="1:4" x14ac:dyDescent="0.3">
      <c r="A6572" s="1">
        <v>35465</v>
      </c>
      <c r="B6572">
        <v>1373.75</v>
      </c>
      <c r="C6572">
        <f t="shared" si="221"/>
        <v>-1.6714864416969653E-3</v>
      </c>
      <c r="D6572">
        <f t="shared" si="220"/>
        <v>-0.17088999405249636</v>
      </c>
    </row>
    <row r="6573" spans="1:4" x14ac:dyDescent="0.3">
      <c r="A6573" s="1">
        <v>35466</v>
      </c>
      <c r="B6573">
        <v>1348.4399410000001</v>
      </c>
      <c r="C6573">
        <f t="shared" si="221"/>
        <v>-1.8424064786169179E-2</v>
      </c>
      <c r="D6573">
        <f t="shared" si="220"/>
        <v>-1.5110273745965048</v>
      </c>
    </row>
    <row r="6574" spans="1:4" x14ac:dyDescent="0.3">
      <c r="A6574" s="1">
        <v>35467</v>
      </c>
      <c r="B6574">
        <v>1346.400024</v>
      </c>
      <c r="C6574">
        <f t="shared" si="221"/>
        <v>-1.5127978176671787E-3</v>
      </c>
      <c r="D6574">
        <f t="shared" si="220"/>
        <v>-0.15819555666163446</v>
      </c>
    </row>
    <row r="6575" spans="1:4" x14ac:dyDescent="0.3">
      <c r="A6575" s="1">
        <v>35468</v>
      </c>
      <c r="B6575">
        <v>1357.709961</v>
      </c>
      <c r="C6575">
        <f t="shared" si="221"/>
        <v>8.4001313119406121E-3</v>
      </c>
      <c r="D6575">
        <f t="shared" si="220"/>
        <v>0.63479801149884418</v>
      </c>
    </row>
    <row r="6576" spans="1:4" x14ac:dyDescent="0.3">
      <c r="A6576" s="1">
        <v>35471</v>
      </c>
      <c r="B6576">
        <v>1335.339966</v>
      </c>
      <c r="C6576">
        <f t="shared" si="221"/>
        <v>-1.6476269337763236E-2</v>
      </c>
      <c r="D6576">
        <f t="shared" si="220"/>
        <v>-1.3552117481067711</v>
      </c>
    </row>
    <row r="6577" spans="1:4" x14ac:dyDescent="0.3">
      <c r="A6577" s="1">
        <v>35472</v>
      </c>
      <c r="B6577">
        <v>1331.51001</v>
      </c>
      <c r="C6577">
        <f t="shared" si="221"/>
        <v>-2.8681505066253956E-3</v>
      </c>
      <c r="D6577">
        <f t="shared" si="220"/>
        <v>-0.2666181985347334</v>
      </c>
    </row>
    <row r="6578" spans="1:4" x14ac:dyDescent="0.3">
      <c r="A6578" s="1">
        <v>35473</v>
      </c>
      <c r="B6578">
        <v>1358.959961</v>
      </c>
      <c r="C6578">
        <f t="shared" si="221"/>
        <v>2.0615655003600054E-2</v>
      </c>
      <c r="D6578">
        <f t="shared" si="220"/>
        <v>1.6119896762980399</v>
      </c>
    </row>
    <row r="6579" spans="1:4" x14ac:dyDescent="0.3">
      <c r="A6579" s="1">
        <v>35474</v>
      </c>
      <c r="B6579">
        <v>1370.8100589999999</v>
      </c>
      <c r="C6579">
        <f t="shared" si="221"/>
        <v>8.7199758198026039E-3</v>
      </c>
      <c r="D6579">
        <f t="shared" si="220"/>
        <v>0.66038425691932845</v>
      </c>
    </row>
    <row r="6580" spans="1:4" x14ac:dyDescent="0.3">
      <c r="A6580" s="1">
        <v>35475</v>
      </c>
      <c r="B6580">
        <v>1367.1899410000001</v>
      </c>
      <c r="C6580">
        <f t="shared" si="221"/>
        <v>-2.6408603994638622E-3</v>
      </c>
      <c r="D6580">
        <f t="shared" si="220"/>
        <v>-0.24843592458431593</v>
      </c>
    </row>
    <row r="6581" spans="1:4" x14ac:dyDescent="0.3">
      <c r="A6581" s="1">
        <v>35479</v>
      </c>
      <c r="B6581">
        <v>1365.790039</v>
      </c>
      <c r="C6581">
        <f t="shared" si="221"/>
        <v>-1.0239264918641695E-3</v>
      </c>
      <c r="D6581">
        <f t="shared" si="220"/>
        <v>-0.11908786084829713</v>
      </c>
    </row>
    <row r="6582" spans="1:4" x14ac:dyDescent="0.3">
      <c r="A6582" s="1">
        <v>35480</v>
      </c>
      <c r="B6582">
        <v>1365.579956</v>
      </c>
      <c r="C6582">
        <f t="shared" si="221"/>
        <v>-1.5381793247940104E-4</v>
      </c>
      <c r="D6582">
        <f t="shared" si="220"/>
        <v>-4.9482754005290688E-2</v>
      </c>
    </row>
    <row r="6583" spans="1:4" x14ac:dyDescent="0.3">
      <c r="A6583" s="1">
        <v>35481</v>
      </c>
      <c r="B6583">
        <v>1347.400024</v>
      </c>
      <c r="C6583">
        <f t="shared" si="221"/>
        <v>-1.3312975135671959E-2</v>
      </c>
      <c r="D6583">
        <f t="shared" si="220"/>
        <v>-1.1021612194829511</v>
      </c>
    </row>
    <row r="6584" spans="1:4" x14ac:dyDescent="0.3">
      <c r="A6584" s="1">
        <v>35482</v>
      </c>
      <c r="B6584">
        <v>1334.3199460000001</v>
      </c>
      <c r="C6584">
        <f t="shared" si="221"/>
        <v>-9.7076426948319236E-3</v>
      </c>
      <c r="D6584">
        <f t="shared" si="220"/>
        <v>-0.81374944943132921</v>
      </c>
    </row>
    <row r="6585" spans="1:4" x14ac:dyDescent="0.3">
      <c r="A6585" s="1">
        <v>35485</v>
      </c>
      <c r="B6585">
        <v>1345.079956</v>
      </c>
      <c r="C6585">
        <f t="shared" si="221"/>
        <v>8.0640404366704756E-3</v>
      </c>
      <c r="D6585">
        <f t="shared" si="220"/>
        <v>0.60791212349117008</v>
      </c>
    </row>
    <row r="6586" spans="1:4" x14ac:dyDescent="0.3">
      <c r="A6586" s="1">
        <v>35486</v>
      </c>
      <c r="B6586">
        <v>1347.6899410000001</v>
      </c>
      <c r="C6586">
        <f t="shared" si="221"/>
        <v>1.9403939433917574E-3</v>
      </c>
      <c r="D6586">
        <f t="shared" si="220"/>
        <v>0.11804558461371296</v>
      </c>
    </row>
    <row r="6587" spans="1:4" x14ac:dyDescent="0.3">
      <c r="A6587" s="1">
        <v>35487</v>
      </c>
      <c r="B6587">
        <v>1340.5500489999999</v>
      </c>
      <c r="C6587">
        <f t="shared" si="221"/>
        <v>-5.2978743721291488E-3</v>
      </c>
      <c r="D6587">
        <f t="shared" si="220"/>
        <v>-0.46098611669079959</v>
      </c>
    </row>
    <row r="6588" spans="1:4" x14ac:dyDescent="0.3">
      <c r="A6588" s="1">
        <v>35488</v>
      </c>
      <c r="B6588">
        <v>1312.660034</v>
      </c>
      <c r="C6588">
        <f t="shared" si="221"/>
        <v>-2.0804903942829179E-2</v>
      </c>
      <c r="D6588">
        <f t="shared" si="220"/>
        <v>-1.7014847170601948</v>
      </c>
    </row>
    <row r="6589" spans="1:4" x14ac:dyDescent="0.3">
      <c r="A6589" s="1">
        <v>35489</v>
      </c>
      <c r="B6589">
        <v>1309</v>
      </c>
      <c r="C6589">
        <f t="shared" si="221"/>
        <v>-2.7882573592546782E-3</v>
      </c>
      <c r="D6589">
        <f t="shared" si="220"/>
        <v>-0.26022707526766098</v>
      </c>
    </row>
    <row r="6590" spans="1:4" x14ac:dyDescent="0.3">
      <c r="A6590" s="1">
        <v>35492</v>
      </c>
      <c r="B6590">
        <v>1311.1800539999999</v>
      </c>
      <c r="C6590">
        <f t="shared" si="221"/>
        <v>1.6654346829640392E-3</v>
      </c>
      <c r="D6590">
        <f t="shared" si="220"/>
        <v>9.6049974418730213E-2</v>
      </c>
    </row>
    <row r="6591" spans="1:4" x14ac:dyDescent="0.3">
      <c r="A6591" s="1">
        <v>35493</v>
      </c>
      <c r="B6591">
        <v>1317.369995</v>
      </c>
      <c r="C6591">
        <f t="shared" si="221"/>
        <v>4.7208931993104357E-3</v>
      </c>
      <c r="D6591">
        <f t="shared" si="220"/>
        <v>0.3404740916059491</v>
      </c>
    </row>
    <row r="6592" spans="1:4" x14ac:dyDescent="0.3">
      <c r="A6592" s="1">
        <v>35494</v>
      </c>
      <c r="B6592">
        <v>1329.089966</v>
      </c>
      <c r="C6592">
        <f t="shared" si="221"/>
        <v>8.8964915281830037E-3</v>
      </c>
      <c r="D6592">
        <f t="shared" si="220"/>
        <v>0.67450478775283051</v>
      </c>
    </row>
    <row r="6593" spans="1:4" x14ac:dyDescent="0.3">
      <c r="A6593" s="1">
        <v>35495</v>
      </c>
      <c r="B6593">
        <v>1315.4300539999999</v>
      </c>
      <c r="C6593">
        <f t="shared" si="221"/>
        <v>-1.027764286048344E-2</v>
      </c>
      <c r="D6593">
        <f t="shared" si="220"/>
        <v>-0.85934711882876424</v>
      </c>
    </row>
    <row r="6594" spans="1:4" x14ac:dyDescent="0.3">
      <c r="A6594" s="1">
        <v>35496</v>
      </c>
      <c r="B6594">
        <v>1311.8000489999999</v>
      </c>
      <c r="C6594">
        <f t="shared" si="221"/>
        <v>-2.7595575978834851E-3</v>
      </c>
      <c r="D6594">
        <f t="shared" si="220"/>
        <v>-0.25793121237208944</v>
      </c>
    </row>
    <row r="6595" spans="1:4" x14ac:dyDescent="0.3">
      <c r="A6595" s="1">
        <v>35499</v>
      </c>
      <c r="B6595">
        <v>1322.719971</v>
      </c>
      <c r="C6595">
        <f t="shared" si="221"/>
        <v>8.3243799299477263E-3</v>
      </c>
      <c r="D6595">
        <f t="shared" ref="D6595:D6658" si="222">(C6595-avrtn)/sdrtn</f>
        <v>0.62873821243095729</v>
      </c>
    </row>
    <row r="6596" spans="1:4" x14ac:dyDescent="0.3">
      <c r="A6596" s="1">
        <v>35500</v>
      </c>
      <c r="B6596">
        <v>1316.76001</v>
      </c>
      <c r="C6596">
        <f t="shared" ref="C6596:C6659" si="223">(B6596-B6595)/B6595</f>
        <v>-4.5058373130135651E-3</v>
      </c>
      <c r="D6596">
        <f t="shared" si="222"/>
        <v>-0.39762640883740058</v>
      </c>
    </row>
    <row r="6597" spans="1:4" x14ac:dyDescent="0.3">
      <c r="A6597" s="1">
        <v>35501</v>
      </c>
      <c r="B6597">
        <v>1304.130005</v>
      </c>
      <c r="C6597">
        <f t="shared" si="223"/>
        <v>-9.5917288678898927E-3</v>
      </c>
      <c r="D6597">
        <f t="shared" si="222"/>
        <v>-0.80447681991647113</v>
      </c>
    </row>
    <row r="6598" spans="1:4" x14ac:dyDescent="0.3">
      <c r="A6598" s="1">
        <v>35502</v>
      </c>
      <c r="B6598">
        <v>1293.280029</v>
      </c>
      <c r="C6598">
        <f t="shared" si="223"/>
        <v>-8.3197042920578838E-3</v>
      </c>
      <c r="D6598">
        <f t="shared" si="222"/>
        <v>-0.70272008444622025</v>
      </c>
    </row>
    <row r="6599" spans="1:4" x14ac:dyDescent="0.3">
      <c r="A6599" s="1">
        <v>35503</v>
      </c>
      <c r="B6599">
        <v>1292.969971</v>
      </c>
      <c r="C6599">
        <f t="shared" si="223"/>
        <v>-2.3974544804482276E-4</v>
      </c>
      <c r="D6599">
        <f t="shared" si="222"/>
        <v>-5.6356601914469152E-2</v>
      </c>
    </row>
    <row r="6600" spans="1:4" x14ac:dyDescent="0.3">
      <c r="A6600" s="1">
        <v>35506</v>
      </c>
      <c r="B6600">
        <v>1279.4300539999999</v>
      </c>
      <c r="C6600">
        <f t="shared" si="223"/>
        <v>-1.0471950086766602E-2</v>
      </c>
      <c r="D6600">
        <f t="shared" si="222"/>
        <v>-0.87489089793532848</v>
      </c>
    </row>
    <row r="6601" spans="1:4" x14ac:dyDescent="0.3">
      <c r="A6601" s="1">
        <v>35507</v>
      </c>
      <c r="B6601">
        <v>1269.339966</v>
      </c>
      <c r="C6601">
        <f t="shared" si="223"/>
        <v>-7.8863928265983374E-3</v>
      </c>
      <c r="D6601">
        <f t="shared" si="222"/>
        <v>-0.66805694899684909</v>
      </c>
    </row>
    <row r="6602" spans="1:4" x14ac:dyDescent="0.3">
      <c r="A6602" s="1">
        <v>35508</v>
      </c>
      <c r="B6602">
        <v>1249.290039</v>
      </c>
      <c r="C6602">
        <f t="shared" si="223"/>
        <v>-1.5795553230063524E-2</v>
      </c>
      <c r="D6602">
        <f t="shared" si="222"/>
        <v>-1.3007572586121545</v>
      </c>
    </row>
    <row r="6603" spans="1:4" x14ac:dyDescent="0.3">
      <c r="A6603" s="1">
        <v>35509</v>
      </c>
      <c r="B6603">
        <v>1259.26001</v>
      </c>
      <c r="C6603">
        <f t="shared" si="223"/>
        <v>7.9805094803929565E-3</v>
      </c>
      <c r="D6603">
        <f t="shared" si="222"/>
        <v>0.60122999047031322</v>
      </c>
    </row>
    <row r="6604" spans="1:4" x14ac:dyDescent="0.3">
      <c r="A6604" s="1">
        <v>35510</v>
      </c>
      <c r="B6604">
        <v>1254.0699460000001</v>
      </c>
      <c r="C6604">
        <f t="shared" si="223"/>
        <v>-4.1215189546119973E-3</v>
      </c>
      <c r="D6604">
        <f t="shared" si="222"/>
        <v>-0.36688252049180775</v>
      </c>
    </row>
    <row r="6605" spans="1:4" x14ac:dyDescent="0.3">
      <c r="A6605" s="1">
        <v>35513</v>
      </c>
      <c r="B6605">
        <v>1242.6400149999999</v>
      </c>
      <c r="C6605">
        <f t="shared" si="223"/>
        <v>-9.1142691334380518E-3</v>
      </c>
      <c r="D6605">
        <f t="shared" si="222"/>
        <v>-0.7662820044864832</v>
      </c>
    </row>
    <row r="6606" spans="1:4" x14ac:dyDescent="0.3">
      <c r="A6606" s="1">
        <v>35514</v>
      </c>
      <c r="B6606">
        <v>1248.0600589999999</v>
      </c>
      <c r="C6606">
        <f t="shared" si="223"/>
        <v>4.3617169369843303E-3</v>
      </c>
      <c r="D6606">
        <f t="shared" si="222"/>
        <v>0.31174146756147647</v>
      </c>
    </row>
    <row r="6607" spans="1:4" x14ac:dyDescent="0.3">
      <c r="A6607" s="1">
        <v>35515</v>
      </c>
      <c r="B6607">
        <v>1269.079956</v>
      </c>
      <c r="C6607">
        <f t="shared" si="223"/>
        <v>1.6842055675463395E-2</v>
      </c>
      <c r="D6607">
        <f t="shared" si="222"/>
        <v>1.3101172471802631</v>
      </c>
    </row>
    <row r="6608" spans="1:4" x14ac:dyDescent="0.3">
      <c r="A6608" s="1">
        <v>35516</v>
      </c>
      <c r="B6608">
        <v>1249.51001</v>
      </c>
      <c r="C6608">
        <f t="shared" si="223"/>
        <v>-1.5420577645621622E-2</v>
      </c>
      <c r="D6608">
        <f t="shared" si="222"/>
        <v>-1.2707607537656187</v>
      </c>
    </row>
    <row r="6609" spans="1:4" x14ac:dyDescent="0.3">
      <c r="A6609" s="1">
        <v>35520</v>
      </c>
      <c r="B6609">
        <v>1221.6999510000001</v>
      </c>
      <c r="C6609">
        <f t="shared" si="223"/>
        <v>-2.2256771676442921E-2</v>
      </c>
      <c r="D6609">
        <f t="shared" si="222"/>
        <v>-1.8176281656335007</v>
      </c>
    </row>
    <row r="6610" spans="1:4" x14ac:dyDescent="0.3">
      <c r="A6610" s="1">
        <v>35521</v>
      </c>
      <c r="B6610">
        <v>1216.9300539999999</v>
      </c>
      <c r="C6610">
        <f t="shared" si="223"/>
        <v>-3.9043113622913845E-3</v>
      </c>
      <c r="D6610">
        <f t="shared" si="222"/>
        <v>-0.34950680626911518</v>
      </c>
    </row>
    <row r="6611" spans="1:4" x14ac:dyDescent="0.3">
      <c r="A6611" s="1">
        <v>35522</v>
      </c>
      <c r="B6611">
        <v>1201</v>
      </c>
      <c r="C6611">
        <f t="shared" si="223"/>
        <v>-1.3090361231229752E-2</v>
      </c>
      <c r="D6611">
        <f t="shared" si="222"/>
        <v>-1.0843530225214193</v>
      </c>
    </row>
    <row r="6612" spans="1:4" x14ac:dyDescent="0.3">
      <c r="A6612" s="1">
        <v>35523</v>
      </c>
      <c r="B6612">
        <v>1213.76001</v>
      </c>
      <c r="C6612">
        <f t="shared" si="223"/>
        <v>1.0624487926727698E-2</v>
      </c>
      <c r="D6612">
        <f t="shared" si="222"/>
        <v>0.81273739407275791</v>
      </c>
    </row>
    <row r="6613" spans="1:4" x14ac:dyDescent="0.3">
      <c r="A6613" s="1">
        <v>35524</v>
      </c>
      <c r="B6613">
        <v>1236.7299800000001</v>
      </c>
      <c r="C6613">
        <f t="shared" si="223"/>
        <v>1.8924638981968191E-2</v>
      </c>
      <c r="D6613">
        <f t="shared" si="222"/>
        <v>1.4767153480669206</v>
      </c>
    </row>
    <row r="6614" spans="1:4" x14ac:dyDescent="0.3">
      <c r="A6614" s="1">
        <v>35527</v>
      </c>
      <c r="B6614">
        <v>1251.349976</v>
      </c>
      <c r="C6614">
        <f t="shared" si="223"/>
        <v>1.1821493969120002E-2</v>
      </c>
      <c r="D6614">
        <f t="shared" si="222"/>
        <v>0.90849295534588503</v>
      </c>
    </row>
    <row r="6615" spans="1:4" x14ac:dyDescent="0.3">
      <c r="A6615" s="1">
        <v>35528</v>
      </c>
      <c r="B6615">
        <v>1257.369995</v>
      </c>
      <c r="C6615">
        <f t="shared" si="223"/>
        <v>4.8108196071920076E-3</v>
      </c>
      <c r="D6615">
        <f t="shared" si="222"/>
        <v>0.34766783445687616</v>
      </c>
    </row>
    <row r="6616" spans="1:4" x14ac:dyDescent="0.3">
      <c r="A6616" s="1">
        <v>35529</v>
      </c>
      <c r="B6616">
        <v>1249.4300539999999</v>
      </c>
      <c r="C6616">
        <f t="shared" si="223"/>
        <v>-6.3147212288934013E-3</v>
      </c>
      <c r="D6616">
        <f t="shared" si="222"/>
        <v>-0.54232968393268055</v>
      </c>
    </row>
    <row r="6617" spans="1:4" x14ac:dyDescent="0.3">
      <c r="A6617" s="1">
        <v>35530</v>
      </c>
      <c r="B6617">
        <v>1235.7700199999999</v>
      </c>
      <c r="C6617">
        <f t="shared" si="223"/>
        <v>-1.093301218124852E-2</v>
      </c>
      <c r="D6617">
        <f t="shared" si="222"/>
        <v>-0.91177396959522106</v>
      </c>
    </row>
    <row r="6618" spans="1:4" x14ac:dyDescent="0.3">
      <c r="A6618" s="1">
        <v>35531</v>
      </c>
      <c r="B6618">
        <v>1206.900024</v>
      </c>
      <c r="C6618">
        <f t="shared" si="223"/>
        <v>-2.3361948851939218E-2</v>
      </c>
      <c r="D6618">
        <f t="shared" si="222"/>
        <v>-1.9060377951575043</v>
      </c>
    </row>
    <row r="6619" spans="1:4" x14ac:dyDescent="0.3">
      <c r="A6619" s="1">
        <v>35534</v>
      </c>
      <c r="B6619">
        <v>1216.410034</v>
      </c>
      <c r="C6619">
        <f t="shared" si="223"/>
        <v>7.8796999013067918E-3</v>
      </c>
      <c r="D6619">
        <f t="shared" si="222"/>
        <v>0.59316563867488614</v>
      </c>
    </row>
    <row r="6620" spans="1:4" x14ac:dyDescent="0.3">
      <c r="A6620" s="1">
        <v>35535</v>
      </c>
      <c r="B6620">
        <v>1212.880005</v>
      </c>
      <c r="C6620">
        <f t="shared" si="223"/>
        <v>-2.9020058215008223E-3</v>
      </c>
      <c r="D6620">
        <f t="shared" si="222"/>
        <v>-0.26932648451088093</v>
      </c>
    </row>
    <row r="6621" spans="1:4" x14ac:dyDescent="0.3">
      <c r="A6621" s="1">
        <v>35536</v>
      </c>
      <c r="B6621">
        <v>1210.2700199999999</v>
      </c>
      <c r="C6621">
        <f t="shared" si="223"/>
        <v>-2.1518905326500552E-3</v>
      </c>
      <c r="D6621">
        <f t="shared" si="222"/>
        <v>-0.20932034589531787</v>
      </c>
    </row>
    <row r="6622" spans="1:4" x14ac:dyDescent="0.3">
      <c r="A6622" s="1">
        <v>35537</v>
      </c>
      <c r="B6622">
        <v>1217.0699460000001</v>
      </c>
      <c r="C6622">
        <f t="shared" si="223"/>
        <v>5.6185197415698539E-3</v>
      </c>
      <c r="D6622">
        <f t="shared" si="222"/>
        <v>0.41228052392430586</v>
      </c>
    </row>
    <row r="6623" spans="1:4" x14ac:dyDescent="0.3">
      <c r="A6623" s="1">
        <v>35538</v>
      </c>
      <c r="B6623">
        <v>1222.5699460000001</v>
      </c>
      <c r="C6623">
        <f t="shared" si="223"/>
        <v>4.5190500497331318E-3</v>
      </c>
      <c r="D6623">
        <f t="shared" si="222"/>
        <v>0.32432746962375525</v>
      </c>
    </row>
    <row r="6624" spans="1:4" x14ac:dyDescent="0.3">
      <c r="A6624" s="1">
        <v>35541</v>
      </c>
      <c r="B6624">
        <v>1203.9499510000001</v>
      </c>
      <c r="C6624">
        <f t="shared" si="223"/>
        <v>-1.5230208349976907E-2</v>
      </c>
      <c r="D6624">
        <f t="shared" si="222"/>
        <v>-1.2555319929172628</v>
      </c>
    </row>
    <row r="6625" spans="1:4" x14ac:dyDescent="0.3">
      <c r="A6625" s="1">
        <v>35542</v>
      </c>
      <c r="B6625">
        <v>1212.73999</v>
      </c>
      <c r="C6625">
        <f t="shared" si="223"/>
        <v>7.3010003386760206E-3</v>
      </c>
      <c r="D6625">
        <f t="shared" si="222"/>
        <v>0.54687205329124478</v>
      </c>
    </row>
    <row r="6626" spans="1:4" x14ac:dyDescent="0.3">
      <c r="A6626" s="1">
        <v>35543</v>
      </c>
      <c r="B6626">
        <v>1227.1400149999999</v>
      </c>
      <c r="C6626">
        <f t="shared" si="223"/>
        <v>1.1873959066856461E-2</v>
      </c>
      <c r="D6626">
        <f t="shared" si="222"/>
        <v>0.9126899474270308</v>
      </c>
    </row>
    <row r="6627" spans="1:4" x14ac:dyDescent="0.3">
      <c r="A6627" s="1">
        <v>35544</v>
      </c>
      <c r="B6627">
        <v>1228.099976</v>
      </c>
      <c r="C6627">
        <f t="shared" si="223"/>
        <v>7.8227503647986018E-4</v>
      </c>
      <c r="D6627">
        <f t="shared" si="222"/>
        <v>2.5400834274161746E-2</v>
      </c>
    </row>
    <row r="6628" spans="1:4" x14ac:dyDescent="0.3">
      <c r="A6628" s="1">
        <v>35545</v>
      </c>
      <c r="B6628">
        <v>1209.290039</v>
      </c>
      <c r="C6628">
        <f t="shared" si="223"/>
        <v>-1.5316291317963507E-2</v>
      </c>
      <c r="D6628">
        <f t="shared" si="222"/>
        <v>-1.2624182763809113</v>
      </c>
    </row>
    <row r="6629" spans="1:4" x14ac:dyDescent="0.3">
      <c r="A6629" s="1">
        <v>35548</v>
      </c>
      <c r="B6629">
        <v>1217.030029</v>
      </c>
      <c r="C6629">
        <f t="shared" si="223"/>
        <v>6.4004413750075014E-3</v>
      </c>
      <c r="D6629">
        <f t="shared" si="222"/>
        <v>0.47483103931834891</v>
      </c>
    </row>
    <row r="6630" spans="1:4" x14ac:dyDescent="0.3">
      <c r="A6630" s="1">
        <v>35549</v>
      </c>
      <c r="B6630">
        <v>1242.630005</v>
      </c>
      <c r="C6630">
        <f t="shared" si="223"/>
        <v>2.1034794039580734E-2</v>
      </c>
      <c r="D6630">
        <f t="shared" si="222"/>
        <v>1.6455190756664799</v>
      </c>
    </row>
    <row r="6631" spans="1:4" x14ac:dyDescent="0.3">
      <c r="A6631" s="1">
        <v>35550</v>
      </c>
      <c r="B6631">
        <v>1260.76001</v>
      </c>
      <c r="C6631">
        <f t="shared" si="223"/>
        <v>1.4590026739294762E-2</v>
      </c>
      <c r="D6631">
        <f t="shared" si="222"/>
        <v>1.1299641926850912</v>
      </c>
    </row>
    <row r="6632" spans="1:4" x14ac:dyDescent="0.3">
      <c r="A6632" s="1">
        <v>35551</v>
      </c>
      <c r="B6632">
        <v>1270.5</v>
      </c>
      <c r="C6632">
        <f t="shared" si="223"/>
        <v>7.725490912421972E-3</v>
      </c>
      <c r="D6632">
        <f t="shared" si="222"/>
        <v>0.5808295536752518</v>
      </c>
    </row>
    <row r="6633" spans="1:4" x14ac:dyDescent="0.3">
      <c r="A6633" s="1">
        <v>35552</v>
      </c>
      <c r="B6633">
        <v>1305.329956</v>
      </c>
      <c r="C6633">
        <f t="shared" si="223"/>
        <v>2.7414369146005538E-2</v>
      </c>
      <c r="D6633">
        <f t="shared" si="222"/>
        <v>2.1558588512108785</v>
      </c>
    </row>
    <row r="6634" spans="1:4" x14ac:dyDescent="0.3">
      <c r="A6634" s="1">
        <v>35555</v>
      </c>
      <c r="B6634">
        <v>1339.23999</v>
      </c>
      <c r="C6634">
        <f t="shared" si="223"/>
        <v>2.5978132076208933E-2</v>
      </c>
      <c r="D6634">
        <f t="shared" si="222"/>
        <v>2.04096579146927</v>
      </c>
    </row>
    <row r="6635" spans="1:4" x14ac:dyDescent="0.3">
      <c r="A6635" s="1">
        <v>35556</v>
      </c>
      <c r="B6635">
        <v>1328.3000489999999</v>
      </c>
      <c r="C6635">
        <f t="shared" si="223"/>
        <v>-8.1687681682803461E-3</v>
      </c>
      <c r="D6635">
        <f t="shared" si="222"/>
        <v>-0.6906458151970668</v>
      </c>
    </row>
    <row r="6636" spans="1:4" x14ac:dyDescent="0.3">
      <c r="A6636" s="1">
        <v>35557</v>
      </c>
      <c r="B6636">
        <v>1322.910034</v>
      </c>
      <c r="C6636">
        <f t="shared" si="223"/>
        <v>-4.0578294068857245E-3</v>
      </c>
      <c r="D6636">
        <f t="shared" si="222"/>
        <v>-0.36178761856669106</v>
      </c>
    </row>
    <row r="6637" spans="1:4" x14ac:dyDescent="0.3">
      <c r="A6637" s="1">
        <v>35558</v>
      </c>
      <c r="B6637">
        <v>1330.829956</v>
      </c>
      <c r="C6637">
        <f t="shared" si="223"/>
        <v>5.9867427084614906E-3</v>
      </c>
      <c r="D6637">
        <f t="shared" si="222"/>
        <v>0.44173684713374956</v>
      </c>
    </row>
    <row r="6638" spans="1:4" x14ac:dyDescent="0.3">
      <c r="A6638" s="1">
        <v>35559</v>
      </c>
      <c r="B6638">
        <v>1335.0500489999999</v>
      </c>
      <c r="C6638">
        <f t="shared" si="223"/>
        <v>3.1710234511732813E-3</v>
      </c>
      <c r="D6638">
        <f t="shared" si="222"/>
        <v>0.2164908848574619</v>
      </c>
    </row>
    <row r="6639" spans="1:4" x14ac:dyDescent="0.3">
      <c r="A6639" s="1">
        <v>35562</v>
      </c>
      <c r="B6639">
        <v>1344.1899410000001</v>
      </c>
      <c r="C6639">
        <f t="shared" si="223"/>
        <v>6.8461043890049294E-3</v>
      </c>
      <c r="D6639">
        <f t="shared" si="222"/>
        <v>0.51048224786087948</v>
      </c>
    </row>
    <row r="6640" spans="1:4" x14ac:dyDescent="0.3">
      <c r="A6640" s="1">
        <v>35563</v>
      </c>
      <c r="B6640">
        <v>1333.589966</v>
      </c>
      <c r="C6640">
        <f t="shared" si="223"/>
        <v>-7.885771702854965E-3</v>
      </c>
      <c r="D6640">
        <f t="shared" si="222"/>
        <v>-0.66800726165145541</v>
      </c>
    </row>
    <row r="6641" spans="1:4" x14ac:dyDescent="0.3">
      <c r="A6641" s="1">
        <v>35564</v>
      </c>
      <c r="B6641">
        <v>1335.5500489999999</v>
      </c>
      <c r="C6641">
        <f t="shared" si="223"/>
        <v>1.4697793549535005E-3</v>
      </c>
      <c r="D6641">
        <f t="shared" si="222"/>
        <v>8.0398352717403213E-2</v>
      </c>
    </row>
    <row r="6642" spans="1:4" x14ac:dyDescent="0.3">
      <c r="A6642" s="1">
        <v>35565</v>
      </c>
      <c r="B6642">
        <v>1353.579956</v>
      </c>
      <c r="C6642">
        <f t="shared" si="223"/>
        <v>1.3499986027105521E-2</v>
      </c>
      <c r="D6642">
        <f t="shared" si="222"/>
        <v>1.042765417984143</v>
      </c>
    </row>
    <row r="6643" spans="1:4" x14ac:dyDescent="0.3">
      <c r="A6643" s="1">
        <v>35566</v>
      </c>
      <c r="B6643">
        <v>1340.7299800000001</v>
      </c>
      <c r="C6643">
        <f t="shared" si="223"/>
        <v>-9.4933261556068502E-3</v>
      </c>
      <c r="D6643">
        <f t="shared" si="222"/>
        <v>-0.79660500756819841</v>
      </c>
    </row>
    <row r="6644" spans="1:4" x14ac:dyDescent="0.3">
      <c r="A6644" s="1">
        <v>35569</v>
      </c>
      <c r="B6644">
        <v>1341.23999</v>
      </c>
      <c r="C6644">
        <f t="shared" si="223"/>
        <v>3.803972519507363E-4</v>
      </c>
      <c r="D6644">
        <f t="shared" si="222"/>
        <v>-6.7477359568439161E-3</v>
      </c>
    </row>
    <row r="6645" spans="1:4" x14ac:dyDescent="0.3">
      <c r="A6645" s="1">
        <v>35570</v>
      </c>
      <c r="B6645">
        <v>1363.880005</v>
      </c>
      <c r="C6645">
        <f t="shared" si="223"/>
        <v>1.6879913489605949E-2</v>
      </c>
      <c r="D6645">
        <f t="shared" si="222"/>
        <v>1.3131457166394056</v>
      </c>
    </row>
    <row r="6646" spans="1:4" x14ac:dyDescent="0.3">
      <c r="A6646" s="1">
        <v>35571</v>
      </c>
      <c r="B6646">
        <v>1373.75</v>
      </c>
      <c r="C6646">
        <f t="shared" si="223"/>
        <v>7.2367033491337216E-3</v>
      </c>
      <c r="D6646">
        <f t="shared" si="222"/>
        <v>0.54172855851866164</v>
      </c>
    </row>
    <row r="6647" spans="1:4" x14ac:dyDescent="0.3">
      <c r="A6647" s="1">
        <v>35572</v>
      </c>
      <c r="B6647">
        <v>1372.599976</v>
      </c>
      <c r="C6647">
        <f t="shared" si="223"/>
        <v>-8.3714212920839336E-4</v>
      </c>
      <c r="D6647">
        <f t="shared" si="222"/>
        <v>-0.10414587989772364</v>
      </c>
    </row>
    <row r="6648" spans="1:4" x14ac:dyDescent="0.3">
      <c r="A6648" s="1">
        <v>35573</v>
      </c>
      <c r="B6648">
        <v>1389.719971</v>
      </c>
      <c r="C6648">
        <f t="shared" si="223"/>
        <v>1.2472676161550521E-2</v>
      </c>
      <c r="D6648">
        <f t="shared" si="222"/>
        <v>0.96058485306315156</v>
      </c>
    </row>
    <row r="6649" spans="1:4" x14ac:dyDescent="0.3">
      <c r="A6649" s="1">
        <v>35577</v>
      </c>
      <c r="B6649">
        <v>1409.209961</v>
      </c>
      <c r="C6649">
        <f t="shared" si="223"/>
        <v>1.402440089133614E-2</v>
      </c>
      <c r="D6649">
        <f t="shared" si="222"/>
        <v>1.0847164507157858</v>
      </c>
    </row>
    <row r="6650" spans="1:4" x14ac:dyDescent="0.3">
      <c r="A6650" s="1">
        <v>35578</v>
      </c>
      <c r="B6650">
        <v>1410.1800539999999</v>
      </c>
      <c r="C6650">
        <f t="shared" si="223"/>
        <v>6.8839493535194092E-4</v>
      </c>
      <c r="D6650">
        <f t="shared" si="222"/>
        <v>1.7890812221210708E-2</v>
      </c>
    </row>
    <row r="6651" spans="1:4" x14ac:dyDescent="0.3">
      <c r="A6651" s="1">
        <v>35579</v>
      </c>
      <c r="B6651">
        <v>1403.040039</v>
      </c>
      <c r="C6651">
        <f t="shared" si="223"/>
        <v>-5.0631938664478862E-3</v>
      </c>
      <c r="D6651">
        <f t="shared" si="222"/>
        <v>-0.44221264124830412</v>
      </c>
    </row>
    <row r="6652" spans="1:4" x14ac:dyDescent="0.3">
      <c r="A6652" s="1">
        <v>35580</v>
      </c>
      <c r="B6652">
        <v>1400.3199460000001</v>
      </c>
      <c r="C6652">
        <f t="shared" si="223"/>
        <v>-1.9387137390167568E-3</v>
      </c>
      <c r="D6652">
        <f t="shared" si="222"/>
        <v>-0.19226707899286721</v>
      </c>
    </row>
    <row r="6653" spans="1:4" x14ac:dyDescent="0.3">
      <c r="A6653" s="1">
        <v>35583</v>
      </c>
      <c r="B6653">
        <v>1404.790039</v>
      </c>
      <c r="C6653">
        <f t="shared" si="223"/>
        <v>3.1921940502016573E-3</v>
      </c>
      <c r="D6653">
        <f t="shared" si="222"/>
        <v>0.21818444572570861</v>
      </c>
    </row>
    <row r="6654" spans="1:4" x14ac:dyDescent="0.3">
      <c r="A6654" s="1">
        <v>35584</v>
      </c>
      <c r="B6654">
        <v>1384.910034</v>
      </c>
      <c r="C6654">
        <f t="shared" si="223"/>
        <v>-1.4151584541524488E-2</v>
      </c>
      <c r="D6654">
        <f t="shared" si="222"/>
        <v>-1.1692465235686718</v>
      </c>
    </row>
    <row r="6655" spans="1:4" x14ac:dyDescent="0.3">
      <c r="A6655" s="1">
        <v>35585</v>
      </c>
      <c r="B6655">
        <v>1379.670044</v>
      </c>
      <c r="C6655">
        <f t="shared" si="223"/>
        <v>-3.7836320564921507E-3</v>
      </c>
      <c r="D6655">
        <f t="shared" si="222"/>
        <v>-0.33985295804144705</v>
      </c>
    </row>
    <row r="6656" spans="1:4" x14ac:dyDescent="0.3">
      <c r="A6656" s="1">
        <v>35586</v>
      </c>
      <c r="B6656">
        <v>1390.0500489999999</v>
      </c>
      <c r="C6656">
        <f t="shared" si="223"/>
        <v>7.5235416215211981E-3</v>
      </c>
      <c r="D6656">
        <f t="shared" si="222"/>
        <v>0.56467444082363605</v>
      </c>
    </row>
    <row r="6657" spans="1:4" x14ac:dyDescent="0.3">
      <c r="A6657" s="1">
        <v>35587</v>
      </c>
      <c r="B6657">
        <v>1404.839966</v>
      </c>
      <c r="C6657">
        <f t="shared" si="223"/>
        <v>1.0639844954244564E-2</v>
      </c>
      <c r="D6657">
        <f t="shared" si="222"/>
        <v>0.81396589312563272</v>
      </c>
    </row>
    <row r="6658" spans="1:4" x14ac:dyDescent="0.3">
      <c r="A6658" s="1">
        <v>35590</v>
      </c>
      <c r="B6658">
        <v>1412.040039</v>
      </c>
      <c r="C6658">
        <f t="shared" si="223"/>
        <v>5.1251908930956304E-3</v>
      </c>
      <c r="D6658">
        <f t="shared" si="222"/>
        <v>0.37281624462671414</v>
      </c>
    </row>
    <row r="6659" spans="1:4" x14ac:dyDescent="0.3">
      <c r="A6659" s="1">
        <v>35591</v>
      </c>
      <c r="B6659">
        <v>1401.6899410000001</v>
      </c>
      <c r="C6659">
        <f t="shared" si="223"/>
        <v>-7.3298898856506778E-3</v>
      </c>
      <c r="D6659">
        <f t="shared" ref="D6659:D6722" si="224">(C6659-avrtn)/sdrtn</f>
        <v>-0.62353900207480306</v>
      </c>
    </row>
    <row r="6660" spans="1:4" x14ac:dyDescent="0.3">
      <c r="A6660" s="1">
        <v>35592</v>
      </c>
      <c r="B6660">
        <v>1407.849976</v>
      </c>
      <c r="C6660">
        <f t="shared" ref="C6660:C6723" si="225">(B6660-B6659)/B6659</f>
        <v>4.3947201301916738E-3</v>
      </c>
      <c r="D6660">
        <f t="shared" si="224"/>
        <v>0.31438158730812255</v>
      </c>
    </row>
    <row r="6661" spans="1:4" x14ac:dyDescent="0.3">
      <c r="A6661" s="1">
        <v>35593</v>
      </c>
      <c r="B6661">
        <v>1411.3199460000001</v>
      </c>
      <c r="C6661">
        <f t="shared" si="225"/>
        <v>2.4647299493224576E-3</v>
      </c>
      <c r="D6661">
        <f t="shared" si="224"/>
        <v>0.15999030900562947</v>
      </c>
    </row>
    <row r="6662" spans="1:4" x14ac:dyDescent="0.3">
      <c r="A6662" s="1">
        <v>35594</v>
      </c>
      <c r="B6662">
        <v>1423.030029</v>
      </c>
      <c r="C6662">
        <f t="shared" si="225"/>
        <v>8.2972560780345834E-3</v>
      </c>
      <c r="D6662">
        <f t="shared" si="224"/>
        <v>0.6265684158118513</v>
      </c>
    </row>
    <row r="6663" spans="1:4" x14ac:dyDescent="0.3">
      <c r="A6663" s="1">
        <v>35597</v>
      </c>
      <c r="B6663">
        <v>1431.9499510000001</v>
      </c>
      <c r="C6663">
        <f t="shared" si="225"/>
        <v>6.2682598527230675E-3</v>
      </c>
      <c r="D6663">
        <f t="shared" si="224"/>
        <v>0.46425706106926157</v>
      </c>
    </row>
    <row r="6664" spans="1:4" x14ac:dyDescent="0.3">
      <c r="A6664" s="1">
        <v>35598</v>
      </c>
      <c r="B6664">
        <v>1443.1099850000001</v>
      </c>
      <c r="C6664">
        <f t="shared" si="225"/>
        <v>7.7935922217158525E-3</v>
      </c>
      <c r="D6664">
        <f t="shared" si="224"/>
        <v>0.58627737838450511</v>
      </c>
    </row>
    <row r="6665" spans="1:4" x14ac:dyDescent="0.3">
      <c r="A6665" s="1">
        <v>35599</v>
      </c>
      <c r="B6665">
        <v>1432.4300539999999</v>
      </c>
      <c r="C6665">
        <f t="shared" si="225"/>
        <v>-7.4006355101202655E-3</v>
      </c>
      <c r="D6665">
        <f t="shared" si="224"/>
        <v>-0.62919836112462402</v>
      </c>
    </row>
    <row r="6666" spans="1:4" x14ac:dyDescent="0.3">
      <c r="A6666" s="1">
        <v>35600</v>
      </c>
      <c r="B6666">
        <v>1447.1400149999999</v>
      </c>
      <c r="C6666">
        <f t="shared" si="225"/>
        <v>1.026923510779677E-2</v>
      </c>
      <c r="D6666">
        <f t="shared" si="224"/>
        <v>0.78431862936660368</v>
      </c>
    </row>
    <row r="6667" spans="1:4" x14ac:dyDescent="0.3">
      <c r="A6667" s="1">
        <v>35601</v>
      </c>
      <c r="B6667">
        <v>1447.099976</v>
      </c>
      <c r="C6667">
        <f t="shared" si="225"/>
        <v>-2.766767526636242E-5</v>
      </c>
      <c r="D6667">
        <f t="shared" si="224"/>
        <v>-3.9391252161204815E-2</v>
      </c>
    </row>
    <row r="6668" spans="1:4" x14ac:dyDescent="0.3">
      <c r="A6668" s="1">
        <v>35604</v>
      </c>
      <c r="B6668">
        <v>1434.3199460000001</v>
      </c>
      <c r="C6668">
        <f t="shared" si="225"/>
        <v>-8.8314768930656783E-3</v>
      </c>
      <c r="D6668">
        <f t="shared" si="224"/>
        <v>-0.74365978810533406</v>
      </c>
    </row>
    <row r="6669" spans="1:4" x14ac:dyDescent="0.3">
      <c r="A6669" s="1">
        <v>35605</v>
      </c>
      <c r="B6669">
        <v>1452.4300539999999</v>
      </c>
      <c r="C6669">
        <f t="shared" si="225"/>
        <v>1.2626267974941662E-2</v>
      </c>
      <c r="D6669">
        <f t="shared" si="224"/>
        <v>0.97287156656113238</v>
      </c>
    </row>
    <row r="6670" spans="1:4" x14ac:dyDescent="0.3">
      <c r="A6670" s="1">
        <v>35606</v>
      </c>
      <c r="B6670">
        <v>1446.23999</v>
      </c>
      <c r="C6670">
        <f t="shared" si="225"/>
        <v>-4.2618671948796601E-3</v>
      </c>
      <c r="D6670">
        <f t="shared" si="224"/>
        <v>-0.37810980259780835</v>
      </c>
    </row>
    <row r="6671" spans="1:4" x14ac:dyDescent="0.3">
      <c r="A6671" s="1">
        <v>35607</v>
      </c>
      <c r="B6671">
        <v>1436.380005</v>
      </c>
      <c r="C6671">
        <f t="shared" si="225"/>
        <v>-6.817668622204294E-3</v>
      </c>
      <c r="D6671">
        <f t="shared" si="224"/>
        <v>-0.58256340726551303</v>
      </c>
    </row>
    <row r="6672" spans="1:4" x14ac:dyDescent="0.3">
      <c r="A6672" s="1">
        <v>35608</v>
      </c>
      <c r="B6672">
        <v>1438.150024</v>
      </c>
      <c r="C6672">
        <f t="shared" si="225"/>
        <v>1.2322776659648973E-3</v>
      </c>
      <c r="D6672">
        <f t="shared" si="224"/>
        <v>6.1399194211095576E-2</v>
      </c>
    </row>
    <row r="6673" spans="1:4" x14ac:dyDescent="0.3">
      <c r="A6673" s="1">
        <v>35611</v>
      </c>
      <c r="B6673">
        <v>1442.0699460000001</v>
      </c>
      <c r="C6673">
        <f t="shared" si="225"/>
        <v>2.7256697386113886E-3</v>
      </c>
      <c r="D6673">
        <f t="shared" si="224"/>
        <v>0.18086441915791904</v>
      </c>
    </row>
    <row r="6674" spans="1:4" x14ac:dyDescent="0.3">
      <c r="A6674" s="1">
        <v>35612</v>
      </c>
      <c r="B6674">
        <v>1438.25</v>
      </c>
      <c r="C6674">
        <f t="shared" si="225"/>
        <v>-2.648932536591448E-3</v>
      </c>
      <c r="D6674">
        <f t="shared" si="224"/>
        <v>-0.2490816623616966</v>
      </c>
    </row>
    <row r="6675" spans="1:4" x14ac:dyDescent="0.3">
      <c r="A6675" s="1">
        <v>35613</v>
      </c>
      <c r="B6675">
        <v>1455.6099850000001</v>
      </c>
      <c r="C6675">
        <f t="shared" si="225"/>
        <v>1.2070213801494908E-2</v>
      </c>
      <c r="D6675">
        <f t="shared" si="224"/>
        <v>0.92838951919381574</v>
      </c>
    </row>
    <row r="6676" spans="1:4" x14ac:dyDescent="0.3">
      <c r="A6676" s="1">
        <v>35614</v>
      </c>
      <c r="B6676">
        <v>1467.6099850000001</v>
      </c>
      <c r="C6676">
        <f t="shared" si="225"/>
        <v>8.2439665320102901E-3</v>
      </c>
      <c r="D6676">
        <f t="shared" si="224"/>
        <v>0.62230547125783042</v>
      </c>
    </row>
    <row r="6677" spans="1:4" x14ac:dyDescent="0.3">
      <c r="A6677" s="1">
        <v>35618</v>
      </c>
      <c r="B6677">
        <v>1470.73999</v>
      </c>
      <c r="C6677">
        <f t="shared" si="225"/>
        <v>2.1327226115867444E-3</v>
      </c>
      <c r="D6677">
        <f t="shared" si="224"/>
        <v>0.13343108720910274</v>
      </c>
    </row>
    <row r="6678" spans="1:4" x14ac:dyDescent="0.3">
      <c r="A6678" s="1">
        <v>35619</v>
      </c>
      <c r="B6678">
        <v>1485.099976</v>
      </c>
      <c r="C6678">
        <f t="shared" si="225"/>
        <v>9.7637829239959235E-3</v>
      </c>
      <c r="D6678">
        <f t="shared" si="224"/>
        <v>0.74388453309433489</v>
      </c>
    </row>
    <row r="6679" spans="1:4" x14ac:dyDescent="0.3">
      <c r="A6679" s="1">
        <v>35620</v>
      </c>
      <c r="B6679">
        <v>1486.630005</v>
      </c>
      <c r="C6679">
        <f t="shared" si="225"/>
        <v>1.0302531982533769E-3</v>
      </c>
      <c r="D6679">
        <f t="shared" si="224"/>
        <v>4.5238067523748975E-2</v>
      </c>
    </row>
    <row r="6680" spans="1:4" x14ac:dyDescent="0.3">
      <c r="A6680" s="1">
        <v>35621</v>
      </c>
      <c r="B6680">
        <v>1490.9300539999999</v>
      </c>
      <c r="C6680">
        <f t="shared" si="225"/>
        <v>2.8924809707442604E-3</v>
      </c>
      <c r="D6680">
        <f t="shared" si="224"/>
        <v>0.19420863179666362</v>
      </c>
    </row>
    <row r="6681" spans="1:4" x14ac:dyDescent="0.3">
      <c r="A6681" s="1">
        <v>35622</v>
      </c>
      <c r="B6681">
        <v>1502.619995</v>
      </c>
      <c r="C6681">
        <f t="shared" si="225"/>
        <v>7.8407038402890025E-3</v>
      </c>
      <c r="D6681">
        <f t="shared" si="224"/>
        <v>0.59004611414622399</v>
      </c>
    </row>
    <row r="6682" spans="1:4" x14ac:dyDescent="0.3">
      <c r="A6682" s="1">
        <v>35625</v>
      </c>
      <c r="B6682">
        <v>1523.880005</v>
      </c>
      <c r="C6682">
        <f t="shared" si="225"/>
        <v>1.4148627111806778E-2</v>
      </c>
      <c r="D6682">
        <f t="shared" si="224"/>
        <v>1.0946540375321661</v>
      </c>
    </row>
    <row r="6683" spans="1:4" x14ac:dyDescent="0.3">
      <c r="A6683" s="1">
        <v>35626</v>
      </c>
      <c r="B6683">
        <v>1542.1099850000001</v>
      </c>
      <c r="C6683">
        <f t="shared" si="225"/>
        <v>1.1962871052960676E-2</v>
      </c>
      <c r="D6683">
        <f t="shared" si="224"/>
        <v>0.91980254070709655</v>
      </c>
    </row>
    <row r="6684" spans="1:4" x14ac:dyDescent="0.3">
      <c r="A6684" s="1">
        <v>35627</v>
      </c>
      <c r="B6684">
        <v>1580.630005</v>
      </c>
      <c r="C6684">
        <f t="shared" si="225"/>
        <v>2.4978776076078599E-2</v>
      </c>
      <c r="D6684">
        <f t="shared" si="224"/>
        <v>1.9610214208352703</v>
      </c>
    </row>
    <row r="6685" spans="1:4" x14ac:dyDescent="0.3">
      <c r="A6685" s="1">
        <v>35628</v>
      </c>
      <c r="B6685">
        <v>1568.849976</v>
      </c>
      <c r="C6685">
        <f t="shared" si="225"/>
        <v>-7.4527428700811062E-3</v>
      </c>
      <c r="D6685">
        <f t="shared" si="224"/>
        <v>-0.63336673565474677</v>
      </c>
    </row>
    <row r="6686" spans="1:4" x14ac:dyDescent="0.3">
      <c r="A6686" s="1">
        <v>35629</v>
      </c>
      <c r="B6686">
        <v>1547.98999</v>
      </c>
      <c r="C6686">
        <f t="shared" si="225"/>
        <v>-1.3296354858088697E-2</v>
      </c>
      <c r="D6686">
        <f t="shared" si="224"/>
        <v>-1.10083166561928</v>
      </c>
    </row>
    <row r="6687" spans="1:4" x14ac:dyDescent="0.3">
      <c r="A6687" s="1">
        <v>35632</v>
      </c>
      <c r="B6687">
        <v>1536.2299800000001</v>
      </c>
      <c r="C6687">
        <f t="shared" si="225"/>
        <v>-7.5969548097658988E-3</v>
      </c>
      <c r="D6687">
        <f t="shared" si="224"/>
        <v>-0.64490309782649091</v>
      </c>
    </row>
    <row r="6688" spans="1:4" x14ac:dyDescent="0.3">
      <c r="A6688" s="1">
        <v>35633</v>
      </c>
      <c r="B6688">
        <v>1563.8599850000001</v>
      </c>
      <c r="C6688">
        <f t="shared" si="225"/>
        <v>1.7985591584405859E-2</v>
      </c>
      <c r="D6688">
        <f t="shared" si="224"/>
        <v>1.4015954176479055</v>
      </c>
    </row>
    <row r="6689" spans="1:4" x14ac:dyDescent="0.3">
      <c r="A6689" s="1">
        <v>35634</v>
      </c>
      <c r="B6689">
        <v>1567.650024</v>
      </c>
      <c r="C6689">
        <f t="shared" si="225"/>
        <v>2.4235155553263797E-3</v>
      </c>
      <c r="D6689">
        <f t="shared" si="224"/>
        <v>0.156693326960544</v>
      </c>
    </row>
    <row r="6690" spans="1:4" x14ac:dyDescent="0.3">
      <c r="A6690" s="1">
        <v>35635</v>
      </c>
      <c r="B6690">
        <v>1569.130005</v>
      </c>
      <c r="C6690">
        <f t="shared" si="225"/>
        <v>9.4407615050688914E-4</v>
      </c>
      <c r="D6690">
        <f t="shared" si="224"/>
        <v>3.8344258066167682E-2</v>
      </c>
    </row>
    <row r="6691" spans="1:4" x14ac:dyDescent="0.3">
      <c r="A6691" s="1">
        <v>35636</v>
      </c>
      <c r="B6691">
        <v>1569.579956</v>
      </c>
      <c r="C6691">
        <f t="shared" si="225"/>
        <v>2.8675189344815028E-4</v>
      </c>
      <c r="D6691">
        <f t="shared" si="224"/>
        <v>-1.4238979565035739E-2</v>
      </c>
    </row>
    <row r="6692" spans="1:4" x14ac:dyDescent="0.3">
      <c r="A6692" s="1">
        <v>35639</v>
      </c>
      <c r="B6692">
        <v>1563.530029</v>
      </c>
      <c r="C6692">
        <f t="shared" si="225"/>
        <v>-3.8544879328211968E-3</v>
      </c>
      <c r="D6692">
        <f t="shared" si="224"/>
        <v>-0.34552113678666629</v>
      </c>
    </row>
    <row r="6693" spans="1:4" x14ac:dyDescent="0.3">
      <c r="A6693" s="1">
        <v>35640</v>
      </c>
      <c r="B6693">
        <v>1572.3199460000001</v>
      </c>
      <c r="C6693">
        <f t="shared" si="225"/>
        <v>5.6218408581649691E-3</v>
      </c>
      <c r="D6693">
        <f t="shared" si="224"/>
        <v>0.41254619959540201</v>
      </c>
    </row>
    <row r="6694" spans="1:4" x14ac:dyDescent="0.3">
      <c r="A6694" s="1">
        <v>35641</v>
      </c>
      <c r="B6694">
        <v>1588.0500489999999</v>
      </c>
      <c r="C6694">
        <f t="shared" si="225"/>
        <v>1.0004390671260919E-2</v>
      </c>
      <c r="D6694">
        <f t="shared" si="224"/>
        <v>0.76313216349056601</v>
      </c>
    </row>
    <row r="6695" spans="1:4" x14ac:dyDescent="0.3">
      <c r="A6695" s="1">
        <v>35642</v>
      </c>
      <c r="B6695">
        <v>1593.8100589999999</v>
      </c>
      <c r="C6695">
        <f t="shared" si="225"/>
        <v>3.6270960122617431E-3</v>
      </c>
      <c r="D6695">
        <f t="shared" si="224"/>
        <v>0.25297481436296182</v>
      </c>
    </row>
    <row r="6696" spans="1:4" x14ac:dyDescent="0.3">
      <c r="A6696" s="1">
        <v>35643</v>
      </c>
      <c r="B6696">
        <v>1594.329956</v>
      </c>
      <c r="C6696">
        <f t="shared" si="225"/>
        <v>3.2619758989745979E-4</v>
      </c>
      <c r="D6696">
        <f t="shared" si="224"/>
        <v>-1.1083486050763971E-2</v>
      </c>
    </row>
    <row r="6697" spans="1:4" x14ac:dyDescent="0.3">
      <c r="A6697" s="1">
        <v>35646</v>
      </c>
      <c r="B6697">
        <v>1605.4499510000001</v>
      </c>
      <c r="C6697">
        <f t="shared" si="225"/>
        <v>6.9747137085091667E-3</v>
      </c>
      <c r="D6697">
        <f t="shared" si="224"/>
        <v>0.52077046457653675</v>
      </c>
    </row>
    <row r="6698" spans="1:4" x14ac:dyDescent="0.3">
      <c r="A6698" s="1">
        <v>35647</v>
      </c>
      <c r="B6698">
        <v>1621.530029</v>
      </c>
      <c r="C6698">
        <f t="shared" si="225"/>
        <v>1.0015932287383999E-2</v>
      </c>
      <c r="D6698">
        <f t="shared" si="224"/>
        <v>0.76405544532100333</v>
      </c>
    </row>
    <row r="6699" spans="1:4" x14ac:dyDescent="0.3">
      <c r="A6699" s="1">
        <v>35648</v>
      </c>
      <c r="B6699">
        <v>1630.4399410000001</v>
      </c>
      <c r="C6699">
        <f t="shared" si="225"/>
        <v>5.4947560887878425E-3</v>
      </c>
      <c r="D6699">
        <f t="shared" si="224"/>
        <v>0.40237994062092608</v>
      </c>
    </row>
    <row r="6700" spans="1:4" x14ac:dyDescent="0.3">
      <c r="A6700" s="1">
        <v>35649</v>
      </c>
      <c r="B6700">
        <v>1624.1800539999999</v>
      </c>
      <c r="C6700">
        <f t="shared" si="225"/>
        <v>-3.8393852129019711E-3</v>
      </c>
      <c r="D6700">
        <f t="shared" si="224"/>
        <v>-0.34431298129588367</v>
      </c>
    </row>
    <row r="6701" spans="1:4" x14ac:dyDescent="0.3">
      <c r="A6701" s="1">
        <v>35650</v>
      </c>
      <c r="B6701">
        <v>1598.5200199999999</v>
      </c>
      <c r="C6701">
        <f t="shared" si="225"/>
        <v>-1.5798761927167466E-2</v>
      </c>
      <c r="D6701">
        <f t="shared" si="224"/>
        <v>-1.3010139411862285</v>
      </c>
    </row>
    <row r="6702" spans="1:4" x14ac:dyDescent="0.3">
      <c r="A6702" s="1">
        <v>35653</v>
      </c>
      <c r="B6702">
        <v>1586.73999</v>
      </c>
      <c r="C6702">
        <f t="shared" si="225"/>
        <v>-7.3693352930292964E-3</v>
      </c>
      <c r="D6702">
        <f t="shared" si="224"/>
        <v>-0.62669447246460819</v>
      </c>
    </row>
    <row r="6703" spans="1:4" x14ac:dyDescent="0.3">
      <c r="A6703" s="1">
        <v>35654</v>
      </c>
      <c r="B6703">
        <v>1576.23999</v>
      </c>
      <c r="C6703">
        <f t="shared" si="225"/>
        <v>-6.6173412570259852E-3</v>
      </c>
      <c r="D6703">
        <f t="shared" si="224"/>
        <v>-0.56653804180229606</v>
      </c>
    </row>
    <row r="6704" spans="1:4" x14ac:dyDescent="0.3">
      <c r="A6704" s="1">
        <v>35655</v>
      </c>
      <c r="B6704">
        <v>1583.400024</v>
      </c>
      <c r="C6704">
        <f t="shared" si="225"/>
        <v>4.542477062772653E-3</v>
      </c>
      <c r="D6704">
        <f t="shared" si="224"/>
        <v>0.32620153433446369</v>
      </c>
    </row>
    <row r="6705" spans="1:4" x14ac:dyDescent="0.3">
      <c r="A6705" s="1">
        <v>35656</v>
      </c>
      <c r="B6705">
        <v>1586.6899410000001</v>
      </c>
      <c r="C6705">
        <f t="shared" si="225"/>
        <v>2.077754799882496E-3</v>
      </c>
      <c r="D6705">
        <f t="shared" si="224"/>
        <v>0.12903388830175516</v>
      </c>
    </row>
    <row r="6706" spans="1:4" x14ac:dyDescent="0.3">
      <c r="A6706" s="1">
        <v>35657</v>
      </c>
      <c r="B6706">
        <v>1562.030029</v>
      </c>
      <c r="C6706">
        <f t="shared" si="225"/>
        <v>-1.5541733367552794E-2</v>
      </c>
      <c r="D6706">
        <f t="shared" si="224"/>
        <v>-1.2804527133248071</v>
      </c>
    </row>
    <row r="6707" spans="1:4" x14ac:dyDescent="0.3">
      <c r="A6707" s="1">
        <v>35660</v>
      </c>
      <c r="B6707">
        <v>1569.5200199999999</v>
      </c>
      <c r="C6707">
        <f t="shared" si="225"/>
        <v>4.7950364979826637E-3</v>
      </c>
      <c r="D6707">
        <f t="shared" si="224"/>
        <v>0.34640525062066152</v>
      </c>
    </row>
    <row r="6708" spans="1:4" x14ac:dyDescent="0.3">
      <c r="A6708" s="1">
        <v>35661</v>
      </c>
      <c r="B6708">
        <v>1600.709961</v>
      </c>
      <c r="C6708">
        <f t="shared" si="225"/>
        <v>1.9872279806918355E-2</v>
      </c>
      <c r="D6708">
        <f t="shared" si="224"/>
        <v>1.5525227173405778</v>
      </c>
    </row>
    <row r="6709" spans="1:4" x14ac:dyDescent="0.3">
      <c r="A6709" s="1">
        <v>35662</v>
      </c>
      <c r="B6709">
        <v>1628.6999510000001</v>
      </c>
      <c r="C6709">
        <f t="shared" si="225"/>
        <v>1.7485984770479E-2</v>
      </c>
      <c r="D6709">
        <f t="shared" si="224"/>
        <v>1.3616289269292512</v>
      </c>
    </row>
    <row r="6710" spans="1:4" x14ac:dyDescent="0.3">
      <c r="A6710" s="1">
        <v>35663</v>
      </c>
      <c r="B6710">
        <v>1607.3599850000001</v>
      </c>
      <c r="C6710">
        <f t="shared" si="225"/>
        <v>-1.3102453884705743E-2</v>
      </c>
      <c r="D6710">
        <f t="shared" si="224"/>
        <v>-1.0853203850742104</v>
      </c>
    </row>
    <row r="6711" spans="1:4" x14ac:dyDescent="0.3">
      <c r="A6711" s="1">
        <v>35664</v>
      </c>
      <c r="B6711">
        <v>1598.6899410000001</v>
      </c>
      <c r="C6711">
        <f t="shared" si="225"/>
        <v>-5.3939653101417488E-3</v>
      </c>
      <c r="D6711">
        <f t="shared" si="224"/>
        <v>-0.46867299660350953</v>
      </c>
    </row>
    <row r="6712" spans="1:4" x14ac:dyDescent="0.3">
      <c r="A6712" s="1">
        <v>35667</v>
      </c>
      <c r="B6712">
        <v>1601.5699460000001</v>
      </c>
      <c r="C6712">
        <f t="shared" si="225"/>
        <v>1.8014781516661727E-3</v>
      </c>
      <c r="D6712">
        <f t="shared" si="224"/>
        <v>0.10693289250081496</v>
      </c>
    </row>
    <row r="6713" spans="1:4" x14ac:dyDescent="0.3">
      <c r="A6713" s="1">
        <v>35668</v>
      </c>
      <c r="B6713">
        <v>1591.3000489999999</v>
      </c>
      <c r="C6713">
        <f t="shared" si="225"/>
        <v>-6.4123936801197493E-3</v>
      </c>
      <c r="D6713">
        <f t="shared" si="224"/>
        <v>-0.55014307839926913</v>
      </c>
    </row>
    <row r="6714" spans="1:4" x14ac:dyDescent="0.3">
      <c r="A6714" s="1">
        <v>35669</v>
      </c>
      <c r="B6714">
        <v>1595.540039</v>
      </c>
      <c r="C6714">
        <f t="shared" si="225"/>
        <v>2.6644817881231867E-3</v>
      </c>
      <c r="D6714">
        <f t="shared" si="224"/>
        <v>0.17596963472521868</v>
      </c>
    </row>
    <row r="6715" spans="1:4" x14ac:dyDescent="0.3">
      <c r="A6715" s="1">
        <v>35670</v>
      </c>
      <c r="B6715">
        <v>1581.3199460000001</v>
      </c>
      <c r="C6715">
        <f t="shared" si="225"/>
        <v>-8.9124012261781339E-3</v>
      </c>
      <c r="D6715">
        <f t="shared" si="224"/>
        <v>-0.75013340199148437</v>
      </c>
    </row>
    <row r="6716" spans="1:4" x14ac:dyDescent="0.3">
      <c r="A6716" s="1">
        <v>35671</v>
      </c>
      <c r="B6716">
        <v>1587.3199460000001</v>
      </c>
      <c r="C6716">
        <f t="shared" si="225"/>
        <v>3.7942985637898223E-3</v>
      </c>
      <c r="D6716">
        <f t="shared" si="224"/>
        <v>0.26635033094420801</v>
      </c>
    </row>
    <row r="6717" spans="1:4" x14ac:dyDescent="0.3">
      <c r="A6717" s="1">
        <v>35675</v>
      </c>
      <c r="B6717">
        <v>1618.089966</v>
      </c>
      <c r="C6717">
        <f t="shared" si="225"/>
        <v>1.9384888394768481E-2</v>
      </c>
      <c r="D6717">
        <f t="shared" si="224"/>
        <v>1.5135334085340499</v>
      </c>
    </row>
    <row r="6718" spans="1:4" x14ac:dyDescent="0.3">
      <c r="A6718" s="1">
        <v>35676</v>
      </c>
      <c r="B6718">
        <v>1618.23999</v>
      </c>
      <c r="C6718">
        <f t="shared" si="225"/>
        <v>9.2716723515007791E-5</v>
      </c>
      <c r="D6718">
        <f t="shared" si="224"/>
        <v>-2.9760995282300869E-2</v>
      </c>
    </row>
    <row r="6719" spans="1:4" x14ac:dyDescent="0.3">
      <c r="A6719" s="1">
        <v>35677</v>
      </c>
      <c r="B6719">
        <v>1624.630005</v>
      </c>
      <c r="C6719">
        <f t="shared" si="225"/>
        <v>3.9487437212572833E-3</v>
      </c>
      <c r="D6719">
        <f t="shared" si="224"/>
        <v>0.27870530845932262</v>
      </c>
    </row>
    <row r="6720" spans="1:4" x14ac:dyDescent="0.3">
      <c r="A6720" s="1">
        <v>35678</v>
      </c>
      <c r="B6720">
        <v>1635.7700199999999</v>
      </c>
      <c r="C6720">
        <f t="shared" si="225"/>
        <v>6.8569551009861774E-3</v>
      </c>
      <c r="D6720">
        <f t="shared" si="224"/>
        <v>0.51135026020098506</v>
      </c>
    </row>
    <row r="6721" spans="1:4" x14ac:dyDescent="0.3">
      <c r="A6721" s="1">
        <v>35681</v>
      </c>
      <c r="B6721">
        <v>1645.349976</v>
      </c>
      <c r="C6721">
        <f t="shared" si="225"/>
        <v>5.8565421073067713E-3</v>
      </c>
      <c r="D6721">
        <f t="shared" si="224"/>
        <v>0.43132133442944304</v>
      </c>
    </row>
    <row r="6722" spans="1:4" x14ac:dyDescent="0.3">
      <c r="A6722" s="1">
        <v>35682</v>
      </c>
      <c r="B6722">
        <v>1656.219971</v>
      </c>
      <c r="C6722">
        <f t="shared" si="225"/>
        <v>6.6064941553808472E-3</v>
      </c>
      <c r="D6722">
        <f t="shared" si="224"/>
        <v>0.49131441445412088</v>
      </c>
    </row>
    <row r="6723" spans="1:4" x14ac:dyDescent="0.3">
      <c r="A6723" s="1">
        <v>35683</v>
      </c>
      <c r="B6723">
        <v>1639.25</v>
      </c>
      <c r="C6723">
        <f t="shared" si="225"/>
        <v>-1.0246205997476157E-2</v>
      </c>
      <c r="D6723">
        <f t="shared" ref="D6723:D6786" si="226">(C6723-avrtn)/sdrtn</f>
        <v>-0.85683229905733471</v>
      </c>
    </row>
    <row r="6724" spans="1:4" x14ac:dyDescent="0.3">
      <c r="A6724" s="1">
        <v>35684</v>
      </c>
      <c r="B6724">
        <v>1639.8599850000001</v>
      </c>
      <c r="C6724">
        <f t="shared" ref="C6724:C6787" si="227">(B6724-B6723)/B6723</f>
        <v>3.7211224645420255E-4</v>
      </c>
      <c r="D6724">
        <f t="shared" si="226"/>
        <v>-7.4105023284204491E-3</v>
      </c>
    </row>
    <row r="6725" spans="1:4" x14ac:dyDescent="0.3">
      <c r="A6725" s="1">
        <v>35685</v>
      </c>
      <c r="B6725">
        <v>1649.329956</v>
      </c>
      <c r="C6725">
        <f t="shared" si="227"/>
        <v>5.7748655901253589E-3</v>
      </c>
      <c r="D6725">
        <f t="shared" si="226"/>
        <v>0.42478754891077553</v>
      </c>
    </row>
    <row r="6726" spans="1:4" x14ac:dyDescent="0.3">
      <c r="A6726" s="1">
        <v>35688</v>
      </c>
      <c r="B6726">
        <v>1634.920044</v>
      </c>
      <c r="C6726">
        <f t="shared" si="227"/>
        <v>-8.7368279146201825E-3</v>
      </c>
      <c r="D6726">
        <f t="shared" si="226"/>
        <v>-0.7360882590286193</v>
      </c>
    </row>
    <row r="6727" spans="1:4" x14ac:dyDescent="0.3">
      <c r="A6727" s="1">
        <v>35689</v>
      </c>
      <c r="B6727">
        <v>1668.599976</v>
      </c>
      <c r="C6727">
        <f t="shared" si="227"/>
        <v>2.0600354203009579E-2</v>
      </c>
      <c r="D6727">
        <f t="shared" si="226"/>
        <v>1.6107656751680699</v>
      </c>
    </row>
    <row r="6728" spans="1:4" x14ac:dyDescent="0.3">
      <c r="A6728" s="1">
        <v>35690</v>
      </c>
      <c r="B6728">
        <v>1666.469971</v>
      </c>
      <c r="C6728">
        <f t="shared" si="227"/>
        <v>-1.2765222525689302E-3</v>
      </c>
      <c r="D6728">
        <f t="shared" si="226"/>
        <v>-0.1392944830247036</v>
      </c>
    </row>
    <row r="6729" spans="1:4" x14ac:dyDescent="0.3">
      <c r="A6729" s="1">
        <v>35691</v>
      </c>
      <c r="B6729">
        <v>1670.0200199999999</v>
      </c>
      <c r="C6729">
        <f t="shared" si="227"/>
        <v>2.1302808102024568E-3</v>
      </c>
      <c r="D6729">
        <f t="shared" si="226"/>
        <v>0.13323575313910702</v>
      </c>
    </row>
    <row r="6730" spans="1:4" x14ac:dyDescent="0.3">
      <c r="A6730" s="1">
        <v>35692</v>
      </c>
      <c r="B6730">
        <v>1680.3599850000001</v>
      </c>
      <c r="C6730">
        <f t="shared" si="227"/>
        <v>6.1915215842742533E-3</v>
      </c>
      <c r="D6730">
        <f t="shared" si="226"/>
        <v>0.45811831514300178</v>
      </c>
    </row>
    <row r="6731" spans="1:4" x14ac:dyDescent="0.3">
      <c r="A6731" s="1">
        <v>35695</v>
      </c>
      <c r="B6731">
        <v>1689.4499510000001</v>
      </c>
      <c r="C6731">
        <f t="shared" si="227"/>
        <v>5.4095349098663547E-3</v>
      </c>
      <c r="D6731">
        <f t="shared" si="226"/>
        <v>0.39556259673878869</v>
      </c>
    </row>
    <row r="6732" spans="1:4" x14ac:dyDescent="0.3">
      <c r="A6732" s="1">
        <v>35696</v>
      </c>
      <c r="B6732">
        <v>1697.3599850000001</v>
      </c>
      <c r="C6732">
        <f t="shared" si="227"/>
        <v>4.6820173603355211E-3</v>
      </c>
      <c r="D6732">
        <f t="shared" si="226"/>
        <v>0.33736418434636101</v>
      </c>
    </row>
    <row r="6733" spans="1:4" x14ac:dyDescent="0.3">
      <c r="A6733" s="1">
        <v>35697</v>
      </c>
      <c r="B6733">
        <v>1687.410034</v>
      </c>
      <c r="C6733">
        <f t="shared" si="227"/>
        <v>-5.8620157703317454E-3</v>
      </c>
      <c r="D6733">
        <f t="shared" si="226"/>
        <v>-0.50611510878371679</v>
      </c>
    </row>
    <row r="6734" spans="1:4" x14ac:dyDescent="0.3">
      <c r="A6734" s="1">
        <v>35698</v>
      </c>
      <c r="B6734">
        <v>1678.8900149999999</v>
      </c>
      <c r="C6734">
        <f t="shared" si="227"/>
        <v>-5.049169335447988E-3</v>
      </c>
      <c r="D6734">
        <f t="shared" si="226"/>
        <v>-0.44109073643752833</v>
      </c>
    </row>
    <row r="6735" spans="1:4" x14ac:dyDescent="0.3">
      <c r="A6735" s="1">
        <v>35699</v>
      </c>
      <c r="B6735">
        <v>1682.23999</v>
      </c>
      <c r="C6735">
        <f t="shared" si="227"/>
        <v>1.9953510772414036E-3</v>
      </c>
      <c r="D6735">
        <f t="shared" si="226"/>
        <v>0.12244192933659996</v>
      </c>
    </row>
    <row r="6736" spans="1:4" x14ac:dyDescent="0.3">
      <c r="A6736" s="1">
        <v>35702</v>
      </c>
      <c r="B6736">
        <v>1694.9799800000001</v>
      </c>
      <c r="C6736">
        <f t="shared" si="227"/>
        <v>7.5732297863160616E-3</v>
      </c>
      <c r="D6736">
        <f t="shared" si="226"/>
        <v>0.56864928968827066</v>
      </c>
    </row>
    <row r="6737" spans="1:4" x14ac:dyDescent="0.3">
      <c r="A6737" s="1">
        <v>35703</v>
      </c>
      <c r="B6737">
        <v>1685.6899410000001</v>
      </c>
      <c r="C6737">
        <f t="shared" si="227"/>
        <v>-5.4809137037712848E-3</v>
      </c>
      <c r="D6737">
        <f t="shared" si="226"/>
        <v>-0.47562851055994143</v>
      </c>
    </row>
    <row r="6738" spans="1:4" x14ac:dyDescent="0.3">
      <c r="A6738" s="1">
        <v>35704</v>
      </c>
      <c r="B6738">
        <v>1690.3000489999999</v>
      </c>
      <c r="C6738">
        <f t="shared" si="227"/>
        <v>2.7348493265997691E-3</v>
      </c>
      <c r="D6738">
        <f t="shared" si="226"/>
        <v>0.18159874845029811</v>
      </c>
    </row>
    <row r="6739" spans="1:4" x14ac:dyDescent="0.3">
      <c r="A6739" s="1">
        <v>35705</v>
      </c>
      <c r="B6739">
        <v>1702.410034</v>
      </c>
      <c r="C6739">
        <f t="shared" si="227"/>
        <v>7.1643996029961965E-3</v>
      </c>
      <c r="D6739">
        <f t="shared" si="226"/>
        <v>0.5359445561424403</v>
      </c>
    </row>
    <row r="6740" spans="1:4" x14ac:dyDescent="0.3">
      <c r="A6740" s="1">
        <v>35706</v>
      </c>
      <c r="B6740">
        <v>1715.869995</v>
      </c>
      <c r="C6740">
        <f t="shared" si="227"/>
        <v>7.9064154529061136E-3</v>
      </c>
      <c r="D6740">
        <f t="shared" si="226"/>
        <v>0.5953027729478273</v>
      </c>
    </row>
    <row r="6741" spans="1:4" x14ac:dyDescent="0.3">
      <c r="A6741" s="1">
        <v>35709</v>
      </c>
      <c r="B6741">
        <v>1721.910034</v>
      </c>
      <c r="C6741">
        <f t="shared" si="227"/>
        <v>3.5201029318074756E-3</v>
      </c>
      <c r="D6741">
        <f t="shared" si="226"/>
        <v>0.24441580788479608</v>
      </c>
    </row>
    <row r="6742" spans="1:4" x14ac:dyDescent="0.3">
      <c r="A6742" s="1">
        <v>35710</v>
      </c>
      <c r="B6742">
        <v>1737.2700199999999</v>
      </c>
      <c r="C6742">
        <f t="shared" si="227"/>
        <v>8.9203185397082919E-3</v>
      </c>
      <c r="D6742">
        <f t="shared" si="226"/>
        <v>0.67641085069759677</v>
      </c>
    </row>
    <row r="6743" spans="1:4" x14ac:dyDescent="0.3">
      <c r="A6743" s="1">
        <v>35711</v>
      </c>
      <c r="B6743">
        <v>1741.7700199999999</v>
      </c>
      <c r="C6743">
        <f t="shared" si="227"/>
        <v>2.5902709125205535E-3</v>
      </c>
      <c r="D6743">
        <f t="shared" si="226"/>
        <v>0.17003306983395189</v>
      </c>
    </row>
    <row r="6744" spans="1:4" x14ac:dyDescent="0.3">
      <c r="A6744" s="1">
        <v>35712</v>
      </c>
      <c r="B6744">
        <v>1745.849976</v>
      </c>
      <c r="C6744">
        <f t="shared" si="227"/>
        <v>2.3424194659178014E-3</v>
      </c>
      <c r="D6744">
        <f t="shared" si="226"/>
        <v>0.15020597327696997</v>
      </c>
    </row>
    <row r="6745" spans="1:4" x14ac:dyDescent="0.3">
      <c r="A6745" s="1">
        <v>35713</v>
      </c>
      <c r="B6745">
        <v>1739.030029</v>
      </c>
      <c r="C6745">
        <f t="shared" si="227"/>
        <v>-3.9063763174115688E-3</v>
      </c>
      <c r="D6745">
        <f t="shared" si="226"/>
        <v>-0.34967199418758377</v>
      </c>
    </row>
    <row r="6746" spans="1:4" x14ac:dyDescent="0.3">
      <c r="A6746" s="1">
        <v>35716</v>
      </c>
      <c r="B6746">
        <v>1742.119995</v>
      </c>
      <c r="C6746">
        <f t="shared" si="227"/>
        <v>1.7768330324789371E-3</v>
      </c>
      <c r="D6746">
        <f t="shared" si="226"/>
        <v>0.10496138430717175</v>
      </c>
    </row>
    <row r="6747" spans="1:4" x14ac:dyDescent="0.3">
      <c r="A6747" s="1">
        <v>35717</v>
      </c>
      <c r="B6747">
        <v>1732.790039</v>
      </c>
      <c r="C6747">
        <f t="shared" si="227"/>
        <v>-5.3555185789599061E-3</v>
      </c>
      <c r="D6747">
        <f t="shared" si="226"/>
        <v>-0.46559741620286538</v>
      </c>
    </row>
    <row r="6748" spans="1:4" x14ac:dyDescent="0.3">
      <c r="A6748" s="1">
        <v>35718</v>
      </c>
      <c r="B6748">
        <v>1723.369995</v>
      </c>
      <c r="C6748">
        <f t="shared" si="227"/>
        <v>-5.4363447318962581E-3</v>
      </c>
      <c r="D6748">
        <f t="shared" si="226"/>
        <v>-0.47206317607864673</v>
      </c>
    </row>
    <row r="6749" spans="1:4" x14ac:dyDescent="0.3">
      <c r="A6749" s="1">
        <v>35719</v>
      </c>
      <c r="B6749">
        <v>1699.660034</v>
      </c>
      <c r="C6749">
        <f t="shared" si="227"/>
        <v>-1.3757905190869951E-2</v>
      </c>
      <c r="D6749">
        <f t="shared" si="226"/>
        <v>-1.1377537943354714</v>
      </c>
    </row>
    <row r="6750" spans="1:4" x14ac:dyDescent="0.3">
      <c r="A6750" s="1">
        <v>35720</v>
      </c>
      <c r="B6750">
        <v>1666.849976</v>
      </c>
      <c r="C6750">
        <f t="shared" si="227"/>
        <v>-1.9303894510471278E-2</v>
      </c>
      <c r="D6750">
        <f t="shared" si="226"/>
        <v>-1.5814101346592289</v>
      </c>
    </row>
    <row r="6751" spans="1:4" x14ac:dyDescent="0.3">
      <c r="A6751" s="1">
        <v>35723</v>
      </c>
      <c r="B6751">
        <v>1685.4499510000001</v>
      </c>
      <c r="C6751">
        <f t="shared" si="227"/>
        <v>1.1158757697339455E-2</v>
      </c>
      <c r="D6751">
        <f t="shared" si="226"/>
        <v>0.85547677879127448</v>
      </c>
    </row>
    <row r="6752" spans="1:4" x14ac:dyDescent="0.3">
      <c r="A6752" s="1">
        <v>35724</v>
      </c>
      <c r="B6752">
        <v>1712.540039</v>
      </c>
      <c r="C6752">
        <f t="shared" si="227"/>
        <v>1.6072911559270573E-2</v>
      </c>
      <c r="D6752">
        <f t="shared" si="226"/>
        <v>1.2485888806243413</v>
      </c>
    </row>
    <row r="6753" spans="1:4" x14ac:dyDescent="0.3">
      <c r="A6753" s="1">
        <v>35725</v>
      </c>
      <c r="B6753">
        <v>1708.079956</v>
      </c>
      <c r="C6753">
        <f t="shared" si="227"/>
        <v>-2.6043671379527614E-3</v>
      </c>
      <c r="D6753">
        <f t="shared" si="226"/>
        <v>-0.24551661372461586</v>
      </c>
    </row>
    <row r="6754" spans="1:4" x14ac:dyDescent="0.3">
      <c r="A6754" s="1">
        <v>35726</v>
      </c>
      <c r="B6754">
        <v>1671.25</v>
      </c>
      <c r="C6754">
        <f t="shared" si="227"/>
        <v>-2.1562196705503661E-2</v>
      </c>
      <c r="D6754">
        <f t="shared" si="226"/>
        <v>-1.7620650240677063</v>
      </c>
    </row>
    <row r="6755" spans="1:4" x14ac:dyDescent="0.3">
      <c r="A6755" s="1">
        <v>35727</v>
      </c>
      <c r="B6755">
        <v>1650.920044</v>
      </c>
      <c r="C6755">
        <f t="shared" si="227"/>
        <v>-1.2164521166791347E-2</v>
      </c>
      <c r="D6755">
        <f t="shared" si="226"/>
        <v>-1.0102896244434401</v>
      </c>
    </row>
    <row r="6756" spans="1:4" x14ac:dyDescent="0.3">
      <c r="A6756" s="1">
        <v>35730</v>
      </c>
      <c r="B6756">
        <v>1532.75</v>
      </c>
      <c r="C6756">
        <f t="shared" si="227"/>
        <v>-7.1578296253334464E-2</v>
      </c>
      <c r="D6756">
        <f t="shared" si="226"/>
        <v>-5.7631473204639185</v>
      </c>
    </row>
    <row r="6757" spans="1:4" x14ac:dyDescent="0.3">
      <c r="A6757" s="1">
        <v>35731</v>
      </c>
      <c r="B6757">
        <v>1603.0200199999999</v>
      </c>
      <c r="C6757">
        <f t="shared" si="227"/>
        <v>4.5845715217745837E-2</v>
      </c>
      <c r="D6757">
        <f t="shared" si="226"/>
        <v>3.6302907468021917</v>
      </c>
    </row>
    <row r="6758" spans="1:4" x14ac:dyDescent="0.3">
      <c r="A6758" s="1">
        <v>35732</v>
      </c>
      <c r="B6758">
        <v>1602.75</v>
      </c>
      <c r="C6758">
        <f t="shared" si="227"/>
        <v>-1.6844455878968457E-4</v>
      </c>
      <c r="D6758">
        <f t="shared" si="226"/>
        <v>-5.065282396506661E-2</v>
      </c>
    </row>
    <row r="6759" spans="1:4" x14ac:dyDescent="0.3">
      <c r="A6759" s="1">
        <v>35733</v>
      </c>
      <c r="B6759">
        <v>1570.410034</v>
      </c>
      <c r="C6759">
        <f t="shared" si="227"/>
        <v>-2.017779815941351E-2</v>
      </c>
      <c r="D6759">
        <f t="shared" si="226"/>
        <v>-1.6513188330613309</v>
      </c>
    </row>
    <row r="6760" spans="1:4" x14ac:dyDescent="0.3">
      <c r="A6760" s="1">
        <v>35734</v>
      </c>
      <c r="B6760">
        <v>1593.6099850000001</v>
      </c>
      <c r="C6760">
        <f t="shared" si="227"/>
        <v>1.4773180569221996E-2</v>
      </c>
      <c r="D6760">
        <f t="shared" si="226"/>
        <v>1.1446157459462212</v>
      </c>
    </row>
    <row r="6761" spans="1:4" x14ac:dyDescent="0.3">
      <c r="A6761" s="1">
        <v>35737</v>
      </c>
      <c r="B6761">
        <v>1629.9799800000001</v>
      </c>
      <c r="C6761">
        <f t="shared" si="227"/>
        <v>2.2822394025097687E-2</v>
      </c>
      <c r="D6761">
        <f t="shared" si="226"/>
        <v>1.7885197238527739</v>
      </c>
    </row>
    <row r="6762" spans="1:4" x14ac:dyDescent="0.3">
      <c r="A6762" s="1">
        <v>35738</v>
      </c>
      <c r="B6762">
        <v>1631.150024</v>
      </c>
      <c r="C6762">
        <f t="shared" si="227"/>
        <v>7.1782722141161613E-4</v>
      </c>
      <c r="D6762">
        <f t="shared" si="226"/>
        <v>2.0245274079701288E-2</v>
      </c>
    </row>
    <row r="6763" spans="1:4" x14ac:dyDescent="0.3">
      <c r="A6763" s="1">
        <v>35739</v>
      </c>
      <c r="B6763">
        <v>1637.329956</v>
      </c>
      <c r="C6763">
        <f t="shared" si="227"/>
        <v>3.7886962628031129E-3</v>
      </c>
      <c r="D6763">
        <f t="shared" si="226"/>
        <v>0.26590216990207061</v>
      </c>
    </row>
    <row r="6764" spans="1:4" x14ac:dyDescent="0.3">
      <c r="A6764" s="1">
        <v>35740</v>
      </c>
      <c r="B6764">
        <v>1623.4399410000001</v>
      </c>
      <c r="C6764">
        <f t="shared" si="227"/>
        <v>-8.4833328487638974E-3</v>
      </c>
      <c r="D6764">
        <f t="shared" si="226"/>
        <v>-0.71580969613805578</v>
      </c>
    </row>
    <row r="6765" spans="1:4" x14ac:dyDescent="0.3">
      <c r="A6765" s="1">
        <v>35741</v>
      </c>
      <c r="B6765">
        <v>1602.400024</v>
      </c>
      <c r="C6765">
        <f t="shared" si="227"/>
        <v>-1.2960083381366097E-2</v>
      </c>
      <c r="D6765">
        <f t="shared" si="226"/>
        <v>-1.0739313302380464</v>
      </c>
    </row>
    <row r="6766" spans="1:4" x14ac:dyDescent="0.3">
      <c r="A6766" s="1">
        <v>35744</v>
      </c>
      <c r="B6766">
        <v>1590.719971</v>
      </c>
      <c r="C6766">
        <f t="shared" si="227"/>
        <v>-7.2890993666136165E-3</v>
      </c>
      <c r="D6766">
        <f t="shared" si="226"/>
        <v>-0.62027592828345468</v>
      </c>
    </row>
    <row r="6767" spans="1:4" x14ac:dyDescent="0.3">
      <c r="A6767" s="1">
        <v>35745</v>
      </c>
      <c r="B6767">
        <v>1584.8599850000001</v>
      </c>
      <c r="C6767">
        <f t="shared" si="227"/>
        <v>-3.6838576913798835E-3</v>
      </c>
      <c r="D6767">
        <f t="shared" si="226"/>
        <v>-0.33187141910710649</v>
      </c>
    </row>
    <row r="6768" spans="1:4" x14ac:dyDescent="0.3">
      <c r="A6768" s="1">
        <v>35746</v>
      </c>
      <c r="B6768">
        <v>1541.709961</v>
      </c>
      <c r="C6768">
        <f t="shared" si="227"/>
        <v>-2.7226395018106302E-2</v>
      </c>
      <c r="D6768">
        <f t="shared" si="226"/>
        <v>-2.2151775977532848</v>
      </c>
    </row>
    <row r="6769" spans="1:4" x14ac:dyDescent="0.3">
      <c r="A6769" s="1">
        <v>35747</v>
      </c>
      <c r="B6769">
        <v>1559.25</v>
      </c>
      <c r="C6769">
        <f t="shared" si="227"/>
        <v>1.1377003096369031E-2</v>
      </c>
      <c r="D6769">
        <f t="shared" si="226"/>
        <v>0.87293551328319741</v>
      </c>
    </row>
    <row r="6770" spans="1:4" x14ac:dyDescent="0.3">
      <c r="A6770" s="1">
        <v>35748</v>
      </c>
      <c r="B6770">
        <v>1583.51001</v>
      </c>
      <c r="C6770">
        <f t="shared" si="227"/>
        <v>1.5558768638768617E-2</v>
      </c>
      <c r="D6770">
        <f t="shared" si="226"/>
        <v>1.2074595611525065</v>
      </c>
    </row>
    <row r="6771" spans="1:4" x14ac:dyDescent="0.3">
      <c r="A6771" s="1">
        <v>35751</v>
      </c>
      <c r="B6771">
        <v>1614.1099850000001</v>
      </c>
      <c r="C6771">
        <f t="shared" si="227"/>
        <v>1.9324143710338835E-2</v>
      </c>
      <c r="D6771">
        <f t="shared" si="226"/>
        <v>1.5086740835633132</v>
      </c>
    </row>
    <row r="6772" spans="1:4" x14ac:dyDescent="0.3">
      <c r="A6772" s="1">
        <v>35752</v>
      </c>
      <c r="B6772">
        <v>1600.4399410000001</v>
      </c>
      <c r="C6772">
        <f t="shared" si="227"/>
        <v>-8.4690907850371554E-3</v>
      </c>
      <c r="D6772">
        <f t="shared" si="226"/>
        <v>-0.71467038960363238</v>
      </c>
    </row>
    <row r="6773" spans="1:4" x14ac:dyDescent="0.3">
      <c r="A6773" s="1">
        <v>35753</v>
      </c>
      <c r="B6773">
        <v>1601.219971</v>
      </c>
      <c r="C6773">
        <f t="shared" si="227"/>
        <v>4.8738473716952615E-4</v>
      </c>
      <c r="D6773">
        <f t="shared" si="226"/>
        <v>1.8108229254913365E-3</v>
      </c>
    </row>
    <row r="6774" spans="1:4" x14ac:dyDescent="0.3">
      <c r="A6774" s="1">
        <v>35754</v>
      </c>
      <c r="B6774">
        <v>1626.5600589999999</v>
      </c>
      <c r="C6774">
        <f t="shared" si="227"/>
        <v>1.5825488351968554E-2</v>
      </c>
      <c r="D6774">
        <f t="shared" si="226"/>
        <v>1.2287960414504875</v>
      </c>
    </row>
    <row r="6775" spans="1:4" x14ac:dyDescent="0.3">
      <c r="A6775" s="1">
        <v>35755</v>
      </c>
      <c r="B6775">
        <v>1620.75</v>
      </c>
      <c r="C6775">
        <f t="shared" si="227"/>
        <v>-3.5719916813719758E-3</v>
      </c>
      <c r="D6775">
        <f t="shared" si="226"/>
        <v>-0.32292259830225561</v>
      </c>
    </row>
    <row r="6776" spans="1:4" x14ac:dyDescent="0.3">
      <c r="A6776" s="1">
        <v>35758</v>
      </c>
      <c r="B6776">
        <v>1586.98999</v>
      </c>
      <c r="C6776">
        <f t="shared" si="227"/>
        <v>-2.0829868887860536E-2</v>
      </c>
      <c r="D6776">
        <f t="shared" si="226"/>
        <v>-1.7034818100062359</v>
      </c>
    </row>
    <row r="6777" spans="1:4" x14ac:dyDescent="0.3">
      <c r="A6777" s="1">
        <v>35759</v>
      </c>
      <c r="B6777">
        <v>1589.040039</v>
      </c>
      <c r="C6777">
        <f t="shared" si="227"/>
        <v>1.2917844554268074E-3</v>
      </c>
      <c r="D6777">
        <f t="shared" si="226"/>
        <v>6.6159492674668016E-2</v>
      </c>
    </row>
    <row r="6778" spans="1:4" x14ac:dyDescent="0.3">
      <c r="A6778" s="1">
        <v>35760</v>
      </c>
      <c r="B6778">
        <v>1594.5</v>
      </c>
      <c r="C6778">
        <f t="shared" si="227"/>
        <v>3.4360122249883856E-3</v>
      </c>
      <c r="D6778">
        <f t="shared" si="226"/>
        <v>0.23768889712232147</v>
      </c>
    </row>
    <row r="6779" spans="1:4" x14ac:dyDescent="0.3">
      <c r="A6779" s="1">
        <v>35762</v>
      </c>
      <c r="B6779">
        <v>1600.5500489999999</v>
      </c>
      <c r="C6779">
        <f t="shared" si="227"/>
        <v>3.7943236124176509E-3</v>
      </c>
      <c r="D6779">
        <f t="shared" si="226"/>
        <v>0.26635233473143377</v>
      </c>
    </row>
    <row r="6780" spans="1:4" x14ac:dyDescent="0.3">
      <c r="A6780" s="1">
        <v>35765</v>
      </c>
      <c r="B6780">
        <v>1630.719971</v>
      </c>
      <c r="C6780">
        <f t="shared" si="227"/>
        <v>1.8849721081105688E-2</v>
      </c>
      <c r="D6780">
        <f t="shared" si="226"/>
        <v>1.4707222240621696</v>
      </c>
    </row>
    <row r="6781" spans="1:4" x14ac:dyDescent="0.3">
      <c r="A6781" s="1">
        <v>35766</v>
      </c>
      <c r="B6781">
        <v>1606.369995</v>
      </c>
      <c r="C6781">
        <f t="shared" si="227"/>
        <v>-1.4932040100709584E-2</v>
      </c>
      <c r="D6781">
        <f t="shared" si="226"/>
        <v>-1.231679759051044</v>
      </c>
    </row>
    <row r="6782" spans="1:4" x14ac:dyDescent="0.3">
      <c r="A6782" s="1">
        <v>35767</v>
      </c>
      <c r="B6782">
        <v>1615.130005</v>
      </c>
      <c r="C6782">
        <f t="shared" si="227"/>
        <v>5.4532953349891011E-3</v>
      </c>
      <c r="D6782">
        <f t="shared" si="226"/>
        <v>0.39906325080466509</v>
      </c>
    </row>
    <row r="6783" spans="1:4" x14ac:dyDescent="0.3">
      <c r="A6783" s="1">
        <v>35768</v>
      </c>
      <c r="B6783">
        <v>1613.420044</v>
      </c>
      <c r="C6783">
        <f t="shared" si="227"/>
        <v>-1.0587141559542889E-3</v>
      </c>
      <c r="D6783">
        <f t="shared" si="226"/>
        <v>-0.1218707309277772</v>
      </c>
    </row>
    <row r="6784" spans="1:4" x14ac:dyDescent="0.3">
      <c r="A6784" s="1">
        <v>35769</v>
      </c>
      <c r="B6784">
        <v>1633.900024</v>
      </c>
      <c r="C6784">
        <f t="shared" si="227"/>
        <v>1.2693520249832764E-2</v>
      </c>
      <c r="D6784">
        <f t="shared" si="226"/>
        <v>0.97825147200941376</v>
      </c>
    </row>
    <row r="6785" spans="1:4" x14ac:dyDescent="0.3">
      <c r="A6785" s="1">
        <v>35772</v>
      </c>
      <c r="B6785">
        <v>1651.540039</v>
      </c>
      <c r="C6785">
        <f t="shared" si="227"/>
        <v>1.0796263382636407E-2</v>
      </c>
      <c r="D6785">
        <f t="shared" si="226"/>
        <v>0.82647872420055934</v>
      </c>
    </row>
    <row r="6786" spans="1:4" x14ac:dyDescent="0.3">
      <c r="A6786" s="1">
        <v>35773</v>
      </c>
      <c r="B6786">
        <v>1620.5500489999999</v>
      </c>
      <c r="C6786">
        <f t="shared" si="227"/>
        <v>-1.8764298332581954E-2</v>
      </c>
      <c r="D6786">
        <f t="shared" si="226"/>
        <v>-1.5382446592608243</v>
      </c>
    </row>
    <row r="6787" spans="1:4" x14ac:dyDescent="0.3">
      <c r="A6787" s="1">
        <v>35774</v>
      </c>
      <c r="B6787">
        <v>1596.6099850000001</v>
      </c>
      <c r="C6787">
        <f t="shared" si="227"/>
        <v>-1.477280137986031E-2</v>
      </c>
      <c r="D6787">
        <f t="shared" ref="D6787:D6850" si="228">(C6787-avrtn)/sdrtn</f>
        <v>-1.2189413161766347</v>
      </c>
    </row>
    <row r="6788" spans="1:4" x14ac:dyDescent="0.3">
      <c r="A6788" s="1">
        <v>35775</v>
      </c>
      <c r="B6788">
        <v>1558.540039</v>
      </c>
      <c r="C6788">
        <f t="shared" ref="C6788:C6851" si="229">(B6788-B6787)/B6787</f>
        <v>-2.3844236449517175E-2</v>
      </c>
      <c r="D6788">
        <f t="shared" si="228"/>
        <v>-1.9446188197852896</v>
      </c>
    </row>
    <row r="6789" spans="1:4" x14ac:dyDescent="0.3">
      <c r="A6789" s="1">
        <v>35776</v>
      </c>
      <c r="B6789">
        <v>1536.579956</v>
      </c>
      <c r="C6789">
        <f t="shared" si="229"/>
        <v>-1.4090162877105232E-2</v>
      </c>
      <c r="D6789">
        <f t="shared" si="228"/>
        <v>-1.1643330429825245</v>
      </c>
    </row>
    <row r="6790" spans="1:4" x14ac:dyDescent="0.3">
      <c r="A6790" s="1">
        <v>35779</v>
      </c>
      <c r="B6790">
        <v>1536.5600589999999</v>
      </c>
      <c r="C6790">
        <f t="shared" si="229"/>
        <v>-1.2948886859050094E-5</v>
      </c>
      <c r="D6790">
        <f t="shared" si="228"/>
        <v>-3.8213809612639406E-2</v>
      </c>
    </row>
    <row r="6791" spans="1:4" x14ac:dyDescent="0.3">
      <c r="A6791" s="1">
        <v>35780</v>
      </c>
      <c r="B6791">
        <v>1553</v>
      </c>
      <c r="C6791">
        <f t="shared" si="229"/>
        <v>1.0699185432881338E-2</v>
      </c>
      <c r="D6791">
        <f t="shared" si="228"/>
        <v>0.81871288740706849</v>
      </c>
    </row>
    <row r="6792" spans="1:4" x14ac:dyDescent="0.3">
      <c r="A6792" s="1">
        <v>35781</v>
      </c>
      <c r="B6792">
        <v>1547.369995</v>
      </c>
      <c r="C6792">
        <f t="shared" si="229"/>
        <v>-3.6252446877012125E-3</v>
      </c>
      <c r="D6792">
        <f t="shared" si="228"/>
        <v>-0.32718261983092412</v>
      </c>
    </row>
    <row r="6793" spans="1:4" x14ac:dyDescent="0.3">
      <c r="A6793" s="1">
        <v>35782</v>
      </c>
      <c r="B6793">
        <v>1523.1899410000001</v>
      </c>
      <c r="C6793">
        <f t="shared" si="229"/>
        <v>-1.5626549615239196E-2</v>
      </c>
      <c r="D6793">
        <f t="shared" si="228"/>
        <v>-1.2872376643732251</v>
      </c>
    </row>
    <row r="6794" spans="1:4" x14ac:dyDescent="0.3">
      <c r="A6794" s="1">
        <v>35783</v>
      </c>
      <c r="B6794">
        <v>1524.73999</v>
      </c>
      <c r="C6794">
        <f t="shared" si="229"/>
        <v>1.0176334272417207E-3</v>
      </c>
      <c r="D6794">
        <f t="shared" si="228"/>
        <v>4.4228537735624955E-2</v>
      </c>
    </row>
    <row r="6795" spans="1:4" x14ac:dyDescent="0.3">
      <c r="A6795" s="1">
        <v>35786</v>
      </c>
      <c r="B6795">
        <v>1532.0600589999999</v>
      </c>
      <c r="C6795">
        <f t="shared" si="229"/>
        <v>4.8008637853066841E-3</v>
      </c>
      <c r="D6795">
        <f t="shared" si="228"/>
        <v>0.34687140964463448</v>
      </c>
    </row>
    <row r="6796" spans="1:4" x14ac:dyDescent="0.3">
      <c r="A6796" s="1">
        <v>35787</v>
      </c>
      <c r="B6796">
        <v>1509.910034</v>
      </c>
      <c r="C6796">
        <f t="shared" si="229"/>
        <v>-1.4457674077384139E-2</v>
      </c>
      <c r="D6796">
        <f t="shared" si="228"/>
        <v>-1.1937324277897516</v>
      </c>
    </row>
    <row r="6797" spans="1:4" x14ac:dyDescent="0.3">
      <c r="A6797" s="1">
        <v>35788</v>
      </c>
      <c r="B6797">
        <v>1499.530029</v>
      </c>
      <c r="C6797">
        <f t="shared" si="229"/>
        <v>-6.874585085378658E-3</v>
      </c>
      <c r="D6797">
        <f t="shared" si="228"/>
        <v>-0.58711649027756718</v>
      </c>
    </row>
    <row r="6798" spans="1:4" x14ac:dyDescent="0.3">
      <c r="A6798" s="1">
        <v>35790</v>
      </c>
      <c r="B6798">
        <v>1511.380005</v>
      </c>
      <c r="C6798">
        <f t="shared" si="229"/>
        <v>7.9024599513371728E-3</v>
      </c>
      <c r="D6798">
        <f t="shared" si="228"/>
        <v>0.59498634908743164</v>
      </c>
    </row>
    <row r="6799" spans="1:4" x14ac:dyDescent="0.3">
      <c r="A6799" s="1">
        <v>35793</v>
      </c>
      <c r="B6799">
        <v>1537.4499510000001</v>
      </c>
      <c r="C6799">
        <f t="shared" si="229"/>
        <v>1.724910076470151E-2</v>
      </c>
      <c r="D6799">
        <f t="shared" si="228"/>
        <v>1.3426791805399041</v>
      </c>
    </row>
    <row r="6800" spans="1:4" x14ac:dyDescent="0.3">
      <c r="A6800" s="1">
        <v>35794</v>
      </c>
      <c r="B6800">
        <v>1565.030029</v>
      </c>
      <c r="C6800">
        <f t="shared" si="229"/>
        <v>1.7938846062638403E-2</v>
      </c>
      <c r="D6800">
        <f t="shared" si="228"/>
        <v>1.3978559681252432</v>
      </c>
    </row>
    <row r="6801" spans="1:4" x14ac:dyDescent="0.3">
      <c r="A6801" s="1">
        <v>35795</v>
      </c>
      <c r="B6801">
        <v>1570.349976</v>
      </c>
      <c r="C6801">
        <f t="shared" si="229"/>
        <v>3.3992619319893934E-3</v>
      </c>
      <c r="D6801">
        <f t="shared" si="228"/>
        <v>0.23474902480050985</v>
      </c>
    </row>
    <row r="6802" spans="1:4" x14ac:dyDescent="0.3">
      <c r="A6802" s="1">
        <v>35797</v>
      </c>
      <c r="B6802">
        <v>1581.530029</v>
      </c>
      <c r="C6802">
        <f t="shared" si="229"/>
        <v>7.1194658330099815E-3</v>
      </c>
      <c r="D6802">
        <f t="shared" si="228"/>
        <v>0.53235003931230929</v>
      </c>
    </row>
    <row r="6803" spans="1:4" x14ac:dyDescent="0.3">
      <c r="A6803" s="1">
        <v>35800</v>
      </c>
      <c r="B6803">
        <v>1594.119995</v>
      </c>
      <c r="C6803">
        <f t="shared" si="229"/>
        <v>7.9606240597028862E-3</v>
      </c>
      <c r="D6803">
        <f t="shared" si="228"/>
        <v>0.59963923858444601</v>
      </c>
    </row>
    <row r="6804" spans="1:4" x14ac:dyDescent="0.3">
      <c r="A6804" s="1">
        <v>35801</v>
      </c>
      <c r="B6804">
        <v>1580.1400149999999</v>
      </c>
      <c r="C6804">
        <f t="shared" si="229"/>
        <v>-8.7697162345674422E-3</v>
      </c>
      <c r="D6804">
        <f t="shared" si="228"/>
        <v>-0.73871918938682035</v>
      </c>
    </row>
    <row r="6805" spans="1:4" x14ac:dyDescent="0.3">
      <c r="A6805" s="1">
        <v>35802</v>
      </c>
      <c r="B6805">
        <v>1561.6999510000001</v>
      </c>
      <c r="C6805">
        <f t="shared" si="229"/>
        <v>-1.166989243038687E-2</v>
      </c>
      <c r="D6805">
        <f t="shared" si="228"/>
        <v>-0.9707213594565991</v>
      </c>
    </row>
    <row r="6806" spans="1:4" x14ac:dyDescent="0.3">
      <c r="A6806" s="1">
        <v>35803</v>
      </c>
      <c r="B6806">
        <v>1555.540039</v>
      </c>
      <c r="C6806">
        <f t="shared" si="229"/>
        <v>-3.9443633177139517E-3</v>
      </c>
      <c r="D6806">
        <f t="shared" si="228"/>
        <v>-0.3527107980082958</v>
      </c>
    </row>
    <row r="6807" spans="1:4" x14ac:dyDescent="0.3">
      <c r="A6807" s="1">
        <v>35804</v>
      </c>
      <c r="B6807">
        <v>1503.219971</v>
      </c>
      <c r="C6807">
        <f t="shared" si="229"/>
        <v>-3.3634664931951642E-2</v>
      </c>
      <c r="D6807">
        <f t="shared" si="228"/>
        <v>-2.7278128398975729</v>
      </c>
    </row>
    <row r="6808" spans="1:4" x14ac:dyDescent="0.3">
      <c r="A6808" s="1">
        <v>35807</v>
      </c>
      <c r="B6808">
        <v>1507.579956</v>
      </c>
      <c r="C6808">
        <f t="shared" si="229"/>
        <v>2.9004304653427542E-3</v>
      </c>
      <c r="D6808">
        <f t="shared" si="228"/>
        <v>0.19484455867602601</v>
      </c>
    </row>
    <row r="6809" spans="1:4" x14ac:dyDescent="0.3">
      <c r="A6809" s="1">
        <v>35808</v>
      </c>
      <c r="B6809">
        <v>1541.630005</v>
      </c>
      <c r="C6809">
        <f t="shared" si="229"/>
        <v>2.2585899251634747E-2</v>
      </c>
      <c r="D6809">
        <f t="shared" si="228"/>
        <v>1.7696011144480579</v>
      </c>
    </row>
    <row r="6810" spans="1:4" x14ac:dyDescent="0.3">
      <c r="A6810" s="1">
        <v>35809</v>
      </c>
      <c r="B6810">
        <v>1548.76001</v>
      </c>
      <c r="C6810">
        <f t="shared" si="229"/>
        <v>4.6249780925871273E-3</v>
      </c>
      <c r="D6810">
        <f t="shared" si="228"/>
        <v>0.33280127747335997</v>
      </c>
    </row>
    <row r="6811" spans="1:4" x14ac:dyDescent="0.3">
      <c r="A6811" s="1">
        <v>35810</v>
      </c>
      <c r="B6811">
        <v>1547.0600589999999</v>
      </c>
      <c r="C6811">
        <f t="shared" si="229"/>
        <v>-1.0976206700998533E-3</v>
      </c>
      <c r="D6811">
        <f t="shared" si="228"/>
        <v>-0.12498309207488024</v>
      </c>
    </row>
    <row r="6812" spans="1:4" x14ac:dyDescent="0.3">
      <c r="A6812" s="1">
        <v>35811</v>
      </c>
      <c r="B6812">
        <v>1562.880005</v>
      </c>
      <c r="C6812">
        <f t="shared" si="229"/>
        <v>1.0225812442101237E-2</v>
      </c>
      <c r="D6812">
        <f t="shared" si="228"/>
        <v>0.7808449946660293</v>
      </c>
    </row>
    <row r="6813" spans="1:4" x14ac:dyDescent="0.3">
      <c r="A6813" s="1">
        <v>35815</v>
      </c>
      <c r="B6813">
        <v>1590.1400149999999</v>
      </c>
      <c r="C6813">
        <f t="shared" si="229"/>
        <v>1.7442164409800589E-2</v>
      </c>
      <c r="D6813">
        <f t="shared" si="228"/>
        <v>1.3581234782653782</v>
      </c>
    </row>
    <row r="6814" spans="1:4" x14ac:dyDescent="0.3">
      <c r="A6814" s="1">
        <v>35816</v>
      </c>
      <c r="B6814">
        <v>1587.920044</v>
      </c>
      <c r="C6814">
        <f t="shared" si="229"/>
        <v>-1.3960852371858504E-3</v>
      </c>
      <c r="D6814">
        <f t="shared" si="228"/>
        <v>-0.14885903014812679</v>
      </c>
    </row>
    <row r="6815" spans="1:4" x14ac:dyDescent="0.3">
      <c r="A6815" s="1">
        <v>35817</v>
      </c>
      <c r="B6815">
        <v>1576.51001</v>
      </c>
      <c r="C6815">
        <f t="shared" si="229"/>
        <v>-7.1855217415468286E-3</v>
      </c>
      <c r="D6815">
        <f t="shared" si="228"/>
        <v>-0.61199014419185083</v>
      </c>
    </row>
    <row r="6816" spans="1:4" x14ac:dyDescent="0.3">
      <c r="A6816" s="1">
        <v>35818</v>
      </c>
      <c r="B6816">
        <v>1575.9300539999999</v>
      </c>
      <c r="C6816">
        <f t="shared" si="229"/>
        <v>-3.678733381464786E-4</v>
      </c>
      <c r="D6816">
        <f t="shared" si="228"/>
        <v>-6.6606306257569373E-2</v>
      </c>
    </row>
    <row r="6817" spans="1:4" x14ac:dyDescent="0.3">
      <c r="A6817" s="1">
        <v>35821</v>
      </c>
      <c r="B6817">
        <v>1561.459961</v>
      </c>
      <c r="C6817">
        <f t="shared" si="229"/>
        <v>-9.1819386039831852E-3</v>
      </c>
      <c r="D6817">
        <f t="shared" si="228"/>
        <v>-0.77169528387156838</v>
      </c>
    </row>
    <row r="6818" spans="1:4" x14ac:dyDescent="0.3">
      <c r="A6818" s="1">
        <v>35822</v>
      </c>
      <c r="B6818">
        <v>1578.900024</v>
      </c>
      <c r="C6818">
        <f t="shared" si="229"/>
        <v>1.1169074734923677E-2</v>
      </c>
      <c r="D6818">
        <f t="shared" si="228"/>
        <v>0.85630209937410018</v>
      </c>
    </row>
    <row r="6819" spans="1:4" x14ac:dyDescent="0.3">
      <c r="A6819" s="1">
        <v>35823</v>
      </c>
      <c r="B6819">
        <v>1610.8199460000001</v>
      </c>
      <c r="C6819">
        <f t="shared" si="229"/>
        <v>2.0216556789412046E-2</v>
      </c>
      <c r="D6819">
        <f t="shared" si="228"/>
        <v>1.5800634602646622</v>
      </c>
    </row>
    <row r="6820" spans="1:4" x14ac:dyDescent="0.3">
      <c r="A6820" s="1">
        <v>35824</v>
      </c>
      <c r="B6820">
        <v>1619.48999</v>
      </c>
      <c r="C6820">
        <f t="shared" si="229"/>
        <v>5.3823793413593363E-3</v>
      </c>
      <c r="D6820">
        <f t="shared" si="228"/>
        <v>0.39339026292259216</v>
      </c>
    </row>
    <row r="6821" spans="1:4" x14ac:dyDescent="0.3">
      <c r="A6821" s="1">
        <v>35825</v>
      </c>
      <c r="B6821">
        <v>1619.3599850000001</v>
      </c>
      <c r="C6821">
        <f t="shared" si="229"/>
        <v>-8.0275272340511863E-5</v>
      </c>
      <c r="D6821">
        <f t="shared" si="228"/>
        <v>-4.3599643603405014E-2</v>
      </c>
    </row>
    <row r="6822" spans="1:4" x14ac:dyDescent="0.3">
      <c r="A6822" s="1">
        <v>35828</v>
      </c>
      <c r="B6822">
        <v>1652.8900149999999</v>
      </c>
      <c r="C6822">
        <f t="shared" si="229"/>
        <v>2.0705729615765389E-2</v>
      </c>
      <c r="D6822">
        <f t="shared" si="228"/>
        <v>1.6191952748822485</v>
      </c>
    </row>
    <row r="6823" spans="1:4" x14ac:dyDescent="0.3">
      <c r="A6823" s="1">
        <v>35829</v>
      </c>
      <c r="B6823">
        <v>1666.339966</v>
      </c>
      <c r="C6823">
        <f t="shared" si="229"/>
        <v>8.1372328938656303E-3</v>
      </c>
      <c r="D6823">
        <f t="shared" si="228"/>
        <v>0.61376721909760013</v>
      </c>
    </row>
    <row r="6824" spans="1:4" x14ac:dyDescent="0.3">
      <c r="A6824" s="1">
        <v>35830</v>
      </c>
      <c r="B6824">
        <v>1680.4399410000001</v>
      </c>
      <c r="C6824">
        <f t="shared" si="229"/>
        <v>8.461643654773917E-3</v>
      </c>
      <c r="D6824">
        <f t="shared" si="228"/>
        <v>0.63971874598524336</v>
      </c>
    </row>
    <row r="6825" spans="1:4" x14ac:dyDescent="0.3">
      <c r="A6825" s="1">
        <v>35831</v>
      </c>
      <c r="B6825">
        <v>1676.900024</v>
      </c>
      <c r="C6825">
        <f t="shared" si="229"/>
        <v>-2.1065418130287463E-3</v>
      </c>
      <c r="D6825">
        <f t="shared" si="228"/>
        <v>-0.20569263480066247</v>
      </c>
    </row>
    <row r="6826" spans="1:4" x14ac:dyDescent="0.3">
      <c r="A6826" s="1">
        <v>35832</v>
      </c>
      <c r="B6826">
        <v>1694.349976</v>
      </c>
      <c r="C6826">
        <f t="shared" si="229"/>
        <v>1.0406077732872606E-2</v>
      </c>
      <c r="D6826">
        <f t="shared" si="228"/>
        <v>0.79526547667243408</v>
      </c>
    </row>
    <row r="6827" spans="1:4" x14ac:dyDescent="0.3">
      <c r="A6827" s="1">
        <v>35835</v>
      </c>
      <c r="B6827">
        <v>1690.4300539999999</v>
      </c>
      <c r="C6827">
        <f t="shared" si="229"/>
        <v>-2.3135255735383222E-3</v>
      </c>
      <c r="D6827">
        <f t="shared" si="228"/>
        <v>-0.22225048451911966</v>
      </c>
    </row>
    <row r="6828" spans="1:4" x14ac:dyDescent="0.3">
      <c r="A6828" s="1">
        <v>35836</v>
      </c>
      <c r="B6828">
        <v>1709.040039</v>
      </c>
      <c r="C6828">
        <f t="shared" si="229"/>
        <v>1.1009023979409237E-2</v>
      </c>
      <c r="D6828">
        <f t="shared" si="228"/>
        <v>0.84349869706558422</v>
      </c>
    </row>
    <row r="6829" spans="1:4" x14ac:dyDescent="0.3">
      <c r="A6829" s="1">
        <v>35837</v>
      </c>
      <c r="B6829">
        <v>1708.5500489999999</v>
      </c>
      <c r="C6829">
        <f t="shared" si="229"/>
        <v>-2.8670481019668745E-4</v>
      </c>
      <c r="D6829">
        <f t="shared" si="228"/>
        <v>-6.0113157788567365E-2</v>
      </c>
    </row>
    <row r="6830" spans="1:4" x14ac:dyDescent="0.3">
      <c r="A6830" s="1">
        <v>35838</v>
      </c>
      <c r="B6830">
        <v>1714.339966</v>
      </c>
      <c r="C6830">
        <f t="shared" si="229"/>
        <v>3.3887898123843956E-3</v>
      </c>
      <c r="D6830">
        <f t="shared" si="228"/>
        <v>0.23391129829372315</v>
      </c>
    </row>
    <row r="6831" spans="1:4" x14ac:dyDescent="0.3">
      <c r="A6831" s="1">
        <v>35839</v>
      </c>
      <c r="B6831">
        <v>1710.420044</v>
      </c>
      <c r="C6831">
        <f t="shared" si="229"/>
        <v>-2.2865488046377625E-3</v>
      </c>
      <c r="D6831">
        <f t="shared" si="228"/>
        <v>-0.22009245393621144</v>
      </c>
    </row>
    <row r="6832" spans="1:4" x14ac:dyDescent="0.3">
      <c r="A6832" s="1">
        <v>35843</v>
      </c>
      <c r="B6832">
        <v>1703.4300539999999</v>
      </c>
      <c r="C6832">
        <f t="shared" si="229"/>
        <v>-4.0867095919042183E-3</v>
      </c>
      <c r="D6832">
        <f t="shared" si="228"/>
        <v>-0.36409791461214014</v>
      </c>
    </row>
    <row r="6833" spans="1:4" x14ac:dyDescent="0.3">
      <c r="A6833" s="1">
        <v>35844</v>
      </c>
      <c r="B6833">
        <v>1715.7299800000001</v>
      </c>
      <c r="C6833">
        <f t="shared" si="229"/>
        <v>7.2206815719362324E-3</v>
      </c>
      <c r="D6833">
        <f t="shared" si="228"/>
        <v>0.54044688222480408</v>
      </c>
    </row>
    <row r="6834" spans="1:4" x14ac:dyDescent="0.3">
      <c r="A6834" s="1">
        <v>35845</v>
      </c>
      <c r="B6834">
        <v>1727.01001</v>
      </c>
      <c r="C6834">
        <f t="shared" si="229"/>
        <v>6.5744785784998035E-3</v>
      </c>
      <c r="D6834">
        <f t="shared" si="228"/>
        <v>0.48875329995247613</v>
      </c>
    </row>
    <row r="6835" spans="1:4" x14ac:dyDescent="0.3">
      <c r="A6835" s="1">
        <v>35846</v>
      </c>
      <c r="B6835">
        <v>1728.130005</v>
      </c>
      <c r="C6835">
        <f t="shared" si="229"/>
        <v>6.4851679695823955E-4</v>
      </c>
      <c r="D6835">
        <f t="shared" si="228"/>
        <v>1.4700725129599492E-2</v>
      </c>
    </row>
    <row r="6836" spans="1:4" x14ac:dyDescent="0.3">
      <c r="A6836" s="1">
        <v>35849</v>
      </c>
      <c r="B6836">
        <v>1751.76001</v>
      </c>
      <c r="C6836">
        <f t="shared" si="229"/>
        <v>1.3673742676552846E-2</v>
      </c>
      <c r="D6836">
        <f t="shared" si="228"/>
        <v>1.0566652354483173</v>
      </c>
    </row>
    <row r="6837" spans="1:4" x14ac:dyDescent="0.3">
      <c r="A6837" s="1">
        <v>35850</v>
      </c>
      <c r="B6837">
        <v>1738.709961</v>
      </c>
      <c r="C6837">
        <f t="shared" si="229"/>
        <v>-7.4496785664150108E-3</v>
      </c>
      <c r="D6837">
        <f t="shared" si="228"/>
        <v>-0.63312160396195116</v>
      </c>
    </row>
    <row r="6838" spans="1:4" x14ac:dyDescent="0.3">
      <c r="A6838" s="1">
        <v>35851</v>
      </c>
      <c r="B6838">
        <v>1766.4799800000001</v>
      </c>
      <c r="C6838">
        <f t="shared" si="229"/>
        <v>1.5971622422884392E-2</v>
      </c>
      <c r="D6838">
        <f t="shared" si="228"/>
        <v>1.2404861662168645</v>
      </c>
    </row>
    <row r="6839" spans="1:4" x14ac:dyDescent="0.3">
      <c r="A6839" s="1">
        <v>35852</v>
      </c>
      <c r="B6839">
        <v>1777.1099850000001</v>
      </c>
      <c r="C6839">
        <f t="shared" si="229"/>
        <v>6.0176198543727523E-3</v>
      </c>
      <c r="D6839">
        <f t="shared" si="228"/>
        <v>0.44420689183906786</v>
      </c>
    </row>
    <row r="6840" spans="1:4" x14ac:dyDescent="0.3">
      <c r="A6840" s="1">
        <v>35853</v>
      </c>
      <c r="B6840">
        <v>1770.51001</v>
      </c>
      <c r="C6840">
        <f t="shared" si="229"/>
        <v>-3.7138809953848103E-3</v>
      </c>
      <c r="D6840">
        <f t="shared" si="228"/>
        <v>-0.33427315997093693</v>
      </c>
    </row>
    <row r="6841" spans="1:4" x14ac:dyDescent="0.3">
      <c r="A6841" s="1">
        <v>35856</v>
      </c>
      <c r="B6841">
        <v>1758.540039</v>
      </c>
      <c r="C6841">
        <f t="shared" si="229"/>
        <v>-6.7607474300582955E-3</v>
      </c>
      <c r="D6841">
        <f t="shared" si="228"/>
        <v>-0.57800994595517385</v>
      </c>
    </row>
    <row r="6842" spans="1:4" x14ac:dyDescent="0.3">
      <c r="A6842" s="1">
        <v>35857</v>
      </c>
      <c r="B6842">
        <v>1757.1400149999999</v>
      </c>
      <c r="C6842">
        <f t="shared" si="229"/>
        <v>-7.9612858902897599E-4</v>
      </c>
      <c r="D6842">
        <f t="shared" si="228"/>
        <v>-0.10086496533205519</v>
      </c>
    </row>
    <row r="6843" spans="1:4" x14ac:dyDescent="0.3">
      <c r="A6843" s="1">
        <v>35858</v>
      </c>
      <c r="B6843">
        <v>1759.6999510000001</v>
      </c>
      <c r="C6843">
        <f t="shared" si="229"/>
        <v>1.4568765028096563E-3</v>
      </c>
      <c r="D6843">
        <f t="shared" si="228"/>
        <v>7.9366177602740715E-2</v>
      </c>
    </row>
    <row r="6844" spans="1:4" x14ac:dyDescent="0.3">
      <c r="A6844" s="1">
        <v>35859</v>
      </c>
      <c r="B6844">
        <v>1711.920044</v>
      </c>
      <c r="C6844">
        <f t="shared" si="229"/>
        <v>-2.7152303421300768E-2</v>
      </c>
      <c r="D6844">
        <f t="shared" si="228"/>
        <v>-2.2092505746753086</v>
      </c>
    </row>
    <row r="6845" spans="1:4" x14ac:dyDescent="0.3">
      <c r="A6845" s="1">
        <v>35860</v>
      </c>
      <c r="B6845">
        <v>1753.48999</v>
      </c>
      <c r="C6845">
        <f t="shared" si="229"/>
        <v>2.4282644592950438E-2</v>
      </c>
      <c r="D6845">
        <f t="shared" si="228"/>
        <v>1.9053337646947801</v>
      </c>
    </row>
    <row r="6846" spans="1:4" x14ac:dyDescent="0.3">
      <c r="A6846" s="1">
        <v>35863</v>
      </c>
      <c r="B6846">
        <v>1725.160034</v>
      </c>
      <c r="C6846">
        <f t="shared" si="229"/>
        <v>-1.6156326047803694E-2</v>
      </c>
      <c r="D6846">
        <f t="shared" si="228"/>
        <v>-1.3296176005246774</v>
      </c>
    </row>
    <row r="6847" spans="1:4" x14ac:dyDescent="0.3">
      <c r="A6847" s="1">
        <v>35864</v>
      </c>
      <c r="B6847">
        <v>1748.51001</v>
      </c>
      <c r="C6847">
        <f t="shared" si="229"/>
        <v>1.3534962287446528E-2</v>
      </c>
      <c r="D6847">
        <f t="shared" si="228"/>
        <v>1.0455633749881816</v>
      </c>
    </row>
    <row r="6848" spans="1:4" x14ac:dyDescent="0.3">
      <c r="A6848" s="1">
        <v>35865</v>
      </c>
      <c r="B6848">
        <v>1756.849976</v>
      </c>
      <c r="C6848">
        <f t="shared" si="229"/>
        <v>4.7697559363700775E-3</v>
      </c>
      <c r="D6848">
        <f t="shared" si="228"/>
        <v>0.34438290964594509</v>
      </c>
    </row>
    <row r="6849" spans="1:4" x14ac:dyDescent="0.3">
      <c r="A6849" s="1">
        <v>35866</v>
      </c>
      <c r="B6849">
        <v>1764.0600589999999</v>
      </c>
      <c r="C6849">
        <f t="shared" si="229"/>
        <v>4.1039833215673165E-3</v>
      </c>
      <c r="D6849">
        <f t="shared" si="228"/>
        <v>0.29112383813507453</v>
      </c>
    </row>
    <row r="6850" spans="1:4" x14ac:dyDescent="0.3">
      <c r="A6850" s="1">
        <v>35867</v>
      </c>
      <c r="B6850">
        <v>1771.660034</v>
      </c>
      <c r="C6850">
        <f t="shared" si="229"/>
        <v>4.3082291678370153E-3</v>
      </c>
      <c r="D6850">
        <f t="shared" si="228"/>
        <v>0.30746266597271221</v>
      </c>
    </row>
    <row r="6851" spans="1:4" x14ac:dyDescent="0.3">
      <c r="A6851" s="1">
        <v>35870</v>
      </c>
      <c r="B6851">
        <v>1788.1800539999999</v>
      </c>
      <c r="C6851">
        <f t="shared" si="229"/>
        <v>9.3245993491773548E-3</v>
      </c>
      <c r="D6851">
        <f t="shared" ref="D6851:D6914" si="230">(C6851-avrtn)/sdrtn</f>
        <v>0.70875165304249998</v>
      </c>
    </row>
    <row r="6852" spans="1:4" x14ac:dyDescent="0.3">
      <c r="A6852" s="1">
        <v>35871</v>
      </c>
      <c r="B6852">
        <v>1779.3000489999999</v>
      </c>
      <c r="C6852">
        <f t="shared" ref="C6852:C6915" si="231">(B6852-B6851)/B6851</f>
        <v>-4.9659456720458324E-3</v>
      </c>
      <c r="D6852">
        <f t="shared" si="230"/>
        <v>-0.43443318558310462</v>
      </c>
    </row>
    <row r="6853" spans="1:4" x14ac:dyDescent="0.3">
      <c r="A6853" s="1">
        <v>35872</v>
      </c>
      <c r="B6853">
        <v>1788.280029</v>
      </c>
      <c r="C6853">
        <f t="shared" si="231"/>
        <v>5.0469171880521144E-3</v>
      </c>
      <c r="D6853">
        <f t="shared" si="230"/>
        <v>0.36655467008663123</v>
      </c>
    </row>
    <row r="6854" spans="1:4" x14ac:dyDescent="0.3">
      <c r="A6854" s="1">
        <v>35873</v>
      </c>
      <c r="B6854">
        <v>1799.9799800000001</v>
      </c>
      <c r="C6854">
        <f t="shared" si="231"/>
        <v>6.542572086175244E-3</v>
      </c>
      <c r="D6854">
        <f t="shared" si="230"/>
        <v>0.48620091176679175</v>
      </c>
    </row>
    <row r="6855" spans="1:4" x14ac:dyDescent="0.3">
      <c r="A6855" s="1">
        <v>35874</v>
      </c>
      <c r="B6855">
        <v>1789.160034</v>
      </c>
      <c r="C6855">
        <f t="shared" si="231"/>
        <v>-6.0111479684346672E-3</v>
      </c>
      <c r="D6855">
        <f t="shared" si="230"/>
        <v>-0.51804507139668765</v>
      </c>
    </row>
    <row r="6856" spans="1:4" x14ac:dyDescent="0.3">
      <c r="A6856" s="1">
        <v>35877</v>
      </c>
      <c r="B6856">
        <v>1792.51001</v>
      </c>
      <c r="C6856">
        <f t="shared" si="231"/>
        <v>1.8723735922663526E-3</v>
      </c>
      <c r="D6856">
        <f t="shared" si="230"/>
        <v>0.11260423622503568</v>
      </c>
    </row>
    <row r="6857" spans="1:4" x14ac:dyDescent="0.3">
      <c r="A6857" s="1">
        <v>35878</v>
      </c>
      <c r="B6857">
        <v>1812.4399410000001</v>
      </c>
      <c r="C6857">
        <f t="shared" si="231"/>
        <v>1.1118448928494477E-2</v>
      </c>
      <c r="D6857">
        <f t="shared" si="230"/>
        <v>0.85225224303432412</v>
      </c>
    </row>
    <row r="6858" spans="1:4" x14ac:dyDescent="0.3">
      <c r="A6858" s="1">
        <v>35879</v>
      </c>
      <c r="B6858">
        <v>1824.51001</v>
      </c>
      <c r="C6858">
        <f t="shared" si="231"/>
        <v>6.659569085274244E-3</v>
      </c>
      <c r="D6858">
        <f t="shared" si="230"/>
        <v>0.49556019060017681</v>
      </c>
    </row>
    <row r="6859" spans="1:4" x14ac:dyDescent="0.3">
      <c r="A6859" s="1">
        <v>35880</v>
      </c>
      <c r="B6859">
        <v>1828.540039</v>
      </c>
      <c r="C6859">
        <f t="shared" si="231"/>
        <v>2.2088281116089976E-3</v>
      </c>
      <c r="D6859">
        <f t="shared" si="230"/>
        <v>0.13951921426319697</v>
      </c>
    </row>
    <row r="6860" spans="1:4" x14ac:dyDescent="0.3">
      <c r="A6860" s="1">
        <v>35881</v>
      </c>
      <c r="B6860">
        <v>1823.619995</v>
      </c>
      <c r="C6860">
        <f t="shared" si="231"/>
        <v>-2.6906952514371284E-3</v>
      </c>
      <c r="D6860">
        <f t="shared" si="230"/>
        <v>-0.25242250782004144</v>
      </c>
    </row>
    <row r="6861" spans="1:4" x14ac:dyDescent="0.3">
      <c r="A6861" s="1">
        <v>35884</v>
      </c>
      <c r="B6861">
        <v>1818.6999510000001</v>
      </c>
      <c r="C6861">
        <f t="shared" si="231"/>
        <v>-2.6979546251355738E-3</v>
      </c>
      <c r="D6861">
        <f t="shared" si="230"/>
        <v>-0.25300322786519408</v>
      </c>
    </row>
    <row r="6862" spans="1:4" x14ac:dyDescent="0.3">
      <c r="A6862" s="1">
        <v>35885</v>
      </c>
      <c r="B6862">
        <v>1835.6800539999999</v>
      </c>
      <c r="C6862">
        <f t="shared" si="231"/>
        <v>9.3363960287476087E-3</v>
      </c>
      <c r="D6862">
        <f t="shared" si="230"/>
        <v>0.70969533889988401</v>
      </c>
    </row>
    <row r="6863" spans="1:4" x14ac:dyDescent="0.3">
      <c r="A6863" s="1">
        <v>35886</v>
      </c>
      <c r="B6863">
        <v>1847.660034</v>
      </c>
      <c r="C6863">
        <f t="shared" si="231"/>
        <v>6.526180841751451E-3</v>
      </c>
      <c r="D6863">
        <f t="shared" si="230"/>
        <v>0.48488967961408813</v>
      </c>
    </row>
    <row r="6864" spans="1:4" x14ac:dyDescent="0.3">
      <c r="A6864" s="1">
        <v>35887</v>
      </c>
      <c r="B6864">
        <v>1852.959961</v>
      </c>
      <c r="C6864">
        <f t="shared" si="231"/>
        <v>2.8684535588109307E-3</v>
      </c>
      <c r="D6864">
        <f t="shared" si="230"/>
        <v>0.19228653764330547</v>
      </c>
    </row>
    <row r="6865" spans="1:4" x14ac:dyDescent="0.3">
      <c r="A6865" s="1">
        <v>35888</v>
      </c>
      <c r="B6865">
        <v>1855.400024</v>
      </c>
      <c r="C6865">
        <f t="shared" si="231"/>
        <v>1.316846047058223E-3</v>
      </c>
      <c r="D6865">
        <f t="shared" si="230"/>
        <v>6.8164316951300694E-2</v>
      </c>
    </row>
    <row r="6866" spans="1:4" x14ac:dyDescent="0.3">
      <c r="A6866" s="1">
        <v>35891</v>
      </c>
      <c r="B6866">
        <v>1829.1400149999999</v>
      </c>
      <c r="C6866">
        <f t="shared" si="231"/>
        <v>-1.4153286978722214E-2</v>
      </c>
      <c r="D6866">
        <f t="shared" si="230"/>
        <v>-1.1693827115440261</v>
      </c>
    </row>
    <row r="6867" spans="1:4" x14ac:dyDescent="0.3">
      <c r="A6867" s="1">
        <v>35892</v>
      </c>
      <c r="B6867">
        <v>1798.709961</v>
      </c>
      <c r="C6867">
        <f t="shared" si="231"/>
        <v>-1.6636262806814125E-2</v>
      </c>
      <c r="D6867">
        <f t="shared" si="230"/>
        <v>-1.3680105677337666</v>
      </c>
    </row>
    <row r="6868" spans="1:4" x14ac:dyDescent="0.3">
      <c r="A6868" s="1">
        <v>35893</v>
      </c>
      <c r="B6868">
        <v>1807.01001</v>
      </c>
      <c r="C6868">
        <f t="shared" si="231"/>
        <v>4.6144454525539509E-3</v>
      </c>
      <c r="D6868">
        <f t="shared" si="230"/>
        <v>0.33195870958118046</v>
      </c>
    </row>
    <row r="6869" spans="1:4" x14ac:dyDescent="0.3">
      <c r="A6869" s="1">
        <v>35894</v>
      </c>
      <c r="B6869">
        <v>1820.23999</v>
      </c>
      <c r="C6869">
        <f t="shared" si="231"/>
        <v>7.3214757675858525E-3</v>
      </c>
      <c r="D6869">
        <f t="shared" si="230"/>
        <v>0.54851000340856459</v>
      </c>
    </row>
    <row r="6870" spans="1:4" x14ac:dyDescent="0.3">
      <c r="A6870" s="1">
        <v>35898</v>
      </c>
      <c r="B6870">
        <v>1824.9499510000001</v>
      </c>
      <c r="C6870">
        <f t="shared" si="231"/>
        <v>2.5875494582448004E-3</v>
      </c>
      <c r="D6870">
        <f t="shared" si="230"/>
        <v>0.16981536468257849</v>
      </c>
    </row>
    <row r="6871" spans="1:4" x14ac:dyDescent="0.3">
      <c r="A6871" s="1">
        <v>35899</v>
      </c>
      <c r="B6871">
        <v>1843.030029</v>
      </c>
      <c r="C6871">
        <f t="shared" si="231"/>
        <v>9.9071637499388923E-3</v>
      </c>
      <c r="D6871">
        <f t="shared" si="230"/>
        <v>0.75535440958429323</v>
      </c>
    </row>
    <row r="6872" spans="1:4" x14ac:dyDescent="0.3">
      <c r="A6872" s="1">
        <v>35900</v>
      </c>
      <c r="B6872">
        <v>1863.26001</v>
      </c>
      <c r="C6872">
        <f t="shared" si="231"/>
        <v>1.0976479320294327E-2</v>
      </c>
      <c r="D6872">
        <f t="shared" si="230"/>
        <v>0.84089525816082922</v>
      </c>
    </row>
    <row r="6873" spans="1:4" x14ac:dyDescent="0.3">
      <c r="A6873" s="1">
        <v>35901</v>
      </c>
      <c r="B6873">
        <v>1858.23999</v>
      </c>
      <c r="C6873">
        <f t="shared" si="231"/>
        <v>-2.6942133535082587E-3</v>
      </c>
      <c r="D6873">
        <f t="shared" si="230"/>
        <v>-0.25270394151920972</v>
      </c>
    </row>
    <row r="6874" spans="1:4" x14ac:dyDescent="0.3">
      <c r="A6874" s="1">
        <v>35902</v>
      </c>
      <c r="B6874">
        <v>1866.599976</v>
      </c>
      <c r="C6874">
        <f t="shared" si="231"/>
        <v>4.4988731514705674E-3</v>
      </c>
      <c r="D6874">
        <f t="shared" si="230"/>
        <v>0.32271340073065147</v>
      </c>
    </row>
    <row r="6875" spans="1:4" x14ac:dyDescent="0.3">
      <c r="A6875" s="1">
        <v>35905</v>
      </c>
      <c r="B6875">
        <v>1887.1400149999999</v>
      </c>
      <c r="C6875">
        <f t="shared" si="231"/>
        <v>1.1003985462389173E-2</v>
      </c>
      <c r="D6875">
        <f t="shared" si="230"/>
        <v>0.84309563642248486</v>
      </c>
    </row>
    <row r="6876" spans="1:4" x14ac:dyDescent="0.3">
      <c r="A6876" s="1">
        <v>35906</v>
      </c>
      <c r="B6876">
        <v>1903.869995</v>
      </c>
      <c r="C6876">
        <f t="shared" si="231"/>
        <v>8.8652563493017075E-3</v>
      </c>
      <c r="D6876">
        <f t="shared" si="230"/>
        <v>0.67200610188214982</v>
      </c>
    </row>
    <row r="6877" spans="1:4" x14ac:dyDescent="0.3">
      <c r="A6877" s="1">
        <v>35907</v>
      </c>
      <c r="B6877">
        <v>1917.6099850000001</v>
      </c>
      <c r="C6877">
        <f t="shared" si="231"/>
        <v>7.2168740702276968E-3</v>
      </c>
      <c r="D6877">
        <f t="shared" si="230"/>
        <v>0.54014229774466171</v>
      </c>
    </row>
    <row r="6878" spans="1:4" x14ac:dyDescent="0.3">
      <c r="A6878" s="1">
        <v>35908</v>
      </c>
      <c r="B6878">
        <v>1881.3900149999999</v>
      </c>
      <c r="C6878">
        <f t="shared" si="231"/>
        <v>-1.8888079579956977E-2</v>
      </c>
      <c r="D6878">
        <f t="shared" si="230"/>
        <v>-1.5481466500592957</v>
      </c>
    </row>
    <row r="6879" spans="1:4" x14ac:dyDescent="0.3">
      <c r="A6879" s="1">
        <v>35909</v>
      </c>
      <c r="B6879">
        <v>1868.959961</v>
      </c>
      <c r="C6879">
        <f t="shared" si="231"/>
        <v>-6.6068459494826905E-3</v>
      </c>
      <c r="D6879">
        <f t="shared" si="230"/>
        <v>-0.56569846035579496</v>
      </c>
    </row>
    <row r="6880" spans="1:4" x14ac:dyDescent="0.3">
      <c r="A6880" s="1">
        <v>35912</v>
      </c>
      <c r="B6880">
        <v>1820.3100589999999</v>
      </c>
      <c r="C6880">
        <f t="shared" si="231"/>
        <v>-2.6030467754894891E-2</v>
      </c>
      <c r="D6880">
        <f t="shared" si="230"/>
        <v>-2.1195083343786627</v>
      </c>
    </row>
    <row r="6881" spans="1:4" x14ac:dyDescent="0.3">
      <c r="A6881" s="1">
        <v>35913</v>
      </c>
      <c r="B6881">
        <v>1831.7700199999999</v>
      </c>
      <c r="C6881">
        <f t="shared" si="231"/>
        <v>6.2956093349808935E-3</v>
      </c>
      <c r="D6881">
        <f t="shared" si="230"/>
        <v>0.46644490718814458</v>
      </c>
    </row>
    <row r="6882" spans="1:4" x14ac:dyDescent="0.3">
      <c r="A6882" s="1">
        <v>35914</v>
      </c>
      <c r="B6882">
        <v>1851.6400149999999</v>
      </c>
      <c r="C6882">
        <f t="shared" si="231"/>
        <v>1.0847428871010794E-2</v>
      </c>
      <c r="D6882">
        <f t="shared" si="230"/>
        <v>0.83057175287676488</v>
      </c>
    </row>
    <row r="6883" spans="1:4" x14ac:dyDescent="0.3">
      <c r="A6883" s="1">
        <v>35915</v>
      </c>
      <c r="B6883">
        <v>1868.410034</v>
      </c>
      <c r="C6883">
        <f t="shared" si="231"/>
        <v>9.0568462898551298E-3</v>
      </c>
      <c r="D6883">
        <f t="shared" si="230"/>
        <v>0.68733250930388068</v>
      </c>
    </row>
    <row r="6884" spans="1:4" x14ac:dyDescent="0.3">
      <c r="A6884" s="1">
        <v>35916</v>
      </c>
      <c r="B6884">
        <v>1873.4399410000001</v>
      </c>
      <c r="C6884">
        <f t="shared" si="231"/>
        <v>2.6920787773933E-3</v>
      </c>
      <c r="D6884">
        <f t="shared" si="230"/>
        <v>0.1781772803873298</v>
      </c>
    </row>
    <row r="6885" spans="1:4" x14ac:dyDescent="0.3">
      <c r="A6885" s="1">
        <v>35919</v>
      </c>
      <c r="B6885">
        <v>1878.8599850000001</v>
      </c>
      <c r="C6885">
        <f t="shared" si="231"/>
        <v>2.8930972813074884E-3</v>
      </c>
      <c r="D6885">
        <f t="shared" si="230"/>
        <v>0.19425793410743769</v>
      </c>
    </row>
    <row r="6886" spans="1:4" x14ac:dyDescent="0.3">
      <c r="A6886" s="1">
        <v>35920</v>
      </c>
      <c r="B6886">
        <v>1864.910034</v>
      </c>
      <c r="C6886">
        <f t="shared" si="231"/>
        <v>-7.4246889663787561E-3</v>
      </c>
      <c r="D6886">
        <f t="shared" si="230"/>
        <v>-0.63112253871690016</v>
      </c>
    </row>
    <row r="6887" spans="1:4" x14ac:dyDescent="0.3">
      <c r="A6887" s="1">
        <v>35921</v>
      </c>
      <c r="B6887">
        <v>1856.6800539999999</v>
      </c>
      <c r="C6887">
        <f t="shared" si="231"/>
        <v>-4.4130707915961956E-3</v>
      </c>
      <c r="D6887">
        <f t="shared" si="230"/>
        <v>-0.39020546858222638</v>
      </c>
    </row>
    <row r="6888" spans="1:4" x14ac:dyDescent="0.3">
      <c r="A6888" s="1">
        <v>35922</v>
      </c>
      <c r="B6888">
        <v>1835.1400149999999</v>
      </c>
      <c r="C6888">
        <f t="shared" si="231"/>
        <v>-1.1601373620400826E-2</v>
      </c>
      <c r="D6888">
        <f t="shared" si="230"/>
        <v>-0.96524013640874584</v>
      </c>
    </row>
    <row r="6889" spans="1:4" x14ac:dyDescent="0.3">
      <c r="A6889" s="1">
        <v>35923</v>
      </c>
      <c r="B6889">
        <v>1864.369995</v>
      </c>
      <c r="C6889">
        <f t="shared" si="231"/>
        <v>1.5927929074120304E-2</v>
      </c>
      <c r="D6889">
        <f t="shared" si="230"/>
        <v>1.236990877983861</v>
      </c>
    </row>
    <row r="6890" spans="1:4" x14ac:dyDescent="0.3">
      <c r="A6890" s="1">
        <v>35926</v>
      </c>
      <c r="B6890">
        <v>1848.0699460000001</v>
      </c>
      <c r="C6890">
        <f t="shared" si="231"/>
        <v>-8.7429260520790267E-3</v>
      </c>
      <c r="D6890">
        <f t="shared" si="230"/>
        <v>-0.73657608494963578</v>
      </c>
    </row>
    <row r="6891" spans="1:4" x14ac:dyDescent="0.3">
      <c r="A6891" s="1">
        <v>35927</v>
      </c>
      <c r="B6891">
        <v>1860.160034</v>
      </c>
      <c r="C6891">
        <f t="shared" si="231"/>
        <v>6.5420077990922115E-3</v>
      </c>
      <c r="D6891">
        <f t="shared" si="230"/>
        <v>0.4861557711205115</v>
      </c>
    </row>
    <row r="6892" spans="1:4" x14ac:dyDescent="0.3">
      <c r="A6892" s="1">
        <v>35928</v>
      </c>
      <c r="B6892">
        <v>1866.1800539999999</v>
      </c>
      <c r="C6892">
        <f t="shared" si="231"/>
        <v>3.236291442653332E-3</v>
      </c>
      <c r="D6892">
        <f t="shared" si="230"/>
        <v>0.22171205579228134</v>
      </c>
    </row>
    <row r="6893" spans="1:4" x14ac:dyDescent="0.3">
      <c r="A6893" s="1">
        <v>35929</v>
      </c>
      <c r="B6893">
        <v>1865.3599850000001</v>
      </c>
      <c r="C6893">
        <f t="shared" si="231"/>
        <v>-4.3943723342349894E-4</v>
      </c>
      <c r="D6893">
        <f t="shared" si="230"/>
        <v>-7.2331123607235287E-2</v>
      </c>
    </row>
    <row r="6894" spans="1:4" x14ac:dyDescent="0.3">
      <c r="A6894" s="1">
        <v>35930</v>
      </c>
      <c r="B6894">
        <v>1846.7700199999999</v>
      </c>
      <c r="C6894">
        <f t="shared" si="231"/>
        <v>-9.9658860217268566E-3</v>
      </c>
      <c r="D6894">
        <f t="shared" si="230"/>
        <v>-0.83440785368001846</v>
      </c>
    </row>
    <row r="6895" spans="1:4" x14ac:dyDescent="0.3">
      <c r="A6895" s="1">
        <v>35933</v>
      </c>
      <c r="B6895">
        <v>1831.619995</v>
      </c>
      <c r="C6895">
        <f t="shared" si="231"/>
        <v>-8.2035255261507407E-3</v>
      </c>
      <c r="D6895">
        <f t="shared" si="230"/>
        <v>-0.69342626090358883</v>
      </c>
    </row>
    <row r="6896" spans="1:4" x14ac:dyDescent="0.3">
      <c r="A6896" s="1">
        <v>35934</v>
      </c>
      <c r="B6896">
        <v>1845.869995</v>
      </c>
      <c r="C6896">
        <f t="shared" si="231"/>
        <v>7.779998055764837E-3</v>
      </c>
      <c r="D6896">
        <f t="shared" si="230"/>
        <v>0.58518990100796831</v>
      </c>
    </row>
    <row r="6897" spans="1:4" x14ac:dyDescent="0.3">
      <c r="A6897" s="1">
        <v>35935</v>
      </c>
      <c r="B6897">
        <v>1831.75</v>
      </c>
      <c r="C6897">
        <f t="shared" si="231"/>
        <v>-7.6495067573813707E-3</v>
      </c>
      <c r="D6897">
        <f t="shared" si="230"/>
        <v>-0.64910703754082888</v>
      </c>
    </row>
    <row r="6898" spans="1:4" x14ac:dyDescent="0.3">
      <c r="A6898" s="1">
        <v>35936</v>
      </c>
      <c r="B6898">
        <v>1820.98999</v>
      </c>
      <c r="C6898">
        <f t="shared" si="231"/>
        <v>-5.8741695100313716E-3</v>
      </c>
      <c r="D6898">
        <f t="shared" si="230"/>
        <v>-0.50708735798321058</v>
      </c>
    </row>
    <row r="6899" spans="1:4" x14ac:dyDescent="0.3">
      <c r="A6899" s="1">
        <v>35937</v>
      </c>
      <c r="B6899">
        <v>1805</v>
      </c>
      <c r="C6899">
        <f t="shared" si="231"/>
        <v>-8.7809323982061174E-3</v>
      </c>
      <c r="D6899">
        <f t="shared" si="230"/>
        <v>-0.73961643635677399</v>
      </c>
    </row>
    <row r="6900" spans="1:4" x14ac:dyDescent="0.3">
      <c r="A6900" s="1">
        <v>35941</v>
      </c>
      <c r="B6900">
        <v>1778.089966</v>
      </c>
      <c r="C6900">
        <f t="shared" si="231"/>
        <v>-1.4908606094182823E-2</v>
      </c>
      <c r="D6900">
        <f t="shared" si="230"/>
        <v>-1.2298051348901136</v>
      </c>
    </row>
    <row r="6901" spans="1:4" x14ac:dyDescent="0.3">
      <c r="A6901" s="1">
        <v>35942</v>
      </c>
      <c r="B6901">
        <v>1781.099976</v>
      </c>
      <c r="C6901">
        <f t="shared" si="231"/>
        <v>1.692833353517707E-3</v>
      </c>
      <c r="D6901">
        <f t="shared" si="230"/>
        <v>9.8241755399017139E-2</v>
      </c>
    </row>
    <row r="6902" spans="1:4" x14ac:dyDescent="0.3">
      <c r="A6902" s="1">
        <v>35943</v>
      </c>
      <c r="B6902">
        <v>1794.619995</v>
      </c>
      <c r="C6902">
        <f t="shared" si="231"/>
        <v>7.5908254349446175E-3</v>
      </c>
      <c r="D6902">
        <f t="shared" si="230"/>
        <v>0.57005686922481558</v>
      </c>
    </row>
    <row r="6903" spans="1:4" x14ac:dyDescent="0.3">
      <c r="A6903" s="1">
        <v>35944</v>
      </c>
      <c r="B6903">
        <v>1778.869995</v>
      </c>
      <c r="C6903">
        <f t="shared" si="231"/>
        <v>-8.7762312043113064E-3</v>
      </c>
      <c r="D6903">
        <f t="shared" si="230"/>
        <v>-0.73924036017661388</v>
      </c>
    </row>
    <row r="6904" spans="1:4" x14ac:dyDescent="0.3">
      <c r="A6904" s="1">
        <v>35947</v>
      </c>
      <c r="B6904">
        <v>1746.8199460000001</v>
      </c>
      <c r="C6904">
        <f t="shared" si="231"/>
        <v>-1.8017083367579061E-2</v>
      </c>
      <c r="D6904">
        <f t="shared" si="230"/>
        <v>-1.4784705346268883</v>
      </c>
    </row>
    <row r="6905" spans="1:4" x14ac:dyDescent="0.3">
      <c r="A6905" s="1">
        <v>35948</v>
      </c>
      <c r="B6905">
        <v>1761.790039</v>
      </c>
      <c r="C6905">
        <f t="shared" si="231"/>
        <v>8.5699118757371368E-3</v>
      </c>
      <c r="D6905">
        <f t="shared" si="230"/>
        <v>0.64837975846071627</v>
      </c>
    </row>
    <row r="6906" spans="1:4" x14ac:dyDescent="0.3">
      <c r="A6906" s="1">
        <v>35949</v>
      </c>
      <c r="B6906">
        <v>1742.3100589999999</v>
      </c>
      <c r="C6906">
        <f t="shared" si="231"/>
        <v>-1.1056924814410344E-2</v>
      </c>
      <c r="D6906">
        <f t="shared" si="230"/>
        <v>-0.92168647071637477</v>
      </c>
    </row>
    <row r="6907" spans="1:4" x14ac:dyDescent="0.3">
      <c r="A6907" s="1">
        <v>35950</v>
      </c>
      <c r="B6907">
        <v>1769.9499510000001</v>
      </c>
      <c r="C6907">
        <f t="shared" si="231"/>
        <v>1.5863934124253454E-2</v>
      </c>
      <c r="D6907">
        <f t="shared" si="230"/>
        <v>1.2318715451433193</v>
      </c>
    </row>
    <row r="6908" spans="1:4" x14ac:dyDescent="0.3">
      <c r="A6908" s="1">
        <v>35951</v>
      </c>
      <c r="B6908">
        <v>1782.920044</v>
      </c>
      <c r="C6908">
        <f t="shared" si="231"/>
        <v>7.3279433651058674E-3</v>
      </c>
      <c r="D6908">
        <f t="shared" si="230"/>
        <v>0.54902738461524592</v>
      </c>
    </row>
    <row r="6909" spans="1:4" x14ac:dyDescent="0.3">
      <c r="A6909" s="1">
        <v>35954</v>
      </c>
      <c r="B6909">
        <v>1787.7700199999999</v>
      </c>
      <c r="C6909">
        <f t="shared" si="231"/>
        <v>2.7202431294221121E-3</v>
      </c>
      <c r="D6909">
        <f t="shared" si="230"/>
        <v>0.18043031273712723</v>
      </c>
    </row>
    <row r="6910" spans="1:4" x14ac:dyDescent="0.3">
      <c r="A6910" s="1">
        <v>35955</v>
      </c>
      <c r="B6910">
        <v>1800.76001</v>
      </c>
      <c r="C6910">
        <f t="shared" si="231"/>
        <v>7.266029665269829E-3</v>
      </c>
      <c r="D6910">
        <f t="shared" si="230"/>
        <v>0.54407454321901771</v>
      </c>
    </row>
    <row r="6911" spans="1:4" x14ac:dyDescent="0.3">
      <c r="A6911" s="1">
        <v>35956</v>
      </c>
      <c r="B6911">
        <v>1773.25</v>
      </c>
      <c r="C6911">
        <f t="shared" si="231"/>
        <v>-1.5276888562179902E-2</v>
      </c>
      <c r="D6911">
        <f t="shared" si="230"/>
        <v>-1.2592662179433229</v>
      </c>
    </row>
    <row r="6912" spans="1:4" x14ac:dyDescent="0.3">
      <c r="A6912" s="1">
        <v>35957</v>
      </c>
      <c r="B6912">
        <v>1749.75</v>
      </c>
      <c r="C6912">
        <f t="shared" si="231"/>
        <v>-1.3252502467221204E-2</v>
      </c>
      <c r="D6912">
        <f t="shared" si="230"/>
        <v>-1.0973236546719891</v>
      </c>
    </row>
    <row r="6913" spans="1:4" x14ac:dyDescent="0.3">
      <c r="A6913" s="1">
        <v>35958</v>
      </c>
      <c r="B6913">
        <v>1745.0500489999999</v>
      </c>
      <c r="C6913">
        <f t="shared" si="231"/>
        <v>-2.6860700100014606E-3</v>
      </c>
      <c r="D6913">
        <f t="shared" si="230"/>
        <v>-0.25205250752429448</v>
      </c>
    </row>
    <row r="6914" spans="1:4" x14ac:dyDescent="0.3">
      <c r="A6914" s="1">
        <v>35961</v>
      </c>
      <c r="B6914">
        <v>1715.75</v>
      </c>
      <c r="C6914">
        <f t="shared" si="231"/>
        <v>-1.6790377454669752E-2</v>
      </c>
      <c r="D6914">
        <f t="shared" si="230"/>
        <v>-1.380339105838998</v>
      </c>
    </row>
    <row r="6915" spans="1:4" x14ac:dyDescent="0.3">
      <c r="A6915" s="1">
        <v>35962</v>
      </c>
      <c r="B6915">
        <v>1753.119995</v>
      </c>
      <c r="C6915">
        <f t="shared" si="231"/>
        <v>2.1780559522074906E-2</v>
      </c>
      <c r="D6915">
        <f t="shared" ref="D6915:D6978" si="232">(C6915-avrtn)/sdrtn</f>
        <v>1.705177247660026</v>
      </c>
    </row>
    <row r="6916" spans="1:4" x14ac:dyDescent="0.3">
      <c r="A6916" s="1">
        <v>35963</v>
      </c>
      <c r="B6916">
        <v>1776.400024</v>
      </c>
      <c r="C6916">
        <f t="shared" ref="C6916:C6979" si="233">(B6916-B6915)/B6915</f>
        <v>1.3279198837727027E-2</v>
      </c>
      <c r="D6916">
        <f t="shared" si="232"/>
        <v>1.0251033507162111</v>
      </c>
    </row>
    <row r="6917" spans="1:4" x14ac:dyDescent="0.3">
      <c r="A6917" s="1">
        <v>35964</v>
      </c>
      <c r="B6917">
        <v>1772.6999510000001</v>
      </c>
      <c r="C6917">
        <f t="shared" si="233"/>
        <v>-2.0829052859773971E-3</v>
      </c>
      <c r="D6917">
        <f t="shared" si="232"/>
        <v>-0.20380180983053453</v>
      </c>
    </row>
    <row r="6918" spans="1:4" x14ac:dyDescent="0.3">
      <c r="A6918" s="1">
        <v>35965</v>
      </c>
      <c r="B6918">
        <v>1781.290039</v>
      </c>
      <c r="C6918">
        <f t="shared" si="233"/>
        <v>4.8457653508447145E-3</v>
      </c>
      <c r="D6918">
        <f t="shared" si="232"/>
        <v>0.35046335025133618</v>
      </c>
    </row>
    <row r="6919" spans="1:4" x14ac:dyDescent="0.3">
      <c r="A6919" s="1">
        <v>35968</v>
      </c>
      <c r="B6919">
        <v>1805.8199460000001</v>
      </c>
      <c r="C6919">
        <f t="shared" si="233"/>
        <v>1.3770866317632899E-2</v>
      </c>
      <c r="D6919">
        <f t="shared" si="232"/>
        <v>1.0644347273599231</v>
      </c>
    </row>
    <row r="6920" spans="1:4" x14ac:dyDescent="0.3">
      <c r="A6920" s="1">
        <v>35969</v>
      </c>
      <c r="B6920">
        <v>1844.5699460000001</v>
      </c>
      <c r="C6920">
        <f t="shared" si="233"/>
        <v>2.1458396273578428E-2</v>
      </c>
      <c r="D6920">
        <f t="shared" si="232"/>
        <v>1.6794055125235015</v>
      </c>
    </row>
    <row r="6921" spans="1:4" x14ac:dyDescent="0.3">
      <c r="A6921" s="1">
        <v>35970</v>
      </c>
      <c r="B6921">
        <v>1877.76001</v>
      </c>
      <c r="C6921">
        <f t="shared" si="233"/>
        <v>1.799338868768487E-2</v>
      </c>
      <c r="D6921">
        <f t="shared" si="232"/>
        <v>1.4022191538483462</v>
      </c>
    </row>
    <row r="6922" spans="1:4" x14ac:dyDescent="0.3">
      <c r="A6922" s="1">
        <v>35971</v>
      </c>
      <c r="B6922">
        <v>1863.25</v>
      </c>
      <c r="C6922">
        <f t="shared" si="233"/>
        <v>-7.7272973770487136E-3</v>
      </c>
      <c r="D6922">
        <f t="shared" si="232"/>
        <v>-0.65532996723727688</v>
      </c>
    </row>
    <row r="6923" spans="1:4" x14ac:dyDescent="0.3">
      <c r="A6923" s="1">
        <v>35972</v>
      </c>
      <c r="B6923">
        <v>1869.530029</v>
      </c>
      <c r="C6923">
        <f t="shared" si="233"/>
        <v>3.3704704145981553E-3</v>
      </c>
      <c r="D6923">
        <f t="shared" si="232"/>
        <v>0.23244582180063775</v>
      </c>
    </row>
    <row r="6924" spans="1:4" x14ac:dyDescent="0.3">
      <c r="A6924" s="1">
        <v>35975</v>
      </c>
      <c r="B6924">
        <v>1891.079956</v>
      </c>
      <c r="C6924">
        <f t="shared" si="233"/>
        <v>1.15269220957777E-2</v>
      </c>
      <c r="D6924">
        <f t="shared" si="232"/>
        <v>0.88492841676528178</v>
      </c>
    </row>
    <row r="6925" spans="1:4" x14ac:dyDescent="0.3">
      <c r="A6925" s="1">
        <v>35976</v>
      </c>
      <c r="B6925">
        <v>1894.73999</v>
      </c>
      <c r="C6925">
        <f t="shared" si="233"/>
        <v>1.9354200166880706E-3</v>
      </c>
      <c r="D6925">
        <f t="shared" si="232"/>
        <v>0.11764769093032683</v>
      </c>
    </row>
    <row r="6926" spans="1:4" x14ac:dyDescent="0.3">
      <c r="A6926" s="1">
        <v>35977</v>
      </c>
      <c r="B6926">
        <v>1914.459961</v>
      </c>
      <c r="C6926">
        <f t="shared" si="233"/>
        <v>1.0407745180910014E-2</v>
      </c>
      <c r="D6926">
        <f t="shared" si="232"/>
        <v>0.79539886565883933</v>
      </c>
    </row>
    <row r="6927" spans="1:4" x14ac:dyDescent="0.3">
      <c r="A6927" s="1">
        <v>35978</v>
      </c>
      <c r="B6927">
        <v>1894</v>
      </c>
      <c r="C6927">
        <f t="shared" si="233"/>
        <v>-1.0687066544506345E-2</v>
      </c>
      <c r="D6927">
        <f t="shared" si="232"/>
        <v>-0.89209932999034824</v>
      </c>
    </row>
    <row r="6928" spans="1:4" x14ac:dyDescent="0.3">
      <c r="A6928" s="1">
        <v>35982</v>
      </c>
      <c r="B6928">
        <v>1909.469971</v>
      </c>
      <c r="C6928">
        <f t="shared" si="233"/>
        <v>8.1678833157338895E-3</v>
      </c>
      <c r="D6928">
        <f t="shared" si="232"/>
        <v>0.61621912681177304</v>
      </c>
    </row>
    <row r="6929" spans="1:4" x14ac:dyDescent="0.3">
      <c r="A6929" s="1">
        <v>35983</v>
      </c>
      <c r="B6929">
        <v>1908.1099850000001</v>
      </c>
      <c r="C6929">
        <f t="shared" si="233"/>
        <v>-7.122322009011239E-4</v>
      </c>
      <c r="D6929">
        <f t="shared" si="232"/>
        <v>-9.4153599265836357E-2</v>
      </c>
    </row>
    <row r="6930" spans="1:4" x14ac:dyDescent="0.3">
      <c r="A6930" s="1">
        <v>35984</v>
      </c>
      <c r="B6930">
        <v>1935.3900149999999</v>
      </c>
      <c r="C6930">
        <f t="shared" si="233"/>
        <v>1.4296885512079062E-2</v>
      </c>
      <c r="D6930">
        <f t="shared" si="232"/>
        <v>1.106514099911764</v>
      </c>
    </row>
    <row r="6931" spans="1:4" x14ac:dyDescent="0.3">
      <c r="A6931" s="1">
        <v>35985</v>
      </c>
      <c r="B6931">
        <v>1939.8199460000001</v>
      </c>
      <c r="C6931">
        <f t="shared" si="233"/>
        <v>2.2889086776652222E-3</v>
      </c>
      <c r="D6931">
        <f t="shared" si="232"/>
        <v>0.14592533025443968</v>
      </c>
    </row>
    <row r="6932" spans="1:4" x14ac:dyDescent="0.3">
      <c r="A6932" s="1">
        <v>35986</v>
      </c>
      <c r="B6932">
        <v>1943.040039</v>
      </c>
      <c r="C6932">
        <f t="shared" si="233"/>
        <v>1.6599958190139704E-3</v>
      </c>
      <c r="D6932">
        <f t="shared" si="232"/>
        <v>9.5614887667466911E-2</v>
      </c>
    </row>
    <row r="6933" spans="1:4" x14ac:dyDescent="0.3">
      <c r="A6933" s="1">
        <v>35989</v>
      </c>
      <c r="B6933">
        <v>1965.530029</v>
      </c>
      <c r="C6933">
        <f t="shared" si="233"/>
        <v>1.1574640536782081E-2</v>
      </c>
      <c r="D6933">
        <f t="shared" si="232"/>
        <v>0.88874569582623042</v>
      </c>
    </row>
    <row r="6934" spans="1:4" x14ac:dyDescent="0.3">
      <c r="A6934" s="1">
        <v>35990</v>
      </c>
      <c r="B6934">
        <v>1968.410034</v>
      </c>
      <c r="C6934">
        <f t="shared" si="233"/>
        <v>1.465256168823449E-3</v>
      </c>
      <c r="D6934">
        <f t="shared" si="232"/>
        <v>8.0036516426451598E-2</v>
      </c>
    </row>
    <row r="6935" spans="1:4" x14ac:dyDescent="0.3">
      <c r="A6935" s="1">
        <v>35991</v>
      </c>
      <c r="B6935">
        <v>1994.540039</v>
      </c>
      <c r="C6935">
        <f t="shared" si="233"/>
        <v>1.3274675778247929E-2</v>
      </c>
      <c r="D6935">
        <f t="shared" si="232"/>
        <v>1.024741524556815</v>
      </c>
    </row>
    <row r="6936" spans="1:4" x14ac:dyDescent="0.3">
      <c r="A6936" s="1">
        <v>35992</v>
      </c>
      <c r="B6936">
        <v>2000.5600589999999</v>
      </c>
      <c r="C6936">
        <f t="shared" si="233"/>
        <v>3.0182497629970772E-3</v>
      </c>
      <c r="D6936">
        <f t="shared" si="232"/>
        <v>0.20426961801252505</v>
      </c>
    </row>
    <row r="6937" spans="1:4" x14ac:dyDescent="0.3">
      <c r="A6937" s="1">
        <v>35993</v>
      </c>
      <c r="B6937">
        <v>2008.76001</v>
      </c>
      <c r="C6937">
        <f t="shared" si="233"/>
        <v>4.0988277073265595E-3</v>
      </c>
      <c r="D6937">
        <f t="shared" si="232"/>
        <v>0.29071141019582641</v>
      </c>
    </row>
    <row r="6938" spans="1:4" x14ac:dyDescent="0.3">
      <c r="A6938" s="1">
        <v>35996</v>
      </c>
      <c r="B6938">
        <v>2014.25</v>
      </c>
      <c r="C6938">
        <f t="shared" si="233"/>
        <v>2.7330243397268917E-3</v>
      </c>
      <c r="D6938">
        <f t="shared" si="232"/>
        <v>0.18145275700485877</v>
      </c>
    </row>
    <row r="6939" spans="1:4" x14ac:dyDescent="0.3">
      <c r="A6939" s="1">
        <v>35997</v>
      </c>
      <c r="B6939">
        <v>1979.1400149999999</v>
      </c>
      <c r="C6939">
        <f t="shared" si="233"/>
        <v>-1.7430798063795484E-2</v>
      </c>
      <c r="D6939">
        <f t="shared" si="232"/>
        <v>-1.4315701211437766</v>
      </c>
    </row>
    <row r="6940" spans="1:4" x14ac:dyDescent="0.3">
      <c r="A6940" s="1">
        <v>35998</v>
      </c>
      <c r="B6940">
        <v>1969.75</v>
      </c>
      <c r="C6940">
        <f t="shared" si="233"/>
        <v>-4.7444925214146349E-3</v>
      </c>
      <c r="D6940">
        <f t="shared" si="232"/>
        <v>-0.4167178441534054</v>
      </c>
    </row>
    <row r="6941" spans="1:4" x14ac:dyDescent="0.3">
      <c r="A6941" s="1">
        <v>35999</v>
      </c>
      <c r="B6941">
        <v>1935.219971</v>
      </c>
      <c r="C6941">
        <f t="shared" si="233"/>
        <v>-1.7530158141896186E-2</v>
      </c>
      <c r="D6941">
        <f t="shared" si="232"/>
        <v>-1.4395185188207502</v>
      </c>
    </row>
    <row r="6942" spans="1:4" x14ac:dyDescent="0.3">
      <c r="A6942" s="1">
        <v>36000</v>
      </c>
      <c r="B6942">
        <v>1930.98999</v>
      </c>
      <c r="C6942">
        <f t="shared" si="233"/>
        <v>-2.185788211876588E-3</v>
      </c>
      <c r="D6942">
        <f t="shared" si="232"/>
        <v>-0.21203202084535064</v>
      </c>
    </row>
    <row r="6943" spans="1:4" x14ac:dyDescent="0.3">
      <c r="A6943" s="1">
        <v>36003</v>
      </c>
      <c r="B6943">
        <v>1933.26001</v>
      </c>
      <c r="C6943">
        <f t="shared" si="233"/>
        <v>1.1755731576837077E-3</v>
      </c>
      <c r="D6943">
        <f t="shared" si="232"/>
        <v>5.686306671893171E-2</v>
      </c>
    </row>
    <row r="6944" spans="1:4" x14ac:dyDescent="0.3">
      <c r="A6944" s="1">
        <v>36004</v>
      </c>
      <c r="B6944">
        <v>1896.530029</v>
      </c>
      <c r="C6944">
        <f t="shared" si="233"/>
        <v>-1.8998986587427498E-2</v>
      </c>
      <c r="D6944">
        <f t="shared" si="232"/>
        <v>-1.5570187546045977</v>
      </c>
    </row>
    <row r="6945" spans="1:4" x14ac:dyDescent="0.3">
      <c r="A6945" s="1">
        <v>36005</v>
      </c>
      <c r="B6945">
        <v>1881.48999</v>
      </c>
      <c r="C6945">
        <f t="shared" si="233"/>
        <v>-7.9302930984595441E-3</v>
      </c>
      <c r="D6945">
        <f t="shared" si="232"/>
        <v>-0.67156879022674909</v>
      </c>
    </row>
    <row r="6946" spans="1:4" x14ac:dyDescent="0.3">
      <c r="A6946" s="1">
        <v>36006</v>
      </c>
      <c r="B6946">
        <v>1919.579956</v>
      </c>
      <c r="C6946">
        <f t="shared" si="233"/>
        <v>2.0244575417592312E-2</v>
      </c>
      <c r="D6946">
        <f t="shared" si="232"/>
        <v>1.5823048353057958</v>
      </c>
    </row>
    <row r="6947" spans="1:4" x14ac:dyDescent="0.3">
      <c r="A6947" s="1">
        <v>36007</v>
      </c>
      <c r="B6947">
        <v>1872.3900149999999</v>
      </c>
      <c r="C6947">
        <f t="shared" si="233"/>
        <v>-2.4583472468807176E-2</v>
      </c>
      <c r="D6947">
        <f t="shared" si="232"/>
        <v>-2.0037546615718149</v>
      </c>
    </row>
    <row r="6948" spans="1:4" x14ac:dyDescent="0.3">
      <c r="A6948" s="1">
        <v>36010</v>
      </c>
      <c r="B6948">
        <v>1851.099976</v>
      </c>
      <c r="C6948">
        <f t="shared" si="233"/>
        <v>-1.1370515132767347E-2</v>
      </c>
      <c r="D6948">
        <f t="shared" si="232"/>
        <v>-0.94677240669384088</v>
      </c>
    </row>
    <row r="6949" spans="1:4" x14ac:dyDescent="0.3">
      <c r="A6949" s="1">
        <v>36011</v>
      </c>
      <c r="B6949">
        <v>1785.6400149999999</v>
      </c>
      <c r="C6949">
        <f t="shared" si="233"/>
        <v>-3.5362736669388849E-2</v>
      </c>
      <c r="D6949">
        <f t="shared" si="232"/>
        <v>-2.8660514730191058</v>
      </c>
    </row>
    <row r="6950" spans="1:4" x14ac:dyDescent="0.3">
      <c r="A6950" s="1">
        <v>36012</v>
      </c>
      <c r="B6950">
        <v>1788.1999510000001</v>
      </c>
      <c r="C6950">
        <f t="shared" si="233"/>
        <v>1.4336237867071471E-3</v>
      </c>
      <c r="D6950">
        <f t="shared" si="232"/>
        <v>7.7506055930279927E-2</v>
      </c>
    </row>
    <row r="6951" spans="1:4" x14ac:dyDescent="0.3">
      <c r="A6951" s="1">
        <v>36013</v>
      </c>
      <c r="B6951">
        <v>1829.51001</v>
      </c>
      <c r="C6951">
        <f t="shared" si="233"/>
        <v>2.3101476418729592E-2</v>
      </c>
      <c r="D6951">
        <f t="shared" si="232"/>
        <v>1.8108451677496666</v>
      </c>
    </row>
    <row r="6952" spans="1:4" x14ac:dyDescent="0.3">
      <c r="A6952" s="1">
        <v>36014</v>
      </c>
      <c r="B6952">
        <v>1846.7700199999999</v>
      </c>
      <c r="C6952">
        <f t="shared" si="233"/>
        <v>9.4342255060960098E-3</v>
      </c>
      <c r="D6952">
        <f t="shared" si="232"/>
        <v>0.71752129481054161</v>
      </c>
    </row>
    <row r="6953" spans="1:4" x14ac:dyDescent="0.3">
      <c r="A6953" s="1">
        <v>36017</v>
      </c>
      <c r="B6953">
        <v>1839.209961</v>
      </c>
      <c r="C6953">
        <f t="shared" si="233"/>
        <v>-4.0936656530735274E-3</v>
      </c>
      <c r="D6953">
        <f t="shared" si="232"/>
        <v>-0.36465437090219044</v>
      </c>
    </row>
    <row r="6954" spans="1:4" x14ac:dyDescent="0.3">
      <c r="A6954" s="1">
        <v>36018</v>
      </c>
      <c r="B6954">
        <v>1792.6999510000001</v>
      </c>
      <c r="C6954">
        <f t="shared" si="233"/>
        <v>-2.5288037247640789E-2</v>
      </c>
      <c r="D6954">
        <f t="shared" si="232"/>
        <v>-2.060116946690822</v>
      </c>
    </row>
    <row r="6955" spans="1:4" x14ac:dyDescent="0.3">
      <c r="A6955" s="1">
        <v>36019</v>
      </c>
      <c r="B6955">
        <v>1825.530029</v>
      </c>
      <c r="C6955">
        <f t="shared" si="233"/>
        <v>1.831320293264177E-2</v>
      </c>
      <c r="D6955">
        <f t="shared" si="232"/>
        <v>1.427802978360865</v>
      </c>
    </row>
    <row r="6956" spans="1:4" x14ac:dyDescent="0.3">
      <c r="A6956" s="1">
        <v>36020</v>
      </c>
      <c r="B6956">
        <v>1802.540039</v>
      </c>
      <c r="C6956">
        <f t="shared" si="233"/>
        <v>-1.2593597275742229E-2</v>
      </c>
      <c r="D6956">
        <f t="shared" si="232"/>
        <v>-1.0446139487880082</v>
      </c>
    </row>
    <row r="6957" spans="1:4" x14ac:dyDescent="0.3">
      <c r="A6957" s="1">
        <v>36021</v>
      </c>
      <c r="B6957">
        <v>1790.1899410000001</v>
      </c>
      <c r="C6957">
        <f t="shared" si="233"/>
        <v>-6.8514971833032829E-3</v>
      </c>
      <c r="D6957">
        <f t="shared" si="232"/>
        <v>-0.58526955304955774</v>
      </c>
    </row>
    <row r="6958" spans="1:4" x14ac:dyDescent="0.3">
      <c r="A6958" s="1">
        <v>36024</v>
      </c>
      <c r="B6958">
        <v>1818.040039</v>
      </c>
      <c r="C6958">
        <f t="shared" si="233"/>
        <v>1.5557063170873827E-2</v>
      </c>
      <c r="D6958">
        <f t="shared" si="232"/>
        <v>1.2073231307338492</v>
      </c>
    </row>
    <row r="6959" spans="1:4" x14ac:dyDescent="0.3">
      <c r="A6959" s="1">
        <v>36025</v>
      </c>
      <c r="B6959">
        <v>1855.119995</v>
      </c>
      <c r="C6959">
        <f t="shared" si="233"/>
        <v>2.0395566216680028E-2</v>
      </c>
      <c r="D6959">
        <f t="shared" si="232"/>
        <v>1.5943834783549373</v>
      </c>
    </row>
    <row r="6960" spans="1:4" x14ac:dyDescent="0.3">
      <c r="A6960" s="1">
        <v>36026</v>
      </c>
      <c r="B6960">
        <v>1842.6899410000001</v>
      </c>
      <c r="C6960">
        <f t="shared" si="233"/>
        <v>-6.7004043045743398E-3</v>
      </c>
      <c r="D6960">
        <f t="shared" si="232"/>
        <v>-0.57318274404887204</v>
      </c>
    </row>
    <row r="6961" spans="1:4" x14ac:dyDescent="0.3">
      <c r="A6961" s="1">
        <v>36027</v>
      </c>
      <c r="B6961">
        <v>1832.4499510000001</v>
      </c>
      <c r="C6961">
        <f t="shared" si="233"/>
        <v>-5.5570879137935413E-3</v>
      </c>
      <c r="D6961">
        <f t="shared" si="232"/>
        <v>-0.48172213413149872</v>
      </c>
    </row>
    <row r="6962" spans="1:4" x14ac:dyDescent="0.3">
      <c r="A6962" s="1">
        <v>36028</v>
      </c>
      <c r="B6962">
        <v>1797.6099850000001</v>
      </c>
      <c r="C6962">
        <f t="shared" si="233"/>
        <v>-1.9012779028964595E-2</v>
      </c>
      <c r="D6962">
        <f t="shared" si="232"/>
        <v>-1.5581220932127069</v>
      </c>
    </row>
    <row r="6963" spans="1:4" x14ac:dyDescent="0.3">
      <c r="A6963" s="1">
        <v>36031</v>
      </c>
      <c r="B6963">
        <v>1790.8199460000001</v>
      </c>
      <c r="C6963">
        <f t="shared" si="233"/>
        <v>-3.7772592813006536E-3</v>
      </c>
      <c r="D6963">
        <f t="shared" si="232"/>
        <v>-0.33934316223113548</v>
      </c>
    </row>
    <row r="6964" spans="1:4" x14ac:dyDescent="0.3">
      <c r="A6964" s="1">
        <v>36032</v>
      </c>
      <c r="B6964">
        <v>1798.170044</v>
      </c>
      <c r="C6964">
        <f t="shared" si="233"/>
        <v>4.1043199325633871E-3</v>
      </c>
      <c r="D6964">
        <f t="shared" si="232"/>
        <v>0.29115076563060749</v>
      </c>
    </row>
    <row r="6965" spans="1:4" x14ac:dyDescent="0.3">
      <c r="A6965" s="1">
        <v>36033</v>
      </c>
      <c r="B6965">
        <v>1768.130005</v>
      </c>
      <c r="C6965">
        <f t="shared" si="233"/>
        <v>-1.6705894473237025E-2</v>
      </c>
      <c r="D6965">
        <f t="shared" si="232"/>
        <v>-1.3735808147204753</v>
      </c>
    </row>
    <row r="6966" spans="1:4" x14ac:dyDescent="0.3">
      <c r="A6966" s="1">
        <v>36034</v>
      </c>
      <c r="B6966">
        <v>1686.410034</v>
      </c>
      <c r="C6966">
        <f t="shared" si="233"/>
        <v>-4.6218304518846731E-2</v>
      </c>
      <c r="D6966">
        <f t="shared" si="232"/>
        <v>-3.7344522626140146</v>
      </c>
    </row>
    <row r="6967" spans="1:4" x14ac:dyDescent="0.3">
      <c r="A6967" s="1">
        <v>36035</v>
      </c>
      <c r="B6967">
        <v>1639.6800539999999</v>
      </c>
      <c r="C6967">
        <f t="shared" si="233"/>
        <v>-2.770973787979731E-2</v>
      </c>
      <c r="D6967">
        <f t="shared" si="232"/>
        <v>-2.2538430391708424</v>
      </c>
    </row>
    <row r="6968" spans="1:4" x14ac:dyDescent="0.3">
      <c r="A6968" s="1">
        <v>36038</v>
      </c>
      <c r="B6968">
        <v>1499.25</v>
      </c>
      <c r="C6968">
        <f t="shared" si="233"/>
        <v>-8.5644790065855084E-2</v>
      </c>
      <c r="D6968">
        <f t="shared" si="232"/>
        <v>-6.888408983697393</v>
      </c>
    </row>
    <row r="6969" spans="1:4" x14ac:dyDescent="0.3">
      <c r="A6969" s="1">
        <v>36039</v>
      </c>
      <c r="B6969">
        <v>1575.089966</v>
      </c>
      <c r="C6969">
        <f t="shared" si="233"/>
        <v>5.0585269968317498E-2</v>
      </c>
      <c r="D6969">
        <f t="shared" si="232"/>
        <v>4.0094356376823379</v>
      </c>
    </row>
    <row r="6970" spans="1:4" x14ac:dyDescent="0.3">
      <c r="A6970" s="1">
        <v>36040</v>
      </c>
      <c r="B6970">
        <v>1592.849976</v>
      </c>
      <c r="C6970">
        <f t="shared" si="233"/>
        <v>1.1275552751505475E-2</v>
      </c>
      <c r="D6970">
        <f t="shared" si="232"/>
        <v>0.86481990286042365</v>
      </c>
    </row>
    <row r="6971" spans="1:4" x14ac:dyDescent="0.3">
      <c r="A6971" s="1">
        <v>36041</v>
      </c>
      <c r="B6971">
        <v>1571.8599850000001</v>
      </c>
      <c r="C6971">
        <f t="shared" si="233"/>
        <v>-1.3177632116183627E-2</v>
      </c>
      <c r="D6971">
        <f t="shared" si="232"/>
        <v>-1.091334334457706</v>
      </c>
    </row>
    <row r="6972" spans="1:4" x14ac:dyDescent="0.3">
      <c r="A6972" s="1">
        <v>36042</v>
      </c>
      <c r="B6972">
        <v>1566.5200199999999</v>
      </c>
      <c r="C6972">
        <f t="shared" si="233"/>
        <v>-3.3972268846834473E-3</v>
      </c>
      <c r="D6972">
        <f t="shared" si="232"/>
        <v>-0.30894213320431135</v>
      </c>
    </row>
    <row r="6973" spans="1:4" x14ac:dyDescent="0.3">
      <c r="A6973" s="1">
        <v>36046</v>
      </c>
      <c r="B6973">
        <v>1660.8599850000001</v>
      </c>
      <c r="C6973">
        <f t="shared" si="233"/>
        <v>6.0222636031169348E-2</v>
      </c>
      <c r="D6973">
        <f t="shared" si="232"/>
        <v>4.780385293624442</v>
      </c>
    </row>
    <row r="6974" spans="1:4" x14ac:dyDescent="0.3">
      <c r="A6974" s="1">
        <v>36047</v>
      </c>
      <c r="B6974">
        <v>1624.5500489999999</v>
      </c>
      <c r="C6974">
        <f t="shared" si="233"/>
        <v>-2.1862129455783176E-2</v>
      </c>
      <c r="D6974">
        <f t="shared" si="232"/>
        <v>-1.786058410759229</v>
      </c>
    </row>
    <row r="6975" spans="1:4" x14ac:dyDescent="0.3">
      <c r="A6975" s="1">
        <v>36048</v>
      </c>
      <c r="B6975">
        <v>1585.329956</v>
      </c>
      <c r="C6975">
        <f t="shared" si="233"/>
        <v>-2.4142126630165708E-2</v>
      </c>
      <c r="D6975">
        <f t="shared" si="232"/>
        <v>-1.9684488093054302</v>
      </c>
    </row>
    <row r="6976" spans="1:4" x14ac:dyDescent="0.3">
      <c r="A6976" s="1">
        <v>36049</v>
      </c>
      <c r="B6976">
        <v>1641.6400149999999</v>
      </c>
      <c r="C6976">
        <f t="shared" si="233"/>
        <v>3.5519456871979972E-2</v>
      </c>
      <c r="D6976">
        <f t="shared" si="232"/>
        <v>2.8042325409689597</v>
      </c>
    </row>
    <row r="6977" spans="1:4" x14ac:dyDescent="0.3">
      <c r="A6977" s="1">
        <v>36052</v>
      </c>
      <c r="B6977">
        <v>1665.6899410000001</v>
      </c>
      <c r="C6977">
        <f t="shared" si="233"/>
        <v>1.4649938951445542E-2</v>
      </c>
      <c r="D6977">
        <f t="shared" si="232"/>
        <v>1.134756923296665</v>
      </c>
    </row>
    <row r="6978" spans="1:4" x14ac:dyDescent="0.3">
      <c r="A6978" s="1">
        <v>36053</v>
      </c>
      <c r="B6978">
        <v>1678.1099850000001</v>
      </c>
      <c r="C6978">
        <f t="shared" si="233"/>
        <v>7.4563961120780765E-3</v>
      </c>
      <c r="D6978">
        <f t="shared" si="232"/>
        <v>0.5593030761721709</v>
      </c>
    </row>
    <row r="6979" spans="1:4" x14ac:dyDescent="0.3">
      <c r="A6979" s="1">
        <v>36054</v>
      </c>
      <c r="B6979">
        <v>1689.910034</v>
      </c>
      <c r="C6979">
        <f t="shared" si="233"/>
        <v>7.0317494714149768E-3</v>
      </c>
      <c r="D6979">
        <f t="shared" ref="D6979:D7042" si="234">(C6979-avrtn)/sdrtn</f>
        <v>0.52533309107654302</v>
      </c>
    </row>
    <row r="6980" spans="1:4" x14ac:dyDescent="0.3">
      <c r="A6980" s="1">
        <v>36055</v>
      </c>
      <c r="B6980">
        <v>1646.25</v>
      </c>
      <c r="C6980">
        <f t="shared" ref="C6980:C7043" si="235">(B6980-B6979)/B6979</f>
        <v>-2.5835714991677479E-2</v>
      </c>
      <c r="D6980">
        <f t="shared" si="234"/>
        <v>-2.1039289141494173</v>
      </c>
    </row>
    <row r="6981" spans="1:4" x14ac:dyDescent="0.3">
      <c r="A6981" s="1">
        <v>36056</v>
      </c>
      <c r="B6981">
        <v>1663.7700199999999</v>
      </c>
      <c r="C6981">
        <f t="shared" si="235"/>
        <v>1.0642381169324181E-2</v>
      </c>
      <c r="D6981">
        <f t="shared" si="234"/>
        <v>0.81416877990302328</v>
      </c>
    </row>
    <row r="6982" spans="1:4" x14ac:dyDescent="0.3">
      <c r="A6982" s="1">
        <v>36059</v>
      </c>
      <c r="B6982">
        <v>1680.4300539999999</v>
      </c>
      <c r="C6982">
        <f t="shared" si="235"/>
        <v>1.0013423610073222E-2</v>
      </c>
      <c r="D6982">
        <f t="shared" si="234"/>
        <v>0.76385476145188391</v>
      </c>
    </row>
    <row r="6983" spans="1:4" x14ac:dyDescent="0.3">
      <c r="A6983" s="1">
        <v>36060</v>
      </c>
      <c r="B6983">
        <v>1697.8000489999999</v>
      </c>
      <c r="C6983">
        <f t="shared" si="235"/>
        <v>1.0336636719066926E-2</v>
      </c>
      <c r="D6983">
        <f t="shared" si="234"/>
        <v>0.78971048111113451</v>
      </c>
    </row>
    <row r="6984" spans="1:4" x14ac:dyDescent="0.3">
      <c r="A6984" s="1">
        <v>36061</v>
      </c>
      <c r="B6984">
        <v>1760.2700199999999</v>
      </c>
      <c r="C6984">
        <f t="shared" si="235"/>
        <v>3.6794657319508643E-2</v>
      </c>
      <c r="D6984">
        <f t="shared" si="234"/>
        <v>2.9062433331156812</v>
      </c>
    </row>
    <row r="6985" spans="1:4" x14ac:dyDescent="0.3">
      <c r="A6985" s="1">
        <v>36062</v>
      </c>
      <c r="B6985">
        <v>1720.339966</v>
      </c>
      <c r="C6985">
        <f t="shared" si="235"/>
        <v>-2.2684050484481879E-2</v>
      </c>
      <c r="D6985">
        <f t="shared" si="234"/>
        <v>-1.8518087132956602</v>
      </c>
    </row>
    <row r="6986" spans="1:4" x14ac:dyDescent="0.3">
      <c r="A6986" s="1">
        <v>36063</v>
      </c>
      <c r="B6986">
        <v>1743.589966</v>
      </c>
      <c r="C6986">
        <f t="shared" si="235"/>
        <v>1.3514770603195997E-2</v>
      </c>
      <c r="D6986">
        <f t="shared" si="234"/>
        <v>1.0439481232768411</v>
      </c>
    </row>
    <row r="6987" spans="1:4" x14ac:dyDescent="0.3">
      <c r="A6987" s="1">
        <v>36066</v>
      </c>
      <c r="B6987">
        <v>1739.219971</v>
      </c>
      <c r="C6987">
        <f t="shared" si="235"/>
        <v>-2.5063203420614415E-3</v>
      </c>
      <c r="D6987">
        <f t="shared" si="234"/>
        <v>-0.237673273224144</v>
      </c>
    </row>
    <row r="6988" spans="1:4" x14ac:dyDescent="0.3">
      <c r="A6988" s="1">
        <v>36067</v>
      </c>
      <c r="B6988">
        <v>1734.0500489999999</v>
      </c>
      <c r="C6988">
        <f t="shared" si="235"/>
        <v>-2.9725521131335046E-3</v>
      </c>
      <c r="D6988">
        <f t="shared" si="234"/>
        <v>-0.27496989775341096</v>
      </c>
    </row>
    <row r="6989" spans="1:4" x14ac:dyDescent="0.3">
      <c r="A6989" s="1">
        <v>36068</v>
      </c>
      <c r="B6989">
        <v>1693.839966</v>
      </c>
      <c r="C6989">
        <f t="shared" si="235"/>
        <v>-2.3188536584159425E-2</v>
      </c>
      <c r="D6989">
        <f t="shared" si="234"/>
        <v>-1.8921655268106268</v>
      </c>
    </row>
    <row r="6990" spans="1:4" x14ac:dyDescent="0.3">
      <c r="A6990" s="1">
        <v>36069</v>
      </c>
      <c r="B6990">
        <v>1612.329956</v>
      </c>
      <c r="C6990">
        <f t="shared" si="235"/>
        <v>-4.8121435103745787E-2</v>
      </c>
      <c r="D6990">
        <f t="shared" si="234"/>
        <v>-3.8866948836862139</v>
      </c>
    </row>
    <row r="6991" spans="1:4" x14ac:dyDescent="0.3">
      <c r="A6991" s="1">
        <v>36070</v>
      </c>
      <c r="B6991">
        <v>1614.9799800000001</v>
      </c>
      <c r="C6991">
        <f t="shared" si="235"/>
        <v>1.643599059943305E-3</v>
      </c>
      <c r="D6991">
        <f t="shared" si="234"/>
        <v>9.430321436568985E-2</v>
      </c>
    </row>
    <row r="6992" spans="1:4" x14ac:dyDescent="0.3">
      <c r="A6992" s="1">
        <v>36073</v>
      </c>
      <c r="B6992">
        <v>1536.6899410000001</v>
      </c>
      <c r="C6992">
        <f t="shared" si="235"/>
        <v>-4.8477405274088892E-2</v>
      </c>
      <c r="D6992">
        <f t="shared" si="234"/>
        <v>-3.9151710335555752</v>
      </c>
    </row>
    <row r="6993" spans="1:4" x14ac:dyDescent="0.3">
      <c r="A6993" s="1">
        <v>36074</v>
      </c>
      <c r="B6993">
        <v>1510.8900149999999</v>
      </c>
      <c r="C6993">
        <f t="shared" si="235"/>
        <v>-1.6789285406014213E-2</v>
      </c>
      <c r="D6993">
        <f t="shared" si="234"/>
        <v>-1.3802517464370858</v>
      </c>
    </row>
    <row r="6994" spans="1:4" x14ac:dyDescent="0.3">
      <c r="A6994" s="1">
        <v>36075</v>
      </c>
      <c r="B6994">
        <v>1462.6099850000001</v>
      </c>
      <c r="C6994">
        <f t="shared" si="235"/>
        <v>-3.1954695259535419E-2</v>
      </c>
      <c r="D6994">
        <f t="shared" si="234"/>
        <v>-2.5934221741808456</v>
      </c>
    </row>
    <row r="6995" spans="1:4" x14ac:dyDescent="0.3">
      <c r="A6995" s="1">
        <v>36076</v>
      </c>
      <c r="B6995">
        <v>1419.119995</v>
      </c>
      <c r="C6995">
        <f t="shared" si="235"/>
        <v>-2.9734509162399867E-2</v>
      </c>
      <c r="D6995">
        <f t="shared" si="234"/>
        <v>-2.4158164158697839</v>
      </c>
    </row>
    <row r="6996" spans="1:4" x14ac:dyDescent="0.3">
      <c r="A6996" s="1">
        <v>36077</v>
      </c>
      <c r="B6996">
        <v>1492.48999</v>
      </c>
      <c r="C6996">
        <f t="shared" si="235"/>
        <v>5.1701050833266579E-2</v>
      </c>
      <c r="D6996">
        <f t="shared" si="234"/>
        <v>4.0986935187599327</v>
      </c>
    </row>
    <row r="6997" spans="1:4" x14ac:dyDescent="0.3">
      <c r="A6997" s="1">
        <v>36080</v>
      </c>
      <c r="B6997">
        <v>1546.079956</v>
      </c>
      <c r="C6997">
        <f t="shared" si="235"/>
        <v>3.5906415693950484E-2</v>
      </c>
      <c r="D6997">
        <f t="shared" si="234"/>
        <v>2.8351876555424171</v>
      </c>
    </row>
    <row r="6998" spans="1:4" x14ac:dyDescent="0.3">
      <c r="A6998" s="1">
        <v>36081</v>
      </c>
      <c r="B6998">
        <v>1509.4499510000001</v>
      </c>
      <c r="C6998">
        <f t="shared" si="235"/>
        <v>-2.3692180250993424E-2</v>
      </c>
      <c r="D6998">
        <f t="shared" si="234"/>
        <v>-1.9324549491622138</v>
      </c>
    </row>
    <row r="6999" spans="1:4" x14ac:dyDescent="0.3">
      <c r="A6999" s="1">
        <v>36082</v>
      </c>
      <c r="B6999">
        <v>1540.969971</v>
      </c>
      <c r="C6999">
        <f t="shared" si="235"/>
        <v>2.0881792058834503E-2</v>
      </c>
      <c r="D6999">
        <f t="shared" si="234"/>
        <v>1.6332795463546856</v>
      </c>
    </row>
    <row r="7000" spans="1:4" x14ac:dyDescent="0.3">
      <c r="A7000" s="1">
        <v>36083</v>
      </c>
      <c r="B7000">
        <v>1611.01001</v>
      </c>
      <c r="C7000">
        <f t="shared" si="235"/>
        <v>4.5451916856334366E-2</v>
      </c>
      <c r="D7000">
        <f t="shared" si="234"/>
        <v>3.5987884971978121</v>
      </c>
    </row>
    <row r="7001" spans="1:4" x14ac:dyDescent="0.3">
      <c r="A7001" s="1">
        <v>36084</v>
      </c>
      <c r="B7001">
        <v>1620.9499510000001</v>
      </c>
      <c r="C7001">
        <f t="shared" si="235"/>
        <v>6.1700057344771493E-3</v>
      </c>
      <c r="D7001">
        <f t="shared" si="234"/>
        <v>0.45639713563293643</v>
      </c>
    </row>
    <row r="7002" spans="1:4" x14ac:dyDescent="0.3">
      <c r="A7002" s="1">
        <v>36087</v>
      </c>
      <c r="B7002">
        <v>1648.7299800000001</v>
      </c>
      <c r="C7002">
        <f t="shared" si="235"/>
        <v>1.7138116437748058E-2</v>
      </c>
      <c r="D7002">
        <f t="shared" si="234"/>
        <v>1.3338008907539074</v>
      </c>
    </row>
    <row r="7003" spans="1:4" x14ac:dyDescent="0.3">
      <c r="A7003" s="1">
        <v>36088</v>
      </c>
      <c r="B7003">
        <v>1639.1899410000001</v>
      </c>
      <c r="C7003">
        <f t="shared" si="235"/>
        <v>-5.7862955824943378E-3</v>
      </c>
      <c r="D7003">
        <f t="shared" si="234"/>
        <v>-0.50005780511999698</v>
      </c>
    </row>
    <row r="7004" spans="1:4" x14ac:dyDescent="0.3">
      <c r="A7004" s="1">
        <v>36089</v>
      </c>
      <c r="B7004">
        <v>1674.75</v>
      </c>
      <c r="C7004">
        <f t="shared" si="235"/>
        <v>2.1693678145868946E-2</v>
      </c>
      <c r="D7004">
        <f t="shared" si="234"/>
        <v>1.6982270948219029</v>
      </c>
    </row>
    <row r="7005" spans="1:4" x14ac:dyDescent="0.3">
      <c r="A7005" s="1">
        <v>36090</v>
      </c>
      <c r="B7005">
        <v>1702.6400149999999</v>
      </c>
      <c r="C7005">
        <f t="shared" si="235"/>
        <v>1.6653240782206268E-2</v>
      </c>
      <c r="D7005">
        <f t="shared" si="234"/>
        <v>1.2950128321311734</v>
      </c>
    </row>
    <row r="7006" spans="1:4" x14ac:dyDescent="0.3">
      <c r="A7006" s="1">
        <v>36091</v>
      </c>
      <c r="B7006">
        <v>1693.8599850000001</v>
      </c>
      <c r="C7006">
        <f t="shared" si="235"/>
        <v>-5.1567154082185112E-3</v>
      </c>
      <c r="D7006">
        <f t="shared" si="234"/>
        <v>-0.4496939800270765</v>
      </c>
    </row>
    <row r="7007" spans="1:4" x14ac:dyDescent="0.3">
      <c r="A7007" s="1">
        <v>36094</v>
      </c>
      <c r="B7007">
        <v>1724.9799800000001</v>
      </c>
      <c r="C7007">
        <f t="shared" si="235"/>
        <v>1.8372235766582569E-2</v>
      </c>
      <c r="D7007">
        <f t="shared" si="234"/>
        <v>1.4325253623316654</v>
      </c>
    </row>
    <row r="7008" spans="1:4" x14ac:dyDescent="0.3">
      <c r="A7008" s="1">
        <v>36095</v>
      </c>
      <c r="B7008">
        <v>1717.630005</v>
      </c>
      <c r="C7008">
        <f t="shared" si="235"/>
        <v>-4.2609045236571882E-3</v>
      </c>
      <c r="D7008">
        <f t="shared" si="234"/>
        <v>-0.37803279285853836</v>
      </c>
    </row>
    <row r="7009" spans="1:4" x14ac:dyDescent="0.3">
      <c r="A7009" s="1">
        <v>36096</v>
      </c>
      <c r="B7009">
        <v>1737.349976</v>
      </c>
      <c r="C7009">
        <f t="shared" si="235"/>
        <v>1.1480919023652005E-2</v>
      </c>
      <c r="D7009">
        <f t="shared" si="234"/>
        <v>0.88124836016098906</v>
      </c>
    </row>
    <row r="7010" spans="1:4" x14ac:dyDescent="0.3">
      <c r="A7010" s="1">
        <v>36097</v>
      </c>
      <c r="B7010">
        <v>1757.1899410000001</v>
      </c>
      <c r="C7010">
        <f t="shared" si="235"/>
        <v>1.1419670920696592E-2</v>
      </c>
      <c r="D7010">
        <f t="shared" si="234"/>
        <v>0.87634876377826021</v>
      </c>
    </row>
    <row r="7011" spans="1:4" x14ac:dyDescent="0.3">
      <c r="A7011" s="1">
        <v>36098</v>
      </c>
      <c r="B7011">
        <v>1771.3900149999999</v>
      </c>
      <c r="C7011">
        <f t="shared" si="235"/>
        <v>8.0811263874631164E-3</v>
      </c>
      <c r="D7011">
        <f t="shared" si="234"/>
        <v>0.60927892929673189</v>
      </c>
    </row>
    <row r="7012" spans="1:4" x14ac:dyDescent="0.3">
      <c r="A7012" s="1">
        <v>36101</v>
      </c>
      <c r="B7012">
        <v>1800.910034</v>
      </c>
      <c r="C7012">
        <f t="shared" si="235"/>
        <v>1.6664889578255893E-2</v>
      </c>
      <c r="D7012">
        <f t="shared" si="234"/>
        <v>1.2959446879150076</v>
      </c>
    </row>
    <row r="7013" spans="1:4" x14ac:dyDescent="0.3">
      <c r="A7013" s="1">
        <v>36102</v>
      </c>
      <c r="B7013">
        <v>1788.4300539999999</v>
      </c>
      <c r="C7013">
        <f t="shared" si="235"/>
        <v>-6.9298186829915061E-3</v>
      </c>
      <c r="D7013">
        <f t="shared" si="234"/>
        <v>-0.59153495096468456</v>
      </c>
    </row>
    <row r="7014" spans="1:4" x14ac:dyDescent="0.3">
      <c r="A7014" s="1">
        <v>36103</v>
      </c>
      <c r="B7014">
        <v>1823.5699460000001</v>
      </c>
      <c r="C7014">
        <f t="shared" si="235"/>
        <v>1.9648457551586274E-2</v>
      </c>
      <c r="D7014">
        <f t="shared" si="234"/>
        <v>1.5346178572766247</v>
      </c>
    </row>
    <row r="7015" spans="1:4" x14ac:dyDescent="0.3">
      <c r="A7015" s="1">
        <v>36104</v>
      </c>
      <c r="B7015">
        <v>1837.099976</v>
      </c>
      <c r="C7015">
        <f t="shared" si="235"/>
        <v>7.419528946327511E-3</v>
      </c>
      <c r="D7015">
        <f t="shared" si="234"/>
        <v>0.55635385451081709</v>
      </c>
    </row>
    <row r="7016" spans="1:4" x14ac:dyDescent="0.3">
      <c r="A7016" s="1">
        <v>36105</v>
      </c>
      <c r="B7016">
        <v>1856.5600589999999</v>
      </c>
      <c r="C7016">
        <f t="shared" si="235"/>
        <v>1.0592827420514832E-2</v>
      </c>
      <c r="D7016">
        <f t="shared" si="234"/>
        <v>0.81020468376450805</v>
      </c>
    </row>
    <row r="7017" spans="1:4" x14ac:dyDescent="0.3">
      <c r="A7017" s="1">
        <v>36108</v>
      </c>
      <c r="B7017">
        <v>1861.0500489999999</v>
      </c>
      <c r="C7017">
        <f t="shared" si="235"/>
        <v>2.4184458661781622E-3</v>
      </c>
      <c r="D7017">
        <f t="shared" si="234"/>
        <v>0.15628777267537294</v>
      </c>
    </row>
    <row r="7018" spans="1:4" x14ac:dyDescent="0.3">
      <c r="A7018" s="1">
        <v>36109</v>
      </c>
      <c r="B7018">
        <v>1865.619995</v>
      </c>
      <c r="C7018">
        <f t="shared" si="235"/>
        <v>2.4555739392692027E-3</v>
      </c>
      <c r="D7018">
        <f t="shared" si="234"/>
        <v>0.15925786585110738</v>
      </c>
    </row>
    <row r="7019" spans="1:4" x14ac:dyDescent="0.3">
      <c r="A7019" s="1">
        <v>36110</v>
      </c>
      <c r="B7019">
        <v>1862.1099850000001</v>
      </c>
      <c r="C7019">
        <f t="shared" si="235"/>
        <v>-1.8814174426769936E-3</v>
      </c>
      <c r="D7019">
        <f t="shared" si="234"/>
        <v>-0.1876836108894645</v>
      </c>
    </row>
    <row r="7020" spans="1:4" x14ac:dyDescent="0.3">
      <c r="A7020" s="1">
        <v>36111</v>
      </c>
      <c r="B7020">
        <v>1851.0600589999999</v>
      </c>
      <c r="C7020">
        <f t="shared" si="235"/>
        <v>-5.9340887965863851E-3</v>
      </c>
      <c r="D7020">
        <f t="shared" si="234"/>
        <v>-0.51188065451803311</v>
      </c>
    </row>
    <row r="7021" spans="1:4" x14ac:dyDescent="0.3">
      <c r="A7021" s="1">
        <v>36112</v>
      </c>
      <c r="B7021">
        <v>1847.98999</v>
      </c>
      <c r="C7021">
        <f t="shared" si="235"/>
        <v>-1.6585464015999689E-3</v>
      </c>
      <c r="D7021">
        <f t="shared" si="234"/>
        <v>-0.16985484405449947</v>
      </c>
    </row>
    <row r="7022" spans="1:4" x14ac:dyDescent="0.3">
      <c r="A7022" s="1">
        <v>36115</v>
      </c>
      <c r="B7022">
        <v>1861.6800539999999</v>
      </c>
      <c r="C7022">
        <f t="shared" si="235"/>
        <v>7.408083417161742E-3</v>
      </c>
      <c r="D7022">
        <f t="shared" si="234"/>
        <v>0.55543825924185275</v>
      </c>
    </row>
    <row r="7023" spans="1:4" x14ac:dyDescent="0.3">
      <c r="A7023" s="1">
        <v>36116</v>
      </c>
      <c r="B7023">
        <v>1878.5200199999999</v>
      </c>
      <c r="C7023">
        <f t="shared" si="235"/>
        <v>9.0455747021716791E-3</v>
      </c>
      <c r="D7023">
        <f t="shared" si="234"/>
        <v>0.68643082863825011</v>
      </c>
    </row>
    <row r="7024" spans="1:4" x14ac:dyDescent="0.3">
      <c r="A7024" s="1">
        <v>36117</v>
      </c>
      <c r="B7024">
        <v>1897.4399410000001</v>
      </c>
      <c r="C7024">
        <f t="shared" si="235"/>
        <v>1.0071716456873405E-2</v>
      </c>
      <c r="D7024">
        <f t="shared" si="234"/>
        <v>0.76851794949428021</v>
      </c>
    </row>
    <row r="7025" spans="1:4" x14ac:dyDescent="0.3">
      <c r="A7025" s="1">
        <v>36118</v>
      </c>
      <c r="B7025">
        <v>1919.6800539999999</v>
      </c>
      <c r="C7025">
        <f t="shared" si="235"/>
        <v>1.1721115656645617E-2</v>
      </c>
      <c r="D7025">
        <f t="shared" si="234"/>
        <v>0.90046310310602151</v>
      </c>
    </row>
    <row r="7026" spans="1:4" x14ac:dyDescent="0.3">
      <c r="A7026" s="1">
        <v>36119</v>
      </c>
      <c r="B7026">
        <v>1928.209961</v>
      </c>
      <c r="C7026">
        <f t="shared" si="235"/>
        <v>4.4434003375856792E-3</v>
      </c>
      <c r="D7026">
        <f t="shared" si="234"/>
        <v>0.31827580372543413</v>
      </c>
    </row>
    <row r="7027" spans="1:4" x14ac:dyDescent="0.3">
      <c r="A7027" s="1">
        <v>36122</v>
      </c>
      <c r="B7027">
        <v>1977.420044</v>
      </c>
      <c r="C7027">
        <f t="shared" si="235"/>
        <v>2.5521122696865864E-2</v>
      </c>
      <c r="D7027">
        <f t="shared" si="234"/>
        <v>2.004406920355621</v>
      </c>
    </row>
    <row r="7028" spans="1:4" x14ac:dyDescent="0.3">
      <c r="A7028" s="1">
        <v>36123</v>
      </c>
      <c r="B7028">
        <v>1965.880005</v>
      </c>
      <c r="C7028">
        <f t="shared" si="235"/>
        <v>-5.8359067589182278E-3</v>
      </c>
      <c r="D7028">
        <f t="shared" si="234"/>
        <v>-0.50402649523153187</v>
      </c>
    </row>
    <row r="7029" spans="1:4" x14ac:dyDescent="0.3">
      <c r="A7029" s="1">
        <v>36124</v>
      </c>
      <c r="B7029">
        <v>1985.209961</v>
      </c>
      <c r="C7029">
        <f t="shared" si="235"/>
        <v>9.8327242511427031E-3</v>
      </c>
      <c r="D7029">
        <f t="shared" si="234"/>
        <v>0.74939955577764616</v>
      </c>
    </row>
    <row r="7030" spans="1:4" x14ac:dyDescent="0.3">
      <c r="A7030" s="1">
        <v>36126</v>
      </c>
      <c r="B7030">
        <v>2016.4399410000001</v>
      </c>
      <c r="C7030">
        <f t="shared" si="235"/>
        <v>1.573132344362646E-2</v>
      </c>
      <c r="D7030">
        <f t="shared" si="234"/>
        <v>1.2212632359915367</v>
      </c>
    </row>
    <row r="7031" spans="1:4" x14ac:dyDescent="0.3">
      <c r="A7031" s="1">
        <v>36129</v>
      </c>
      <c r="B7031">
        <v>1949.540039</v>
      </c>
      <c r="C7031">
        <f t="shared" si="235"/>
        <v>-3.3177235106155889E-2</v>
      </c>
      <c r="D7031">
        <f t="shared" si="234"/>
        <v>-2.6912203347965957</v>
      </c>
    </row>
    <row r="7032" spans="1:4" x14ac:dyDescent="0.3">
      <c r="A7032" s="1">
        <v>36130</v>
      </c>
      <c r="B7032">
        <v>2003.75</v>
      </c>
      <c r="C7032">
        <f t="shared" si="235"/>
        <v>2.7806538935105207E-2</v>
      </c>
      <c r="D7032">
        <f t="shared" si="234"/>
        <v>2.1872308217270438</v>
      </c>
    </row>
    <row r="7033" spans="1:4" x14ac:dyDescent="0.3">
      <c r="A7033" s="1">
        <v>36131</v>
      </c>
      <c r="B7033">
        <v>1995.209961</v>
      </c>
      <c r="C7033">
        <f t="shared" si="235"/>
        <v>-4.2620281971303704E-3</v>
      </c>
      <c r="D7033">
        <f t="shared" si="234"/>
        <v>-0.37812268211582001</v>
      </c>
    </row>
    <row r="7034" spans="1:4" x14ac:dyDescent="0.3">
      <c r="A7034" s="1">
        <v>36132</v>
      </c>
      <c r="B7034">
        <v>1954.329956</v>
      </c>
      <c r="C7034">
        <f t="shared" si="235"/>
        <v>-2.0489074232323354E-2</v>
      </c>
      <c r="D7034">
        <f t="shared" si="234"/>
        <v>-1.6762196389192585</v>
      </c>
    </row>
    <row r="7035" spans="1:4" x14ac:dyDescent="0.3">
      <c r="A7035" s="1">
        <v>36133</v>
      </c>
      <c r="B7035">
        <v>2003.160034</v>
      </c>
      <c r="C7035">
        <f t="shared" si="235"/>
        <v>2.498558539211173E-2</v>
      </c>
      <c r="D7035">
        <f t="shared" si="234"/>
        <v>1.961566138117846</v>
      </c>
    </row>
    <row r="7036" spans="1:4" x14ac:dyDescent="0.3">
      <c r="A7036" s="1">
        <v>36136</v>
      </c>
      <c r="B7036">
        <v>2040.6400149999999</v>
      </c>
      <c r="C7036">
        <f t="shared" si="235"/>
        <v>1.8710427706146993E-2</v>
      </c>
      <c r="D7036">
        <f t="shared" si="234"/>
        <v>1.4595793268432542</v>
      </c>
    </row>
    <row r="7037" spans="1:4" x14ac:dyDescent="0.3">
      <c r="A7037" s="1">
        <v>36137</v>
      </c>
      <c r="B7037">
        <v>2034.75</v>
      </c>
      <c r="C7037">
        <f t="shared" si="235"/>
        <v>-2.8863567100049976E-3</v>
      </c>
      <c r="D7037">
        <f t="shared" si="234"/>
        <v>-0.26807461994074588</v>
      </c>
    </row>
    <row r="7038" spans="1:4" x14ac:dyDescent="0.3">
      <c r="A7038" s="1">
        <v>36138</v>
      </c>
      <c r="B7038">
        <v>2050.419922</v>
      </c>
      <c r="C7038">
        <f t="shared" si="235"/>
        <v>7.7011534586558751E-3</v>
      </c>
      <c r="D7038">
        <f t="shared" si="234"/>
        <v>0.57888265745017187</v>
      </c>
    </row>
    <row r="7039" spans="1:4" x14ac:dyDescent="0.3">
      <c r="A7039" s="1">
        <v>36139</v>
      </c>
      <c r="B7039">
        <v>2015.959961</v>
      </c>
      <c r="C7039">
        <f t="shared" si="235"/>
        <v>-1.6806294471811135E-2</v>
      </c>
      <c r="D7039">
        <f t="shared" si="234"/>
        <v>-1.3816124017591431</v>
      </c>
    </row>
    <row r="7040" spans="1:4" x14ac:dyDescent="0.3">
      <c r="A7040" s="1">
        <v>36140</v>
      </c>
      <c r="B7040">
        <v>2029.3100589999999</v>
      </c>
      <c r="C7040">
        <f t="shared" si="235"/>
        <v>6.6222039416783283E-3</v>
      </c>
      <c r="D7040">
        <f t="shared" si="234"/>
        <v>0.49257113275889214</v>
      </c>
    </row>
    <row r="7041" spans="1:4" x14ac:dyDescent="0.3">
      <c r="A7041" s="1">
        <v>36143</v>
      </c>
      <c r="B7041">
        <v>1966.920044</v>
      </c>
      <c r="C7041">
        <f t="shared" si="235"/>
        <v>-3.0744446726265379E-2</v>
      </c>
      <c r="D7041">
        <f t="shared" si="234"/>
        <v>-2.4966072680909477</v>
      </c>
    </row>
    <row r="7042" spans="1:4" x14ac:dyDescent="0.3">
      <c r="A7042" s="1">
        <v>36144</v>
      </c>
      <c r="B7042">
        <v>2012.599976</v>
      </c>
      <c r="C7042">
        <f t="shared" si="235"/>
        <v>2.322409197025805E-2</v>
      </c>
      <c r="D7042">
        <f t="shared" si="234"/>
        <v>1.8206539076737827</v>
      </c>
    </row>
    <row r="7043" spans="1:4" x14ac:dyDescent="0.3">
      <c r="A7043" s="1">
        <v>36145</v>
      </c>
      <c r="B7043">
        <v>2009.3599850000001</v>
      </c>
      <c r="C7043">
        <f t="shared" si="235"/>
        <v>-1.6098534426296337E-3</v>
      </c>
      <c r="D7043">
        <f t="shared" ref="D7043:D7106" si="236">(C7043-avrtn)/sdrtn</f>
        <v>-0.16595960756351633</v>
      </c>
    </row>
    <row r="7044" spans="1:4" x14ac:dyDescent="0.3">
      <c r="A7044" s="1">
        <v>36146</v>
      </c>
      <c r="B7044">
        <v>2043.880005</v>
      </c>
      <c r="C7044">
        <f t="shared" ref="C7044:C7107" si="237">(B7044-B7043)/B7043</f>
        <v>1.7179609556124374E-2</v>
      </c>
      <c r="D7044">
        <f t="shared" si="236"/>
        <v>1.3371201696032904</v>
      </c>
    </row>
    <row r="7045" spans="1:4" x14ac:dyDescent="0.3">
      <c r="A7045" s="1">
        <v>36147</v>
      </c>
      <c r="B7045">
        <v>2086.139893</v>
      </c>
      <c r="C7045">
        <f t="shared" si="237"/>
        <v>2.0676305799077498E-2</v>
      </c>
      <c r="D7045">
        <f t="shared" si="236"/>
        <v>1.6168414905386743</v>
      </c>
    </row>
    <row r="7046" spans="1:4" x14ac:dyDescent="0.3">
      <c r="A7046" s="1">
        <v>36150</v>
      </c>
      <c r="B7046">
        <v>2138.030029</v>
      </c>
      <c r="C7046">
        <f t="shared" si="237"/>
        <v>2.4873756632580721E-2</v>
      </c>
      <c r="D7046">
        <f t="shared" si="236"/>
        <v>1.952620297197972</v>
      </c>
    </row>
    <row r="7047" spans="1:4" x14ac:dyDescent="0.3">
      <c r="A7047" s="1">
        <v>36151</v>
      </c>
      <c r="B7047">
        <v>2120.9799800000001</v>
      </c>
      <c r="C7047">
        <f t="shared" si="237"/>
        <v>-7.9746536618920168E-3</v>
      </c>
      <c r="D7047">
        <f t="shared" si="236"/>
        <v>-0.67511745288962011</v>
      </c>
    </row>
    <row r="7048" spans="1:4" x14ac:dyDescent="0.3">
      <c r="A7048" s="1">
        <v>36152</v>
      </c>
      <c r="B7048">
        <v>2172.540039</v>
      </c>
      <c r="C7048">
        <f t="shared" si="237"/>
        <v>2.4309545345166297E-2</v>
      </c>
      <c r="D7048">
        <f t="shared" si="236"/>
        <v>1.9074857142554948</v>
      </c>
    </row>
    <row r="7049" spans="1:4" x14ac:dyDescent="0.3">
      <c r="A7049" s="1">
        <v>36153</v>
      </c>
      <c r="B7049">
        <v>2163.040039</v>
      </c>
      <c r="C7049">
        <f t="shared" si="237"/>
        <v>-4.3727617578789308E-3</v>
      </c>
      <c r="D7049">
        <f t="shared" si="236"/>
        <v>-0.38698091163658227</v>
      </c>
    </row>
    <row r="7050" spans="1:4" x14ac:dyDescent="0.3">
      <c r="A7050" s="1">
        <v>36157</v>
      </c>
      <c r="B7050">
        <v>2180.3000489999999</v>
      </c>
      <c r="C7050">
        <f t="shared" si="237"/>
        <v>7.9795147980614729E-3</v>
      </c>
      <c r="D7050">
        <f t="shared" si="236"/>
        <v>0.60115041997395269</v>
      </c>
    </row>
    <row r="7051" spans="1:4" x14ac:dyDescent="0.3">
      <c r="A7051" s="1">
        <v>36158</v>
      </c>
      <c r="B7051">
        <v>2181.7700199999999</v>
      </c>
      <c r="C7051">
        <f t="shared" si="237"/>
        <v>6.7420582808049414E-4</v>
      </c>
      <c r="D7051">
        <f t="shared" si="236"/>
        <v>1.6755741985452696E-2</v>
      </c>
    </row>
    <row r="7052" spans="1:4" x14ac:dyDescent="0.3">
      <c r="A7052" s="1">
        <v>36159</v>
      </c>
      <c r="B7052">
        <v>2166.9499510000001</v>
      </c>
      <c r="C7052">
        <f t="shared" si="237"/>
        <v>-6.792681567784984E-3</v>
      </c>
      <c r="D7052">
        <f t="shared" si="236"/>
        <v>-0.58056454565935001</v>
      </c>
    </row>
    <row r="7053" spans="1:4" x14ac:dyDescent="0.3">
      <c r="A7053" s="1">
        <v>36160</v>
      </c>
      <c r="B7053">
        <v>2192.6899410000001</v>
      </c>
      <c r="C7053">
        <f t="shared" si="237"/>
        <v>1.1878442318486216E-2</v>
      </c>
      <c r="D7053">
        <f t="shared" si="236"/>
        <v>0.91304858912217035</v>
      </c>
    </row>
    <row r="7054" spans="1:4" x14ac:dyDescent="0.3">
      <c r="A7054" s="1">
        <v>36164</v>
      </c>
      <c r="B7054">
        <v>2208.0500489999999</v>
      </c>
      <c r="C7054">
        <f t="shared" si="237"/>
        <v>7.0051436424224713E-3</v>
      </c>
      <c r="D7054">
        <f t="shared" si="236"/>
        <v>0.52320473416096513</v>
      </c>
    </row>
    <row r="7055" spans="1:4" x14ac:dyDescent="0.3">
      <c r="A7055" s="1">
        <v>36165</v>
      </c>
      <c r="B7055">
        <v>2251.2700199999999</v>
      </c>
      <c r="C7055">
        <f t="shared" si="237"/>
        <v>1.9573818546175532E-2</v>
      </c>
      <c r="D7055">
        <f t="shared" si="236"/>
        <v>1.5286470437611894</v>
      </c>
    </row>
    <row r="7056" spans="1:4" x14ac:dyDescent="0.3">
      <c r="A7056" s="1">
        <v>36166</v>
      </c>
      <c r="B7056">
        <v>2320.860107</v>
      </c>
      <c r="C7056">
        <f t="shared" si="237"/>
        <v>3.0911479467931637E-2</v>
      </c>
      <c r="D7056">
        <f t="shared" si="236"/>
        <v>2.4356132967613977</v>
      </c>
    </row>
    <row r="7057" spans="1:4" x14ac:dyDescent="0.3">
      <c r="A7057" s="1">
        <v>36167</v>
      </c>
      <c r="B7057">
        <v>2326.0900879999999</v>
      </c>
      <c r="C7057">
        <f t="shared" si="237"/>
        <v>2.2534667144416356E-3</v>
      </c>
      <c r="D7057">
        <f t="shared" si="236"/>
        <v>0.14309011893477636</v>
      </c>
    </row>
    <row r="7058" spans="1:4" x14ac:dyDescent="0.3">
      <c r="A7058" s="1">
        <v>36168</v>
      </c>
      <c r="B7058">
        <v>2344.4099120000001</v>
      </c>
      <c r="C7058">
        <f t="shared" si="237"/>
        <v>7.8758015841732757E-3</v>
      </c>
      <c r="D7058">
        <f t="shared" si="236"/>
        <v>0.59285378933418065</v>
      </c>
    </row>
    <row r="7059" spans="1:4" x14ac:dyDescent="0.3">
      <c r="A7059" s="1">
        <v>36171</v>
      </c>
      <c r="B7059">
        <v>2384.5900879999999</v>
      </c>
      <c r="C7059">
        <f t="shared" si="237"/>
        <v>1.7138716141036282E-2</v>
      </c>
      <c r="D7059">
        <f t="shared" si="236"/>
        <v>1.3338488645509705</v>
      </c>
    </row>
    <row r="7060" spans="1:4" x14ac:dyDescent="0.3">
      <c r="A7060" s="1">
        <v>36172</v>
      </c>
      <c r="B7060">
        <v>2320.75</v>
      </c>
      <c r="C7060">
        <f t="shared" si="237"/>
        <v>-2.6771933810034326E-2</v>
      </c>
      <c r="D7060">
        <f t="shared" si="236"/>
        <v>-2.1788225698631809</v>
      </c>
    </row>
    <row r="7061" spans="1:4" x14ac:dyDescent="0.3">
      <c r="A7061" s="1">
        <v>36173</v>
      </c>
      <c r="B7061">
        <v>2316.8100589999999</v>
      </c>
      <c r="C7061">
        <f t="shared" si="237"/>
        <v>-1.6977016050846018E-3</v>
      </c>
      <c r="D7061">
        <f t="shared" si="236"/>
        <v>-0.17298709932611128</v>
      </c>
    </row>
    <row r="7062" spans="1:4" x14ac:dyDescent="0.3">
      <c r="A7062" s="1">
        <v>36174</v>
      </c>
      <c r="B7062">
        <v>2276.820068</v>
      </c>
      <c r="C7062">
        <f t="shared" si="237"/>
        <v>-1.7260798244833554E-2</v>
      </c>
      <c r="D7062">
        <f t="shared" si="236"/>
        <v>-1.4179708346702546</v>
      </c>
    </row>
    <row r="7063" spans="1:4" x14ac:dyDescent="0.3">
      <c r="A7063" s="1">
        <v>36175</v>
      </c>
      <c r="B7063">
        <v>2348.1999510000001</v>
      </c>
      <c r="C7063">
        <f t="shared" si="237"/>
        <v>3.135069125717143E-2</v>
      </c>
      <c r="D7063">
        <f t="shared" si="236"/>
        <v>2.470748433850912</v>
      </c>
    </row>
    <row r="7064" spans="1:4" x14ac:dyDescent="0.3">
      <c r="A7064" s="1">
        <v>36179</v>
      </c>
      <c r="B7064">
        <v>2408.169922</v>
      </c>
      <c r="C7064">
        <f t="shared" si="237"/>
        <v>2.5538698684693051E-2</v>
      </c>
      <c r="D7064">
        <f t="shared" si="236"/>
        <v>2.0058129271089022</v>
      </c>
    </row>
    <row r="7065" spans="1:4" x14ac:dyDescent="0.3">
      <c r="A7065" s="1">
        <v>36180</v>
      </c>
      <c r="B7065">
        <v>2415.48999</v>
      </c>
      <c r="C7065">
        <f t="shared" si="237"/>
        <v>3.0396808518896499E-3</v>
      </c>
      <c r="D7065">
        <f t="shared" si="236"/>
        <v>0.20598401699876678</v>
      </c>
    </row>
    <row r="7066" spans="1:4" x14ac:dyDescent="0.3">
      <c r="A7066" s="1">
        <v>36181</v>
      </c>
      <c r="B7066">
        <v>2344.719971</v>
      </c>
      <c r="C7066">
        <f t="shared" si="237"/>
        <v>-2.9298411209727284E-2</v>
      </c>
      <c r="D7066">
        <f t="shared" si="236"/>
        <v>-2.3809303729014735</v>
      </c>
    </row>
    <row r="7067" spans="1:4" x14ac:dyDescent="0.3">
      <c r="A7067" s="1">
        <v>36182</v>
      </c>
      <c r="B7067">
        <v>2338.8798830000001</v>
      </c>
      <c r="C7067">
        <f t="shared" si="237"/>
        <v>-2.4907400765257198E-3</v>
      </c>
      <c r="D7067">
        <f t="shared" si="236"/>
        <v>-0.23642691604772098</v>
      </c>
    </row>
    <row r="7068" spans="1:4" x14ac:dyDescent="0.3">
      <c r="A7068" s="1">
        <v>36185</v>
      </c>
      <c r="B7068">
        <v>2369.3100589999999</v>
      </c>
      <c r="C7068">
        <f t="shared" si="237"/>
        <v>1.3010576653029363E-2</v>
      </c>
      <c r="D7068">
        <f t="shared" si="236"/>
        <v>1.0036146805214214</v>
      </c>
    </row>
    <row r="7069" spans="1:4" x14ac:dyDescent="0.3">
      <c r="A7069" s="1">
        <v>36186</v>
      </c>
      <c r="B7069">
        <v>2433.4099120000001</v>
      </c>
      <c r="C7069">
        <f t="shared" si="237"/>
        <v>2.7054227350494765E-2</v>
      </c>
      <c r="D7069">
        <f t="shared" si="236"/>
        <v>2.1270489884819286</v>
      </c>
    </row>
    <row r="7070" spans="1:4" x14ac:dyDescent="0.3">
      <c r="A7070" s="1">
        <v>36187</v>
      </c>
      <c r="B7070">
        <v>2407.139893</v>
      </c>
      <c r="C7070">
        <f t="shared" si="237"/>
        <v>-1.0795558475558657E-2</v>
      </c>
      <c r="D7070">
        <f t="shared" si="236"/>
        <v>-0.90077823835304704</v>
      </c>
    </row>
    <row r="7071" spans="1:4" x14ac:dyDescent="0.3">
      <c r="A7071" s="1">
        <v>36188</v>
      </c>
      <c r="B7071">
        <v>2477.3400879999999</v>
      </c>
      <c r="C7071">
        <f t="shared" si="237"/>
        <v>2.9163321668235046E-2</v>
      </c>
      <c r="D7071">
        <f t="shared" si="236"/>
        <v>2.2957678612534953</v>
      </c>
    </row>
    <row r="7072" spans="1:4" x14ac:dyDescent="0.3">
      <c r="A7072" s="1">
        <v>36189</v>
      </c>
      <c r="B7072">
        <v>2505.889893</v>
      </c>
      <c r="C7072">
        <f t="shared" si="237"/>
        <v>1.1524378561624481E-2</v>
      </c>
      <c r="D7072">
        <f t="shared" si="236"/>
        <v>0.88472494449209926</v>
      </c>
    </row>
    <row r="7073" spans="1:4" x14ac:dyDescent="0.3">
      <c r="A7073" s="1">
        <v>36192</v>
      </c>
      <c r="B7073">
        <v>2510.0900879999999</v>
      </c>
      <c r="C7073">
        <f t="shared" si="237"/>
        <v>1.6761291115514683E-3</v>
      </c>
      <c r="D7073">
        <f t="shared" si="236"/>
        <v>9.6905484729971431E-2</v>
      </c>
    </row>
    <row r="7074" spans="1:4" x14ac:dyDescent="0.3">
      <c r="A7074" s="1">
        <v>36193</v>
      </c>
      <c r="B7074">
        <v>2463.419922</v>
      </c>
      <c r="C7074">
        <f t="shared" si="237"/>
        <v>-1.8593024299452907E-2</v>
      </c>
      <c r="D7074">
        <f t="shared" si="236"/>
        <v>-1.5245434408935332</v>
      </c>
    </row>
    <row r="7075" spans="1:4" x14ac:dyDescent="0.3">
      <c r="A7075" s="1">
        <v>36194</v>
      </c>
      <c r="B7075">
        <v>2493.4099120000001</v>
      </c>
      <c r="C7075">
        <f t="shared" si="237"/>
        <v>1.2174128224006478E-2</v>
      </c>
      <c r="D7075">
        <f t="shared" si="236"/>
        <v>0.93670224569608262</v>
      </c>
    </row>
    <row r="7076" spans="1:4" x14ac:dyDescent="0.3">
      <c r="A7076" s="1">
        <v>36195</v>
      </c>
      <c r="B7076">
        <v>2410.070068</v>
      </c>
      <c r="C7076">
        <f t="shared" si="237"/>
        <v>-3.3424044557981238E-2</v>
      </c>
      <c r="D7076">
        <f t="shared" si="236"/>
        <v>-2.7109640760560936</v>
      </c>
    </row>
    <row r="7077" spans="1:4" x14ac:dyDescent="0.3">
      <c r="A7077" s="1">
        <v>36196</v>
      </c>
      <c r="B7077">
        <v>2373.6201169999999</v>
      </c>
      <c r="C7077">
        <f t="shared" si="237"/>
        <v>-1.5124021282189566E-2</v>
      </c>
      <c r="D7077">
        <f t="shared" si="236"/>
        <v>-1.2470374641381072</v>
      </c>
    </row>
    <row r="7078" spans="1:4" x14ac:dyDescent="0.3">
      <c r="A7078" s="1">
        <v>36199</v>
      </c>
      <c r="B7078">
        <v>2404.919922</v>
      </c>
      <c r="C7078">
        <f t="shared" si="237"/>
        <v>1.3186526679576548E-2</v>
      </c>
      <c r="D7078">
        <f t="shared" si="236"/>
        <v>1.017689959134364</v>
      </c>
    </row>
    <row r="7079" spans="1:4" x14ac:dyDescent="0.3">
      <c r="A7079" s="1">
        <v>36200</v>
      </c>
      <c r="B7079">
        <v>2310.790039</v>
      </c>
      <c r="C7079">
        <f t="shared" si="237"/>
        <v>-3.9140547732549436E-2</v>
      </c>
      <c r="D7079">
        <f t="shared" si="236"/>
        <v>-3.1682608236200389</v>
      </c>
    </row>
    <row r="7080" spans="1:4" x14ac:dyDescent="0.3">
      <c r="A7080" s="1">
        <v>36201</v>
      </c>
      <c r="B7080">
        <v>2309.5</v>
      </c>
      <c r="C7080">
        <f t="shared" si="237"/>
        <v>-5.5826750947838015E-4</v>
      </c>
      <c r="D7080">
        <f t="shared" si="236"/>
        <v>-8.183705705861094E-2</v>
      </c>
    </row>
    <row r="7081" spans="1:4" x14ac:dyDescent="0.3">
      <c r="A7081" s="1">
        <v>36202</v>
      </c>
      <c r="B7081">
        <v>2405.5500489999999</v>
      </c>
      <c r="C7081">
        <f t="shared" si="237"/>
        <v>4.158910976401816E-2</v>
      </c>
      <c r="D7081">
        <f t="shared" si="236"/>
        <v>3.2897798137701897</v>
      </c>
    </row>
    <row r="7082" spans="1:4" x14ac:dyDescent="0.3">
      <c r="A7082" s="1">
        <v>36203</v>
      </c>
      <c r="B7082">
        <v>2321.889893</v>
      </c>
      <c r="C7082">
        <f t="shared" si="237"/>
        <v>-3.4777973559426828E-2</v>
      </c>
      <c r="D7082">
        <f t="shared" si="236"/>
        <v>-2.8192728287824202</v>
      </c>
    </row>
    <row r="7083" spans="1:4" x14ac:dyDescent="0.3">
      <c r="A7083" s="1">
        <v>36207</v>
      </c>
      <c r="B7083">
        <v>2313.8701169999999</v>
      </c>
      <c r="C7083">
        <f t="shared" si="237"/>
        <v>-3.4539863514536141E-3</v>
      </c>
      <c r="D7083">
        <f t="shared" si="236"/>
        <v>-0.31348265714960272</v>
      </c>
    </row>
    <row r="7084" spans="1:4" x14ac:dyDescent="0.3">
      <c r="A7084" s="1">
        <v>36208</v>
      </c>
      <c r="B7084">
        <v>2248.9099120000001</v>
      </c>
      <c r="C7084">
        <f t="shared" si="237"/>
        <v>-2.8074265933397617E-2</v>
      </c>
      <c r="D7084">
        <f t="shared" si="236"/>
        <v>-2.2830037845105542</v>
      </c>
    </row>
    <row r="7085" spans="1:4" x14ac:dyDescent="0.3">
      <c r="A7085" s="1">
        <v>36209</v>
      </c>
      <c r="B7085">
        <v>2260.5500489999999</v>
      </c>
      <c r="C7085">
        <f t="shared" si="237"/>
        <v>5.1759018615592581E-3</v>
      </c>
      <c r="D7085">
        <f t="shared" si="236"/>
        <v>0.37687291357905606</v>
      </c>
    </row>
    <row r="7086" spans="1:4" x14ac:dyDescent="0.3">
      <c r="A7086" s="1">
        <v>36210</v>
      </c>
      <c r="B7086">
        <v>2283.6000979999999</v>
      </c>
      <c r="C7086">
        <f t="shared" si="237"/>
        <v>1.0196655017745172E-2</v>
      </c>
      <c r="D7086">
        <f t="shared" si="236"/>
        <v>0.77851252061358955</v>
      </c>
    </row>
    <row r="7087" spans="1:4" x14ac:dyDescent="0.3">
      <c r="A7087" s="1">
        <v>36213</v>
      </c>
      <c r="B7087">
        <v>2342.01001</v>
      </c>
      <c r="C7087">
        <f t="shared" si="237"/>
        <v>2.5577995048763603E-2</v>
      </c>
      <c r="D7087">
        <f t="shared" si="236"/>
        <v>2.0089564746469319</v>
      </c>
    </row>
    <row r="7088" spans="1:4" x14ac:dyDescent="0.3">
      <c r="A7088" s="1">
        <v>36214</v>
      </c>
      <c r="B7088">
        <v>2376.3500979999999</v>
      </c>
      <c r="C7088">
        <f t="shared" si="237"/>
        <v>1.466265637353101E-2</v>
      </c>
      <c r="D7088">
        <f t="shared" si="236"/>
        <v>1.1357742647691504</v>
      </c>
    </row>
    <row r="7089" spans="1:4" x14ac:dyDescent="0.3">
      <c r="A7089" s="1">
        <v>36215</v>
      </c>
      <c r="B7089">
        <v>2339.3798830000001</v>
      </c>
      <c r="C7089">
        <f t="shared" si="237"/>
        <v>-1.5557562427823642E-2</v>
      </c>
      <c r="D7089">
        <f t="shared" si="236"/>
        <v>-1.2817189730569902</v>
      </c>
    </row>
    <row r="7090" spans="1:4" x14ac:dyDescent="0.3">
      <c r="A7090" s="1">
        <v>36216</v>
      </c>
      <c r="B7090">
        <v>2326.820068</v>
      </c>
      <c r="C7090">
        <f t="shared" si="237"/>
        <v>-5.3688650959473399E-3</v>
      </c>
      <c r="D7090">
        <f t="shared" si="236"/>
        <v>-0.46666508268065426</v>
      </c>
    </row>
    <row r="7091" spans="1:4" x14ac:dyDescent="0.3">
      <c r="A7091" s="1">
        <v>36217</v>
      </c>
      <c r="B7091">
        <v>2288.030029</v>
      </c>
      <c r="C7091">
        <f t="shared" si="237"/>
        <v>-1.6670837394548371E-2</v>
      </c>
      <c r="D7091">
        <f t="shared" si="236"/>
        <v>-1.370776392580952</v>
      </c>
    </row>
    <row r="7092" spans="1:4" x14ac:dyDescent="0.3">
      <c r="A7092" s="1">
        <v>36220</v>
      </c>
      <c r="B7092">
        <v>2295.179932</v>
      </c>
      <c r="C7092">
        <f t="shared" si="237"/>
        <v>3.1249165917306213E-3</v>
      </c>
      <c r="D7092">
        <f t="shared" si="236"/>
        <v>0.21280252569458799</v>
      </c>
    </row>
    <row r="7093" spans="1:4" x14ac:dyDescent="0.3">
      <c r="A7093" s="1">
        <v>36221</v>
      </c>
      <c r="B7093">
        <v>2259.030029</v>
      </c>
      <c r="C7093">
        <f t="shared" si="237"/>
        <v>-1.5750356865703023E-2</v>
      </c>
      <c r="D7093">
        <f t="shared" si="236"/>
        <v>-1.2971417353118753</v>
      </c>
    </row>
    <row r="7094" spans="1:4" x14ac:dyDescent="0.3">
      <c r="A7094" s="1">
        <v>36222</v>
      </c>
      <c r="B7094">
        <v>2265.1999510000001</v>
      </c>
      <c r="C7094">
        <f t="shared" si="237"/>
        <v>2.7312261992069528E-3</v>
      </c>
      <c r="D7094">
        <f t="shared" si="236"/>
        <v>0.18130891315726166</v>
      </c>
    </row>
    <row r="7095" spans="1:4" x14ac:dyDescent="0.3">
      <c r="A7095" s="1">
        <v>36223</v>
      </c>
      <c r="B7095">
        <v>2292.889893</v>
      </c>
      <c r="C7095">
        <f t="shared" si="237"/>
        <v>1.2224060833029734E-2</v>
      </c>
      <c r="D7095">
        <f t="shared" si="236"/>
        <v>0.940696649093828</v>
      </c>
    </row>
    <row r="7096" spans="1:4" x14ac:dyDescent="0.3">
      <c r="A7096" s="1">
        <v>36224</v>
      </c>
      <c r="B7096">
        <v>2337.110107</v>
      </c>
      <c r="C7096">
        <f t="shared" si="237"/>
        <v>1.9285799172040721E-2</v>
      </c>
      <c r="D7096">
        <f t="shared" si="236"/>
        <v>1.5056066781731476</v>
      </c>
    </row>
    <row r="7097" spans="1:4" x14ac:dyDescent="0.3">
      <c r="A7097" s="1">
        <v>36227</v>
      </c>
      <c r="B7097">
        <v>2397.6201169999999</v>
      </c>
      <c r="C7097">
        <f t="shared" si="237"/>
        <v>2.5890953883072641E-2</v>
      </c>
      <c r="D7097">
        <f t="shared" si="236"/>
        <v>2.0339918944972388</v>
      </c>
    </row>
    <row r="7098" spans="1:4" x14ac:dyDescent="0.3">
      <c r="A7098" s="1">
        <v>36228</v>
      </c>
      <c r="B7098">
        <v>2392.9399410000001</v>
      </c>
      <c r="C7098">
        <f t="shared" si="237"/>
        <v>-1.9520089804117399E-3</v>
      </c>
      <c r="D7098">
        <f t="shared" si="236"/>
        <v>-0.1933306436341066</v>
      </c>
    </row>
    <row r="7099" spans="1:4" x14ac:dyDescent="0.3">
      <c r="A7099" s="1">
        <v>36229</v>
      </c>
      <c r="B7099">
        <v>2406</v>
      </c>
      <c r="C7099">
        <f t="shared" si="237"/>
        <v>5.4577462544012547E-3</v>
      </c>
      <c r="D7099">
        <f t="shared" si="236"/>
        <v>0.39941930605534742</v>
      </c>
    </row>
    <row r="7100" spans="1:4" x14ac:dyDescent="0.3">
      <c r="A7100" s="1">
        <v>36230</v>
      </c>
      <c r="B7100">
        <v>2412.25</v>
      </c>
      <c r="C7100">
        <f t="shared" si="237"/>
        <v>2.5976724854530342E-3</v>
      </c>
      <c r="D7100">
        <f t="shared" si="236"/>
        <v>0.17062516523310059</v>
      </c>
    </row>
    <row r="7101" spans="1:4" x14ac:dyDescent="0.3">
      <c r="A7101" s="1">
        <v>36231</v>
      </c>
      <c r="B7101">
        <v>2381.530029</v>
      </c>
      <c r="C7101">
        <f t="shared" si="237"/>
        <v>-1.2734986423463567E-2</v>
      </c>
      <c r="D7101">
        <f t="shared" si="236"/>
        <v>-1.0559244992100656</v>
      </c>
    </row>
    <row r="7102" spans="1:4" x14ac:dyDescent="0.3">
      <c r="A7102" s="1">
        <v>36234</v>
      </c>
      <c r="B7102">
        <v>2431.4399410000001</v>
      </c>
      <c r="C7102">
        <f t="shared" si="237"/>
        <v>2.0957078597475066E-2</v>
      </c>
      <c r="D7102">
        <f t="shared" si="236"/>
        <v>1.6393021598658342</v>
      </c>
    </row>
    <row r="7103" spans="1:4" x14ac:dyDescent="0.3">
      <c r="A7103" s="1">
        <v>36235</v>
      </c>
      <c r="B7103">
        <v>2439.2700199999999</v>
      </c>
      <c r="C7103">
        <f t="shared" si="237"/>
        <v>3.2203464572435601E-3</v>
      </c>
      <c r="D7103">
        <f t="shared" si="236"/>
        <v>0.22043652252567136</v>
      </c>
    </row>
    <row r="7104" spans="1:4" x14ac:dyDescent="0.3">
      <c r="A7104" s="1">
        <v>36236</v>
      </c>
      <c r="B7104">
        <v>2428.969971</v>
      </c>
      <c r="C7104">
        <f t="shared" si="237"/>
        <v>-4.222594840074304E-3</v>
      </c>
      <c r="D7104">
        <f t="shared" si="236"/>
        <v>-0.37496817570226776</v>
      </c>
    </row>
    <row r="7105" spans="1:4" x14ac:dyDescent="0.3">
      <c r="A7105" s="1">
        <v>36237</v>
      </c>
      <c r="B7105">
        <v>2462.959961</v>
      </c>
      <c r="C7105">
        <f t="shared" si="237"/>
        <v>1.3993581808673597E-2</v>
      </c>
      <c r="D7105">
        <f t="shared" si="236"/>
        <v>1.0822510508316074</v>
      </c>
    </row>
    <row r="7106" spans="1:4" x14ac:dyDescent="0.3">
      <c r="A7106" s="1">
        <v>36238</v>
      </c>
      <c r="B7106">
        <v>2421.2700199999999</v>
      </c>
      <c r="C7106">
        <f t="shared" si="237"/>
        <v>-1.6926763593458224E-2</v>
      </c>
      <c r="D7106">
        <f t="shared" si="236"/>
        <v>-1.391249436118922</v>
      </c>
    </row>
    <row r="7107" spans="1:4" x14ac:dyDescent="0.3">
      <c r="A7107" s="1">
        <v>36241</v>
      </c>
      <c r="B7107">
        <v>2395.9399410000001</v>
      </c>
      <c r="C7107">
        <f t="shared" si="237"/>
        <v>-1.0461484588984356E-2</v>
      </c>
      <c r="D7107">
        <f t="shared" ref="D7107:D7170" si="238">(C7107-avrtn)/sdrtn</f>
        <v>-0.87405370114713288</v>
      </c>
    </row>
    <row r="7108" spans="1:4" x14ac:dyDescent="0.3">
      <c r="A7108" s="1">
        <v>36242</v>
      </c>
      <c r="B7108">
        <v>2322.8400879999999</v>
      </c>
      <c r="C7108">
        <f t="shared" ref="C7108:C7171" si="239">(B7108-B7107)/B7107</f>
        <v>-3.0509885389485295E-2</v>
      </c>
      <c r="D7108">
        <f t="shared" si="238"/>
        <v>-2.4778433256705208</v>
      </c>
    </row>
    <row r="7109" spans="1:4" x14ac:dyDescent="0.3">
      <c r="A7109" s="1">
        <v>36243</v>
      </c>
      <c r="B7109">
        <v>2365.280029</v>
      </c>
      <c r="C7109">
        <f t="shared" si="239"/>
        <v>1.8270711453297464E-2</v>
      </c>
      <c r="D7109">
        <f t="shared" si="238"/>
        <v>1.4244038347393275</v>
      </c>
    </row>
    <row r="7110" spans="1:4" x14ac:dyDescent="0.3">
      <c r="A7110" s="1">
        <v>36244</v>
      </c>
      <c r="B7110">
        <v>2434.8000489999999</v>
      </c>
      <c r="C7110">
        <f t="shared" si="239"/>
        <v>2.9391877134054105E-2</v>
      </c>
      <c r="D7110">
        <f t="shared" si="238"/>
        <v>2.3140513586933289</v>
      </c>
    </row>
    <row r="7111" spans="1:4" x14ac:dyDescent="0.3">
      <c r="A7111" s="1">
        <v>36245</v>
      </c>
      <c r="B7111">
        <v>2419.169922</v>
      </c>
      <c r="C7111">
        <f t="shared" si="239"/>
        <v>-6.4194704638762317E-3</v>
      </c>
      <c r="D7111">
        <f t="shared" si="238"/>
        <v>-0.550709191999879</v>
      </c>
    </row>
    <row r="7112" spans="1:4" x14ac:dyDescent="0.3">
      <c r="A7112" s="1">
        <v>36248</v>
      </c>
      <c r="B7112">
        <v>2492.8400879999999</v>
      </c>
      <c r="C7112">
        <f t="shared" si="239"/>
        <v>3.0452662845235175E-2</v>
      </c>
      <c r="D7112">
        <f t="shared" si="238"/>
        <v>2.3989098536109066</v>
      </c>
    </row>
    <row r="7113" spans="1:4" x14ac:dyDescent="0.3">
      <c r="A7113" s="1">
        <v>36249</v>
      </c>
      <c r="B7113">
        <v>2480.290039</v>
      </c>
      <c r="C7113">
        <f t="shared" si="239"/>
        <v>-5.0344380533726175E-3</v>
      </c>
      <c r="D7113">
        <f t="shared" si="238"/>
        <v>-0.43991229444689256</v>
      </c>
    </row>
    <row r="7114" spans="1:4" x14ac:dyDescent="0.3">
      <c r="A7114" s="1">
        <v>36250</v>
      </c>
      <c r="B7114">
        <v>2461.3999020000001</v>
      </c>
      <c r="C7114">
        <f t="shared" si="239"/>
        <v>-7.6161000136967727E-3</v>
      </c>
      <c r="D7114">
        <f t="shared" si="238"/>
        <v>-0.6464346354154118</v>
      </c>
    </row>
    <row r="7115" spans="1:4" x14ac:dyDescent="0.3">
      <c r="A7115" s="1">
        <v>36251</v>
      </c>
      <c r="B7115">
        <v>2493.3701169999999</v>
      </c>
      <c r="C7115">
        <f t="shared" si="239"/>
        <v>1.2988630971351937E-2</v>
      </c>
      <c r="D7115">
        <f t="shared" si="238"/>
        <v>1.0018591162284098</v>
      </c>
    </row>
    <row r="7116" spans="1:4" x14ac:dyDescent="0.3">
      <c r="A7116" s="1">
        <v>36255</v>
      </c>
      <c r="B7116">
        <v>2560.0600589999999</v>
      </c>
      <c r="C7116">
        <f t="shared" si="239"/>
        <v>2.6746908349186721E-2</v>
      </c>
      <c r="D7116">
        <f t="shared" si="238"/>
        <v>2.1024647320805694</v>
      </c>
    </row>
    <row r="7117" spans="1:4" x14ac:dyDescent="0.3">
      <c r="A7117" s="1">
        <v>36256</v>
      </c>
      <c r="B7117">
        <v>2563.169922</v>
      </c>
      <c r="C7117">
        <f t="shared" si="239"/>
        <v>1.2147617354004163E-3</v>
      </c>
      <c r="D7117">
        <f t="shared" si="238"/>
        <v>5.9997991791873949E-2</v>
      </c>
    </row>
    <row r="7118" spans="1:4" x14ac:dyDescent="0.3">
      <c r="A7118" s="1">
        <v>36257</v>
      </c>
      <c r="B7118">
        <v>2544.429932</v>
      </c>
      <c r="C7118">
        <f t="shared" si="239"/>
        <v>-7.3112554260068418E-3</v>
      </c>
      <c r="D7118">
        <f t="shared" si="238"/>
        <v>-0.62204832192865211</v>
      </c>
    </row>
    <row r="7119" spans="1:4" x14ac:dyDescent="0.3">
      <c r="A7119" s="1">
        <v>36258</v>
      </c>
      <c r="B7119">
        <v>2573.389893</v>
      </c>
      <c r="C7119">
        <f t="shared" si="239"/>
        <v>1.1381708977632016E-2</v>
      </c>
      <c r="D7119">
        <f t="shared" si="238"/>
        <v>0.87331196443353687</v>
      </c>
    </row>
    <row r="7120" spans="1:4" x14ac:dyDescent="0.3">
      <c r="A7120" s="1">
        <v>36259</v>
      </c>
      <c r="B7120">
        <v>2593.0500489999999</v>
      </c>
      <c r="C7120">
        <f t="shared" si="239"/>
        <v>7.6397890787860941E-3</v>
      </c>
      <c r="D7120">
        <f t="shared" si="238"/>
        <v>0.57397375939242723</v>
      </c>
    </row>
    <row r="7121" spans="1:4" x14ac:dyDescent="0.3">
      <c r="A7121" s="1">
        <v>36262</v>
      </c>
      <c r="B7121">
        <v>2598.8100589999999</v>
      </c>
      <c r="C7121">
        <f t="shared" si="239"/>
        <v>2.2213261954667214E-3</v>
      </c>
      <c r="D7121">
        <f t="shared" si="238"/>
        <v>0.14051900957938696</v>
      </c>
    </row>
    <row r="7122" spans="1:4" x14ac:dyDescent="0.3">
      <c r="A7122" s="1">
        <v>36263</v>
      </c>
      <c r="B7122">
        <v>2583.5</v>
      </c>
      <c r="C7122">
        <f t="shared" si="239"/>
        <v>-5.8911804450576472E-3</v>
      </c>
      <c r="D7122">
        <f t="shared" si="238"/>
        <v>-0.50844816283592986</v>
      </c>
    </row>
    <row r="7123" spans="1:4" x14ac:dyDescent="0.3">
      <c r="A7123" s="1">
        <v>36264</v>
      </c>
      <c r="B7123">
        <v>2507.280029</v>
      </c>
      <c r="C7123">
        <f t="shared" si="239"/>
        <v>-2.950260150958002E-2</v>
      </c>
      <c r="D7123">
        <f t="shared" si="238"/>
        <v>-2.3972647572541623</v>
      </c>
    </row>
    <row r="7124" spans="1:4" x14ac:dyDescent="0.3">
      <c r="A7124" s="1">
        <v>36265</v>
      </c>
      <c r="B7124">
        <v>2521.7700199999999</v>
      </c>
      <c r="C7124">
        <f t="shared" si="239"/>
        <v>5.7791673975001049E-3</v>
      </c>
      <c r="D7124">
        <f t="shared" si="238"/>
        <v>0.42513167581161759</v>
      </c>
    </row>
    <row r="7125" spans="1:4" x14ac:dyDescent="0.3">
      <c r="A7125" s="1">
        <v>36266</v>
      </c>
      <c r="B7125">
        <v>2484.040039</v>
      </c>
      <c r="C7125">
        <f t="shared" si="239"/>
        <v>-1.4961705746664382E-2</v>
      </c>
      <c r="D7125">
        <f t="shared" si="238"/>
        <v>-1.2340528887415627</v>
      </c>
    </row>
    <row r="7126" spans="1:4" x14ac:dyDescent="0.3">
      <c r="A7126" s="1">
        <v>36269</v>
      </c>
      <c r="B7126">
        <v>2345.610107</v>
      </c>
      <c r="C7126">
        <f t="shared" si="239"/>
        <v>-5.5727737808818796E-2</v>
      </c>
      <c r="D7126">
        <f t="shared" si="238"/>
        <v>-4.4951678227884422</v>
      </c>
    </row>
    <row r="7127" spans="1:4" x14ac:dyDescent="0.3">
      <c r="A7127" s="1">
        <v>36270</v>
      </c>
      <c r="B7127">
        <v>2409.639893</v>
      </c>
      <c r="C7127">
        <f t="shared" si="239"/>
        <v>2.7297710650596229E-2</v>
      </c>
      <c r="D7127">
        <f t="shared" si="238"/>
        <v>2.1465266512807335</v>
      </c>
    </row>
    <row r="7128" spans="1:4" x14ac:dyDescent="0.3">
      <c r="A7128" s="1">
        <v>36271</v>
      </c>
      <c r="B7128">
        <v>2489.080078</v>
      </c>
      <c r="C7128">
        <f t="shared" si="239"/>
        <v>3.2967658458333771E-2</v>
      </c>
      <c r="D7128">
        <f t="shared" si="238"/>
        <v>2.6000991609350392</v>
      </c>
    </row>
    <row r="7129" spans="1:4" x14ac:dyDescent="0.3">
      <c r="A7129" s="1">
        <v>36272</v>
      </c>
      <c r="B7129">
        <v>2561.610107</v>
      </c>
      <c r="C7129">
        <f t="shared" si="239"/>
        <v>2.9139291114442006E-2</v>
      </c>
      <c r="D7129">
        <f t="shared" si="238"/>
        <v>2.2938455157642799</v>
      </c>
    </row>
    <row r="7130" spans="1:4" x14ac:dyDescent="0.3">
      <c r="A7130" s="1">
        <v>36273</v>
      </c>
      <c r="B7130">
        <v>2590.6899410000001</v>
      </c>
      <c r="C7130">
        <f t="shared" si="239"/>
        <v>1.1352170230955494E-2</v>
      </c>
      <c r="D7130">
        <f t="shared" si="238"/>
        <v>0.87094898616346716</v>
      </c>
    </row>
    <row r="7131" spans="1:4" x14ac:dyDescent="0.3">
      <c r="A7131" s="1">
        <v>36276</v>
      </c>
      <c r="B7131">
        <v>2652.0500489999999</v>
      </c>
      <c r="C7131">
        <f t="shared" si="239"/>
        <v>2.3684852065436669E-2</v>
      </c>
      <c r="D7131">
        <f t="shared" si="238"/>
        <v>1.8575128206312397</v>
      </c>
    </row>
    <row r="7132" spans="1:4" x14ac:dyDescent="0.3">
      <c r="A7132" s="1">
        <v>36277</v>
      </c>
      <c r="B7132">
        <v>2602.4099120000001</v>
      </c>
      <c r="C7132">
        <f t="shared" si="239"/>
        <v>-1.8717647134418716E-2</v>
      </c>
      <c r="D7132">
        <f t="shared" si="238"/>
        <v>-1.5345127552386384</v>
      </c>
    </row>
    <row r="7133" spans="1:4" x14ac:dyDescent="0.3">
      <c r="A7133" s="1">
        <v>36278</v>
      </c>
      <c r="B7133">
        <v>2550.3701169999999</v>
      </c>
      <c r="C7133">
        <f t="shared" si="239"/>
        <v>-1.9996770977561563E-2</v>
      </c>
      <c r="D7133">
        <f t="shared" si="238"/>
        <v>-1.6368374029013948</v>
      </c>
    </row>
    <row r="7134" spans="1:4" x14ac:dyDescent="0.3">
      <c r="A7134" s="1">
        <v>36279</v>
      </c>
      <c r="B7134">
        <v>2528.4399410000001</v>
      </c>
      <c r="C7134">
        <f t="shared" si="239"/>
        <v>-8.5988209530137964E-3</v>
      </c>
      <c r="D7134">
        <f t="shared" si="238"/>
        <v>-0.7250482695881254</v>
      </c>
    </row>
    <row r="7135" spans="1:4" x14ac:dyDescent="0.3">
      <c r="A7135" s="1">
        <v>36280</v>
      </c>
      <c r="B7135">
        <v>2542.860107</v>
      </c>
      <c r="C7135">
        <f t="shared" si="239"/>
        <v>5.7031870783913865E-3</v>
      </c>
      <c r="D7135">
        <f t="shared" si="238"/>
        <v>0.41905356271585914</v>
      </c>
    </row>
    <row r="7136" spans="1:4" x14ac:dyDescent="0.3">
      <c r="A7136" s="1">
        <v>36283</v>
      </c>
      <c r="B7136">
        <v>2535.580078</v>
      </c>
      <c r="C7136">
        <f t="shared" si="239"/>
        <v>-2.8629294155661602E-3</v>
      </c>
      <c r="D7136">
        <f t="shared" si="238"/>
        <v>-0.26620053271924926</v>
      </c>
    </row>
    <row r="7137" spans="1:4" x14ac:dyDescent="0.3">
      <c r="A7137" s="1">
        <v>36284</v>
      </c>
      <c r="B7137">
        <v>2485.1201169999999</v>
      </c>
      <c r="C7137">
        <f t="shared" si="239"/>
        <v>-1.9900756216621459E-2</v>
      </c>
      <c r="D7137">
        <f t="shared" si="238"/>
        <v>-1.6291566168412426</v>
      </c>
    </row>
    <row r="7138" spans="1:4" x14ac:dyDescent="0.3">
      <c r="A7138" s="1">
        <v>36285</v>
      </c>
      <c r="B7138">
        <v>2534.4499510000001</v>
      </c>
      <c r="C7138">
        <f t="shared" si="239"/>
        <v>1.9850080349255055E-2</v>
      </c>
      <c r="D7138">
        <f t="shared" si="238"/>
        <v>1.5507468520122292</v>
      </c>
    </row>
    <row r="7139" spans="1:4" x14ac:dyDescent="0.3">
      <c r="A7139" s="1">
        <v>36286</v>
      </c>
      <c r="B7139">
        <v>2472.280029</v>
      </c>
      <c r="C7139">
        <f t="shared" si="239"/>
        <v>-2.4529946616412803E-2</v>
      </c>
      <c r="D7139">
        <f t="shared" si="238"/>
        <v>-1.9994728134798854</v>
      </c>
    </row>
    <row r="7140" spans="1:4" x14ac:dyDescent="0.3">
      <c r="A7140" s="1">
        <v>36287</v>
      </c>
      <c r="B7140">
        <v>2503.6201169999999</v>
      </c>
      <c r="C7140">
        <f t="shared" si="239"/>
        <v>1.2676593117437638E-2</v>
      </c>
      <c r="D7140">
        <f t="shared" si="238"/>
        <v>0.976897371022588</v>
      </c>
    </row>
    <row r="7141" spans="1:4" x14ac:dyDescent="0.3">
      <c r="A7141" s="1">
        <v>36290</v>
      </c>
      <c r="B7141">
        <v>2526.389893</v>
      </c>
      <c r="C7141">
        <f t="shared" si="239"/>
        <v>9.0947407897026787E-3</v>
      </c>
      <c r="D7141">
        <f t="shared" si="238"/>
        <v>0.69036391346857018</v>
      </c>
    </row>
    <row r="7142" spans="1:4" x14ac:dyDescent="0.3">
      <c r="A7142" s="1">
        <v>36291</v>
      </c>
      <c r="B7142">
        <v>2566.679932</v>
      </c>
      <c r="C7142">
        <f t="shared" si="239"/>
        <v>1.5947672650066282E-2</v>
      </c>
      <c r="D7142">
        <f t="shared" si="238"/>
        <v>1.2385702828734699</v>
      </c>
    </row>
    <row r="7143" spans="1:4" x14ac:dyDescent="0.3">
      <c r="A7143" s="1">
        <v>36292</v>
      </c>
      <c r="B7143">
        <v>2606.540039</v>
      </c>
      <c r="C7143">
        <f t="shared" si="239"/>
        <v>1.5529831555171862E-2</v>
      </c>
      <c r="D7143">
        <f t="shared" si="238"/>
        <v>1.205144713454765</v>
      </c>
    </row>
    <row r="7144" spans="1:4" x14ac:dyDescent="0.3">
      <c r="A7144" s="1">
        <v>36293</v>
      </c>
      <c r="B7144">
        <v>2582</v>
      </c>
      <c r="C7144">
        <f t="shared" si="239"/>
        <v>-9.4147945678266943E-3</v>
      </c>
      <c r="D7144">
        <f t="shared" si="238"/>
        <v>-0.79032280346960448</v>
      </c>
    </row>
    <row r="7145" spans="1:4" x14ac:dyDescent="0.3">
      <c r="A7145" s="1">
        <v>36294</v>
      </c>
      <c r="B7145">
        <v>2527.860107</v>
      </c>
      <c r="C7145">
        <f t="shared" si="239"/>
        <v>-2.0968200232378012E-2</v>
      </c>
      <c r="D7145">
        <f t="shared" si="238"/>
        <v>-1.7145477487457466</v>
      </c>
    </row>
    <row r="7146" spans="1:4" x14ac:dyDescent="0.3">
      <c r="A7146" s="1">
        <v>36297</v>
      </c>
      <c r="B7146">
        <v>2561.8400879999999</v>
      </c>
      <c r="C7146">
        <f t="shared" si="239"/>
        <v>1.3442192036618089E-2</v>
      </c>
      <c r="D7146">
        <f t="shared" si="238"/>
        <v>1.0381421363954575</v>
      </c>
    </row>
    <row r="7147" spans="1:4" x14ac:dyDescent="0.3">
      <c r="A7147" s="1">
        <v>36298</v>
      </c>
      <c r="B7147">
        <v>2558.360107</v>
      </c>
      <c r="C7147">
        <f t="shared" si="239"/>
        <v>-1.358391187764079E-3</v>
      </c>
      <c r="D7147">
        <f t="shared" si="238"/>
        <v>-0.14584366119324246</v>
      </c>
    </row>
    <row r="7148" spans="1:4" x14ac:dyDescent="0.3">
      <c r="A7148" s="1">
        <v>36299</v>
      </c>
      <c r="B7148">
        <v>2577.3999020000001</v>
      </c>
      <c r="C7148">
        <f t="shared" si="239"/>
        <v>7.4421872620296222E-3</v>
      </c>
      <c r="D7148">
        <f t="shared" si="238"/>
        <v>0.55816642659543514</v>
      </c>
    </row>
    <row r="7149" spans="1:4" x14ac:dyDescent="0.3">
      <c r="A7149" s="1">
        <v>36300</v>
      </c>
      <c r="B7149">
        <v>2542.2299800000001</v>
      </c>
      <c r="C7149">
        <f t="shared" si="239"/>
        <v>-1.3645504515115809E-2</v>
      </c>
      <c r="D7149">
        <f t="shared" si="238"/>
        <v>-1.1287622024694806</v>
      </c>
    </row>
    <row r="7150" spans="1:4" x14ac:dyDescent="0.3">
      <c r="A7150" s="1">
        <v>36301</v>
      </c>
      <c r="B7150">
        <v>2520.139893</v>
      </c>
      <c r="C7150">
        <f t="shared" si="239"/>
        <v>-8.6892559578736605E-3</v>
      </c>
      <c r="D7150">
        <f t="shared" si="238"/>
        <v>-0.73228269810595259</v>
      </c>
    </row>
    <row r="7151" spans="1:4" x14ac:dyDescent="0.3">
      <c r="A7151" s="1">
        <v>36304</v>
      </c>
      <c r="B7151">
        <v>2453.6599120000001</v>
      </c>
      <c r="C7151">
        <f t="shared" si="239"/>
        <v>-2.6379480434660121E-2</v>
      </c>
      <c r="D7151">
        <f t="shared" si="238"/>
        <v>-2.1474279136111667</v>
      </c>
    </row>
    <row r="7152" spans="1:4" x14ac:dyDescent="0.3">
      <c r="A7152" s="1">
        <v>36305</v>
      </c>
      <c r="B7152">
        <v>2380.8999020000001</v>
      </c>
      <c r="C7152">
        <f t="shared" si="239"/>
        <v>-2.9653665385392644E-2</v>
      </c>
      <c r="D7152">
        <f t="shared" si="238"/>
        <v>-2.4093492461408035</v>
      </c>
    </row>
    <row r="7153" spans="1:4" x14ac:dyDescent="0.3">
      <c r="A7153" s="1">
        <v>36306</v>
      </c>
      <c r="B7153">
        <v>2427.179932</v>
      </c>
      <c r="C7153">
        <f t="shared" si="239"/>
        <v>1.9438041036972539E-2</v>
      </c>
      <c r="D7153">
        <f t="shared" si="238"/>
        <v>1.517785401345404</v>
      </c>
    </row>
    <row r="7154" spans="1:4" x14ac:dyDescent="0.3">
      <c r="A7154" s="1">
        <v>36307</v>
      </c>
      <c r="B7154">
        <v>2419.1499020000001</v>
      </c>
      <c r="C7154">
        <f t="shared" si="239"/>
        <v>-3.3083785401040043E-3</v>
      </c>
      <c r="D7154">
        <f t="shared" si="238"/>
        <v>-0.30183463098453189</v>
      </c>
    </row>
    <row r="7155" spans="1:4" x14ac:dyDescent="0.3">
      <c r="A7155" s="1">
        <v>36308</v>
      </c>
      <c r="B7155">
        <v>2470.5200199999999</v>
      </c>
      <c r="C7155">
        <f t="shared" si="239"/>
        <v>2.1234780844928317E-2</v>
      </c>
      <c r="D7155">
        <f t="shared" si="238"/>
        <v>1.6615171977436294</v>
      </c>
    </row>
    <row r="7156" spans="1:4" x14ac:dyDescent="0.3">
      <c r="A7156" s="1">
        <v>36312</v>
      </c>
      <c r="B7156">
        <v>2412.030029</v>
      </c>
      <c r="C7156">
        <f t="shared" si="239"/>
        <v>-2.3675173860764714E-2</v>
      </c>
      <c r="D7156">
        <f t="shared" si="238"/>
        <v>-1.9310945078746116</v>
      </c>
    </row>
    <row r="7157" spans="1:4" x14ac:dyDescent="0.3">
      <c r="A7157" s="1">
        <v>36313</v>
      </c>
      <c r="B7157">
        <v>2432.4099120000001</v>
      </c>
      <c r="C7157">
        <f t="shared" si="239"/>
        <v>8.4492658694010243E-3</v>
      </c>
      <c r="D7157">
        <f t="shared" si="238"/>
        <v>0.63872857405316963</v>
      </c>
    </row>
    <row r="7158" spans="1:4" x14ac:dyDescent="0.3">
      <c r="A7158" s="1">
        <v>36314</v>
      </c>
      <c r="B7158">
        <v>2403.320068</v>
      </c>
      <c r="C7158">
        <f t="shared" si="239"/>
        <v>-1.1959268812583298E-2</v>
      </c>
      <c r="D7158">
        <f t="shared" si="238"/>
        <v>-0.99387028010951972</v>
      </c>
    </row>
    <row r="7159" spans="1:4" x14ac:dyDescent="0.3">
      <c r="A7159" s="1">
        <v>36315</v>
      </c>
      <c r="B7159">
        <v>2478.3400879999999</v>
      </c>
      <c r="C7159">
        <f t="shared" si="239"/>
        <v>3.1215159811164999E-2</v>
      </c>
      <c r="D7159">
        <f t="shared" si="238"/>
        <v>2.4599064754790336</v>
      </c>
    </row>
    <row r="7160" spans="1:4" x14ac:dyDescent="0.3">
      <c r="A7160" s="1">
        <v>36318</v>
      </c>
      <c r="B7160">
        <v>2524.209961</v>
      </c>
      <c r="C7160">
        <f t="shared" si="239"/>
        <v>1.8508304498684323E-2</v>
      </c>
      <c r="D7160">
        <f t="shared" si="238"/>
        <v>1.443410301381836</v>
      </c>
    </row>
    <row r="7161" spans="1:4" x14ac:dyDescent="0.3">
      <c r="A7161" s="1">
        <v>36319</v>
      </c>
      <c r="B7161">
        <v>2474.5600589999999</v>
      </c>
      <c r="C7161">
        <f t="shared" si="239"/>
        <v>-1.9669481844660271E-2</v>
      </c>
      <c r="D7161">
        <f t="shared" si="238"/>
        <v>-1.6106556180902476</v>
      </c>
    </row>
    <row r="7162" spans="1:4" x14ac:dyDescent="0.3">
      <c r="A7162" s="1">
        <v>36320</v>
      </c>
      <c r="B7162">
        <v>2519.3500979999999</v>
      </c>
      <c r="C7162">
        <f t="shared" si="239"/>
        <v>1.8100202836903535E-2</v>
      </c>
      <c r="D7162">
        <f t="shared" si="238"/>
        <v>1.4107638465634333</v>
      </c>
    </row>
    <row r="7163" spans="1:4" x14ac:dyDescent="0.3">
      <c r="A7163" s="1">
        <v>36321</v>
      </c>
      <c r="B7163">
        <v>2484.6201169999999</v>
      </c>
      <c r="C7163">
        <f t="shared" si="239"/>
        <v>-1.378529368648309E-2</v>
      </c>
      <c r="D7163">
        <f t="shared" si="238"/>
        <v>-1.1399447613623557</v>
      </c>
    </row>
    <row r="7164" spans="1:4" x14ac:dyDescent="0.3">
      <c r="A7164" s="1">
        <v>36322</v>
      </c>
      <c r="B7164">
        <v>2447.8798830000001</v>
      </c>
      <c r="C7164">
        <f t="shared" si="239"/>
        <v>-1.4787062919043359E-2</v>
      </c>
      <c r="D7164">
        <f t="shared" si="238"/>
        <v>-1.2200821806674791</v>
      </c>
    </row>
    <row r="7165" spans="1:4" x14ac:dyDescent="0.3">
      <c r="A7165" s="1">
        <v>36325</v>
      </c>
      <c r="B7165">
        <v>2398.3100589999999</v>
      </c>
      <c r="C7165">
        <f t="shared" si="239"/>
        <v>-2.0250104731139765E-2</v>
      </c>
      <c r="D7165">
        <f t="shared" si="238"/>
        <v>-1.6571030614730318</v>
      </c>
    </row>
    <row r="7166" spans="1:4" x14ac:dyDescent="0.3">
      <c r="A7166" s="1">
        <v>36326</v>
      </c>
      <c r="B7166">
        <v>2414.669922</v>
      </c>
      <c r="C7166">
        <f t="shared" si="239"/>
        <v>6.821412827172791E-3</v>
      </c>
      <c r="D7166">
        <f t="shared" si="238"/>
        <v>0.50850702444661733</v>
      </c>
    </row>
    <row r="7167" spans="1:4" x14ac:dyDescent="0.3">
      <c r="A7167" s="1">
        <v>36327</v>
      </c>
      <c r="B7167">
        <v>2517.830078</v>
      </c>
      <c r="C7167">
        <f t="shared" si="239"/>
        <v>4.2722259908118371E-2</v>
      </c>
      <c r="D7167">
        <f t="shared" si="238"/>
        <v>3.3804271657569718</v>
      </c>
    </row>
    <row r="7168" spans="1:4" x14ac:dyDescent="0.3">
      <c r="A7168" s="1">
        <v>36328</v>
      </c>
      <c r="B7168">
        <v>2544.1499020000001</v>
      </c>
      <c r="C7168">
        <f t="shared" si="239"/>
        <v>1.0453375797665785E-2</v>
      </c>
      <c r="D7168">
        <f t="shared" si="238"/>
        <v>0.79904912736508382</v>
      </c>
    </row>
    <row r="7169" spans="1:4" x14ac:dyDescent="0.3">
      <c r="A7169" s="1">
        <v>36329</v>
      </c>
      <c r="B7169">
        <v>2563.4399410000001</v>
      </c>
      <c r="C7169">
        <f t="shared" si="239"/>
        <v>7.5821157333676552E-3</v>
      </c>
      <c r="D7169">
        <f t="shared" si="238"/>
        <v>0.56936012891316545</v>
      </c>
    </row>
    <row r="7170" spans="1:4" x14ac:dyDescent="0.3">
      <c r="A7170" s="1">
        <v>36332</v>
      </c>
      <c r="B7170">
        <v>2630.280029</v>
      </c>
      <c r="C7170">
        <f t="shared" si="239"/>
        <v>2.6074372537835056E-2</v>
      </c>
      <c r="D7170">
        <f t="shared" si="238"/>
        <v>2.0486646326562168</v>
      </c>
    </row>
    <row r="7171" spans="1:4" x14ac:dyDescent="0.3">
      <c r="A7171" s="1">
        <v>36333</v>
      </c>
      <c r="B7171">
        <v>2580.26001</v>
      </c>
      <c r="C7171">
        <f t="shared" si="239"/>
        <v>-1.9016993798571722E-2</v>
      </c>
      <c r="D7171">
        <f t="shared" ref="D7171:D7234" si="240">(C7171-avrtn)/sdrtn</f>
        <v>-1.5584592574500409</v>
      </c>
    </row>
    <row r="7172" spans="1:4" x14ac:dyDescent="0.3">
      <c r="A7172" s="1">
        <v>36334</v>
      </c>
      <c r="B7172">
        <v>2598.1201169999999</v>
      </c>
      <c r="C7172">
        <f t="shared" ref="C7172:C7235" si="241">(B7172-B7171)/B7171</f>
        <v>6.9218245179872287E-3</v>
      </c>
      <c r="D7172">
        <f t="shared" si="240"/>
        <v>0.51653954681643255</v>
      </c>
    </row>
    <row r="7173" spans="1:4" x14ac:dyDescent="0.3">
      <c r="A7173" s="1">
        <v>36335</v>
      </c>
      <c r="B7173">
        <v>2553.98999</v>
      </c>
      <c r="C7173">
        <f t="shared" si="241"/>
        <v>-1.6985406760545052E-2</v>
      </c>
      <c r="D7173">
        <f t="shared" si="240"/>
        <v>-1.3959406483437244</v>
      </c>
    </row>
    <row r="7174" spans="1:4" x14ac:dyDescent="0.3">
      <c r="A7174" s="1">
        <v>36336</v>
      </c>
      <c r="B7174">
        <v>2552.6499020000001</v>
      </c>
      <c r="C7174">
        <f t="shared" si="241"/>
        <v>-5.2470370097258028E-4</v>
      </c>
      <c r="D7174">
        <f t="shared" si="240"/>
        <v>-7.9152090393352206E-2</v>
      </c>
    </row>
    <row r="7175" spans="1:4" x14ac:dyDescent="0.3">
      <c r="A7175" s="1">
        <v>36339</v>
      </c>
      <c r="B7175">
        <v>2602.4399410000001</v>
      </c>
      <c r="C7175">
        <f t="shared" si="241"/>
        <v>1.9505236092497252E-2</v>
      </c>
      <c r="D7175">
        <f t="shared" si="240"/>
        <v>1.5231607294796616</v>
      </c>
    </row>
    <row r="7176" spans="1:4" x14ac:dyDescent="0.3">
      <c r="A7176" s="1">
        <v>36340</v>
      </c>
      <c r="B7176">
        <v>2642.110107</v>
      </c>
      <c r="C7176">
        <f t="shared" si="241"/>
        <v>1.5243451107177685E-2</v>
      </c>
      <c r="D7176">
        <f t="shared" si="240"/>
        <v>1.1822354552186694</v>
      </c>
    </row>
    <row r="7177" spans="1:4" x14ac:dyDescent="0.3">
      <c r="A7177" s="1">
        <v>36341</v>
      </c>
      <c r="B7177">
        <v>2686.1201169999999</v>
      </c>
      <c r="C7177">
        <f t="shared" si="241"/>
        <v>1.6657144561613824E-2</v>
      </c>
      <c r="D7177">
        <f t="shared" si="240"/>
        <v>1.2953251184313408</v>
      </c>
    </row>
    <row r="7178" spans="1:4" x14ac:dyDescent="0.3">
      <c r="A7178" s="1">
        <v>36342</v>
      </c>
      <c r="B7178">
        <v>2706.179932</v>
      </c>
      <c r="C7178">
        <f t="shared" si="241"/>
        <v>7.4679515904910194E-3</v>
      </c>
      <c r="D7178">
        <f t="shared" si="240"/>
        <v>0.56022746692879521</v>
      </c>
    </row>
    <row r="7179" spans="1:4" x14ac:dyDescent="0.3">
      <c r="A7179" s="1">
        <v>36343</v>
      </c>
      <c r="B7179">
        <v>2741.0200199999999</v>
      </c>
      <c r="C7179">
        <f t="shared" si="241"/>
        <v>1.2874268849614661E-2</v>
      </c>
      <c r="D7179">
        <f t="shared" si="240"/>
        <v>0.99271061674928218</v>
      </c>
    </row>
    <row r="7180" spans="1:4" x14ac:dyDescent="0.3">
      <c r="A7180" s="1">
        <v>36347</v>
      </c>
      <c r="B7180">
        <v>2736.780029</v>
      </c>
      <c r="C7180">
        <f t="shared" si="241"/>
        <v>-1.5468661188399195E-3</v>
      </c>
      <c r="D7180">
        <f t="shared" si="240"/>
        <v>-0.16092088066576221</v>
      </c>
    </row>
    <row r="7181" spans="1:4" x14ac:dyDescent="0.3">
      <c r="A7181" s="1">
        <v>36348</v>
      </c>
      <c r="B7181">
        <v>2743.040039</v>
      </c>
      <c r="C7181">
        <f t="shared" si="241"/>
        <v>2.2873632274667426E-3</v>
      </c>
      <c r="D7181">
        <f t="shared" si="240"/>
        <v>0.14580170059349051</v>
      </c>
    </row>
    <row r="7182" spans="1:4" x14ac:dyDescent="0.3">
      <c r="A7182" s="1">
        <v>36349</v>
      </c>
      <c r="B7182">
        <v>2771.860107</v>
      </c>
      <c r="C7182">
        <f t="shared" si="241"/>
        <v>1.0506615867884527E-2</v>
      </c>
      <c r="D7182">
        <f t="shared" si="240"/>
        <v>0.80330811405810632</v>
      </c>
    </row>
    <row r="7183" spans="1:4" x14ac:dyDescent="0.3">
      <c r="A7183" s="1">
        <v>36350</v>
      </c>
      <c r="B7183">
        <v>2793.070068</v>
      </c>
      <c r="C7183">
        <f t="shared" si="241"/>
        <v>7.6518872458378436E-3</v>
      </c>
      <c r="D7183">
        <f t="shared" si="240"/>
        <v>0.57494156300860699</v>
      </c>
    </row>
    <row r="7184" spans="1:4" x14ac:dyDescent="0.3">
      <c r="A7184" s="1">
        <v>36353</v>
      </c>
      <c r="B7184">
        <v>2790.4399410000001</v>
      </c>
      <c r="C7184">
        <f t="shared" si="241"/>
        <v>-9.4166166117100867E-4</v>
      </c>
      <c r="D7184">
        <f t="shared" si="240"/>
        <v>-0.11250701266784935</v>
      </c>
    </row>
    <row r="7185" spans="1:4" x14ac:dyDescent="0.3">
      <c r="A7185" s="1">
        <v>36354</v>
      </c>
      <c r="B7185">
        <v>2778.2299800000001</v>
      </c>
      <c r="C7185">
        <f t="shared" si="241"/>
        <v>-4.3756401349474595E-3</v>
      </c>
      <c r="D7185">
        <f t="shared" si="240"/>
        <v>-0.38721116996610733</v>
      </c>
    </row>
    <row r="7186" spans="1:4" x14ac:dyDescent="0.3">
      <c r="A7186" s="1">
        <v>36355</v>
      </c>
      <c r="B7186">
        <v>2818.1298830000001</v>
      </c>
      <c r="C7186">
        <f t="shared" si="241"/>
        <v>1.4361627110510122E-2</v>
      </c>
      <c r="D7186">
        <f t="shared" si="240"/>
        <v>1.1116931615672054</v>
      </c>
    </row>
    <row r="7187" spans="1:4" x14ac:dyDescent="0.3">
      <c r="A7187" s="1">
        <v>36356</v>
      </c>
      <c r="B7187">
        <v>2839.3701169999999</v>
      </c>
      <c r="C7187">
        <f t="shared" si="241"/>
        <v>7.5369961221903956E-3</v>
      </c>
      <c r="D7187">
        <f t="shared" si="240"/>
        <v>0.5657507455519345</v>
      </c>
    </row>
    <row r="7188" spans="1:4" x14ac:dyDescent="0.3">
      <c r="A7188" s="1">
        <v>36357</v>
      </c>
      <c r="B7188">
        <v>2864.4799800000001</v>
      </c>
      <c r="C7188">
        <f t="shared" si="241"/>
        <v>8.8434624460056368E-3</v>
      </c>
      <c r="D7188">
        <f t="shared" si="240"/>
        <v>0.67026267923553007</v>
      </c>
    </row>
    <row r="7189" spans="1:4" x14ac:dyDescent="0.3">
      <c r="A7189" s="1">
        <v>36360</v>
      </c>
      <c r="B7189">
        <v>2830.290039</v>
      </c>
      <c r="C7189">
        <f t="shared" si="241"/>
        <v>-1.1935828226664754E-2</v>
      </c>
      <c r="D7189">
        <f t="shared" si="240"/>
        <v>-0.99199512962430147</v>
      </c>
    </row>
    <row r="7190" spans="1:4" x14ac:dyDescent="0.3">
      <c r="A7190" s="1">
        <v>36361</v>
      </c>
      <c r="B7190">
        <v>2732.179932</v>
      </c>
      <c r="C7190">
        <f t="shared" si="241"/>
        <v>-3.4664329679323008E-2</v>
      </c>
      <c r="D7190">
        <f t="shared" si="240"/>
        <v>-2.810181785680542</v>
      </c>
    </row>
    <row r="7191" spans="1:4" x14ac:dyDescent="0.3">
      <c r="A7191" s="1">
        <v>36362</v>
      </c>
      <c r="B7191">
        <v>2761.7700199999999</v>
      </c>
      <c r="C7191">
        <f t="shared" si="241"/>
        <v>1.0830212041832654E-2</v>
      </c>
      <c r="D7191">
        <f t="shared" si="240"/>
        <v>0.82919447733853835</v>
      </c>
    </row>
    <row r="7192" spans="1:4" x14ac:dyDescent="0.3">
      <c r="A7192" s="1">
        <v>36363</v>
      </c>
      <c r="B7192">
        <v>2684.4399410000001</v>
      </c>
      <c r="C7192">
        <f t="shared" si="241"/>
        <v>-2.8000187720192516E-2</v>
      </c>
      <c r="D7192">
        <f t="shared" si="240"/>
        <v>-2.2770778320655789</v>
      </c>
    </row>
    <row r="7193" spans="1:4" x14ac:dyDescent="0.3">
      <c r="A7193" s="1">
        <v>36364</v>
      </c>
      <c r="B7193">
        <v>2692.3999020000001</v>
      </c>
      <c r="C7193">
        <f t="shared" si="241"/>
        <v>2.9652222344131859E-3</v>
      </c>
      <c r="D7193">
        <f t="shared" si="240"/>
        <v>0.20002763377631419</v>
      </c>
    </row>
    <row r="7194" spans="1:4" x14ac:dyDescent="0.3">
      <c r="A7194" s="1">
        <v>36367</v>
      </c>
      <c r="B7194">
        <v>2619.1899410000001</v>
      </c>
      <c r="C7194">
        <f t="shared" si="241"/>
        <v>-2.7191339943823851E-2</v>
      </c>
      <c r="D7194">
        <f t="shared" si="240"/>
        <v>-2.2123733359580156</v>
      </c>
    </row>
    <row r="7195" spans="1:4" x14ac:dyDescent="0.3">
      <c r="A7195" s="1">
        <v>36368</v>
      </c>
      <c r="B7195">
        <v>2679.330078</v>
      </c>
      <c r="C7195">
        <f t="shared" si="241"/>
        <v>2.2961350018410088E-2</v>
      </c>
      <c r="D7195">
        <f t="shared" si="240"/>
        <v>1.7996356319273072</v>
      </c>
    </row>
    <row r="7196" spans="1:4" x14ac:dyDescent="0.3">
      <c r="A7196" s="1">
        <v>36369</v>
      </c>
      <c r="B7196">
        <v>2705.8400879999999</v>
      </c>
      <c r="C7196">
        <f t="shared" si="241"/>
        <v>9.8942680551656788E-3</v>
      </c>
      <c r="D7196">
        <f t="shared" si="240"/>
        <v>0.75432280702984988</v>
      </c>
    </row>
    <row r="7197" spans="1:4" x14ac:dyDescent="0.3">
      <c r="A7197" s="1">
        <v>36370</v>
      </c>
      <c r="B7197">
        <v>2640.01001</v>
      </c>
      <c r="C7197">
        <f t="shared" si="241"/>
        <v>-2.4328887095710721E-2</v>
      </c>
      <c r="D7197">
        <f t="shared" si="240"/>
        <v>-1.9833888785854081</v>
      </c>
    </row>
    <row r="7198" spans="1:4" x14ac:dyDescent="0.3">
      <c r="A7198" s="1">
        <v>36371</v>
      </c>
      <c r="B7198">
        <v>2638.48999</v>
      </c>
      <c r="C7198">
        <f t="shared" si="241"/>
        <v>-5.7576296841387032E-4</v>
      </c>
      <c r="D7198">
        <f t="shared" si="240"/>
        <v>-8.3236621831693156E-2</v>
      </c>
    </row>
    <row r="7199" spans="1:4" x14ac:dyDescent="0.3">
      <c r="A7199" s="1">
        <v>36374</v>
      </c>
      <c r="B7199">
        <v>2623.6298830000001</v>
      </c>
      <c r="C7199">
        <f t="shared" si="241"/>
        <v>-5.6320497922374042E-3</v>
      </c>
      <c r="D7199">
        <f t="shared" si="240"/>
        <v>-0.48771877616192177</v>
      </c>
    </row>
    <row r="7200" spans="1:4" x14ac:dyDescent="0.3">
      <c r="A7200" s="1">
        <v>36375</v>
      </c>
      <c r="B7200">
        <v>2587.98999</v>
      </c>
      <c r="C7200">
        <f t="shared" si="241"/>
        <v>-1.358419235538187E-2</v>
      </c>
      <c r="D7200">
        <f t="shared" si="240"/>
        <v>-1.1238574818078726</v>
      </c>
    </row>
    <row r="7201" spans="1:4" x14ac:dyDescent="0.3">
      <c r="A7201" s="1">
        <v>36376</v>
      </c>
      <c r="B7201">
        <v>2540</v>
      </c>
      <c r="C7201">
        <f t="shared" si="241"/>
        <v>-1.8543344520432256E-2</v>
      </c>
      <c r="D7201">
        <f t="shared" si="240"/>
        <v>-1.520569262856353</v>
      </c>
    </row>
    <row r="7202" spans="1:4" x14ac:dyDescent="0.3">
      <c r="A7202" s="1">
        <v>36377</v>
      </c>
      <c r="B7202">
        <v>2565.830078</v>
      </c>
      <c r="C7202">
        <f t="shared" si="241"/>
        <v>1.0169322047244078E-2</v>
      </c>
      <c r="D7202">
        <f t="shared" si="240"/>
        <v>0.77632599536734825</v>
      </c>
    </row>
    <row r="7203" spans="1:4" x14ac:dyDescent="0.3">
      <c r="A7203" s="1">
        <v>36378</v>
      </c>
      <c r="B7203">
        <v>2547.969971</v>
      </c>
      <c r="C7203">
        <f t="shared" si="241"/>
        <v>-6.9607520595913646E-3</v>
      </c>
      <c r="D7203">
        <f t="shared" si="240"/>
        <v>-0.59400949389386859</v>
      </c>
    </row>
    <row r="7204" spans="1:4" x14ac:dyDescent="0.3">
      <c r="A7204" s="1">
        <v>36381</v>
      </c>
      <c r="B7204">
        <v>2518.9799800000001</v>
      </c>
      <c r="C7204">
        <f t="shared" si="241"/>
        <v>-1.1377681577865E-2</v>
      </c>
      <c r="D7204">
        <f t="shared" si="240"/>
        <v>-0.94734569283305481</v>
      </c>
    </row>
    <row r="7205" spans="1:4" x14ac:dyDescent="0.3">
      <c r="A7205" s="1">
        <v>36382</v>
      </c>
      <c r="B7205">
        <v>2490.110107</v>
      </c>
      <c r="C7205">
        <f t="shared" si="241"/>
        <v>-1.1460937851518811E-2</v>
      </c>
      <c r="D7205">
        <f t="shared" si="240"/>
        <v>-0.95400585237351687</v>
      </c>
    </row>
    <row r="7206" spans="1:4" x14ac:dyDescent="0.3">
      <c r="A7206" s="1">
        <v>36383</v>
      </c>
      <c r="B7206">
        <v>2564.9799800000001</v>
      </c>
      <c r="C7206">
        <f t="shared" si="241"/>
        <v>3.006689254002538E-2</v>
      </c>
      <c r="D7206">
        <f t="shared" si="240"/>
        <v>2.3680498154910965</v>
      </c>
    </row>
    <row r="7207" spans="1:4" x14ac:dyDescent="0.3">
      <c r="A7207" s="1">
        <v>36384</v>
      </c>
      <c r="B7207">
        <v>2549.48999</v>
      </c>
      <c r="C7207">
        <f t="shared" si="241"/>
        <v>-6.0390295911783428E-3</v>
      </c>
      <c r="D7207">
        <f t="shared" si="240"/>
        <v>-0.52027548656626399</v>
      </c>
    </row>
    <row r="7208" spans="1:4" x14ac:dyDescent="0.3">
      <c r="A7208" s="1">
        <v>36385</v>
      </c>
      <c r="B7208">
        <v>2637.8100589999999</v>
      </c>
      <c r="C7208">
        <f t="shared" si="241"/>
        <v>3.4642249762274951E-2</v>
      </c>
      <c r="D7208">
        <f t="shared" si="240"/>
        <v>2.7340595792897466</v>
      </c>
    </row>
    <row r="7209" spans="1:4" x14ac:dyDescent="0.3">
      <c r="A7209" s="1">
        <v>36388</v>
      </c>
      <c r="B7209">
        <v>2645.280029</v>
      </c>
      <c r="C7209">
        <f t="shared" si="241"/>
        <v>2.8318832034600651E-3</v>
      </c>
      <c r="D7209">
        <f t="shared" si="240"/>
        <v>0.18936105959343599</v>
      </c>
    </row>
    <row r="7210" spans="1:4" x14ac:dyDescent="0.3">
      <c r="A7210" s="1">
        <v>36389</v>
      </c>
      <c r="B7210">
        <v>2671.2299800000001</v>
      </c>
      <c r="C7210">
        <f t="shared" si="241"/>
        <v>9.8099069722346038E-3</v>
      </c>
      <c r="D7210">
        <f t="shared" si="240"/>
        <v>0.7475742672902097</v>
      </c>
    </row>
    <row r="7211" spans="1:4" x14ac:dyDescent="0.3">
      <c r="A7211" s="1">
        <v>36390</v>
      </c>
      <c r="B7211">
        <v>2657.7299800000001</v>
      </c>
      <c r="C7211">
        <f t="shared" si="241"/>
        <v>-5.0538516342946999E-3</v>
      </c>
      <c r="D7211">
        <f t="shared" si="240"/>
        <v>-0.44146530109153737</v>
      </c>
    </row>
    <row r="7212" spans="1:4" x14ac:dyDescent="0.3">
      <c r="A7212" s="1">
        <v>36391</v>
      </c>
      <c r="B7212">
        <v>2621.429932</v>
      </c>
      <c r="C7212">
        <f t="shared" si="241"/>
        <v>-1.3658290448302073E-2</v>
      </c>
      <c r="D7212">
        <f t="shared" si="240"/>
        <v>-1.1297850245483101</v>
      </c>
    </row>
    <row r="7213" spans="1:4" x14ac:dyDescent="0.3">
      <c r="A7213" s="1">
        <v>36392</v>
      </c>
      <c r="B7213">
        <v>2648.330078</v>
      </c>
      <c r="C7213">
        <f t="shared" si="241"/>
        <v>1.0261630750312173E-2</v>
      </c>
      <c r="D7213">
        <f t="shared" si="240"/>
        <v>0.7837103120371407</v>
      </c>
    </row>
    <row r="7214" spans="1:4" x14ac:dyDescent="0.3">
      <c r="A7214" s="1">
        <v>36395</v>
      </c>
      <c r="B7214">
        <v>2719.570068</v>
      </c>
      <c r="C7214">
        <f t="shared" si="241"/>
        <v>2.68999663568372E-2</v>
      </c>
      <c r="D7214">
        <f t="shared" si="240"/>
        <v>2.1147087433143197</v>
      </c>
    </row>
    <row r="7215" spans="1:4" x14ac:dyDescent="0.3">
      <c r="A7215" s="1">
        <v>36396</v>
      </c>
      <c r="B7215">
        <v>2752.3701169999999</v>
      </c>
      <c r="C7215">
        <f t="shared" si="241"/>
        <v>1.206074790495155E-2</v>
      </c>
      <c r="D7215">
        <f t="shared" si="240"/>
        <v>0.92763228639434614</v>
      </c>
    </row>
    <row r="7216" spans="1:4" x14ac:dyDescent="0.3">
      <c r="A7216" s="1">
        <v>36397</v>
      </c>
      <c r="B7216">
        <v>2805.6000979999999</v>
      </c>
      <c r="C7216">
        <f t="shared" si="241"/>
        <v>1.9339688609182771E-2</v>
      </c>
      <c r="D7216">
        <f t="shared" si="240"/>
        <v>1.5099176115498221</v>
      </c>
    </row>
    <row r="7217" spans="1:4" x14ac:dyDescent="0.3">
      <c r="A7217" s="1">
        <v>36398</v>
      </c>
      <c r="B7217">
        <v>2774.6201169999999</v>
      </c>
      <c r="C7217">
        <f t="shared" si="241"/>
        <v>-1.1042194153787042E-2</v>
      </c>
      <c r="D7217">
        <f t="shared" si="240"/>
        <v>-0.92050807843934912</v>
      </c>
    </row>
    <row r="7218" spans="1:4" x14ac:dyDescent="0.3">
      <c r="A7218" s="1">
        <v>36399</v>
      </c>
      <c r="B7218">
        <v>2758.8999020000001</v>
      </c>
      <c r="C7218">
        <f t="shared" si="241"/>
        <v>-5.6657179495249168E-3</v>
      </c>
      <c r="D7218">
        <f t="shared" si="240"/>
        <v>-0.49041209030063276</v>
      </c>
    </row>
    <row r="7219" spans="1:4" x14ac:dyDescent="0.3">
      <c r="A7219" s="1">
        <v>36402</v>
      </c>
      <c r="B7219">
        <v>2712.6899410000001</v>
      </c>
      <c r="C7219">
        <f t="shared" si="241"/>
        <v>-1.6749415579195601E-2</v>
      </c>
      <c r="D7219">
        <f t="shared" si="240"/>
        <v>-1.3770623242373043</v>
      </c>
    </row>
    <row r="7220" spans="1:4" x14ac:dyDescent="0.3">
      <c r="A7220" s="1">
        <v>36403</v>
      </c>
      <c r="B7220">
        <v>2739.3500979999999</v>
      </c>
      <c r="C7220">
        <f t="shared" si="241"/>
        <v>9.8279411137462535E-3</v>
      </c>
      <c r="D7220">
        <f t="shared" si="240"/>
        <v>0.74901692445430867</v>
      </c>
    </row>
    <row r="7221" spans="1:4" x14ac:dyDescent="0.3">
      <c r="A7221" s="1">
        <v>36404</v>
      </c>
      <c r="B7221">
        <v>2750.8000489999999</v>
      </c>
      <c r="C7221">
        <f t="shared" si="241"/>
        <v>4.1798056438129855E-3</v>
      </c>
      <c r="D7221">
        <f t="shared" si="240"/>
        <v>0.29718931213147604</v>
      </c>
    </row>
    <row r="7222" spans="1:4" x14ac:dyDescent="0.3">
      <c r="A7222" s="1">
        <v>36405</v>
      </c>
      <c r="B7222">
        <v>2734.23999</v>
      </c>
      <c r="C7222">
        <f t="shared" si="241"/>
        <v>-6.0200882307021907E-3</v>
      </c>
      <c r="D7222">
        <f t="shared" si="240"/>
        <v>-0.51876025561551142</v>
      </c>
    </row>
    <row r="7223" spans="1:4" x14ac:dyDescent="0.3">
      <c r="A7223" s="1">
        <v>36406</v>
      </c>
      <c r="B7223">
        <v>2843.110107</v>
      </c>
      <c r="C7223">
        <f t="shared" si="241"/>
        <v>3.9817323058024594E-2</v>
      </c>
      <c r="D7223">
        <f t="shared" si="240"/>
        <v>3.1480441629211726</v>
      </c>
    </row>
    <row r="7224" spans="1:4" x14ac:dyDescent="0.3">
      <c r="A7224" s="1">
        <v>36410</v>
      </c>
      <c r="B7224">
        <v>2837.26001</v>
      </c>
      <c r="C7224">
        <f t="shared" si="241"/>
        <v>-2.0576399716622038E-3</v>
      </c>
      <c r="D7224">
        <f t="shared" si="240"/>
        <v>-0.20178068857691231</v>
      </c>
    </row>
    <row r="7225" spans="1:4" x14ac:dyDescent="0.3">
      <c r="A7225" s="1">
        <v>36411</v>
      </c>
      <c r="B7225">
        <v>2808.73999</v>
      </c>
      <c r="C7225">
        <f t="shared" si="241"/>
        <v>-1.00519585443281E-2</v>
      </c>
      <c r="D7225">
        <f t="shared" si="240"/>
        <v>-0.84129330155579019</v>
      </c>
    </row>
    <row r="7226" spans="1:4" x14ac:dyDescent="0.3">
      <c r="A7226" s="1">
        <v>36412</v>
      </c>
      <c r="B7226">
        <v>2852.0200199999999</v>
      </c>
      <c r="C7226">
        <f t="shared" si="241"/>
        <v>1.5409055360798953E-2</v>
      </c>
      <c r="D7226">
        <f t="shared" si="240"/>
        <v>1.195483114539611</v>
      </c>
    </row>
    <row r="7227" spans="1:4" x14ac:dyDescent="0.3">
      <c r="A7227" s="1">
        <v>36413</v>
      </c>
      <c r="B7227">
        <v>2887.0600589999999</v>
      </c>
      <c r="C7227">
        <f t="shared" si="241"/>
        <v>1.228604243808919E-2</v>
      </c>
      <c r="D7227">
        <f t="shared" si="240"/>
        <v>0.94565492262870166</v>
      </c>
    </row>
    <row r="7228" spans="1:4" x14ac:dyDescent="0.3">
      <c r="A7228" s="1">
        <v>36416</v>
      </c>
      <c r="B7228">
        <v>2844.7700199999999</v>
      </c>
      <c r="C7228">
        <f t="shared" si="241"/>
        <v>-1.4648132749496078E-2</v>
      </c>
      <c r="D7228">
        <f t="shared" si="240"/>
        <v>-1.2089683383879672</v>
      </c>
    </row>
    <row r="7229" spans="1:4" x14ac:dyDescent="0.3">
      <c r="A7229" s="1">
        <v>36417</v>
      </c>
      <c r="B7229">
        <v>2868.290039</v>
      </c>
      <c r="C7229">
        <f t="shared" si="241"/>
        <v>8.2678103448236024E-3</v>
      </c>
      <c r="D7229">
        <f t="shared" si="240"/>
        <v>0.62421287823655125</v>
      </c>
    </row>
    <row r="7230" spans="1:4" x14ac:dyDescent="0.3">
      <c r="A7230" s="1">
        <v>36418</v>
      </c>
      <c r="B7230">
        <v>2814.169922</v>
      </c>
      <c r="C7230">
        <f t="shared" si="241"/>
        <v>-1.8868425530239739E-2</v>
      </c>
      <c r="D7230">
        <f t="shared" si="240"/>
        <v>-1.5465744068998519</v>
      </c>
    </row>
    <row r="7231" spans="1:4" x14ac:dyDescent="0.3">
      <c r="A7231" s="1">
        <v>36419</v>
      </c>
      <c r="B7231">
        <v>2806.719971</v>
      </c>
      <c r="C7231">
        <f t="shared" si="241"/>
        <v>-2.6472996323922957E-3</v>
      </c>
      <c r="D7231">
        <f t="shared" si="240"/>
        <v>-0.24895103674030661</v>
      </c>
    </row>
    <row r="7232" spans="1:4" x14ac:dyDescent="0.3">
      <c r="A7232" s="1">
        <v>36420</v>
      </c>
      <c r="B7232">
        <v>2869.6201169999999</v>
      </c>
      <c r="C7232">
        <f t="shared" si="241"/>
        <v>2.2410552762621844E-2</v>
      </c>
      <c r="D7232">
        <f t="shared" si="240"/>
        <v>1.7555741163560969</v>
      </c>
    </row>
    <row r="7233" spans="1:4" x14ac:dyDescent="0.3">
      <c r="A7233" s="1">
        <v>36423</v>
      </c>
      <c r="B7233">
        <v>2886.1499020000001</v>
      </c>
      <c r="C7233">
        <f t="shared" si="241"/>
        <v>5.7602694175704983E-3</v>
      </c>
      <c r="D7233">
        <f t="shared" si="240"/>
        <v>0.42361991512620684</v>
      </c>
    </row>
    <row r="7234" spans="1:4" x14ac:dyDescent="0.3">
      <c r="A7234" s="1">
        <v>36424</v>
      </c>
      <c r="B7234">
        <v>2821.1000979999999</v>
      </c>
      <c r="C7234">
        <f t="shared" si="241"/>
        <v>-2.253860894575261E-2</v>
      </c>
      <c r="D7234">
        <f t="shared" si="240"/>
        <v>-1.8401739882564996</v>
      </c>
    </row>
    <row r="7235" spans="1:4" x14ac:dyDescent="0.3">
      <c r="A7235" s="1">
        <v>36425</v>
      </c>
      <c r="B7235">
        <v>2858.1599120000001</v>
      </c>
      <c r="C7235">
        <f t="shared" si="241"/>
        <v>1.3136653331185766E-2</v>
      </c>
      <c r="D7235">
        <f t="shared" ref="D7235:D7298" si="242">(C7235-avrtn)/sdrtn</f>
        <v>1.0137002963435355</v>
      </c>
    </row>
    <row r="7236" spans="1:4" x14ac:dyDescent="0.3">
      <c r="A7236" s="1">
        <v>36426</v>
      </c>
      <c r="B7236">
        <v>2749.830078</v>
      </c>
      <c r="C7236">
        <f t="shared" ref="C7236:C7299" si="243">(B7236-B7235)/B7235</f>
        <v>-3.7901949973189644E-2</v>
      </c>
      <c r="D7236">
        <f t="shared" si="242"/>
        <v>-3.0691780960156749</v>
      </c>
    </row>
    <row r="7237" spans="1:4" x14ac:dyDescent="0.3">
      <c r="A7237" s="1">
        <v>36427</v>
      </c>
      <c r="B7237">
        <v>2740.4099120000001</v>
      </c>
      <c r="C7237">
        <f t="shared" si="243"/>
        <v>-3.425726584113639E-3</v>
      </c>
      <c r="D7237">
        <f t="shared" si="242"/>
        <v>-0.31122199196726241</v>
      </c>
    </row>
    <row r="7238" spans="1:4" x14ac:dyDescent="0.3">
      <c r="A7238" s="1">
        <v>36430</v>
      </c>
      <c r="B7238">
        <v>2761.75</v>
      </c>
      <c r="C7238">
        <f t="shared" si="243"/>
        <v>7.7871882985657229E-3</v>
      </c>
      <c r="D7238">
        <f t="shared" si="242"/>
        <v>0.58576509086558415</v>
      </c>
    </row>
    <row r="7239" spans="1:4" x14ac:dyDescent="0.3">
      <c r="A7239" s="1">
        <v>36431</v>
      </c>
      <c r="B7239">
        <v>2756.25</v>
      </c>
      <c r="C7239">
        <f t="shared" si="243"/>
        <v>-1.9914909025074679E-3</v>
      </c>
      <c r="D7239">
        <f t="shared" si="242"/>
        <v>-0.19648903505113111</v>
      </c>
    </row>
    <row r="7240" spans="1:4" x14ac:dyDescent="0.3">
      <c r="A7240" s="1">
        <v>36432</v>
      </c>
      <c r="B7240">
        <v>2730.2700199999999</v>
      </c>
      <c r="C7240">
        <f t="shared" si="243"/>
        <v>-9.4258430839002511E-3</v>
      </c>
      <c r="D7240">
        <f t="shared" si="242"/>
        <v>-0.79120663932371937</v>
      </c>
    </row>
    <row r="7241" spans="1:4" x14ac:dyDescent="0.3">
      <c r="A7241" s="1">
        <v>36433</v>
      </c>
      <c r="B7241">
        <v>2746.1599120000001</v>
      </c>
      <c r="C7241">
        <f t="shared" si="243"/>
        <v>5.8198976231662782E-3</v>
      </c>
      <c r="D7241">
        <f t="shared" si="242"/>
        <v>0.42838992638122275</v>
      </c>
    </row>
    <row r="7242" spans="1:4" x14ac:dyDescent="0.3">
      <c r="A7242" s="1">
        <v>36434</v>
      </c>
      <c r="B7242">
        <v>2736.8500979999999</v>
      </c>
      <c r="C7242">
        <f t="shared" si="243"/>
        <v>-3.3901208590653214E-3</v>
      </c>
      <c r="D7242">
        <f t="shared" si="242"/>
        <v>-0.30837368037501323</v>
      </c>
    </row>
    <row r="7243" spans="1:4" x14ac:dyDescent="0.3">
      <c r="A7243" s="1">
        <v>36437</v>
      </c>
      <c r="B7243">
        <v>2795.969971</v>
      </c>
      <c r="C7243">
        <f t="shared" si="243"/>
        <v>2.1601428972380678E-2</v>
      </c>
      <c r="D7243">
        <f t="shared" si="242"/>
        <v>1.6908475402737095</v>
      </c>
    </row>
    <row r="7244" spans="1:4" x14ac:dyDescent="0.3">
      <c r="A7244" s="1">
        <v>36438</v>
      </c>
      <c r="B7244">
        <v>2799.669922</v>
      </c>
      <c r="C7244">
        <f t="shared" si="243"/>
        <v>1.3233157145377851E-3</v>
      </c>
      <c r="D7244">
        <f t="shared" si="242"/>
        <v>6.8681863746234029E-2</v>
      </c>
    </row>
    <row r="7245" spans="1:4" x14ac:dyDescent="0.3">
      <c r="A7245" s="1">
        <v>36439</v>
      </c>
      <c r="B7245">
        <v>2857.209961</v>
      </c>
      <c r="C7245">
        <f t="shared" si="243"/>
        <v>2.0552436752577997E-2</v>
      </c>
      <c r="D7245">
        <f t="shared" si="242"/>
        <v>1.6069324761712769</v>
      </c>
    </row>
    <row r="7246" spans="1:4" x14ac:dyDescent="0.3">
      <c r="A7246" s="1">
        <v>36440</v>
      </c>
      <c r="B7246">
        <v>2860.6999510000001</v>
      </c>
      <c r="C7246">
        <f t="shared" si="243"/>
        <v>1.2214678121794614E-3</v>
      </c>
      <c r="D7246">
        <f t="shared" si="242"/>
        <v>6.0534450358645069E-2</v>
      </c>
    </row>
    <row r="7247" spans="1:4" x14ac:dyDescent="0.3">
      <c r="A7247" s="1">
        <v>36441</v>
      </c>
      <c r="B7247">
        <v>2886.570068</v>
      </c>
      <c r="C7247">
        <f t="shared" si="243"/>
        <v>9.0432822187299488E-3</v>
      </c>
      <c r="D7247">
        <f t="shared" si="242"/>
        <v>0.68624743938965993</v>
      </c>
    </row>
    <row r="7248" spans="1:4" x14ac:dyDescent="0.3">
      <c r="A7248" s="1">
        <v>36444</v>
      </c>
      <c r="B7248">
        <v>2915.9499510000001</v>
      </c>
      <c r="C7248">
        <f t="shared" si="243"/>
        <v>1.0178129166411098E-2</v>
      </c>
      <c r="D7248">
        <f t="shared" si="242"/>
        <v>0.77703052868561939</v>
      </c>
    </row>
    <row r="7249" spans="1:4" x14ac:dyDescent="0.3">
      <c r="A7249" s="1">
        <v>36445</v>
      </c>
      <c r="B7249">
        <v>2872.429932</v>
      </c>
      <c r="C7249">
        <f t="shared" si="243"/>
        <v>-1.4924816862880389E-2</v>
      </c>
      <c r="D7249">
        <f t="shared" si="242"/>
        <v>-1.2311019297268397</v>
      </c>
    </row>
    <row r="7250" spans="1:4" x14ac:dyDescent="0.3">
      <c r="A7250" s="1">
        <v>36446</v>
      </c>
      <c r="B7250">
        <v>2801.2700199999999</v>
      </c>
      <c r="C7250">
        <f t="shared" si="243"/>
        <v>-2.4773419607994836E-2</v>
      </c>
      <c r="D7250">
        <f t="shared" si="242"/>
        <v>-2.0189496516395247</v>
      </c>
    </row>
    <row r="7251" spans="1:4" x14ac:dyDescent="0.3">
      <c r="A7251" s="1">
        <v>36447</v>
      </c>
      <c r="B7251">
        <v>2806.8400879999999</v>
      </c>
      <c r="C7251">
        <f t="shared" si="243"/>
        <v>1.9884081006942673E-3</v>
      </c>
      <c r="D7251">
        <f t="shared" si="242"/>
        <v>0.1218865197625192</v>
      </c>
    </row>
    <row r="7252" spans="1:4" x14ac:dyDescent="0.3">
      <c r="A7252" s="1">
        <v>36448</v>
      </c>
      <c r="B7252">
        <v>2731.830078</v>
      </c>
      <c r="C7252">
        <f t="shared" si="243"/>
        <v>-2.6724005518051434E-2</v>
      </c>
      <c r="D7252">
        <f t="shared" si="242"/>
        <v>-2.1749885035868637</v>
      </c>
    </row>
    <row r="7253" spans="1:4" x14ac:dyDescent="0.3">
      <c r="A7253" s="1">
        <v>36451</v>
      </c>
      <c r="B7253">
        <v>2689.1499020000001</v>
      </c>
      <c r="C7253">
        <f t="shared" si="243"/>
        <v>-1.5623290900745346E-2</v>
      </c>
      <c r="D7253">
        <f t="shared" si="242"/>
        <v>-1.2869769806136309</v>
      </c>
    </row>
    <row r="7254" spans="1:4" x14ac:dyDescent="0.3">
      <c r="A7254" s="1">
        <v>36452</v>
      </c>
      <c r="B7254">
        <v>2688.179932</v>
      </c>
      <c r="C7254">
        <f t="shared" si="243"/>
        <v>-3.6069763135134554E-4</v>
      </c>
      <c r="D7254">
        <f t="shared" si="242"/>
        <v>-6.6032279220641393E-2</v>
      </c>
    </row>
    <row r="7255" spans="1:4" x14ac:dyDescent="0.3">
      <c r="A7255" s="1">
        <v>36453</v>
      </c>
      <c r="B7255">
        <v>2788.1298830000001</v>
      </c>
      <c r="C7255">
        <f t="shared" si="243"/>
        <v>3.7181272655970432E-2</v>
      </c>
      <c r="D7255">
        <f t="shared" si="242"/>
        <v>2.9371709702608615</v>
      </c>
    </row>
    <row r="7256" spans="1:4" x14ac:dyDescent="0.3">
      <c r="A7256" s="1">
        <v>36454</v>
      </c>
      <c r="B7256">
        <v>2801.9499510000001</v>
      </c>
      <c r="C7256">
        <f t="shared" si="243"/>
        <v>4.9567518659244586E-3</v>
      </c>
      <c r="D7256">
        <f t="shared" si="242"/>
        <v>0.35934181507843871</v>
      </c>
    </row>
    <row r="7257" spans="1:4" x14ac:dyDescent="0.3">
      <c r="A7257" s="1">
        <v>36455</v>
      </c>
      <c r="B7257">
        <v>2816.5200199999999</v>
      </c>
      <c r="C7257">
        <f t="shared" si="243"/>
        <v>5.1999747514404745E-3</v>
      </c>
      <c r="D7257">
        <f t="shared" si="242"/>
        <v>0.37879864578123867</v>
      </c>
    </row>
    <row r="7258" spans="1:4" x14ac:dyDescent="0.3">
      <c r="A7258" s="1">
        <v>36458</v>
      </c>
      <c r="B7258">
        <v>2815.9499510000001</v>
      </c>
      <c r="C7258">
        <f t="shared" si="243"/>
        <v>-2.0240189877999726E-4</v>
      </c>
      <c r="D7258">
        <f t="shared" si="242"/>
        <v>-5.3369271530875236E-2</v>
      </c>
    </row>
    <row r="7259" spans="1:4" x14ac:dyDescent="0.3">
      <c r="A7259" s="1">
        <v>36459</v>
      </c>
      <c r="B7259">
        <v>2811.469971</v>
      </c>
      <c r="C7259">
        <f t="shared" si="243"/>
        <v>-1.5909302643710476E-3</v>
      </c>
      <c r="D7259">
        <f t="shared" si="242"/>
        <v>-0.1644458311154034</v>
      </c>
    </row>
    <row r="7260" spans="1:4" x14ac:dyDescent="0.3">
      <c r="A7260" s="1">
        <v>36460</v>
      </c>
      <c r="B7260">
        <v>2802.5200199999999</v>
      </c>
      <c r="C7260">
        <f t="shared" si="243"/>
        <v>-3.1833706538991363E-3</v>
      </c>
      <c r="D7260">
        <f t="shared" si="242"/>
        <v>-0.29183451412364197</v>
      </c>
    </row>
    <row r="7261" spans="1:4" x14ac:dyDescent="0.3">
      <c r="A7261" s="1">
        <v>36461</v>
      </c>
      <c r="B7261">
        <v>2875.219971</v>
      </c>
      <c r="C7261">
        <f t="shared" si="243"/>
        <v>2.5940921199913518E-2</v>
      </c>
      <c r="D7261">
        <f t="shared" si="242"/>
        <v>2.0379890743776743</v>
      </c>
    </row>
    <row r="7262" spans="1:4" x14ac:dyDescent="0.3">
      <c r="A7262" s="1">
        <v>36462</v>
      </c>
      <c r="B7262">
        <v>2966.429932</v>
      </c>
      <c r="C7262">
        <f t="shared" si="243"/>
        <v>3.1722776664032858E-2</v>
      </c>
      <c r="D7262">
        <f t="shared" si="242"/>
        <v>2.5005137363754915</v>
      </c>
    </row>
    <row r="7263" spans="1:4" x14ac:dyDescent="0.3">
      <c r="A7263" s="1">
        <v>36465</v>
      </c>
      <c r="B7263">
        <v>2967.6499020000001</v>
      </c>
      <c r="C7263">
        <f t="shared" si="243"/>
        <v>4.1125866039842232E-4</v>
      </c>
      <c r="D7263">
        <f t="shared" si="242"/>
        <v>-4.2789501838988459E-3</v>
      </c>
    </row>
    <row r="7264" spans="1:4" x14ac:dyDescent="0.3">
      <c r="A7264" s="1">
        <v>36466</v>
      </c>
      <c r="B7264">
        <v>2981.6298830000001</v>
      </c>
      <c r="C7264">
        <f t="shared" si="243"/>
        <v>4.7107918594367776E-3</v>
      </c>
      <c r="D7264">
        <f t="shared" si="242"/>
        <v>0.33966602595301421</v>
      </c>
    </row>
    <row r="7265" spans="1:4" x14ac:dyDescent="0.3">
      <c r="A7265" s="1">
        <v>36467</v>
      </c>
      <c r="B7265">
        <v>3028.51001</v>
      </c>
      <c r="C7265">
        <f t="shared" si="243"/>
        <v>1.5722986701766934E-2</v>
      </c>
      <c r="D7265">
        <f t="shared" si="242"/>
        <v>1.220596330923662</v>
      </c>
    </row>
    <row r="7266" spans="1:4" x14ac:dyDescent="0.3">
      <c r="A7266" s="1">
        <v>36468</v>
      </c>
      <c r="B7266">
        <v>3055.9499510000001</v>
      </c>
      <c r="C7266">
        <f t="shared" si="243"/>
        <v>9.0605416225783223E-3</v>
      </c>
      <c r="D7266">
        <f t="shared" si="242"/>
        <v>0.68762812072643709</v>
      </c>
    </row>
    <row r="7267" spans="1:4" x14ac:dyDescent="0.3">
      <c r="A7267" s="1">
        <v>36469</v>
      </c>
      <c r="B7267">
        <v>3102.290039</v>
      </c>
      <c r="C7267">
        <f t="shared" si="243"/>
        <v>1.5163889704684474E-2</v>
      </c>
      <c r="D7267">
        <f t="shared" si="242"/>
        <v>1.1758708701776543</v>
      </c>
    </row>
    <row r="7268" spans="1:4" x14ac:dyDescent="0.3">
      <c r="A7268" s="1">
        <v>36472</v>
      </c>
      <c r="B7268">
        <v>3143.969971</v>
      </c>
      <c r="C7268">
        <f t="shared" si="243"/>
        <v>1.3435214462873117E-2</v>
      </c>
      <c r="D7268">
        <f t="shared" si="242"/>
        <v>1.0375839591878144</v>
      </c>
    </row>
    <row r="7269" spans="1:4" x14ac:dyDescent="0.3">
      <c r="A7269" s="1">
        <v>36473</v>
      </c>
      <c r="B7269">
        <v>3125.040039</v>
      </c>
      <c r="C7269">
        <f t="shared" si="243"/>
        <v>-6.0210282460105621E-3</v>
      </c>
      <c r="D7269">
        <f t="shared" si="242"/>
        <v>-0.51883545297481515</v>
      </c>
    </row>
    <row r="7270" spans="1:4" x14ac:dyDescent="0.3">
      <c r="A7270" s="1">
        <v>36474</v>
      </c>
      <c r="B7270">
        <v>3155.959961</v>
      </c>
      <c r="C7270">
        <f t="shared" si="243"/>
        <v>9.8942482701419379E-3</v>
      </c>
      <c r="D7270">
        <f t="shared" si="242"/>
        <v>0.75432122430930715</v>
      </c>
    </row>
    <row r="7271" spans="1:4" x14ac:dyDescent="0.3">
      <c r="A7271" s="1">
        <v>36475</v>
      </c>
      <c r="B7271">
        <v>3197.290039</v>
      </c>
      <c r="C7271">
        <f t="shared" si="243"/>
        <v>1.3095881605197575E-2</v>
      </c>
      <c r="D7271">
        <f t="shared" si="242"/>
        <v>1.0104387259188192</v>
      </c>
    </row>
    <row r="7272" spans="1:4" x14ac:dyDescent="0.3">
      <c r="A7272" s="1">
        <v>36476</v>
      </c>
      <c r="B7272">
        <v>3221.1499020000001</v>
      </c>
      <c r="C7272">
        <f t="shared" si="243"/>
        <v>7.4625269240392901E-3</v>
      </c>
      <c r="D7272">
        <f t="shared" si="242"/>
        <v>0.5597935159190186</v>
      </c>
    </row>
    <row r="7273" spans="1:4" x14ac:dyDescent="0.3">
      <c r="A7273" s="1">
        <v>36479</v>
      </c>
      <c r="B7273">
        <v>3219.540039</v>
      </c>
      <c r="C7273">
        <f t="shared" si="243"/>
        <v>-4.997789761353777E-4</v>
      </c>
      <c r="D7273">
        <f t="shared" si="242"/>
        <v>-7.7158214897456945E-2</v>
      </c>
    </row>
    <row r="7274" spans="1:4" x14ac:dyDescent="0.3">
      <c r="A7274" s="1">
        <v>36480</v>
      </c>
      <c r="B7274">
        <v>3295.5200199999999</v>
      </c>
      <c r="C7274">
        <f t="shared" si="243"/>
        <v>2.3599638482396258E-2</v>
      </c>
      <c r="D7274">
        <f t="shared" si="242"/>
        <v>1.850696084388354</v>
      </c>
    </row>
    <row r="7275" spans="1:4" x14ac:dyDescent="0.3">
      <c r="A7275" s="1">
        <v>36481</v>
      </c>
      <c r="B7275">
        <v>3269.389893</v>
      </c>
      <c r="C7275">
        <f t="shared" si="243"/>
        <v>-7.9289844520501213E-3</v>
      </c>
      <c r="D7275">
        <f t="shared" si="242"/>
        <v>-0.67146410389518152</v>
      </c>
    </row>
    <row r="7276" spans="1:4" x14ac:dyDescent="0.3">
      <c r="A7276" s="1">
        <v>36482</v>
      </c>
      <c r="B7276">
        <v>3347.110107</v>
      </c>
      <c r="C7276">
        <f t="shared" si="243"/>
        <v>2.3772084867089281E-2</v>
      </c>
      <c r="D7276">
        <f t="shared" si="242"/>
        <v>1.864491086060025</v>
      </c>
    </row>
    <row r="7277" spans="1:4" x14ac:dyDescent="0.3">
      <c r="A7277" s="1">
        <v>36483</v>
      </c>
      <c r="B7277">
        <v>3369.25</v>
      </c>
      <c r="C7277">
        <f t="shared" si="243"/>
        <v>6.6146294242599383E-3</v>
      </c>
      <c r="D7277">
        <f t="shared" si="242"/>
        <v>0.49196520251202264</v>
      </c>
    </row>
    <row r="7278" spans="1:4" x14ac:dyDescent="0.3">
      <c r="A7278" s="1">
        <v>36486</v>
      </c>
      <c r="B7278">
        <v>3392.5600589999999</v>
      </c>
      <c r="C7278">
        <f t="shared" si="243"/>
        <v>6.9184711731097156E-3</v>
      </c>
      <c r="D7278">
        <f t="shared" si="242"/>
        <v>0.51627129301526808</v>
      </c>
    </row>
    <row r="7279" spans="1:4" x14ac:dyDescent="0.3">
      <c r="A7279" s="1">
        <v>36487</v>
      </c>
      <c r="B7279">
        <v>3342.8701169999999</v>
      </c>
      <c r="C7279">
        <f t="shared" si="243"/>
        <v>-1.4646739080765666E-2</v>
      </c>
      <c r="D7279">
        <f t="shared" si="242"/>
        <v>-1.2088568506203343</v>
      </c>
    </row>
    <row r="7280" spans="1:4" x14ac:dyDescent="0.3">
      <c r="A7280" s="1">
        <v>36488</v>
      </c>
      <c r="B7280">
        <v>3420.5</v>
      </c>
      <c r="C7280">
        <f t="shared" si="243"/>
        <v>2.3222524442459536E-2</v>
      </c>
      <c r="D7280">
        <f t="shared" si="242"/>
        <v>1.8205285118956143</v>
      </c>
    </row>
    <row r="7281" spans="1:4" x14ac:dyDescent="0.3">
      <c r="A7281" s="1">
        <v>36490</v>
      </c>
      <c r="B7281">
        <v>3447.8100589999999</v>
      </c>
      <c r="C7281">
        <f t="shared" si="243"/>
        <v>7.9842300833211262E-3</v>
      </c>
      <c r="D7281">
        <f t="shared" si="242"/>
        <v>0.60152762340535615</v>
      </c>
    </row>
    <row r="7282" spans="1:4" x14ac:dyDescent="0.3">
      <c r="A7282" s="1">
        <v>36493</v>
      </c>
      <c r="B7282">
        <v>3421.3701169999999</v>
      </c>
      <c r="C7282">
        <f t="shared" si="243"/>
        <v>-7.6686190792275236E-3</v>
      </c>
      <c r="D7282">
        <f t="shared" si="242"/>
        <v>-0.65063594469818398</v>
      </c>
    </row>
    <row r="7283" spans="1:4" x14ac:dyDescent="0.3">
      <c r="A7283" s="1">
        <v>36494</v>
      </c>
      <c r="B7283">
        <v>3336.1599120000001</v>
      </c>
      <c r="C7283">
        <f t="shared" si="243"/>
        <v>-2.4905287088529238E-2</v>
      </c>
      <c r="D7283">
        <f t="shared" si="242"/>
        <v>-2.0294985078399566</v>
      </c>
    </row>
    <row r="7284" spans="1:4" x14ac:dyDescent="0.3">
      <c r="A7284" s="1">
        <v>36495</v>
      </c>
      <c r="B7284">
        <v>3353.709961</v>
      </c>
      <c r="C7284">
        <f t="shared" si="243"/>
        <v>5.260553889180581E-3</v>
      </c>
      <c r="D7284">
        <f t="shared" si="242"/>
        <v>0.38364472769754437</v>
      </c>
    </row>
    <row r="7285" spans="1:4" x14ac:dyDescent="0.3">
      <c r="A7285" s="1">
        <v>36496</v>
      </c>
      <c r="B7285">
        <v>3452.780029</v>
      </c>
      <c r="C7285">
        <f t="shared" si="243"/>
        <v>2.9540440035685005E-2</v>
      </c>
      <c r="D7285">
        <f t="shared" si="242"/>
        <v>2.3259357799294995</v>
      </c>
    </row>
    <row r="7286" spans="1:4" x14ac:dyDescent="0.3">
      <c r="A7286" s="1">
        <v>36497</v>
      </c>
      <c r="B7286">
        <v>3520.6298830000001</v>
      </c>
      <c r="C7286">
        <f t="shared" si="243"/>
        <v>1.9650789633317834E-2</v>
      </c>
      <c r="D7286">
        <f t="shared" si="242"/>
        <v>1.5348044142255721</v>
      </c>
    </row>
    <row r="7287" spans="1:4" x14ac:dyDescent="0.3">
      <c r="A7287" s="1">
        <v>36500</v>
      </c>
      <c r="B7287">
        <v>3546.01001</v>
      </c>
      <c r="C7287">
        <f t="shared" si="243"/>
        <v>7.2089733494998861E-3</v>
      </c>
      <c r="D7287">
        <f t="shared" si="242"/>
        <v>0.53951027257439466</v>
      </c>
    </row>
    <row r="7288" spans="1:4" x14ac:dyDescent="0.3">
      <c r="A7288" s="1">
        <v>36501</v>
      </c>
      <c r="B7288">
        <v>3586.919922</v>
      </c>
      <c r="C7288">
        <f t="shared" si="243"/>
        <v>1.1536885650246678E-2</v>
      </c>
      <c r="D7288">
        <f t="shared" si="242"/>
        <v>0.88572546015241926</v>
      </c>
    </row>
    <row r="7289" spans="1:4" x14ac:dyDescent="0.3">
      <c r="A7289" s="1">
        <v>36502</v>
      </c>
      <c r="B7289">
        <v>3586.080078</v>
      </c>
      <c r="C7289">
        <f t="shared" si="243"/>
        <v>-2.3414071634244993E-4</v>
      </c>
      <c r="D7289">
        <f t="shared" si="242"/>
        <v>-5.5908246425073797E-2</v>
      </c>
    </row>
    <row r="7290" spans="1:4" x14ac:dyDescent="0.3">
      <c r="A7290" s="1">
        <v>36503</v>
      </c>
      <c r="B7290">
        <v>3594.169922</v>
      </c>
      <c r="C7290">
        <f t="shared" si="243"/>
        <v>2.2559016597621232E-3</v>
      </c>
      <c r="D7290">
        <f t="shared" si="242"/>
        <v>0.14328490454786039</v>
      </c>
    </row>
    <row r="7291" spans="1:4" x14ac:dyDescent="0.3">
      <c r="A7291" s="1">
        <v>36504</v>
      </c>
      <c r="B7291">
        <v>3620.23999</v>
      </c>
      <c r="C7291">
        <f t="shared" si="243"/>
        <v>7.2534322432627578E-3</v>
      </c>
      <c r="D7291">
        <f t="shared" si="242"/>
        <v>0.54306680125936091</v>
      </c>
    </row>
    <row r="7292" spans="1:4" x14ac:dyDescent="0.3">
      <c r="A7292" s="1">
        <v>36507</v>
      </c>
      <c r="B7292">
        <v>3658.169922</v>
      </c>
      <c r="C7292">
        <f t="shared" si="243"/>
        <v>1.0477187176753994E-2</v>
      </c>
      <c r="D7292">
        <f t="shared" si="242"/>
        <v>0.80095393977916463</v>
      </c>
    </row>
    <row r="7293" spans="1:4" x14ac:dyDescent="0.3">
      <c r="A7293" s="1">
        <v>36508</v>
      </c>
      <c r="B7293">
        <v>3571.6599120000001</v>
      </c>
      <c r="C7293">
        <f t="shared" si="243"/>
        <v>-2.3648439477820398E-2</v>
      </c>
      <c r="D7293">
        <f t="shared" si="242"/>
        <v>-1.9289558671715059</v>
      </c>
    </row>
    <row r="7294" spans="1:4" x14ac:dyDescent="0.3">
      <c r="A7294" s="1">
        <v>36509</v>
      </c>
      <c r="B7294">
        <v>3621.9499510000001</v>
      </c>
      <c r="C7294">
        <f t="shared" si="243"/>
        <v>1.4080298863572198E-2</v>
      </c>
      <c r="D7294">
        <f t="shared" si="242"/>
        <v>1.0891880586408351</v>
      </c>
    </row>
    <row r="7295" spans="1:4" x14ac:dyDescent="0.3">
      <c r="A7295" s="1">
        <v>36510</v>
      </c>
      <c r="B7295">
        <v>3715.0600589999999</v>
      </c>
      <c r="C7295">
        <f t="shared" si="243"/>
        <v>2.5707176868717548E-2</v>
      </c>
      <c r="D7295">
        <f t="shared" si="242"/>
        <v>2.0192904890444296</v>
      </c>
    </row>
    <row r="7296" spans="1:4" x14ac:dyDescent="0.3">
      <c r="A7296" s="1">
        <v>36511</v>
      </c>
      <c r="B7296">
        <v>3753.0600589999999</v>
      </c>
      <c r="C7296">
        <f t="shared" si="243"/>
        <v>1.0228636790929469E-2</v>
      </c>
      <c r="D7296">
        <f t="shared" si="242"/>
        <v>0.78107093095849611</v>
      </c>
    </row>
    <row r="7297" spans="1:4" x14ac:dyDescent="0.3">
      <c r="A7297" s="1">
        <v>36514</v>
      </c>
      <c r="B7297">
        <v>3783.8701169999999</v>
      </c>
      <c r="C7297">
        <f t="shared" si="243"/>
        <v>8.2093165352140254E-3</v>
      </c>
      <c r="D7297">
        <f t="shared" si="242"/>
        <v>0.61953361399576745</v>
      </c>
    </row>
    <row r="7298" spans="1:4" x14ac:dyDescent="0.3">
      <c r="A7298" s="1">
        <v>36515</v>
      </c>
      <c r="B7298">
        <v>3911.1499020000001</v>
      </c>
      <c r="C7298">
        <f t="shared" si="243"/>
        <v>3.3637461399154092E-2</v>
      </c>
      <c r="D7298">
        <f t="shared" si="242"/>
        <v>2.6536806419545149</v>
      </c>
    </row>
    <row r="7299" spans="1:4" x14ac:dyDescent="0.3">
      <c r="A7299" s="1">
        <v>36516</v>
      </c>
      <c r="B7299">
        <v>3937.3000489999999</v>
      </c>
      <c r="C7299">
        <f t="shared" si="243"/>
        <v>6.6860508175940105E-3</v>
      </c>
      <c r="D7299">
        <f t="shared" ref="D7299:D7362" si="244">(C7299-avrtn)/sdrtn</f>
        <v>0.49767862029222421</v>
      </c>
    </row>
    <row r="7300" spans="1:4" x14ac:dyDescent="0.3">
      <c r="A7300" s="1">
        <v>36517</v>
      </c>
      <c r="B7300">
        <v>3969.4399410000001</v>
      </c>
      <c r="C7300">
        <f t="shared" ref="C7300:C7363" si="245">(B7300-B7299)/B7299</f>
        <v>8.1629267772373795E-3</v>
      </c>
      <c r="D7300">
        <f t="shared" si="244"/>
        <v>0.61582262411346034</v>
      </c>
    </row>
    <row r="7301" spans="1:4" x14ac:dyDescent="0.3">
      <c r="A7301" s="1">
        <v>36521</v>
      </c>
      <c r="B7301">
        <v>3975.3798830000001</v>
      </c>
      <c r="C7301">
        <f t="shared" si="245"/>
        <v>1.4964181567900371E-3</v>
      </c>
      <c r="D7301">
        <f t="shared" si="244"/>
        <v>8.252934732491847E-2</v>
      </c>
    </row>
    <row r="7302" spans="1:4" x14ac:dyDescent="0.3">
      <c r="A7302" s="1">
        <v>36522</v>
      </c>
      <c r="B7302">
        <v>3972.110107</v>
      </c>
      <c r="C7302">
        <f t="shared" si="245"/>
        <v>-8.2250655188519312E-4</v>
      </c>
      <c r="D7302">
        <f t="shared" si="244"/>
        <v>-0.10297509389372117</v>
      </c>
    </row>
    <row r="7303" spans="1:4" x14ac:dyDescent="0.3">
      <c r="A7303" s="1">
        <v>36523</v>
      </c>
      <c r="B7303">
        <v>4041.459961</v>
      </c>
      <c r="C7303">
        <f t="shared" si="245"/>
        <v>1.7459197286043424E-2</v>
      </c>
      <c r="D7303">
        <f t="shared" si="244"/>
        <v>1.3594860383251994</v>
      </c>
    </row>
    <row r="7304" spans="1:4" x14ac:dyDescent="0.3">
      <c r="A7304" s="1">
        <v>36524</v>
      </c>
      <c r="B7304">
        <v>4036.8701169999999</v>
      </c>
      <c r="C7304">
        <f t="shared" si="245"/>
        <v>-1.1356895884883133E-3</v>
      </c>
      <c r="D7304">
        <f t="shared" si="244"/>
        <v>-0.12802844900562926</v>
      </c>
    </row>
    <row r="7305" spans="1:4" x14ac:dyDescent="0.3">
      <c r="A7305" s="1">
        <v>36525</v>
      </c>
      <c r="B7305">
        <v>4069.3100589999999</v>
      </c>
      <c r="C7305">
        <f t="shared" si="245"/>
        <v>8.0359142255752632E-3</v>
      </c>
      <c r="D7305">
        <f t="shared" si="244"/>
        <v>0.60566214225922421</v>
      </c>
    </row>
    <row r="7306" spans="1:4" x14ac:dyDescent="0.3">
      <c r="A7306" s="1">
        <v>36528</v>
      </c>
      <c r="B7306">
        <v>4131.1499020000001</v>
      </c>
      <c r="C7306">
        <f t="shared" si="245"/>
        <v>1.5196640733539199E-2</v>
      </c>
      <c r="D7306">
        <f t="shared" si="244"/>
        <v>1.1784908178129971</v>
      </c>
    </row>
    <row r="7307" spans="1:4" x14ac:dyDescent="0.3">
      <c r="A7307" s="1">
        <v>36529</v>
      </c>
      <c r="B7307">
        <v>3901.6899410000001</v>
      </c>
      <c r="C7307">
        <f t="shared" si="245"/>
        <v>-5.5543847704222091E-2</v>
      </c>
      <c r="D7307">
        <f t="shared" si="244"/>
        <v>-4.480457370581334</v>
      </c>
    </row>
    <row r="7308" spans="1:4" x14ac:dyDescent="0.3">
      <c r="A7308" s="1">
        <v>36530</v>
      </c>
      <c r="B7308">
        <v>3877.540039</v>
      </c>
      <c r="C7308">
        <f t="shared" si="245"/>
        <v>-6.1896004975245441E-3</v>
      </c>
      <c r="D7308">
        <f t="shared" si="244"/>
        <v>-0.53232053992269357</v>
      </c>
    </row>
    <row r="7309" spans="1:4" x14ac:dyDescent="0.3">
      <c r="A7309" s="1">
        <v>36531</v>
      </c>
      <c r="B7309">
        <v>3727.1298830000001</v>
      </c>
      <c r="C7309">
        <f t="shared" si="245"/>
        <v>-3.8790097455393399E-2</v>
      </c>
      <c r="D7309">
        <f t="shared" si="244"/>
        <v>-3.1402262425077065</v>
      </c>
    </row>
    <row r="7310" spans="1:4" x14ac:dyDescent="0.3">
      <c r="A7310" s="1">
        <v>36532</v>
      </c>
      <c r="B7310">
        <v>3882.6201169999999</v>
      </c>
      <c r="C7310">
        <f t="shared" si="245"/>
        <v>4.1718490871277179E-2</v>
      </c>
      <c r="D7310">
        <f t="shared" si="244"/>
        <v>3.3001297703326191</v>
      </c>
    </row>
    <row r="7311" spans="1:4" x14ac:dyDescent="0.3">
      <c r="A7311" s="1">
        <v>36535</v>
      </c>
      <c r="B7311">
        <v>4049.669922</v>
      </c>
      <c r="C7311">
        <f t="shared" si="245"/>
        <v>4.3025019179335829E-2</v>
      </c>
      <c r="D7311">
        <f t="shared" si="244"/>
        <v>3.4046466625008063</v>
      </c>
    </row>
    <row r="7312" spans="1:4" x14ac:dyDescent="0.3">
      <c r="A7312" s="1">
        <v>36536</v>
      </c>
      <c r="B7312">
        <v>3921.1899410000001</v>
      </c>
      <c r="C7312">
        <f t="shared" si="245"/>
        <v>-3.1726037794346428E-2</v>
      </c>
      <c r="D7312">
        <f t="shared" si="244"/>
        <v>-2.5751305172108414</v>
      </c>
    </row>
    <row r="7313" spans="1:4" x14ac:dyDescent="0.3">
      <c r="A7313" s="1">
        <v>36537</v>
      </c>
      <c r="B7313">
        <v>3850.0200199999999</v>
      </c>
      <c r="C7313">
        <f t="shared" si="245"/>
        <v>-1.8150082518535195E-2</v>
      </c>
      <c r="D7313">
        <f t="shared" si="244"/>
        <v>-1.4891099198076025</v>
      </c>
    </row>
    <row r="7314" spans="1:4" x14ac:dyDescent="0.3">
      <c r="A7314" s="1">
        <v>36538</v>
      </c>
      <c r="B7314">
        <v>3957.209961</v>
      </c>
      <c r="C7314">
        <f t="shared" si="245"/>
        <v>2.7841398341611763E-2</v>
      </c>
      <c r="D7314">
        <f t="shared" si="244"/>
        <v>2.1900194309048322</v>
      </c>
    </row>
    <row r="7315" spans="1:4" x14ac:dyDescent="0.3">
      <c r="A7315" s="1">
        <v>36539</v>
      </c>
      <c r="B7315">
        <v>4064.2700199999999</v>
      </c>
      <c r="C7315">
        <f t="shared" si="245"/>
        <v>2.7054429776312772E-2</v>
      </c>
      <c r="D7315">
        <f t="shared" si="244"/>
        <v>2.1270651817149893</v>
      </c>
    </row>
    <row r="7316" spans="1:4" x14ac:dyDescent="0.3">
      <c r="A7316" s="1">
        <v>36543</v>
      </c>
      <c r="B7316">
        <v>4130.8100590000004</v>
      </c>
      <c r="C7316">
        <f t="shared" si="245"/>
        <v>1.6371953308358295E-2</v>
      </c>
      <c r="D7316">
        <f t="shared" si="244"/>
        <v>1.2725109908843393</v>
      </c>
    </row>
    <row r="7317" spans="1:4" x14ac:dyDescent="0.3">
      <c r="A7317" s="1">
        <v>36544</v>
      </c>
      <c r="B7317">
        <v>4151.2900390000004</v>
      </c>
      <c r="C7317">
        <f t="shared" si="245"/>
        <v>4.9578604940644323E-3</v>
      </c>
      <c r="D7317">
        <f t="shared" si="244"/>
        <v>0.35943050077093047</v>
      </c>
    </row>
    <row r="7318" spans="1:4" x14ac:dyDescent="0.3">
      <c r="A7318" s="1">
        <v>36545</v>
      </c>
      <c r="B7318">
        <v>4189.5097660000001</v>
      </c>
      <c r="C7318">
        <f t="shared" si="245"/>
        <v>9.2067108395072293E-3</v>
      </c>
      <c r="D7318">
        <f t="shared" si="244"/>
        <v>0.69932105702933822</v>
      </c>
    </row>
    <row r="7319" spans="1:4" x14ac:dyDescent="0.3">
      <c r="A7319" s="1">
        <v>36546</v>
      </c>
      <c r="B7319">
        <v>4235.3999020000001</v>
      </c>
      <c r="C7319">
        <f t="shared" si="245"/>
        <v>1.0953581340810266E-2</v>
      </c>
      <c r="D7319">
        <f t="shared" si="244"/>
        <v>0.83906351395915868</v>
      </c>
    </row>
    <row r="7320" spans="1:4" x14ac:dyDescent="0.3">
      <c r="A7320" s="1">
        <v>36549</v>
      </c>
      <c r="B7320">
        <v>4096.080078</v>
      </c>
      <c r="C7320">
        <f t="shared" si="245"/>
        <v>-3.2894136852156954E-2</v>
      </c>
      <c r="D7320">
        <f t="shared" si="244"/>
        <v>-2.6685736385836569</v>
      </c>
    </row>
    <row r="7321" spans="1:4" x14ac:dyDescent="0.3">
      <c r="A7321" s="1">
        <v>36550</v>
      </c>
      <c r="B7321">
        <v>4167.4101559999999</v>
      </c>
      <c r="C7321">
        <f t="shared" si="245"/>
        <v>1.7414229370932711E-2</v>
      </c>
      <c r="D7321">
        <f t="shared" si="244"/>
        <v>1.3558887900255141</v>
      </c>
    </row>
    <row r="7322" spans="1:4" x14ac:dyDescent="0.3">
      <c r="A7322" s="1">
        <v>36551</v>
      </c>
      <c r="B7322">
        <v>4069.9099120000001</v>
      </c>
      <c r="C7322">
        <f t="shared" si="245"/>
        <v>-2.3395883858377736E-2</v>
      </c>
      <c r="D7322">
        <f t="shared" si="244"/>
        <v>-1.9087524561310054</v>
      </c>
    </row>
    <row r="7323" spans="1:4" x14ac:dyDescent="0.3">
      <c r="A7323" s="1">
        <v>36552</v>
      </c>
      <c r="B7323">
        <v>4039.5600589999999</v>
      </c>
      <c r="C7323">
        <f t="shared" si="245"/>
        <v>-7.4571314000132019E-3</v>
      </c>
      <c r="D7323">
        <f t="shared" si="244"/>
        <v>-0.63371780000357147</v>
      </c>
    </row>
    <row r="7324" spans="1:4" x14ac:dyDescent="0.3">
      <c r="A7324" s="1">
        <v>36553</v>
      </c>
      <c r="B7324">
        <v>3887.070068</v>
      </c>
      <c r="C7324">
        <f t="shared" si="245"/>
        <v>-3.7749158020378357E-2</v>
      </c>
      <c r="D7324">
        <f t="shared" si="244"/>
        <v>-3.0569553680750361</v>
      </c>
    </row>
    <row r="7325" spans="1:4" x14ac:dyDescent="0.3">
      <c r="A7325" s="1">
        <v>36556</v>
      </c>
      <c r="B7325">
        <v>3940.3500979999999</v>
      </c>
      <c r="C7325">
        <f t="shared" si="245"/>
        <v>1.3706989858151407E-2</v>
      </c>
      <c r="D7325">
        <f t="shared" si="244"/>
        <v>1.0593248732629745</v>
      </c>
    </row>
    <row r="7326" spans="1:4" x14ac:dyDescent="0.3">
      <c r="A7326" s="1">
        <v>36557</v>
      </c>
      <c r="B7326">
        <v>4051.9799800000001</v>
      </c>
      <c r="C7326">
        <f t="shared" si="245"/>
        <v>2.8329940036714012E-2</v>
      </c>
      <c r="D7326">
        <f t="shared" si="244"/>
        <v>2.2291007576175579</v>
      </c>
    </row>
    <row r="7327" spans="1:4" x14ac:dyDescent="0.3">
      <c r="A7327" s="1">
        <v>36558</v>
      </c>
      <c r="B7327">
        <v>4073.959961</v>
      </c>
      <c r="C7327">
        <f t="shared" si="245"/>
        <v>5.4245038495969941E-3</v>
      </c>
      <c r="D7327">
        <f t="shared" si="244"/>
        <v>0.39676005036459189</v>
      </c>
    </row>
    <row r="7328" spans="1:4" x14ac:dyDescent="0.3">
      <c r="A7328" s="1">
        <v>36559</v>
      </c>
      <c r="B7328">
        <v>4210.9799800000001</v>
      </c>
      <c r="C7328">
        <f t="shared" si="245"/>
        <v>3.3633128531377836E-2</v>
      </c>
      <c r="D7328">
        <f t="shared" si="244"/>
        <v>2.653334030349273</v>
      </c>
    </row>
    <row r="7329" spans="1:4" x14ac:dyDescent="0.3">
      <c r="A7329" s="1">
        <v>36560</v>
      </c>
      <c r="B7329">
        <v>4244.1401370000003</v>
      </c>
      <c r="C7329">
        <f t="shared" si="245"/>
        <v>7.874688827183703E-3</v>
      </c>
      <c r="D7329">
        <f t="shared" si="244"/>
        <v>0.59276477335069899</v>
      </c>
    </row>
    <row r="7330" spans="1:4" x14ac:dyDescent="0.3">
      <c r="A7330" s="1">
        <v>36563</v>
      </c>
      <c r="B7330">
        <v>4321.7700199999999</v>
      </c>
      <c r="C7330">
        <f t="shared" si="245"/>
        <v>1.8291074397668881E-2</v>
      </c>
      <c r="D7330">
        <f t="shared" si="244"/>
        <v>1.4260327865561135</v>
      </c>
    </row>
    <row r="7331" spans="1:4" x14ac:dyDescent="0.3">
      <c r="A7331" s="1">
        <v>36564</v>
      </c>
      <c r="B7331">
        <v>4427.5</v>
      </c>
      <c r="C7331">
        <f t="shared" si="245"/>
        <v>2.4464508641299721E-2</v>
      </c>
      <c r="D7331">
        <f t="shared" si="244"/>
        <v>1.9198821407332876</v>
      </c>
    </row>
    <row r="7332" spans="1:4" x14ac:dyDescent="0.3">
      <c r="A7332" s="1">
        <v>36565</v>
      </c>
      <c r="B7332">
        <v>4363.2402339999999</v>
      </c>
      <c r="C7332">
        <f t="shared" si="245"/>
        <v>-1.451378114059856E-2</v>
      </c>
      <c r="D7332">
        <f t="shared" si="244"/>
        <v>-1.1982207621332828</v>
      </c>
    </row>
    <row r="7333" spans="1:4" x14ac:dyDescent="0.3">
      <c r="A7333" s="1">
        <v>36566</v>
      </c>
      <c r="B7333">
        <v>4485.6298829999996</v>
      </c>
      <c r="C7333">
        <f t="shared" si="245"/>
        <v>2.8050174282473337E-2</v>
      </c>
      <c r="D7333">
        <f t="shared" si="244"/>
        <v>2.2067206476819594</v>
      </c>
    </row>
    <row r="7334" spans="1:4" x14ac:dyDescent="0.3">
      <c r="A7334" s="1">
        <v>36567</v>
      </c>
      <c r="B7334">
        <v>4395.4501950000003</v>
      </c>
      <c r="C7334">
        <f t="shared" si="245"/>
        <v>-2.0104130379050997E-2</v>
      </c>
      <c r="D7334">
        <f t="shared" si="244"/>
        <v>-1.6454257135560526</v>
      </c>
    </row>
    <row r="7335" spans="1:4" x14ac:dyDescent="0.3">
      <c r="A7335" s="1">
        <v>36570</v>
      </c>
      <c r="B7335">
        <v>4418.5498049999997</v>
      </c>
      <c r="C7335">
        <f t="shared" si="245"/>
        <v>5.2553456358750304E-3</v>
      </c>
      <c r="D7335">
        <f t="shared" si="244"/>
        <v>0.38322808884956588</v>
      </c>
    </row>
    <row r="7336" spans="1:4" x14ac:dyDescent="0.3">
      <c r="A7336" s="1">
        <v>36571</v>
      </c>
      <c r="B7336">
        <v>4420.7700199999999</v>
      </c>
      <c r="C7336">
        <f t="shared" si="245"/>
        <v>5.0247594753552417E-4</v>
      </c>
      <c r="D7336">
        <f t="shared" si="244"/>
        <v>3.0180576993433569E-3</v>
      </c>
    </row>
    <row r="7337" spans="1:4" x14ac:dyDescent="0.3">
      <c r="A7337" s="1">
        <v>36572</v>
      </c>
      <c r="B7337">
        <v>4427.6499020000001</v>
      </c>
      <c r="C7337">
        <f t="shared" si="245"/>
        <v>1.556263268361601E-3</v>
      </c>
      <c r="D7337">
        <f t="shared" si="244"/>
        <v>8.7316710166074382E-2</v>
      </c>
    </row>
    <row r="7338" spans="1:4" x14ac:dyDescent="0.3">
      <c r="A7338" s="1">
        <v>36573</v>
      </c>
      <c r="B7338">
        <v>4548.919922</v>
      </c>
      <c r="C7338">
        <f t="shared" si="245"/>
        <v>2.7389252240838064E-2</v>
      </c>
      <c r="D7338">
        <f t="shared" si="244"/>
        <v>2.1538496020788118</v>
      </c>
    </row>
    <row r="7339" spans="1:4" x14ac:dyDescent="0.3">
      <c r="A7339" s="1">
        <v>36574</v>
      </c>
      <c r="B7339">
        <v>4411.7402339999999</v>
      </c>
      <c r="C7339">
        <f t="shared" si="245"/>
        <v>-3.0156540530985449E-2</v>
      </c>
      <c r="D7339">
        <f t="shared" si="244"/>
        <v>-2.4495771899532732</v>
      </c>
    </row>
    <row r="7340" spans="1:4" x14ac:dyDescent="0.3">
      <c r="A7340" s="1">
        <v>36578</v>
      </c>
      <c r="B7340">
        <v>4382.1201170000004</v>
      </c>
      <c r="C7340">
        <f t="shared" si="245"/>
        <v>-6.7139304285700795E-3</v>
      </c>
      <c r="D7340">
        <f t="shared" si="244"/>
        <v>-0.57426477834877698</v>
      </c>
    </row>
    <row r="7341" spans="1:4" x14ac:dyDescent="0.3">
      <c r="A7341" s="1">
        <v>36579</v>
      </c>
      <c r="B7341">
        <v>4550.330078</v>
      </c>
      <c r="C7341">
        <f t="shared" si="245"/>
        <v>3.8385520366601936E-2</v>
      </c>
      <c r="D7341">
        <f t="shared" si="244"/>
        <v>3.0335058352152071</v>
      </c>
    </row>
    <row r="7342" spans="1:4" x14ac:dyDescent="0.3">
      <c r="A7342" s="1">
        <v>36580</v>
      </c>
      <c r="B7342">
        <v>4617.6499020000001</v>
      </c>
      <c r="C7342">
        <f t="shared" si="245"/>
        <v>1.4794492453520897E-2</v>
      </c>
      <c r="D7342">
        <f t="shared" si="244"/>
        <v>1.1463206090551412</v>
      </c>
    </row>
    <row r="7343" spans="1:4" x14ac:dyDescent="0.3">
      <c r="A7343" s="1">
        <v>36581</v>
      </c>
      <c r="B7343">
        <v>4590.5</v>
      </c>
      <c r="C7343">
        <f t="shared" si="245"/>
        <v>-5.8795929912834931E-3</v>
      </c>
      <c r="D7343">
        <f t="shared" si="244"/>
        <v>-0.50752121418189222</v>
      </c>
    </row>
    <row r="7344" spans="1:4" x14ac:dyDescent="0.3">
      <c r="A7344" s="1">
        <v>36584</v>
      </c>
      <c r="B7344">
        <v>4577.8500979999999</v>
      </c>
      <c r="C7344">
        <f t="shared" si="245"/>
        <v>-2.7556697527502693E-3</v>
      </c>
      <c r="D7344">
        <f t="shared" si="244"/>
        <v>-0.25762020074834691</v>
      </c>
    </row>
    <row r="7345" spans="1:4" x14ac:dyDescent="0.3">
      <c r="A7345" s="1">
        <v>36585</v>
      </c>
      <c r="B7345">
        <v>4696.6899409999996</v>
      </c>
      <c r="C7345">
        <f t="shared" si="245"/>
        <v>2.5959749763741553E-2</v>
      </c>
      <c r="D7345">
        <f t="shared" si="244"/>
        <v>2.0394952820604</v>
      </c>
    </row>
    <row r="7346" spans="1:4" x14ac:dyDescent="0.3">
      <c r="A7346" s="1">
        <v>36586</v>
      </c>
      <c r="B7346">
        <v>4784.080078</v>
      </c>
      <c r="C7346">
        <f t="shared" si="245"/>
        <v>1.8606750306662478E-2</v>
      </c>
      <c r="D7346">
        <f t="shared" si="244"/>
        <v>1.4512855612085072</v>
      </c>
    </row>
    <row r="7347" spans="1:4" x14ac:dyDescent="0.3">
      <c r="A7347" s="1">
        <v>36587</v>
      </c>
      <c r="B7347">
        <v>4754.5097660000001</v>
      </c>
      <c r="C7347">
        <f t="shared" si="245"/>
        <v>-6.18098182260398E-3</v>
      </c>
      <c r="D7347">
        <f t="shared" si="244"/>
        <v>-0.53163108136925152</v>
      </c>
    </row>
    <row r="7348" spans="1:4" x14ac:dyDescent="0.3">
      <c r="A7348" s="1">
        <v>36588</v>
      </c>
      <c r="B7348">
        <v>4914.7900390000004</v>
      </c>
      <c r="C7348">
        <f t="shared" si="245"/>
        <v>3.3711209123216325E-2</v>
      </c>
      <c r="D7348">
        <f t="shared" si="244"/>
        <v>2.6595801566270403</v>
      </c>
    </row>
    <row r="7349" spans="1:4" x14ac:dyDescent="0.3">
      <c r="A7349" s="1">
        <v>36591</v>
      </c>
      <c r="B7349">
        <v>4904.8500979999999</v>
      </c>
      <c r="C7349">
        <f t="shared" si="245"/>
        <v>-2.0224548599481981E-3</v>
      </c>
      <c r="D7349">
        <f t="shared" si="244"/>
        <v>-0.19896602432183572</v>
      </c>
    </row>
    <row r="7350" spans="1:4" x14ac:dyDescent="0.3">
      <c r="A7350" s="1">
        <v>36592</v>
      </c>
      <c r="B7350">
        <v>4847.8398440000001</v>
      </c>
      <c r="C7350">
        <f t="shared" si="245"/>
        <v>-1.1623240845473807E-2</v>
      </c>
      <c r="D7350">
        <f t="shared" si="244"/>
        <v>-0.96698942449601755</v>
      </c>
    </row>
    <row r="7351" spans="1:4" x14ac:dyDescent="0.3">
      <c r="A7351" s="1">
        <v>36593</v>
      </c>
      <c r="B7351">
        <v>4897.2597660000001</v>
      </c>
      <c r="C7351">
        <f t="shared" si="245"/>
        <v>1.0194215071103335E-2</v>
      </c>
      <c r="D7351">
        <f t="shared" si="244"/>
        <v>0.77831733491536303</v>
      </c>
    </row>
    <row r="7352" spans="1:4" x14ac:dyDescent="0.3">
      <c r="A7352" s="1">
        <v>36594</v>
      </c>
      <c r="B7352">
        <v>5046.8598629999997</v>
      </c>
      <c r="C7352">
        <f t="shared" si="245"/>
        <v>3.0547715283273692E-2</v>
      </c>
      <c r="D7352">
        <f t="shared" si="244"/>
        <v>2.4065136577960273</v>
      </c>
    </row>
    <row r="7353" spans="1:4" x14ac:dyDescent="0.3">
      <c r="A7353" s="1">
        <v>36595</v>
      </c>
      <c r="B7353">
        <v>5048.6201170000004</v>
      </c>
      <c r="C7353">
        <f t="shared" si="245"/>
        <v>3.4878202442386978E-4</v>
      </c>
      <c r="D7353">
        <f t="shared" si="244"/>
        <v>-9.2768241564008501E-3</v>
      </c>
    </row>
    <row r="7354" spans="1:4" x14ac:dyDescent="0.3">
      <c r="A7354" s="1">
        <v>36598</v>
      </c>
      <c r="B7354">
        <v>4907.2402339999999</v>
      </c>
      <c r="C7354">
        <f t="shared" si="245"/>
        <v>-2.8003668274413862E-2</v>
      </c>
      <c r="D7354">
        <f t="shared" si="244"/>
        <v>-2.2773562620911618</v>
      </c>
    </row>
    <row r="7355" spans="1:4" x14ac:dyDescent="0.3">
      <c r="A7355" s="1">
        <v>36599</v>
      </c>
      <c r="B7355">
        <v>4706.6298829999996</v>
      </c>
      <c r="C7355">
        <f t="shared" si="245"/>
        <v>-4.0880483007549505E-2</v>
      </c>
      <c r="D7355">
        <f t="shared" si="244"/>
        <v>-3.3074484909634432</v>
      </c>
    </row>
    <row r="7356" spans="1:4" x14ac:dyDescent="0.3">
      <c r="A7356" s="1">
        <v>36600</v>
      </c>
      <c r="B7356">
        <v>4582.6201170000004</v>
      </c>
      <c r="C7356">
        <f t="shared" si="245"/>
        <v>-2.6347889909064948E-2</v>
      </c>
      <c r="D7356">
        <f t="shared" si="244"/>
        <v>-2.1449008014645701</v>
      </c>
    </row>
    <row r="7357" spans="1:4" x14ac:dyDescent="0.3">
      <c r="A7357" s="1">
        <v>36601</v>
      </c>
      <c r="B7357">
        <v>4717.3901370000003</v>
      </c>
      <c r="C7357">
        <f t="shared" si="245"/>
        <v>2.9408944350426923E-2</v>
      </c>
      <c r="D7357">
        <f t="shared" si="244"/>
        <v>2.3154166658223416</v>
      </c>
    </row>
    <row r="7358" spans="1:4" x14ac:dyDescent="0.3">
      <c r="A7358" s="1">
        <v>36602</v>
      </c>
      <c r="B7358">
        <v>4798.1298829999996</v>
      </c>
      <c r="C7358">
        <f t="shared" si="245"/>
        <v>1.7115342097048878E-2</v>
      </c>
      <c r="D7358">
        <f t="shared" si="244"/>
        <v>1.3319790371466214</v>
      </c>
    </row>
    <row r="7359" spans="1:4" x14ac:dyDescent="0.3">
      <c r="A7359" s="1">
        <v>36605</v>
      </c>
      <c r="B7359">
        <v>4610</v>
      </c>
      <c r="C7359">
        <f t="shared" si="245"/>
        <v>-3.9209001754319461E-2</v>
      </c>
      <c r="D7359">
        <f t="shared" si="244"/>
        <v>-3.1737368638770218</v>
      </c>
    </row>
    <row r="7360" spans="1:4" x14ac:dyDescent="0.3">
      <c r="A7360" s="1">
        <v>36606</v>
      </c>
      <c r="B7360">
        <v>4711.6801759999998</v>
      </c>
      <c r="C7360">
        <f t="shared" si="245"/>
        <v>2.2056437310195194E-2</v>
      </c>
      <c r="D7360">
        <f t="shared" si="244"/>
        <v>1.7272463362934061</v>
      </c>
    </row>
    <row r="7361" spans="1:4" x14ac:dyDescent="0.3">
      <c r="A7361" s="1">
        <v>36607</v>
      </c>
      <c r="B7361">
        <v>4864.75</v>
      </c>
      <c r="C7361">
        <f t="shared" si="245"/>
        <v>3.2487312016570152E-2</v>
      </c>
      <c r="D7361">
        <f t="shared" si="244"/>
        <v>2.5616734207903202</v>
      </c>
    </row>
    <row r="7362" spans="1:4" x14ac:dyDescent="0.3">
      <c r="A7362" s="1">
        <v>36608</v>
      </c>
      <c r="B7362">
        <v>4940.6098629999997</v>
      </c>
      <c r="C7362">
        <f t="shared" si="245"/>
        <v>1.559378446991103E-2</v>
      </c>
      <c r="D7362">
        <f t="shared" si="244"/>
        <v>1.2102606836579417</v>
      </c>
    </row>
    <row r="7363" spans="1:4" x14ac:dyDescent="0.3">
      <c r="A7363" s="1">
        <v>36609</v>
      </c>
      <c r="B7363">
        <v>4963.0297849999997</v>
      </c>
      <c r="C7363">
        <f t="shared" si="245"/>
        <v>4.5378855286473457E-3</v>
      </c>
      <c r="D7363">
        <f t="shared" ref="D7363:D7426" si="246">(C7363-avrtn)/sdrtn</f>
        <v>0.32583423048494026</v>
      </c>
    </row>
    <row r="7364" spans="1:4" x14ac:dyDescent="0.3">
      <c r="A7364" s="1">
        <v>36612</v>
      </c>
      <c r="B7364">
        <v>4958.5600590000004</v>
      </c>
      <c r="C7364">
        <f t="shared" ref="C7364:C7427" si="247">(B7364-B7363)/B7363</f>
        <v>-9.0060430697160422E-4</v>
      </c>
      <c r="D7364">
        <f t="shared" si="246"/>
        <v>-0.10922259316074626</v>
      </c>
    </row>
    <row r="7365" spans="1:4" x14ac:dyDescent="0.3">
      <c r="A7365" s="1">
        <v>36613</v>
      </c>
      <c r="B7365">
        <v>4833.8901370000003</v>
      </c>
      <c r="C7365">
        <f t="shared" si="247"/>
        <v>-2.5142364016287097E-2</v>
      </c>
      <c r="D7365">
        <f t="shared" si="246"/>
        <v>-2.0484636871944333</v>
      </c>
    </row>
    <row r="7366" spans="1:4" x14ac:dyDescent="0.3">
      <c r="A7366" s="1">
        <v>36614</v>
      </c>
      <c r="B7366">
        <v>4644.669922</v>
      </c>
      <c r="C7366">
        <f t="shared" si="247"/>
        <v>-3.9144500523843884E-2</v>
      </c>
      <c r="D7366">
        <f t="shared" si="246"/>
        <v>-3.1685770306696202</v>
      </c>
    </row>
    <row r="7367" spans="1:4" x14ac:dyDescent="0.3">
      <c r="A7367" s="1">
        <v>36615</v>
      </c>
      <c r="B7367">
        <v>4457.8901370000003</v>
      </c>
      <c r="C7367">
        <f t="shared" si="247"/>
        <v>-4.0213790890779193E-2</v>
      </c>
      <c r="D7367">
        <f t="shared" si="246"/>
        <v>-3.2541158630761831</v>
      </c>
    </row>
    <row r="7368" spans="1:4" x14ac:dyDescent="0.3">
      <c r="A7368" s="1">
        <v>36616</v>
      </c>
      <c r="B7368">
        <v>4572.830078</v>
      </c>
      <c r="C7368">
        <f t="shared" si="247"/>
        <v>2.5783484443910071E-2</v>
      </c>
      <c r="D7368">
        <f t="shared" si="246"/>
        <v>2.0253947812812076</v>
      </c>
    </row>
    <row r="7369" spans="1:4" x14ac:dyDescent="0.3">
      <c r="A7369" s="1">
        <v>36619</v>
      </c>
      <c r="B7369">
        <v>4223.6801759999998</v>
      </c>
      <c r="C7369">
        <f t="shared" si="247"/>
        <v>-7.6353132752465275E-2</v>
      </c>
      <c r="D7369">
        <f t="shared" si="246"/>
        <v>-6.14511460614938</v>
      </c>
    </row>
    <row r="7370" spans="1:4" x14ac:dyDescent="0.3">
      <c r="A7370" s="1">
        <v>36620</v>
      </c>
      <c r="B7370">
        <v>4148.8901370000003</v>
      </c>
      <c r="C7370">
        <f t="shared" si="247"/>
        <v>-1.7707315867563814E-2</v>
      </c>
      <c r="D7370">
        <f t="shared" si="246"/>
        <v>-1.4536904083972397</v>
      </c>
    </row>
    <row r="7371" spans="1:4" x14ac:dyDescent="0.3">
      <c r="A7371" s="1">
        <v>36621</v>
      </c>
      <c r="B7371">
        <v>4169.2202150000003</v>
      </c>
      <c r="C7371">
        <f t="shared" si="247"/>
        <v>4.9001244498366806E-3</v>
      </c>
      <c r="D7371">
        <f t="shared" si="246"/>
        <v>0.3548118546447428</v>
      </c>
    </row>
    <row r="7372" spans="1:4" x14ac:dyDescent="0.3">
      <c r="A7372" s="1">
        <v>36622</v>
      </c>
      <c r="B7372">
        <v>4267.5600590000004</v>
      </c>
      <c r="C7372">
        <f t="shared" si="247"/>
        <v>2.3587107163635414E-2</v>
      </c>
      <c r="D7372">
        <f t="shared" si="246"/>
        <v>1.8496936304165772</v>
      </c>
    </row>
    <row r="7373" spans="1:4" x14ac:dyDescent="0.3">
      <c r="A7373" s="1">
        <v>36623</v>
      </c>
      <c r="B7373">
        <v>4446.4501950000003</v>
      </c>
      <c r="C7373">
        <f t="shared" si="247"/>
        <v>4.1918598338817184E-2</v>
      </c>
      <c r="D7373">
        <f t="shared" si="246"/>
        <v>3.316137544888996</v>
      </c>
    </row>
    <row r="7374" spans="1:4" x14ac:dyDescent="0.3">
      <c r="A7374" s="1">
        <v>36626</v>
      </c>
      <c r="B7374">
        <v>4188.2001950000003</v>
      </c>
      <c r="C7374">
        <f t="shared" si="247"/>
        <v>-5.8080038834214351E-2</v>
      </c>
      <c r="D7374">
        <f t="shared" si="246"/>
        <v>-4.6833422321004727</v>
      </c>
    </row>
    <row r="7375" spans="1:4" x14ac:dyDescent="0.3">
      <c r="A7375" s="1">
        <v>36627</v>
      </c>
      <c r="B7375">
        <v>4055.8999020000001</v>
      </c>
      <c r="C7375">
        <f t="shared" si="247"/>
        <v>-3.1588817831092297E-2</v>
      </c>
      <c r="D7375">
        <f t="shared" si="246"/>
        <v>-2.5641534844023712</v>
      </c>
    </row>
    <row r="7376" spans="1:4" x14ac:dyDescent="0.3">
      <c r="A7376" s="1">
        <v>36628</v>
      </c>
      <c r="B7376">
        <v>3769.6298830000001</v>
      </c>
      <c r="C7376">
        <f t="shared" si="247"/>
        <v>-7.058113511599183E-2</v>
      </c>
      <c r="D7376">
        <f t="shared" si="246"/>
        <v>-5.6833785298276052</v>
      </c>
    </row>
    <row r="7377" spans="1:4" x14ac:dyDescent="0.3">
      <c r="A7377" s="1">
        <v>36629</v>
      </c>
      <c r="B7377">
        <v>3676.780029</v>
      </c>
      <c r="C7377">
        <f t="shared" si="247"/>
        <v>-2.4631026621135275E-2</v>
      </c>
      <c r="D7377">
        <f t="shared" si="246"/>
        <v>-2.0075587982142205</v>
      </c>
    </row>
    <row r="7378" spans="1:4" x14ac:dyDescent="0.3">
      <c r="A7378" s="1">
        <v>36630</v>
      </c>
      <c r="B7378">
        <v>3321.290039</v>
      </c>
      <c r="C7378">
        <f t="shared" si="247"/>
        <v>-9.6685139496007641E-2</v>
      </c>
      <c r="D7378">
        <f t="shared" si="246"/>
        <v>-7.7715915399214763</v>
      </c>
    </row>
    <row r="7379" spans="1:4" x14ac:dyDescent="0.3">
      <c r="A7379" s="1">
        <v>36633</v>
      </c>
      <c r="B7379">
        <v>3539.1599120000001</v>
      </c>
      <c r="C7379">
        <f t="shared" si="247"/>
        <v>6.5597966585778239E-2</v>
      </c>
      <c r="D7379">
        <f t="shared" si="246"/>
        <v>5.2103896345018388</v>
      </c>
    </row>
    <row r="7380" spans="1:4" x14ac:dyDescent="0.3">
      <c r="A7380" s="1">
        <v>36634</v>
      </c>
      <c r="B7380">
        <v>3793.570068</v>
      </c>
      <c r="C7380">
        <f t="shared" si="247"/>
        <v>7.1884334792951254E-2</v>
      </c>
      <c r="D7380">
        <f t="shared" si="246"/>
        <v>5.7132732413751546</v>
      </c>
    </row>
    <row r="7381" spans="1:4" x14ac:dyDescent="0.3">
      <c r="A7381" s="1">
        <v>36635</v>
      </c>
      <c r="B7381">
        <v>3706.4099120000001</v>
      </c>
      <c r="C7381">
        <f t="shared" si="247"/>
        <v>-2.2975760151426817E-2</v>
      </c>
      <c r="D7381">
        <f t="shared" si="246"/>
        <v>-1.8751442871339374</v>
      </c>
    </row>
    <row r="7382" spans="1:4" x14ac:dyDescent="0.3">
      <c r="A7382" s="1">
        <v>36636</v>
      </c>
      <c r="B7382">
        <v>3643.8798830000001</v>
      </c>
      <c r="C7382">
        <f t="shared" si="247"/>
        <v>-1.6870780751354737E-2</v>
      </c>
      <c r="D7382">
        <f t="shared" si="246"/>
        <v>-1.3867710389534653</v>
      </c>
    </row>
    <row r="7383" spans="1:4" x14ac:dyDescent="0.3">
      <c r="A7383" s="1">
        <v>36640</v>
      </c>
      <c r="B7383">
        <v>3482.4799800000001</v>
      </c>
      <c r="C7383">
        <f t="shared" si="247"/>
        <v>-4.4293420250483044E-2</v>
      </c>
      <c r="D7383">
        <f t="shared" si="246"/>
        <v>-3.5804694363163265</v>
      </c>
    </row>
    <row r="7384" spans="1:4" x14ac:dyDescent="0.3">
      <c r="A7384" s="1">
        <v>36641</v>
      </c>
      <c r="B7384">
        <v>3711.2299800000001</v>
      </c>
      <c r="C7384">
        <f t="shared" si="247"/>
        <v>6.5685948322379159E-2</v>
      </c>
      <c r="D7384">
        <f t="shared" si="246"/>
        <v>5.21742781164685</v>
      </c>
    </row>
    <row r="7385" spans="1:4" x14ac:dyDescent="0.3">
      <c r="A7385" s="1">
        <v>36642</v>
      </c>
      <c r="B7385">
        <v>3630.0900879999999</v>
      </c>
      <c r="C7385">
        <f t="shared" si="247"/>
        <v>-2.1863342459849427E-2</v>
      </c>
      <c r="D7385">
        <f t="shared" si="246"/>
        <v>-1.7861554460966265</v>
      </c>
    </row>
    <row r="7386" spans="1:4" x14ac:dyDescent="0.3">
      <c r="A7386" s="1">
        <v>36643</v>
      </c>
      <c r="B7386">
        <v>3774.030029</v>
      </c>
      <c r="C7386">
        <f t="shared" si="247"/>
        <v>3.9651892242515634E-2</v>
      </c>
      <c r="D7386">
        <f t="shared" si="246"/>
        <v>3.1348103779360339</v>
      </c>
    </row>
    <row r="7387" spans="1:4" x14ac:dyDescent="0.3">
      <c r="A7387" s="1">
        <v>36644</v>
      </c>
      <c r="B7387">
        <v>3860.6599120000001</v>
      </c>
      <c r="C7387">
        <f t="shared" si="247"/>
        <v>2.2954211369365887E-2</v>
      </c>
      <c r="D7387">
        <f t="shared" si="246"/>
        <v>1.7990645693580716</v>
      </c>
    </row>
    <row r="7388" spans="1:4" x14ac:dyDescent="0.3">
      <c r="A7388" s="1">
        <v>36647</v>
      </c>
      <c r="B7388">
        <v>3958.080078</v>
      </c>
      <c r="C7388">
        <f t="shared" si="247"/>
        <v>2.5234070915490646E-2</v>
      </c>
      <c r="D7388">
        <f t="shared" si="246"/>
        <v>1.9814439582095817</v>
      </c>
    </row>
    <row r="7389" spans="1:4" x14ac:dyDescent="0.3">
      <c r="A7389" s="1">
        <v>36648</v>
      </c>
      <c r="B7389">
        <v>3785.4499510000001</v>
      </c>
      <c r="C7389">
        <f t="shared" si="247"/>
        <v>-4.3614612033627459E-2</v>
      </c>
      <c r="D7389">
        <f t="shared" si="246"/>
        <v>-3.5261675702439459</v>
      </c>
    </row>
    <row r="7390" spans="1:4" x14ac:dyDescent="0.3">
      <c r="A7390" s="1">
        <v>36649</v>
      </c>
      <c r="B7390">
        <v>3707.3100589999999</v>
      </c>
      <c r="C7390">
        <f t="shared" si="247"/>
        <v>-2.0642167512836349E-2</v>
      </c>
      <c r="D7390">
        <f t="shared" si="246"/>
        <v>-1.6884664718369671</v>
      </c>
    </row>
    <row r="7391" spans="1:4" x14ac:dyDescent="0.3">
      <c r="A7391" s="1">
        <v>36650</v>
      </c>
      <c r="B7391">
        <v>3720.23999</v>
      </c>
      <c r="C7391">
        <f t="shared" si="247"/>
        <v>3.4876853552108372E-3</v>
      </c>
      <c r="D7391">
        <f t="shared" si="246"/>
        <v>0.2418225350589365</v>
      </c>
    </row>
    <row r="7392" spans="1:4" x14ac:dyDescent="0.3">
      <c r="A7392" s="1">
        <v>36651</v>
      </c>
      <c r="B7392">
        <v>3816.820068</v>
      </c>
      <c r="C7392">
        <f t="shared" si="247"/>
        <v>2.5960711744297968E-2</v>
      </c>
      <c r="D7392">
        <f t="shared" si="246"/>
        <v>2.0395722365492257</v>
      </c>
    </row>
    <row r="7393" spans="1:4" x14ac:dyDescent="0.3">
      <c r="A7393" s="1">
        <v>36654</v>
      </c>
      <c r="B7393">
        <v>3669.3798830000001</v>
      </c>
      <c r="C7393">
        <f t="shared" si="247"/>
        <v>-3.8629063558989839E-2</v>
      </c>
      <c r="D7393">
        <f t="shared" si="246"/>
        <v>-3.1273441929707606</v>
      </c>
    </row>
    <row r="7394" spans="1:4" x14ac:dyDescent="0.3">
      <c r="A7394" s="1">
        <v>36655</v>
      </c>
      <c r="B7394">
        <v>3585.01001</v>
      </c>
      <c r="C7394">
        <f t="shared" si="247"/>
        <v>-2.2992951313348685E-2</v>
      </c>
      <c r="D7394">
        <f t="shared" si="246"/>
        <v>-1.8765195093972067</v>
      </c>
    </row>
    <row r="7395" spans="1:4" x14ac:dyDescent="0.3">
      <c r="A7395" s="1">
        <v>36656</v>
      </c>
      <c r="B7395">
        <v>3384.7299800000001</v>
      </c>
      <c r="C7395">
        <f t="shared" si="247"/>
        <v>-5.5865961166451497E-2</v>
      </c>
      <c r="D7395">
        <f t="shared" si="246"/>
        <v>-4.5062251230212151</v>
      </c>
    </row>
    <row r="7396" spans="1:4" x14ac:dyDescent="0.3">
      <c r="A7396" s="1">
        <v>36657</v>
      </c>
      <c r="B7396">
        <v>3499.580078</v>
      </c>
      <c r="C7396">
        <f t="shared" si="247"/>
        <v>3.3931834645196689E-2</v>
      </c>
      <c r="D7396">
        <f t="shared" si="246"/>
        <v>2.6772292911679019</v>
      </c>
    </row>
    <row r="7397" spans="1:4" x14ac:dyDescent="0.3">
      <c r="A7397" s="1">
        <v>36658</v>
      </c>
      <c r="B7397">
        <v>3529.0600589999999</v>
      </c>
      <c r="C7397">
        <f t="shared" si="247"/>
        <v>8.4238623900407157E-3</v>
      </c>
      <c r="D7397">
        <f t="shared" si="246"/>
        <v>0.63669640016407625</v>
      </c>
    </row>
    <row r="7398" spans="1:4" x14ac:dyDescent="0.3">
      <c r="A7398" s="1">
        <v>36661</v>
      </c>
      <c r="B7398">
        <v>3607.6499020000001</v>
      </c>
      <c r="C7398">
        <f t="shared" si="247"/>
        <v>2.2269341322082668E-2</v>
      </c>
      <c r="D7398">
        <f t="shared" si="246"/>
        <v>1.7442777817778758</v>
      </c>
    </row>
    <row r="7399" spans="1:4" x14ac:dyDescent="0.3">
      <c r="A7399" s="1">
        <v>36662</v>
      </c>
      <c r="B7399">
        <v>3717.570068</v>
      </c>
      <c r="C7399">
        <f t="shared" si="247"/>
        <v>3.0468634425713705E-2</v>
      </c>
      <c r="D7399">
        <f t="shared" si="246"/>
        <v>2.4001875143736577</v>
      </c>
    </row>
    <row r="7400" spans="1:4" x14ac:dyDescent="0.3">
      <c r="A7400" s="1">
        <v>36663</v>
      </c>
      <c r="B7400">
        <v>3644.959961</v>
      </c>
      <c r="C7400">
        <f t="shared" si="247"/>
        <v>-1.9531604158590392E-2</v>
      </c>
      <c r="D7400">
        <f t="shared" si="246"/>
        <v>-1.59962597016109</v>
      </c>
    </row>
    <row r="7401" spans="1:4" x14ac:dyDescent="0.3">
      <c r="A7401" s="1">
        <v>36664</v>
      </c>
      <c r="B7401">
        <v>3538.709961</v>
      </c>
      <c r="C7401">
        <f t="shared" si="247"/>
        <v>-2.9149840090657721E-2</v>
      </c>
      <c r="D7401">
        <f t="shared" si="246"/>
        <v>-2.3690452943040006</v>
      </c>
    </row>
    <row r="7402" spans="1:4" x14ac:dyDescent="0.3">
      <c r="A7402" s="1">
        <v>36665</v>
      </c>
      <c r="B7402">
        <v>3390.3999020000001</v>
      </c>
      <c r="C7402">
        <f t="shared" si="247"/>
        <v>-4.1910769923084949E-2</v>
      </c>
      <c r="D7402">
        <f t="shared" si="246"/>
        <v>-3.3898672076411676</v>
      </c>
    </row>
    <row r="7403" spans="1:4" x14ac:dyDescent="0.3">
      <c r="A7403" s="1">
        <v>36668</v>
      </c>
      <c r="B7403">
        <v>3364.209961</v>
      </c>
      <c r="C7403">
        <f t="shared" si="247"/>
        <v>-7.7247350628315611E-3</v>
      </c>
      <c r="D7403">
        <f t="shared" si="246"/>
        <v>-0.65512499263620361</v>
      </c>
    </row>
    <row r="7404" spans="1:4" x14ac:dyDescent="0.3">
      <c r="A7404" s="1">
        <v>36669</v>
      </c>
      <c r="B7404">
        <v>3164.5500489999999</v>
      </c>
      <c r="C7404">
        <f t="shared" si="247"/>
        <v>-5.9348231624833499E-2</v>
      </c>
      <c r="D7404">
        <f t="shared" si="246"/>
        <v>-4.7847924405100901</v>
      </c>
    </row>
    <row r="7405" spans="1:4" x14ac:dyDescent="0.3">
      <c r="A7405" s="1">
        <v>36670</v>
      </c>
      <c r="B7405">
        <v>3270.610107</v>
      </c>
      <c r="C7405">
        <f t="shared" si="247"/>
        <v>3.3515051542166344E-2</v>
      </c>
      <c r="D7405">
        <f t="shared" si="246"/>
        <v>2.6438883567478344</v>
      </c>
    </row>
    <row r="7406" spans="1:4" x14ac:dyDescent="0.3">
      <c r="A7406" s="1">
        <v>36671</v>
      </c>
      <c r="B7406">
        <v>3205.3500979999999</v>
      </c>
      <c r="C7406">
        <f t="shared" si="247"/>
        <v>-1.9953466437447196E-2</v>
      </c>
      <c r="D7406">
        <f t="shared" si="246"/>
        <v>-1.6333732177615783</v>
      </c>
    </row>
    <row r="7407" spans="1:4" x14ac:dyDescent="0.3">
      <c r="A7407" s="1">
        <v>36672</v>
      </c>
      <c r="B7407">
        <v>3205.110107</v>
      </c>
      <c r="C7407">
        <f t="shared" si="247"/>
        <v>-7.487200856769504E-5</v>
      </c>
      <c r="D7407">
        <f t="shared" si="246"/>
        <v>-4.3167404719933064E-2</v>
      </c>
    </row>
    <row r="7408" spans="1:4" x14ac:dyDescent="0.3">
      <c r="A7408" s="1">
        <v>36676</v>
      </c>
      <c r="B7408">
        <v>3459.4799800000001</v>
      </c>
      <c r="C7408">
        <f t="shared" si="247"/>
        <v>7.9363848513176863E-2</v>
      </c>
      <c r="D7408">
        <f t="shared" si="246"/>
        <v>6.3116035830490116</v>
      </c>
    </row>
    <row r="7409" spans="1:4" x14ac:dyDescent="0.3">
      <c r="A7409" s="1">
        <v>36677</v>
      </c>
      <c r="B7409">
        <v>3400.9099120000001</v>
      </c>
      <c r="C7409">
        <f t="shared" si="247"/>
        <v>-1.6930309855413585E-2</v>
      </c>
      <c r="D7409">
        <f t="shared" si="246"/>
        <v>-1.3915331224930347</v>
      </c>
    </row>
    <row r="7410" spans="1:4" x14ac:dyDescent="0.3">
      <c r="A7410" s="1">
        <v>36678</v>
      </c>
      <c r="B7410">
        <v>3582.5</v>
      </c>
      <c r="C7410">
        <f t="shared" si="247"/>
        <v>5.339455989682796E-2</v>
      </c>
      <c r="D7410">
        <f t="shared" si="246"/>
        <v>4.2341672800939634</v>
      </c>
    </row>
    <row r="7411" spans="1:4" x14ac:dyDescent="0.3">
      <c r="A7411" s="1">
        <v>36679</v>
      </c>
      <c r="B7411">
        <v>3813.3798830000001</v>
      </c>
      <c r="C7411">
        <f t="shared" si="247"/>
        <v>6.4446582833217039E-2</v>
      </c>
      <c r="D7411">
        <f t="shared" si="246"/>
        <v>5.1182836688152236</v>
      </c>
    </row>
    <row r="7412" spans="1:4" x14ac:dyDescent="0.3">
      <c r="A7412" s="1">
        <v>36682</v>
      </c>
      <c r="B7412">
        <v>3821.76001</v>
      </c>
      <c r="C7412">
        <f t="shared" si="247"/>
        <v>2.1975589259696899E-3</v>
      </c>
      <c r="D7412">
        <f t="shared" si="246"/>
        <v>0.13861772575122058</v>
      </c>
    </row>
    <row r="7413" spans="1:4" x14ac:dyDescent="0.3">
      <c r="A7413" s="1">
        <v>36683</v>
      </c>
      <c r="B7413">
        <v>3756.3701169999999</v>
      </c>
      <c r="C7413">
        <f t="shared" si="247"/>
        <v>-1.7109889901223817E-2</v>
      </c>
      <c r="D7413">
        <f t="shared" si="246"/>
        <v>-1.4058987877202926</v>
      </c>
    </row>
    <row r="7414" spans="1:4" x14ac:dyDescent="0.3">
      <c r="A7414" s="1">
        <v>36684</v>
      </c>
      <c r="B7414">
        <v>3839.26001</v>
      </c>
      <c r="C7414">
        <f t="shared" si="247"/>
        <v>2.2066487171982799E-2</v>
      </c>
      <c r="D7414">
        <f t="shared" si="246"/>
        <v>1.7280502839111358</v>
      </c>
    </row>
    <row r="7415" spans="1:4" x14ac:dyDescent="0.3">
      <c r="A7415" s="1">
        <v>36685</v>
      </c>
      <c r="B7415">
        <v>3825.5600589999999</v>
      </c>
      <c r="C7415">
        <f t="shared" si="247"/>
        <v>-3.5683832208071929E-3</v>
      </c>
      <c r="D7415">
        <f t="shared" si="246"/>
        <v>-0.32263393629515147</v>
      </c>
    </row>
    <row r="7416" spans="1:4" x14ac:dyDescent="0.3">
      <c r="A7416" s="1">
        <v>36686</v>
      </c>
      <c r="B7416">
        <v>3874.8400879999999</v>
      </c>
      <c r="C7416">
        <f t="shared" si="247"/>
        <v>1.288178155354377E-2</v>
      </c>
      <c r="D7416">
        <f t="shared" si="246"/>
        <v>0.99331160217118775</v>
      </c>
    </row>
    <row r="7417" spans="1:4" x14ac:dyDescent="0.3">
      <c r="A7417" s="1">
        <v>36689</v>
      </c>
      <c r="B7417">
        <v>3767.9099120000001</v>
      </c>
      <c r="C7417">
        <f t="shared" si="247"/>
        <v>-2.7596022951025031E-2</v>
      </c>
      <c r="D7417">
        <f t="shared" si="246"/>
        <v>-2.2447463124676412</v>
      </c>
    </row>
    <row r="7418" spans="1:4" x14ac:dyDescent="0.3">
      <c r="A7418" s="1">
        <v>36690</v>
      </c>
      <c r="B7418">
        <v>3851.0600589999999</v>
      </c>
      <c r="C7418">
        <f t="shared" si="247"/>
        <v>2.2067976395928182E-2</v>
      </c>
      <c r="D7418">
        <f t="shared" si="246"/>
        <v>1.7281694157030409</v>
      </c>
    </row>
    <row r="7419" spans="1:4" x14ac:dyDescent="0.3">
      <c r="A7419" s="1">
        <v>36691</v>
      </c>
      <c r="B7419">
        <v>3797.4099120000001</v>
      </c>
      <c r="C7419">
        <f t="shared" si="247"/>
        <v>-1.3931267281749716E-2</v>
      </c>
      <c r="D7419">
        <f t="shared" si="246"/>
        <v>-1.1516220487366753</v>
      </c>
    </row>
    <row r="7420" spans="1:4" x14ac:dyDescent="0.3">
      <c r="A7420" s="1">
        <v>36692</v>
      </c>
      <c r="B7420">
        <v>3845.73999</v>
      </c>
      <c r="C7420">
        <f t="shared" si="247"/>
        <v>1.2727116408285173E-2</v>
      </c>
      <c r="D7420">
        <f t="shared" si="246"/>
        <v>0.98093902653737741</v>
      </c>
    </row>
    <row r="7421" spans="1:4" x14ac:dyDescent="0.3">
      <c r="A7421" s="1">
        <v>36693</v>
      </c>
      <c r="B7421">
        <v>3860.5600589999999</v>
      </c>
      <c r="C7421">
        <f t="shared" si="247"/>
        <v>3.853632600887268E-3</v>
      </c>
      <c r="D7421">
        <f t="shared" si="246"/>
        <v>0.27109680992898527</v>
      </c>
    </row>
    <row r="7422" spans="1:4" x14ac:dyDescent="0.3">
      <c r="A7422" s="1">
        <v>36696</v>
      </c>
      <c r="B7422">
        <v>3989.830078</v>
      </c>
      <c r="C7422">
        <f t="shared" si="247"/>
        <v>3.3484783820066984E-2</v>
      </c>
      <c r="D7422">
        <f t="shared" si="246"/>
        <v>2.6414670634415027</v>
      </c>
    </row>
    <row r="7423" spans="1:4" x14ac:dyDescent="0.3">
      <c r="A7423" s="1">
        <v>36697</v>
      </c>
      <c r="B7423">
        <v>4013.360107</v>
      </c>
      <c r="C7423">
        <f t="shared" si="247"/>
        <v>5.8975015326454749E-3</v>
      </c>
      <c r="D7423">
        <f t="shared" si="246"/>
        <v>0.43459792003037595</v>
      </c>
    </row>
    <row r="7424" spans="1:4" x14ac:dyDescent="0.3">
      <c r="A7424" s="1">
        <v>36698</v>
      </c>
      <c r="B7424">
        <v>4064.01001</v>
      </c>
      <c r="C7424">
        <f t="shared" si="247"/>
        <v>1.2620323531810099E-2</v>
      </c>
      <c r="D7424">
        <f t="shared" si="246"/>
        <v>0.97239603555430354</v>
      </c>
    </row>
    <row r="7425" spans="1:4" x14ac:dyDescent="0.3">
      <c r="A7425" s="1">
        <v>36699</v>
      </c>
      <c r="B7425">
        <v>3936.8400879999999</v>
      </c>
      <c r="C7425">
        <f t="shared" si="247"/>
        <v>-3.1291734441372607E-2</v>
      </c>
      <c r="D7425">
        <f t="shared" si="246"/>
        <v>-2.540388034838994</v>
      </c>
    </row>
    <row r="7426" spans="1:4" x14ac:dyDescent="0.3">
      <c r="A7426" s="1">
        <v>36700</v>
      </c>
      <c r="B7426">
        <v>3845.3400879999999</v>
      </c>
      <c r="C7426">
        <f t="shared" si="247"/>
        <v>-2.3241990518970756E-2</v>
      </c>
      <c r="D7426">
        <f t="shared" si="246"/>
        <v>-1.8964416217916398</v>
      </c>
    </row>
    <row r="7427" spans="1:4" x14ac:dyDescent="0.3">
      <c r="A7427" s="1">
        <v>36703</v>
      </c>
      <c r="B7427">
        <v>3912.1201169999999</v>
      </c>
      <c r="C7427">
        <f t="shared" si="247"/>
        <v>1.7366481890222871E-2</v>
      </c>
      <c r="D7427">
        <f t="shared" ref="D7427:D7490" si="248">(C7427-avrtn)/sdrtn</f>
        <v>1.3520691879075408</v>
      </c>
    </row>
    <row r="7428" spans="1:4" x14ac:dyDescent="0.3">
      <c r="A7428" s="1">
        <v>36704</v>
      </c>
      <c r="B7428">
        <v>3858.959961</v>
      </c>
      <c r="C7428">
        <f t="shared" ref="C7428:C7491" si="249">(B7428-B7427)/B7427</f>
        <v>-1.3588579698510295E-2</v>
      </c>
      <c r="D7428">
        <f t="shared" si="248"/>
        <v>-1.1242084512172839</v>
      </c>
    </row>
    <row r="7429" spans="1:4" x14ac:dyDescent="0.3">
      <c r="A7429" s="1">
        <v>36705</v>
      </c>
      <c r="B7429">
        <v>3940.3400879999999</v>
      </c>
      <c r="C7429">
        <f t="shared" si="249"/>
        <v>2.1088616576086808E-2</v>
      </c>
      <c r="D7429">
        <f t="shared" si="248"/>
        <v>1.6498246572673734</v>
      </c>
    </row>
    <row r="7430" spans="1:4" x14ac:dyDescent="0.3">
      <c r="A7430" s="1">
        <v>36706</v>
      </c>
      <c r="B7430">
        <v>3877.2299800000001</v>
      </c>
      <c r="C7430">
        <f t="shared" si="249"/>
        <v>-1.6016411424028296E-2</v>
      </c>
      <c r="D7430">
        <f t="shared" si="248"/>
        <v>-1.3184250059550162</v>
      </c>
    </row>
    <row r="7431" spans="1:4" x14ac:dyDescent="0.3">
      <c r="A7431" s="1">
        <v>36707</v>
      </c>
      <c r="B7431">
        <v>3966.110107</v>
      </c>
      <c r="C7431">
        <f t="shared" si="249"/>
        <v>2.2923614915409247E-2</v>
      </c>
      <c r="D7431">
        <f t="shared" si="248"/>
        <v>1.7966169788549107</v>
      </c>
    </row>
    <row r="7432" spans="1:4" x14ac:dyDescent="0.3">
      <c r="A7432" s="1">
        <v>36710</v>
      </c>
      <c r="B7432">
        <v>3991.929932</v>
      </c>
      <c r="C7432">
        <f t="shared" si="249"/>
        <v>6.5101130083174558E-3</v>
      </c>
      <c r="D7432">
        <f t="shared" si="248"/>
        <v>0.48360431901069439</v>
      </c>
    </row>
    <row r="7433" spans="1:4" x14ac:dyDescent="0.3">
      <c r="A7433" s="1">
        <v>36712</v>
      </c>
      <c r="B7433">
        <v>3863.1000979999999</v>
      </c>
      <c r="C7433">
        <f t="shared" si="249"/>
        <v>-3.2272568956503447E-2</v>
      </c>
      <c r="D7433">
        <f t="shared" si="248"/>
        <v>-2.6188507628338358</v>
      </c>
    </row>
    <row r="7434" spans="1:4" x14ac:dyDescent="0.3">
      <c r="A7434" s="1">
        <v>36713</v>
      </c>
      <c r="B7434">
        <v>3960.570068</v>
      </c>
      <c r="C7434">
        <f t="shared" si="249"/>
        <v>2.5231023666837459E-2</v>
      </c>
      <c r="D7434">
        <f t="shared" si="248"/>
        <v>1.9812001908476879</v>
      </c>
    </row>
    <row r="7435" spans="1:4" x14ac:dyDescent="0.3">
      <c r="A7435" s="1">
        <v>36714</v>
      </c>
      <c r="B7435">
        <v>4023.1999510000001</v>
      </c>
      <c r="C7435">
        <f t="shared" si="249"/>
        <v>1.5813350584560359E-2</v>
      </c>
      <c r="D7435">
        <f t="shared" si="248"/>
        <v>1.2278250699686297</v>
      </c>
    </row>
    <row r="7436" spans="1:4" x14ac:dyDescent="0.3">
      <c r="A7436" s="1">
        <v>36717</v>
      </c>
      <c r="B7436">
        <v>3980.290039</v>
      </c>
      <c r="C7436">
        <f t="shared" si="249"/>
        <v>-1.0665617548870385E-2</v>
      </c>
      <c r="D7436">
        <f t="shared" si="248"/>
        <v>-0.89038349853826859</v>
      </c>
    </row>
    <row r="7437" spans="1:4" x14ac:dyDescent="0.3">
      <c r="A7437" s="1">
        <v>36718</v>
      </c>
      <c r="B7437">
        <v>3956.419922</v>
      </c>
      <c r="C7437">
        <f t="shared" si="249"/>
        <v>-5.9970798022540633E-3</v>
      </c>
      <c r="D7437">
        <f t="shared" si="248"/>
        <v>-0.51691967595088439</v>
      </c>
    </row>
    <row r="7438" spans="1:4" x14ac:dyDescent="0.3">
      <c r="A7438" s="1">
        <v>36719</v>
      </c>
      <c r="B7438">
        <v>4099.5898440000001</v>
      </c>
      <c r="C7438">
        <f t="shared" si="249"/>
        <v>3.6186735690994745E-2</v>
      </c>
      <c r="D7438">
        <f t="shared" si="248"/>
        <v>2.8576121026232428</v>
      </c>
    </row>
    <row r="7439" spans="1:4" x14ac:dyDescent="0.3">
      <c r="A7439" s="1">
        <v>36720</v>
      </c>
      <c r="B7439">
        <v>4174.8598629999997</v>
      </c>
      <c r="C7439">
        <f t="shared" si="249"/>
        <v>1.8360377955897674E-2</v>
      </c>
      <c r="D7439">
        <f t="shared" si="248"/>
        <v>1.4315767862364825</v>
      </c>
    </row>
    <row r="7440" spans="1:4" x14ac:dyDescent="0.3">
      <c r="A7440" s="1">
        <v>36721</v>
      </c>
      <c r="B7440">
        <v>4246.1801759999998</v>
      </c>
      <c r="C7440">
        <f t="shared" si="249"/>
        <v>1.7083283113783446E-2</v>
      </c>
      <c r="D7440">
        <f t="shared" si="248"/>
        <v>1.3294144503127137</v>
      </c>
    </row>
    <row r="7441" spans="1:4" x14ac:dyDescent="0.3">
      <c r="A7441" s="1">
        <v>36724</v>
      </c>
      <c r="B7441">
        <v>4274.669922</v>
      </c>
      <c r="C7441">
        <f t="shared" si="249"/>
        <v>6.7095000257003214E-3</v>
      </c>
      <c r="D7441">
        <f t="shared" si="248"/>
        <v>0.49955446051700919</v>
      </c>
    </row>
    <row r="7442" spans="1:4" x14ac:dyDescent="0.3">
      <c r="A7442" s="1">
        <v>36725</v>
      </c>
      <c r="B7442">
        <v>4177.169922</v>
      </c>
      <c r="C7442">
        <f t="shared" si="249"/>
        <v>-2.2808778637669044E-2</v>
      </c>
      <c r="D7442">
        <f t="shared" si="248"/>
        <v>-1.8617864526654029</v>
      </c>
    </row>
    <row r="7443" spans="1:4" x14ac:dyDescent="0.3">
      <c r="A7443" s="1">
        <v>36726</v>
      </c>
      <c r="B7443">
        <v>4055.6298830000001</v>
      </c>
      <c r="C7443">
        <f t="shared" si="249"/>
        <v>-2.9096264042284267E-2</v>
      </c>
      <c r="D7443">
        <f t="shared" si="248"/>
        <v>-2.3647594307401514</v>
      </c>
    </row>
    <row r="7444" spans="1:4" x14ac:dyDescent="0.3">
      <c r="A7444" s="1">
        <v>36727</v>
      </c>
      <c r="B7444">
        <v>4184.5600590000004</v>
      </c>
      <c r="C7444">
        <f t="shared" si="249"/>
        <v>3.1790419668332515E-2</v>
      </c>
      <c r="D7444">
        <f t="shared" si="248"/>
        <v>2.5059248985697682</v>
      </c>
    </row>
    <row r="7445" spans="1:4" x14ac:dyDescent="0.3">
      <c r="A7445" s="1">
        <v>36728</v>
      </c>
      <c r="B7445">
        <v>4094.4499510000001</v>
      </c>
      <c r="C7445">
        <f t="shared" si="249"/>
        <v>-2.1533950219257757E-2</v>
      </c>
      <c r="D7445">
        <f t="shared" si="248"/>
        <v>-1.7598054213182794</v>
      </c>
    </row>
    <row r="7446" spans="1:4" x14ac:dyDescent="0.3">
      <c r="A7446" s="1">
        <v>36731</v>
      </c>
      <c r="B7446">
        <v>3981.570068</v>
      </c>
      <c r="C7446">
        <f t="shared" si="249"/>
        <v>-2.75689981196207E-2</v>
      </c>
      <c r="D7446">
        <f t="shared" si="248"/>
        <v>-2.2425844370820656</v>
      </c>
    </row>
    <row r="7447" spans="1:4" x14ac:dyDescent="0.3">
      <c r="A7447" s="1">
        <v>36732</v>
      </c>
      <c r="B7447">
        <v>4029.570068</v>
      </c>
      <c r="C7447">
        <f t="shared" si="249"/>
        <v>1.2055545721969698E-2</v>
      </c>
      <c r="D7447">
        <f t="shared" si="248"/>
        <v>0.92721613314730233</v>
      </c>
    </row>
    <row r="7448" spans="1:4" x14ac:dyDescent="0.3">
      <c r="A7448" s="1">
        <v>36733</v>
      </c>
      <c r="B7448">
        <v>3987.719971</v>
      </c>
      <c r="C7448">
        <f t="shared" si="249"/>
        <v>-1.0385747435525176E-2</v>
      </c>
      <c r="D7448">
        <f t="shared" si="248"/>
        <v>-0.86799504030343433</v>
      </c>
    </row>
    <row r="7449" spans="1:4" x14ac:dyDescent="0.3">
      <c r="A7449" s="1">
        <v>36734</v>
      </c>
      <c r="B7449">
        <v>3842.2299800000001</v>
      </c>
      <c r="C7449">
        <f t="shared" si="249"/>
        <v>-3.6484505446232579E-2</v>
      </c>
      <c r="D7449">
        <f t="shared" si="248"/>
        <v>-2.9557883624258317</v>
      </c>
    </row>
    <row r="7450" spans="1:4" x14ac:dyDescent="0.3">
      <c r="A7450" s="1">
        <v>36735</v>
      </c>
      <c r="B7450">
        <v>3663</v>
      </c>
      <c r="C7450">
        <f t="shared" si="249"/>
        <v>-4.6647384704441887E-2</v>
      </c>
      <c r="D7450">
        <f t="shared" si="248"/>
        <v>-3.7687769130733613</v>
      </c>
    </row>
    <row r="7451" spans="1:4" x14ac:dyDescent="0.3">
      <c r="A7451" s="1">
        <v>36738</v>
      </c>
      <c r="B7451">
        <v>3766.98999</v>
      </c>
      <c r="C7451">
        <f t="shared" si="249"/>
        <v>2.8389295659295669E-2</v>
      </c>
      <c r="D7451">
        <f t="shared" si="248"/>
        <v>2.2338489633523122</v>
      </c>
    </row>
    <row r="7452" spans="1:4" x14ac:dyDescent="0.3">
      <c r="A7452" s="1">
        <v>36739</v>
      </c>
      <c r="B7452">
        <v>3685.5200199999999</v>
      </c>
      <c r="C7452">
        <f t="shared" si="249"/>
        <v>-2.1627339126536967E-2</v>
      </c>
      <c r="D7452">
        <f t="shared" si="248"/>
        <v>-1.7672761498831349</v>
      </c>
    </row>
    <row r="7453" spans="1:4" x14ac:dyDescent="0.3">
      <c r="A7453" s="1">
        <v>36740</v>
      </c>
      <c r="B7453">
        <v>3658.459961</v>
      </c>
      <c r="C7453">
        <f t="shared" si="249"/>
        <v>-7.3422634670696789E-3</v>
      </c>
      <c r="D7453">
        <f t="shared" si="248"/>
        <v>-0.62452883770785228</v>
      </c>
    </row>
    <row r="7454" spans="1:4" x14ac:dyDescent="0.3">
      <c r="A7454" s="1">
        <v>36741</v>
      </c>
      <c r="B7454">
        <v>3759.8798830000001</v>
      </c>
      <c r="C7454">
        <f t="shared" si="249"/>
        <v>2.77220259565935E-2</v>
      </c>
      <c r="D7454">
        <f t="shared" si="248"/>
        <v>2.180470130965551</v>
      </c>
    </row>
    <row r="7455" spans="1:4" x14ac:dyDescent="0.3">
      <c r="A7455" s="1">
        <v>36742</v>
      </c>
      <c r="B7455">
        <v>3787.360107</v>
      </c>
      <c r="C7455">
        <f t="shared" si="249"/>
        <v>7.3088036998866825E-3</v>
      </c>
      <c r="D7455">
        <f t="shared" si="248"/>
        <v>0.54749629010048473</v>
      </c>
    </row>
    <row r="7456" spans="1:4" x14ac:dyDescent="0.3">
      <c r="A7456" s="1">
        <v>36745</v>
      </c>
      <c r="B7456">
        <v>3862.98999</v>
      </c>
      <c r="C7456">
        <f t="shared" si="249"/>
        <v>1.9969023505374339E-2</v>
      </c>
      <c r="D7456">
        <f t="shared" si="248"/>
        <v>1.5602618154045913</v>
      </c>
    </row>
    <row r="7457" spans="1:4" x14ac:dyDescent="0.3">
      <c r="A7457" s="1">
        <v>36746</v>
      </c>
      <c r="B7457">
        <v>3848.5500489999999</v>
      </c>
      <c r="C7457">
        <f t="shared" si="249"/>
        <v>-3.7380218528601699E-3</v>
      </c>
      <c r="D7457">
        <f t="shared" si="248"/>
        <v>-0.33620432930116656</v>
      </c>
    </row>
    <row r="7458" spans="1:4" x14ac:dyDescent="0.3">
      <c r="A7458" s="1">
        <v>36747</v>
      </c>
      <c r="B7458">
        <v>3853.5</v>
      </c>
      <c r="C7458">
        <f t="shared" si="249"/>
        <v>1.2861859497673004E-3</v>
      </c>
      <c r="D7458">
        <f t="shared" si="248"/>
        <v>6.571163524310028E-2</v>
      </c>
    </row>
    <row r="7459" spans="1:4" x14ac:dyDescent="0.3">
      <c r="A7459" s="1">
        <v>36748</v>
      </c>
      <c r="B7459">
        <v>3759.98999</v>
      </c>
      <c r="C7459">
        <f t="shared" si="249"/>
        <v>-2.426625405475541E-2</v>
      </c>
      <c r="D7459">
        <f t="shared" si="248"/>
        <v>-1.9783784928575865</v>
      </c>
    </row>
    <row r="7460" spans="1:4" x14ac:dyDescent="0.3">
      <c r="A7460" s="1">
        <v>36749</v>
      </c>
      <c r="B7460">
        <v>3789.469971</v>
      </c>
      <c r="C7460">
        <f t="shared" si="249"/>
        <v>7.8404413518132678E-3</v>
      </c>
      <c r="D7460">
        <f t="shared" si="248"/>
        <v>0.59002511614752429</v>
      </c>
    </row>
    <row r="7461" spans="1:4" x14ac:dyDescent="0.3">
      <c r="A7461" s="1">
        <v>36752</v>
      </c>
      <c r="B7461">
        <v>3849.6899410000001</v>
      </c>
      <c r="C7461">
        <f t="shared" si="249"/>
        <v>1.5891396543804438E-2</v>
      </c>
      <c r="D7461">
        <f t="shared" si="248"/>
        <v>1.234068425781254</v>
      </c>
    </row>
    <row r="7462" spans="1:4" x14ac:dyDescent="0.3">
      <c r="A7462" s="1">
        <v>36753</v>
      </c>
      <c r="B7462">
        <v>3851.6599120000001</v>
      </c>
      <c r="C7462">
        <f t="shared" si="249"/>
        <v>5.1172199065160678E-4</v>
      </c>
      <c r="D7462">
        <f t="shared" si="248"/>
        <v>3.7577031286734944E-3</v>
      </c>
    </row>
    <row r="7463" spans="1:4" x14ac:dyDescent="0.3">
      <c r="A7463" s="1">
        <v>36754</v>
      </c>
      <c r="B7463">
        <v>3861.1999510000001</v>
      </c>
      <c r="C7463">
        <f t="shared" si="249"/>
        <v>2.4768643177134116E-3</v>
      </c>
      <c r="D7463">
        <f t="shared" si="248"/>
        <v>0.16096100858008483</v>
      </c>
    </row>
    <row r="7464" spans="1:4" x14ac:dyDescent="0.3">
      <c r="A7464" s="1">
        <v>36755</v>
      </c>
      <c r="B7464">
        <v>3940.8701169999999</v>
      </c>
      <c r="C7464">
        <f t="shared" si="249"/>
        <v>2.0633525072786339E-2</v>
      </c>
      <c r="D7464">
        <f t="shared" si="248"/>
        <v>1.6134192083507792</v>
      </c>
    </row>
    <row r="7465" spans="1:4" x14ac:dyDescent="0.3">
      <c r="A7465" s="1">
        <v>36756</v>
      </c>
      <c r="B7465">
        <v>3930.3400879999999</v>
      </c>
      <c r="C7465">
        <f t="shared" si="249"/>
        <v>-2.6720061020473395E-3</v>
      </c>
      <c r="D7465">
        <f t="shared" si="248"/>
        <v>-0.25092745271909983</v>
      </c>
    </row>
    <row r="7466" spans="1:4" x14ac:dyDescent="0.3">
      <c r="A7466" s="1">
        <v>36759</v>
      </c>
      <c r="B7466">
        <v>3953.1499020000001</v>
      </c>
      <c r="C7466">
        <f t="shared" si="249"/>
        <v>5.8035217027764211E-3</v>
      </c>
      <c r="D7466">
        <f t="shared" si="248"/>
        <v>0.42707992008822121</v>
      </c>
    </row>
    <row r="7467" spans="1:4" x14ac:dyDescent="0.3">
      <c r="A7467" s="1">
        <v>36760</v>
      </c>
      <c r="B7467">
        <v>3958.209961</v>
      </c>
      <c r="C7467">
        <f t="shared" si="249"/>
        <v>1.2800068617281363E-3</v>
      </c>
      <c r="D7467">
        <f t="shared" si="248"/>
        <v>6.5217333608528993E-2</v>
      </c>
    </row>
    <row r="7468" spans="1:4" x14ac:dyDescent="0.3">
      <c r="A7468" s="1">
        <v>36761</v>
      </c>
      <c r="B7468">
        <v>4011.01001</v>
      </c>
      <c r="C7468">
        <f t="shared" si="249"/>
        <v>1.333937550565422E-2</v>
      </c>
      <c r="D7468">
        <f t="shared" si="248"/>
        <v>1.0299172367024494</v>
      </c>
    </row>
    <row r="7469" spans="1:4" x14ac:dyDescent="0.3">
      <c r="A7469" s="1">
        <v>36762</v>
      </c>
      <c r="B7469">
        <v>4053.280029</v>
      </c>
      <c r="C7469">
        <f t="shared" si="249"/>
        <v>1.0538497509259531E-2</v>
      </c>
      <c r="D7469">
        <f t="shared" si="248"/>
        <v>0.80585851427001398</v>
      </c>
    </row>
    <row r="7470" spans="1:4" x14ac:dyDescent="0.3">
      <c r="A7470" s="1">
        <v>36763</v>
      </c>
      <c r="B7470">
        <v>4042.679932</v>
      </c>
      <c r="C7470">
        <f t="shared" si="249"/>
        <v>-2.6151899015512126E-3</v>
      </c>
      <c r="D7470">
        <f t="shared" si="248"/>
        <v>-0.24638239030902212</v>
      </c>
    </row>
    <row r="7471" spans="1:4" x14ac:dyDescent="0.3">
      <c r="A7471" s="1">
        <v>36766</v>
      </c>
      <c r="B7471">
        <v>4070.5900879999999</v>
      </c>
      <c r="C7471">
        <f t="shared" si="249"/>
        <v>6.9038747735322608E-3</v>
      </c>
      <c r="D7471">
        <f t="shared" si="248"/>
        <v>0.51510364106982542</v>
      </c>
    </row>
    <row r="7472" spans="1:4" x14ac:dyDescent="0.3">
      <c r="A7472" s="1">
        <v>36767</v>
      </c>
      <c r="B7472">
        <v>4082.169922</v>
      </c>
      <c r="C7472">
        <f t="shared" si="249"/>
        <v>2.8447556127395844E-3</v>
      </c>
      <c r="D7472">
        <f t="shared" si="248"/>
        <v>0.19039079940413428</v>
      </c>
    </row>
    <row r="7473" spans="1:4" x14ac:dyDescent="0.3">
      <c r="A7473" s="1">
        <v>36768</v>
      </c>
      <c r="B7473">
        <v>4103.8100590000004</v>
      </c>
      <c r="C7473">
        <f t="shared" si="249"/>
        <v>5.3011357717804289E-3</v>
      </c>
      <c r="D7473">
        <f t="shared" si="248"/>
        <v>0.38689111143183386</v>
      </c>
    </row>
    <row r="7474" spans="1:4" x14ac:dyDescent="0.3">
      <c r="A7474" s="1">
        <v>36769</v>
      </c>
      <c r="B7474">
        <v>4206.3500979999999</v>
      </c>
      <c r="C7474">
        <f t="shared" si="249"/>
        <v>2.4986546045210011E-2</v>
      </c>
      <c r="D7474">
        <f t="shared" si="248"/>
        <v>1.9616429864154792</v>
      </c>
    </row>
    <row r="7475" spans="1:4" x14ac:dyDescent="0.3">
      <c r="A7475" s="1">
        <v>36770</v>
      </c>
      <c r="B7475">
        <v>4234.330078</v>
      </c>
      <c r="C7475">
        <f t="shared" si="249"/>
        <v>6.6518428918467239E-3</v>
      </c>
      <c r="D7475">
        <f t="shared" si="248"/>
        <v>0.49494212689627243</v>
      </c>
    </row>
    <row r="7476" spans="1:4" x14ac:dyDescent="0.3">
      <c r="A7476" s="1">
        <v>36774</v>
      </c>
      <c r="B7476">
        <v>4143.1801759999998</v>
      </c>
      <c r="C7476">
        <f t="shared" si="249"/>
        <v>-2.1526404489244002E-2</v>
      </c>
      <c r="D7476">
        <f t="shared" si="248"/>
        <v>-1.7592017939454063</v>
      </c>
    </row>
    <row r="7477" spans="1:4" x14ac:dyDescent="0.3">
      <c r="A7477" s="1">
        <v>36775</v>
      </c>
      <c r="B7477">
        <v>4013.3400879999999</v>
      </c>
      <c r="C7477">
        <f t="shared" si="249"/>
        <v>-3.133826734162283E-2</v>
      </c>
      <c r="D7477">
        <f t="shared" si="248"/>
        <v>-2.5441104755145827</v>
      </c>
    </row>
    <row r="7478" spans="1:4" x14ac:dyDescent="0.3">
      <c r="A7478" s="1">
        <v>36776</v>
      </c>
      <c r="B7478">
        <v>4098.3500979999999</v>
      </c>
      <c r="C7478">
        <f t="shared" si="249"/>
        <v>2.1181860529134396E-2</v>
      </c>
      <c r="D7478">
        <f t="shared" si="248"/>
        <v>1.6572837900897546</v>
      </c>
    </row>
    <row r="7479" spans="1:4" x14ac:dyDescent="0.3">
      <c r="A7479" s="1">
        <v>36777</v>
      </c>
      <c r="B7479">
        <v>3978.4099120000001</v>
      </c>
      <c r="C7479">
        <f t="shared" si="249"/>
        <v>-2.9265480774453793E-2</v>
      </c>
      <c r="D7479">
        <f t="shared" si="248"/>
        <v>-2.3782960734903531</v>
      </c>
    </row>
    <row r="7480" spans="1:4" x14ac:dyDescent="0.3">
      <c r="A7480" s="1">
        <v>36780</v>
      </c>
      <c r="B7480">
        <v>3896.3500979999999</v>
      </c>
      <c r="C7480">
        <f t="shared" si="249"/>
        <v>-2.0626284323413929E-2</v>
      </c>
      <c r="D7480">
        <f t="shared" si="248"/>
        <v>-1.6871958819952386</v>
      </c>
    </row>
    <row r="7481" spans="1:4" x14ac:dyDescent="0.3">
      <c r="A7481" s="1">
        <v>36781</v>
      </c>
      <c r="B7481">
        <v>3849.51001</v>
      </c>
      <c r="C7481">
        <f t="shared" si="249"/>
        <v>-1.2021529590999275E-2</v>
      </c>
      <c r="D7481">
        <f t="shared" si="248"/>
        <v>-0.99885088636494734</v>
      </c>
    </row>
    <row r="7482" spans="1:4" x14ac:dyDescent="0.3">
      <c r="A7482" s="1">
        <v>36782</v>
      </c>
      <c r="B7482">
        <v>3893.889893</v>
      </c>
      <c r="C7482">
        <f t="shared" si="249"/>
        <v>1.152870959803013E-2</v>
      </c>
      <c r="D7482">
        <f t="shared" si="248"/>
        <v>0.88507140959522301</v>
      </c>
    </row>
    <row r="7483" spans="1:4" x14ac:dyDescent="0.3">
      <c r="A7483" s="1">
        <v>36783</v>
      </c>
      <c r="B7483">
        <v>3913.860107</v>
      </c>
      <c r="C7483">
        <f t="shared" si="249"/>
        <v>5.1286026438241514E-3</v>
      </c>
      <c r="D7483">
        <f t="shared" si="248"/>
        <v>0.373089170655793</v>
      </c>
    </row>
    <row r="7484" spans="1:4" x14ac:dyDescent="0.3">
      <c r="A7484" s="1">
        <v>36784</v>
      </c>
      <c r="B7484">
        <v>3835.2299800000001</v>
      </c>
      <c r="C7484">
        <f t="shared" si="249"/>
        <v>-2.0090173090082777E-2</v>
      </c>
      <c r="D7484">
        <f t="shared" si="248"/>
        <v>-1.6443091878313103</v>
      </c>
    </row>
    <row r="7485" spans="1:4" x14ac:dyDescent="0.3">
      <c r="A7485" s="1">
        <v>36787</v>
      </c>
      <c r="B7485">
        <v>3726.5200199999999</v>
      </c>
      <c r="C7485">
        <f t="shared" si="249"/>
        <v>-2.834509548759841E-2</v>
      </c>
      <c r="D7485">
        <f t="shared" si="248"/>
        <v>-2.3046690351888364</v>
      </c>
    </row>
    <row r="7486" spans="1:4" x14ac:dyDescent="0.3">
      <c r="A7486" s="1">
        <v>36788</v>
      </c>
      <c r="B7486">
        <v>3865.639893</v>
      </c>
      <c r="C7486">
        <f t="shared" si="249"/>
        <v>3.7332383095583128E-2</v>
      </c>
      <c r="D7486">
        <f t="shared" si="248"/>
        <v>2.9492591840600366</v>
      </c>
    </row>
    <row r="7487" spans="1:4" x14ac:dyDescent="0.3">
      <c r="A7487" s="1">
        <v>36789</v>
      </c>
      <c r="B7487">
        <v>3897.4399410000001</v>
      </c>
      <c r="C7487">
        <f t="shared" si="249"/>
        <v>8.2263348061945452E-3</v>
      </c>
      <c r="D7487">
        <f t="shared" si="248"/>
        <v>0.62089500569466061</v>
      </c>
    </row>
    <row r="7488" spans="1:4" x14ac:dyDescent="0.3">
      <c r="A7488" s="1">
        <v>36790</v>
      </c>
      <c r="B7488">
        <v>3828.8701169999999</v>
      </c>
      <c r="C7488">
        <f t="shared" si="249"/>
        <v>-1.7593555009960359E-2</v>
      </c>
      <c r="D7488">
        <f t="shared" si="248"/>
        <v>-1.4445900075764051</v>
      </c>
    </row>
    <row r="7489" spans="1:4" x14ac:dyDescent="0.3">
      <c r="A7489" s="1">
        <v>36791</v>
      </c>
      <c r="B7489">
        <v>3803.76001</v>
      </c>
      <c r="C7489">
        <f t="shared" si="249"/>
        <v>-6.5580984031065196E-3</v>
      </c>
      <c r="D7489">
        <f t="shared" si="248"/>
        <v>-0.56179885709680977</v>
      </c>
    </row>
    <row r="7490" spans="1:4" x14ac:dyDescent="0.3">
      <c r="A7490" s="1">
        <v>36794</v>
      </c>
      <c r="B7490">
        <v>3741.219971</v>
      </c>
      <c r="C7490">
        <f t="shared" si="249"/>
        <v>-1.644163639019907E-2</v>
      </c>
      <c r="D7490">
        <f t="shared" si="248"/>
        <v>-1.3524412547131692</v>
      </c>
    </row>
    <row r="7491" spans="1:4" x14ac:dyDescent="0.3">
      <c r="A7491" s="1">
        <v>36795</v>
      </c>
      <c r="B7491">
        <v>3689.1000979999999</v>
      </c>
      <c r="C7491">
        <f t="shared" si="249"/>
        <v>-1.393125060916128E-2</v>
      </c>
      <c r="D7491">
        <f t="shared" ref="D7491:D7554" si="250">(C7491-avrtn)/sdrtn</f>
        <v>-1.1516207149981585</v>
      </c>
    </row>
    <row r="7492" spans="1:4" x14ac:dyDescent="0.3">
      <c r="A7492" s="1">
        <v>36796</v>
      </c>
      <c r="B7492">
        <v>3656.3000489999999</v>
      </c>
      <c r="C7492">
        <f t="shared" ref="C7492:C7555" si="251">(B7492-B7491)/B7491</f>
        <v>-8.8910704856672469E-3</v>
      </c>
      <c r="D7492">
        <f t="shared" si="250"/>
        <v>-0.74842703046314252</v>
      </c>
    </row>
    <row r="7493" spans="1:4" x14ac:dyDescent="0.3">
      <c r="A7493" s="1">
        <v>36797</v>
      </c>
      <c r="B7493">
        <v>3778.320068</v>
      </c>
      <c r="C7493">
        <f t="shared" si="251"/>
        <v>3.3372539825710583E-2</v>
      </c>
      <c r="D7493">
        <f t="shared" si="250"/>
        <v>2.6324880054430535</v>
      </c>
    </row>
    <row r="7494" spans="1:4" x14ac:dyDescent="0.3">
      <c r="A7494" s="1">
        <v>36798</v>
      </c>
      <c r="B7494">
        <v>3672.820068</v>
      </c>
      <c r="C7494">
        <f t="shared" si="251"/>
        <v>-2.7922462391028965E-2</v>
      </c>
      <c r="D7494">
        <f t="shared" si="250"/>
        <v>-2.2708601253409579</v>
      </c>
    </row>
    <row r="7495" spans="1:4" x14ac:dyDescent="0.3">
      <c r="A7495" s="1">
        <v>36801</v>
      </c>
      <c r="B7495">
        <v>3568.8999020000001</v>
      </c>
      <c r="C7495">
        <f t="shared" si="251"/>
        <v>-2.8294379816049264E-2</v>
      </c>
      <c r="D7495">
        <f t="shared" si="250"/>
        <v>-2.3006119900089921</v>
      </c>
    </row>
    <row r="7496" spans="1:4" x14ac:dyDescent="0.3">
      <c r="A7496" s="1">
        <v>36802</v>
      </c>
      <c r="B7496">
        <v>3455.830078</v>
      </c>
      <c r="C7496">
        <f t="shared" si="251"/>
        <v>-3.1681982432916145E-2</v>
      </c>
      <c r="D7496">
        <f t="shared" si="250"/>
        <v>-2.5716062694531474</v>
      </c>
    </row>
    <row r="7497" spans="1:4" x14ac:dyDescent="0.3">
      <c r="A7497" s="1">
        <v>36803</v>
      </c>
      <c r="B7497">
        <v>3523.1000979999999</v>
      </c>
      <c r="C7497">
        <f t="shared" si="251"/>
        <v>1.9465661934087702E-2</v>
      </c>
      <c r="D7497">
        <f t="shared" si="250"/>
        <v>1.5199949595368094</v>
      </c>
    </row>
    <row r="7498" spans="1:4" x14ac:dyDescent="0.3">
      <c r="A7498" s="1">
        <v>36804</v>
      </c>
      <c r="B7498">
        <v>3472.1000979999999</v>
      </c>
      <c r="C7498">
        <f t="shared" si="251"/>
        <v>-1.4475887309858659E-2</v>
      </c>
      <c r="D7498">
        <f t="shared" si="250"/>
        <v>-1.1951894114944537</v>
      </c>
    </row>
    <row r="7499" spans="1:4" x14ac:dyDescent="0.3">
      <c r="A7499" s="1">
        <v>36805</v>
      </c>
      <c r="B7499">
        <v>3361.01001</v>
      </c>
      <c r="C7499">
        <f t="shared" si="251"/>
        <v>-3.1995070667458596E-2</v>
      </c>
      <c r="D7499">
        <f t="shared" si="250"/>
        <v>-2.5966520407900302</v>
      </c>
    </row>
    <row r="7500" spans="1:4" x14ac:dyDescent="0.3">
      <c r="A7500" s="1">
        <v>36808</v>
      </c>
      <c r="B7500">
        <v>3355.5600589999999</v>
      </c>
      <c r="C7500">
        <f t="shared" si="251"/>
        <v>-1.6215217996330977E-3</v>
      </c>
      <c r="D7500">
        <f t="shared" si="250"/>
        <v>-0.16689302814322274</v>
      </c>
    </row>
    <row r="7501" spans="1:4" x14ac:dyDescent="0.3">
      <c r="A7501" s="1">
        <v>36809</v>
      </c>
      <c r="B7501">
        <v>3240.540039</v>
      </c>
      <c r="C7501">
        <f t="shared" si="251"/>
        <v>-3.4277443400693407E-2</v>
      </c>
      <c r="D7501">
        <f t="shared" si="250"/>
        <v>-2.7792324742760575</v>
      </c>
    </row>
    <row r="7502" spans="1:4" x14ac:dyDescent="0.3">
      <c r="A7502" s="1">
        <v>36810</v>
      </c>
      <c r="B7502">
        <v>3168.48999</v>
      </c>
      <c r="C7502">
        <f t="shared" si="251"/>
        <v>-2.2233963516227348E-2</v>
      </c>
      <c r="D7502">
        <f t="shared" si="250"/>
        <v>-1.81580360660397</v>
      </c>
    </row>
    <row r="7503" spans="1:4" x14ac:dyDescent="0.3">
      <c r="A7503" s="1">
        <v>36811</v>
      </c>
      <c r="B7503">
        <v>3074.679932</v>
      </c>
      <c r="C7503">
        <f t="shared" si="251"/>
        <v>-2.9607181432187522E-2</v>
      </c>
      <c r="D7503">
        <f t="shared" si="250"/>
        <v>-2.4056307210275514</v>
      </c>
    </row>
    <row r="7504" spans="1:4" x14ac:dyDescent="0.3">
      <c r="A7504" s="1">
        <v>36812</v>
      </c>
      <c r="B7504">
        <v>3316.7700199999999</v>
      </c>
      <c r="C7504">
        <f t="shared" si="251"/>
        <v>7.873667937934814E-2</v>
      </c>
      <c r="D7504">
        <f t="shared" si="250"/>
        <v>6.2614326312776019</v>
      </c>
    </row>
    <row r="7505" spans="1:4" x14ac:dyDescent="0.3">
      <c r="A7505" s="1">
        <v>36815</v>
      </c>
      <c r="B7505">
        <v>3290.280029</v>
      </c>
      <c r="C7505">
        <f t="shared" si="251"/>
        <v>-7.9866830803059178E-3</v>
      </c>
      <c r="D7505">
        <f t="shared" si="250"/>
        <v>-0.67607975689746813</v>
      </c>
    </row>
    <row r="7506" spans="1:4" x14ac:dyDescent="0.3">
      <c r="A7506" s="1">
        <v>36816</v>
      </c>
      <c r="B7506">
        <v>3213.959961</v>
      </c>
      <c r="C7506">
        <f t="shared" si="251"/>
        <v>-2.3195614758417873E-2</v>
      </c>
      <c r="D7506">
        <f t="shared" si="250"/>
        <v>-1.8927317516456761</v>
      </c>
    </row>
    <row r="7507" spans="1:4" x14ac:dyDescent="0.3">
      <c r="A7507" s="1">
        <v>36817</v>
      </c>
      <c r="B7507">
        <v>3171.5600589999999</v>
      </c>
      <c r="C7507">
        <f t="shared" si="251"/>
        <v>-1.3192417613941803E-2</v>
      </c>
      <c r="D7507">
        <f t="shared" si="250"/>
        <v>-1.0925171134800302</v>
      </c>
    </row>
    <row r="7508" spans="1:4" x14ac:dyDescent="0.3">
      <c r="A7508" s="1">
        <v>36818</v>
      </c>
      <c r="B7508">
        <v>3418.6000979999999</v>
      </c>
      <c r="C7508">
        <f t="shared" si="251"/>
        <v>7.7892278375422688E-2</v>
      </c>
      <c r="D7508">
        <f t="shared" si="250"/>
        <v>6.1938840231612406</v>
      </c>
    </row>
    <row r="7509" spans="1:4" x14ac:dyDescent="0.3">
      <c r="A7509" s="1">
        <v>36819</v>
      </c>
      <c r="B7509">
        <v>3483.139893</v>
      </c>
      <c r="C7509">
        <f t="shared" si="251"/>
        <v>1.8879012797594595E-2</v>
      </c>
      <c r="D7509">
        <f t="shared" si="250"/>
        <v>1.4730654409330242</v>
      </c>
    </row>
    <row r="7510" spans="1:4" x14ac:dyDescent="0.3">
      <c r="A7510" s="1">
        <v>36822</v>
      </c>
      <c r="B7510">
        <v>3468.6899410000001</v>
      </c>
      <c r="C7510">
        <f t="shared" si="251"/>
        <v>-4.1485419603845752E-3</v>
      </c>
      <c r="D7510">
        <f t="shared" si="250"/>
        <v>-0.36904424983435025</v>
      </c>
    </row>
    <row r="7511" spans="1:4" x14ac:dyDescent="0.3">
      <c r="A7511" s="1">
        <v>36823</v>
      </c>
      <c r="B7511">
        <v>3419.790039</v>
      </c>
      <c r="C7511">
        <f t="shared" si="251"/>
        <v>-1.4097513133705631E-2</v>
      </c>
      <c r="D7511">
        <f t="shared" si="250"/>
        <v>-1.1649210332861206</v>
      </c>
    </row>
    <row r="7512" spans="1:4" x14ac:dyDescent="0.3">
      <c r="A7512" s="1">
        <v>36824</v>
      </c>
      <c r="B7512">
        <v>3229.570068</v>
      </c>
      <c r="C7512">
        <f t="shared" si="251"/>
        <v>-5.5623289392240954E-2</v>
      </c>
      <c r="D7512">
        <f t="shared" si="250"/>
        <v>-4.4868123789566701</v>
      </c>
    </row>
    <row r="7513" spans="1:4" x14ac:dyDescent="0.3">
      <c r="A7513" s="1">
        <v>36825</v>
      </c>
      <c r="B7513">
        <v>3272.179932</v>
      </c>
      <c r="C7513">
        <f t="shared" si="251"/>
        <v>1.3193664513489668E-2</v>
      </c>
      <c r="D7513">
        <f t="shared" si="250"/>
        <v>1.0182609564964653</v>
      </c>
    </row>
    <row r="7514" spans="1:4" x14ac:dyDescent="0.3">
      <c r="A7514" s="1">
        <v>36826</v>
      </c>
      <c r="B7514">
        <v>3278.360107</v>
      </c>
      <c r="C7514">
        <f t="shared" si="251"/>
        <v>1.888702677857497E-3</v>
      </c>
      <c r="D7514">
        <f t="shared" si="250"/>
        <v>0.11391049592672609</v>
      </c>
    </row>
    <row r="7515" spans="1:4" x14ac:dyDescent="0.3">
      <c r="A7515" s="1">
        <v>36829</v>
      </c>
      <c r="B7515">
        <v>3191.3999020000001</v>
      </c>
      <c r="C7515">
        <f t="shared" si="251"/>
        <v>-2.6525519516395171E-2</v>
      </c>
      <c r="D7515">
        <f t="shared" si="250"/>
        <v>-2.1591104396336784</v>
      </c>
    </row>
    <row r="7516" spans="1:4" x14ac:dyDescent="0.3">
      <c r="A7516" s="1">
        <v>36830</v>
      </c>
      <c r="B7516">
        <v>3369.6298830000001</v>
      </c>
      <c r="C7516">
        <f t="shared" si="251"/>
        <v>5.5846959476405958E-2</v>
      </c>
      <c r="D7516">
        <f t="shared" si="250"/>
        <v>4.4303491621328766</v>
      </c>
    </row>
    <row r="7517" spans="1:4" x14ac:dyDescent="0.3">
      <c r="A7517" s="1">
        <v>36831</v>
      </c>
      <c r="B7517">
        <v>3333.389893</v>
      </c>
      <c r="C7517">
        <f t="shared" si="251"/>
        <v>-1.0754887408505344E-2</v>
      </c>
      <c r="D7517">
        <f t="shared" si="250"/>
        <v>-0.89752472022920904</v>
      </c>
    </row>
    <row r="7518" spans="1:4" x14ac:dyDescent="0.3">
      <c r="A7518" s="1">
        <v>36832</v>
      </c>
      <c r="B7518">
        <v>3429.0200199999999</v>
      </c>
      <c r="C7518">
        <f t="shared" si="251"/>
        <v>2.8688551315530105E-2</v>
      </c>
      <c r="D7518">
        <f t="shared" si="250"/>
        <v>2.2577881853044559</v>
      </c>
    </row>
    <row r="7519" spans="1:4" x14ac:dyDescent="0.3">
      <c r="A7519" s="1">
        <v>36833</v>
      </c>
      <c r="B7519">
        <v>3451.580078</v>
      </c>
      <c r="C7519">
        <f t="shared" si="251"/>
        <v>6.5791561053644785E-3</v>
      </c>
      <c r="D7519">
        <f t="shared" si="250"/>
        <v>0.48912748286754476</v>
      </c>
    </row>
    <row r="7520" spans="1:4" x14ac:dyDescent="0.3">
      <c r="A7520" s="1">
        <v>36836</v>
      </c>
      <c r="B7520">
        <v>3416.209961</v>
      </c>
      <c r="C7520">
        <f t="shared" si="251"/>
        <v>-1.0247514529778769E-2</v>
      </c>
      <c r="D7520">
        <f t="shared" si="250"/>
        <v>-0.85693697626082665</v>
      </c>
    </row>
    <row r="7521" spans="1:4" x14ac:dyDescent="0.3">
      <c r="A7521" s="1">
        <v>36837</v>
      </c>
      <c r="B7521">
        <v>3415.790039</v>
      </c>
      <c r="C7521">
        <f t="shared" si="251"/>
        <v>-1.2292043076799703E-4</v>
      </c>
      <c r="D7521">
        <f t="shared" si="250"/>
        <v>-4.701108091966457E-2</v>
      </c>
    </row>
    <row r="7522" spans="1:4" x14ac:dyDescent="0.3">
      <c r="A7522" s="1">
        <v>36838</v>
      </c>
      <c r="B7522">
        <v>3231.6999510000001</v>
      </c>
      <c r="C7522">
        <f t="shared" si="251"/>
        <v>-5.3893853515040335E-2</v>
      </c>
      <c r="D7522">
        <f t="shared" si="250"/>
        <v>-4.3484646202634405</v>
      </c>
    </row>
    <row r="7523" spans="1:4" x14ac:dyDescent="0.3">
      <c r="A7523" s="1">
        <v>36839</v>
      </c>
      <c r="B7523">
        <v>3200.3500979999999</v>
      </c>
      <c r="C7523">
        <f t="shared" si="251"/>
        <v>-9.7007313411937995E-3</v>
      </c>
      <c r="D7523">
        <f t="shared" si="250"/>
        <v>-0.81319656955993525</v>
      </c>
    </row>
    <row r="7524" spans="1:4" x14ac:dyDescent="0.3">
      <c r="A7524" s="1">
        <v>36840</v>
      </c>
      <c r="B7524">
        <v>3028.98999</v>
      </c>
      <c r="C7524">
        <f t="shared" si="251"/>
        <v>-5.3544175715990641E-2</v>
      </c>
      <c r="D7524">
        <f t="shared" si="250"/>
        <v>-4.3204918342231657</v>
      </c>
    </row>
    <row r="7525" spans="1:4" x14ac:dyDescent="0.3">
      <c r="A7525" s="1">
        <v>36843</v>
      </c>
      <c r="B7525">
        <v>2966.719971</v>
      </c>
      <c r="C7525">
        <f t="shared" si="251"/>
        <v>-2.0558014125361981E-2</v>
      </c>
      <c r="D7525">
        <f t="shared" si="250"/>
        <v>-1.6817345468798144</v>
      </c>
    </row>
    <row r="7526" spans="1:4" x14ac:dyDescent="0.3">
      <c r="A7526" s="1">
        <v>36844</v>
      </c>
      <c r="B7526">
        <v>3138.2700199999999</v>
      </c>
      <c r="C7526">
        <f t="shared" si="251"/>
        <v>5.7824820231406983E-2</v>
      </c>
      <c r="D7526">
        <f t="shared" si="250"/>
        <v>4.5885698895209366</v>
      </c>
    </row>
    <row r="7527" spans="1:4" x14ac:dyDescent="0.3">
      <c r="A7527" s="1">
        <v>36845</v>
      </c>
      <c r="B7527">
        <v>3165.48999</v>
      </c>
      <c r="C7527">
        <f t="shared" si="251"/>
        <v>8.6735589437903441E-3</v>
      </c>
      <c r="D7527">
        <f t="shared" si="250"/>
        <v>0.65667109770568233</v>
      </c>
    </row>
    <row r="7528" spans="1:4" x14ac:dyDescent="0.3">
      <c r="A7528" s="1">
        <v>36846</v>
      </c>
      <c r="B7528">
        <v>3031.8798830000001</v>
      </c>
      <c r="C7528">
        <f t="shared" si="251"/>
        <v>-4.2208349235689724E-2</v>
      </c>
      <c r="D7528">
        <f t="shared" si="250"/>
        <v>-3.4136723289961046</v>
      </c>
    </row>
    <row r="7529" spans="1:4" x14ac:dyDescent="0.3">
      <c r="A7529" s="1">
        <v>36847</v>
      </c>
      <c r="B7529">
        <v>3027.1899410000001</v>
      </c>
      <c r="C7529">
        <f t="shared" si="251"/>
        <v>-1.546875925493244E-3</v>
      </c>
      <c r="D7529">
        <f t="shared" si="250"/>
        <v>-0.16092166515770298</v>
      </c>
    </row>
    <row r="7530" spans="1:4" x14ac:dyDescent="0.3">
      <c r="A7530" s="1">
        <v>36850</v>
      </c>
      <c r="B7530">
        <v>2875.639893</v>
      </c>
      <c r="C7530">
        <f t="shared" si="251"/>
        <v>-5.0062946479644127E-2</v>
      </c>
      <c r="D7530">
        <f t="shared" si="250"/>
        <v>-4.0420078102155994</v>
      </c>
    </row>
    <row r="7531" spans="1:4" x14ac:dyDescent="0.3">
      <c r="A7531" s="1">
        <v>36851</v>
      </c>
      <c r="B7531">
        <v>2871.4499510000001</v>
      </c>
      <c r="C7531">
        <f t="shared" si="251"/>
        <v>-1.4570468333671757E-3</v>
      </c>
      <c r="D7531">
        <f t="shared" si="250"/>
        <v>-0.15373570716705146</v>
      </c>
    </row>
    <row r="7532" spans="1:4" x14ac:dyDescent="0.3">
      <c r="A7532" s="1">
        <v>36852</v>
      </c>
      <c r="B7532">
        <v>2755.3400879999999</v>
      </c>
      <c r="C7532">
        <f t="shared" si="251"/>
        <v>-4.0435969625576849E-2</v>
      </c>
      <c r="D7532">
        <f t="shared" si="250"/>
        <v>-3.271889248255579</v>
      </c>
    </row>
    <row r="7533" spans="1:4" x14ac:dyDescent="0.3">
      <c r="A7533" s="1">
        <v>36854</v>
      </c>
      <c r="B7533">
        <v>2904.3798830000001</v>
      </c>
      <c r="C7533">
        <f t="shared" si="251"/>
        <v>5.4091251983410388E-2</v>
      </c>
      <c r="D7533">
        <f t="shared" si="250"/>
        <v>4.2898997822055804</v>
      </c>
    </row>
    <row r="7534" spans="1:4" x14ac:dyDescent="0.3">
      <c r="A7534" s="1">
        <v>36857</v>
      </c>
      <c r="B7534">
        <v>2880.48999</v>
      </c>
      <c r="C7534">
        <f t="shared" si="251"/>
        <v>-8.2254711719472514E-3</v>
      </c>
      <c r="D7534">
        <f t="shared" si="250"/>
        <v>-0.6951818223262749</v>
      </c>
    </row>
    <row r="7535" spans="1:4" x14ac:dyDescent="0.3">
      <c r="A7535" s="1">
        <v>36858</v>
      </c>
      <c r="B7535">
        <v>2734.9799800000001</v>
      </c>
      <c r="C7535">
        <f t="shared" si="251"/>
        <v>-5.0515714515640429E-2</v>
      </c>
      <c r="D7535">
        <f t="shared" si="250"/>
        <v>-4.0782273913020148</v>
      </c>
    </row>
    <row r="7536" spans="1:4" x14ac:dyDescent="0.3">
      <c r="A7536" s="1">
        <v>36859</v>
      </c>
      <c r="B7536">
        <v>2706.929932</v>
      </c>
      <c r="C7536">
        <f t="shared" si="251"/>
        <v>-1.0256034122779962E-2</v>
      </c>
      <c r="D7536">
        <f t="shared" si="250"/>
        <v>-0.85761850866814637</v>
      </c>
    </row>
    <row r="7537" spans="1:4" x14ac:dyDescent="0.3">
      <c r="A7537" s="1">
        <v>36860</v>
      </c>
      <c r="B7537">
        <v>2597.929932</v>
      </c>
      <c r="C7537">
        <f t="shared" si="251"/>
        <v>-4.0267019368124525E-2</v>
      </c>
      <c r="D7537">
        <f t="shared" si="250"/>
        <v>-3.258373922387003</v>
      </c>
    </row>
    <row r="7538" spans="1:4" x14ac:dyDescent="0.3">
      <c r="A7538" s="1">
        <v>36861</v>
      </c>
      <c r="B7538">
        <v>2645.290039</v>
      </c>
      <c r="C7538">
        <f t="shared" si="251"/>
        <v>1.8229940082925982E-2</v>
      </c>
      <c r="D7538">
        <f t="shared" si="250"/>
        <v>1.4211422927624857</v>
      </c>
    </row>
    <row r="7539" spans="1:4" x14ac:dyDescent="0.3">
      <c r="A7539" s="1">
        <v>36864</v>
      </c>
      <c r="B7539">
        <v>2615.75</v>
      </c>
      <c r="C7539">
        <f t="shared" si="251"/>
        <v>-1.1167032183422507E-2</v>
      </c>
      <c r="D7539">
        <f t="shared" si="250"/>
        <v>-0.93049460747314106</v>
      </c>
    </row>
    <row r="7540" spans="1:4" x14ac:dyDescent="0.3">
      <c r="A7540" s="1">
        <v>36865</v>
      </c>
      <c r="B7540">
        <v>2889.8000489999999</v>
      </c>
      <c r="C7540">
        <f t="shared" si="251"/>
        <v>0.10476920539042338</v>
      </c>
      <c r="D7540">
        <f t="shared" si="250"/>
        <v>8.343927665777036</v>
      </c>
    </row>
    <row r="7541" spans="1:4" x14ac:dyDescent="0.3">
      <c r="A7541" s="1">
        <v>36866</v>
      </c>
      <c r="B7541">
        <v>2796.5</v>
      </c>
      <c r="C7541">
        <f t="shared" si="251"/>
        <v>-3.2285987756241454E-2</v>
      </c>
      <c r="D7541">
        <f t="shared" si="250"/>
        <v>-2.6199242116344417</v>
      </c>
    </row>
    <row r="7542" spans="1:4" x14ac:dyDescent="0.3">
      <c r="A7542" s="1">
        <v>36867</v>
      </c>
      <c r="B7542">
        <v>2752.6599120000001</v>
      </c>
      <c r="C7542">
        <f t="shared" si="251"/>
        <v>-1.5676770248524916E-2</v>
      </c>
      <c r="D7542">
        <f t="shared" si="250"/>
        <v>-1.2912551085276045</v>
      </c>
    </row>
    <row r="7543" spans="1:4" x14ac:dyDescent="0.3">
      <c r="A7543" s="1">
        <v>36868</v>
      </c>
      <c r="B7543">
        <v>2917.429932</v>
      </c>
      <c r="C7543">
        <f t="shared" si="251"/>
        <v>5.9858473355788797E-2</v>
      </c>
      <c r="D7543">
        <f t="shared" si="250"/>
        <v>4.7512537770398673</v>
      </c>
    </row>
    <row r="7544" spans="1:4" x14ac:dyDescent="0.3">
      <c r="A7544" s="1">
        <v>36871</v>
      </c>
      <c r="B7544">
        <v>3015.1000979999999</v>
      </c>
      <c r="C7544">
        <f t="shared" si="251"/>
        <v>3.347815312672945E-2</v>
      </c>
      <c r="D7544">
        <f t="shared" si="250"/>
        <v>2.6409366352400738</v>
      </c>
    </row>
    <row r="7545" spans="1:4" x14ac:dyDescent="0.3">
      <c r="A7545" s="1">
        <v>36872</v>
      </c>
      <c r="B7545">
        <v>2931.7700199999999</v>
      </c>
      <c r="C7545">
        <f t="shared" si="251"/>
        <v>-2.763758259809521E-2</v>
      </c>
      <c r="D7545">
        <f t="shared" si="250"/>
        <v>-2.2480709133389656</v>
      </c>
    </row>
    <row r="7546" spans="1:4" x14ac:dyDescent="0.3">
      <c r="A7546" s="1">
        <v>36873</v>
      </c>
      <c r="B7546">
        <v>2822.7700199999999</v>
      </c>
      <c r="C7546">
        <f t="shared" si="251"/>
        <v>-3.7178905322184853E-2</v>
      </c>
      <c r="D7546">
        <f t="shared" si="250"/>
        <v>-3.0113374971126623</v>
      </c>
    </row>
    <row r="7547" spans="1:4" x14ac:dyDescent="0.3">
      <c r="A7547" s="1">
        <v>36874</v>
      </c>
      <c r="B7547">
        <v>2728.51001</v>
      </c>
      <c r="C7547">
        <f t="shared" si="251"/>
        <v>-3.3392734559367317E-2</v>
      </c>
      <c r="D7547">
        <f t="shared" si="250"/>
        <v>-2.7084594049144632</v>
      </c>
    </row>
    <row r="7548" spans="1:4" x14ac:dyDescent="0.3">
      <c r="A7548" s="1">
        <v>36875</v>
      </c>
      <c r="B7548">
        <v>2653.2700199999999</v>
      </c>
      <c r="C7548">
        <f t="shared" si="251"/>
        <v>-2.7575486153338331E-2</v>
      </c>
      <c r="D7548">
        <f t="shared" si="250"/>
        <v>-2.2431034531005221</v>
      </c>
    </row>
    <row r="7549" spans="1:4" x14ac:dyDescent="0.3">
      <c r="A7549" s="1">
        <v>36878</v>
      </c>
      <c r="B7549">
        <v>2624.5200199999999</v>
      </c>
      <c r="C7549">
        <f t="shared" si="251"/>
        <v>-1.0835685694741314E-2</v>
      </c>
      <c r="D7549">
        <f t="shared" si="250"/>
        <v>-0.90398825088354839</v>
      </c>
    </row>
    <row r="7550" spans="1:4" x14ac:dyDescent="0.3">
      <c r="A7550" s="1">
        <v>36879</v>
      </c>
      <c r="B7550">
        <v>2511.709961</v>
      </c>
      <c r="C7550">
        <f t="shared" si="251"/>
        <v>-4.2983120014455027E-2</v>
      </c>
      <c r="D7550">
        <f t="shared" si="250"/>
        <v>-3.4756508054208499</v>
      </c>
    </row>
    <row r="7551" spans="1:4" x14ac:dyDescent="0.3">
      <c r="A7551" s="1">
        <v>36880</v>
      </c>
      <c r="B7551">
        <v>2332.780029</v>
      </c>
      <c r="C7551">
        <f t="shared" si="251"/>
        <v>-7.1238293743423192E-2</v>
      </c>
      <c r="D7551">
        <f t="shared" si="250"/>
        <v>-5.7359485177696916</v>
      </c>
    </row>
    <row r="7552" spans="1:4" x14ac:dyDescent="0.3">
      <c r="A7552" s="1">
        <v>36881</v>
      </c>
      <c r="B7552">
        <v>2340.1201169999999</v>
      </c>
      <c r="C7552">
        <f t="shared" si="251"/>
        <v>3.14649813045014E-3</v>
      </c>
      <c r="D7552">
        <f t="shared" si="250"/>
        <v>0.214528960048332</v>
      </c>
    </row>
    <row r="7553" spans="1:4" x14ac:dyDescent="0.3">
      <c r="A7553" s="1">
        <v>36882</v>
      </c>
      <c r="B7553">
        <v>2517.0200199999999</v>
      </c>
      <c r="C7553">
        <f t="shared" si="251"/>
        <v>7.559436873128679E-2</v>
      </c>
      <c r="D7553">
        <f t="shared" si="250"/>
        <v>6.0100607006912856</v>
      </c>
    </row>
    <row r="7554" spans="1:4" x14ac:dyDescent="0.3">
      <c r="A7554" s="1">
        <v>36886</v>
      </c>
      <c r="B7554">
        <v>2493.5200199999999</v>
      </c>
      <c r="C7554">
        <f t="shared" si="251"/>
        <v>-9.3364374590870353E-3</v>
      </c>
      <c r="D7554">
        <f t="shared" si="250"/>
        <v>-0.78405455697678805</v>
      </c>
    </row>
    <row r="7555" spans="1:4" x14ac:dyDescent="0.3">
      <c r="A7555" s="1">
        <v>36887</v>
      </c>
      <c r="B7555">
        <v>2539.3500979999999</v>
      </c>
      <c r="C7555">
        <f t="shared" si="251"/>
        <v>1.8379671160610917E-2</v>
      </c>
      <c r="D7555">
        <f t="shared" ref="D7555:D7618" si="252">(C7555-avrtn)/sdrtn</f>
        <v>1.4331201632794102</v>
      </c>
    </row>
    <row r="7556" spans="1:4" x14ac:dyDescent="0.3">
      <c r="A7556" s="1">
        <v>36888</v>
      </c>
      <c r="B7556">
        <v>2557.76001</v>
      </c>
      <c r="C7556">
        <f t="shared" ref="C7556:C7619" si="253">(B7556-B7555)/B7555</f>
        <v>7.2498518477226836E-3</v>
      </c>
      <c r="D7556">
        <f t="shared" si="252"/>
        <v>0.54278038433882936</v>
      </c>
    </row>
    <row r="7557" spans="1:4" x14ac:dyDescent="0.3">
      <c r="A7557" s="1">
        <v>36889</v>
      </c>
      <c r="B7557">
        <v>2470.5200199999999</v>
      </c>
      <c r="C7557">
        <f t="shared" si="253"/>
        <v>-3.4107965430267256E-2</v>
      </c>
      <c r="D7557">
        <f t="shared" si="252"/>
        <v>-2.7656749335395441</v>
      </c>
    </row>
    <row r="7558" spans="1:4" x14ac:dyDescent="0.3">
      <c r="A7558" s="1">
        <v>36893</v>
      </c>
      <c r="B7558">
        <v>2291.860107</v>
      </c>
      <c r="C7558">
        <f t="shared" si="253"/>
        <v>-7.231672342408299E-2</v>
      </c>
      <c r="D7558">
        <f t="shared" si="252"/>
        <v>-5.8222184576931317</v>
      </c>
    </row>
    <row r="7559" spans="1:4" x14ac:dyDescent="0.3">
      <c r="A7559" s="1">
        <v>36894</v>
      </c>
      <c r="B7559">
        <v>2616.6899410000001</v>
      </c>
      <c r="C7559">
        <f t="shared" si="253"/>
        <v>0.14173196392217674</v>
      </c>
      <c r="D7559">
        <f t="shared" si="252"/>
        <v>11.300796356546035</v>
      </c>
    </row>
    <row r="7560" spans="1:4" x14ac:dyDescent="0.3">
      <c r="A7560" s="1">
        <v>36895</v>
      </c>
      <c r="B7560">
        <v>2566.830078</v>
      </c>
      <c r="C7560">
        <f t="shared" si="253"/>
        <v>-1.9054555229782239E-2</v>
      </c>
      <c r="D7560">
        <f t="shared" si="252"/>
        <v>-1.5614640174933543</v>
      </c>
    </row>
    <row r="7561" spans="1:4" x14ac:dyDescent="0.3">
      <c r="A7561" s="1">
        <v>36896</v>
      </c>
      <c r="B7561">
        <v>2407.6499020000001</v>
      </c>
      <c r="C7561">
        <f t="shared" si="253"/>
        <v>-6.2014302140338193E-2</v>
      </c>
      <c r="D7561">
        <f t="shared" si="252"/>
        <v>-4.9980671188029993</v>
      </c>
    </row>
    <row r="7562" spans="1:4" x14ac:dyDescent="0.3">
      <c r="A7562" s="1">
        <v>36899</v>
      </c>
      <c r="B7562">
        <v>2395.919922</v>
      </c>
      <c r="C7562">
        <f t="shared" si="253"/>
        <v>-4.8719624851836403E-3</v>
      </c>
      <c r="D7562">
        <f t="shared" si="252"/>
        <v>-0.42691491709530283</v>
      </c>
    </row>
    <row r="7563" spans="1:4" x14ac:dyDescent="0.3">
      <c r="A7563" s="1">
        <v>36900</v>
      </c>
      <c r="B7563">
        <v>2441.3000489999999</v>
      </c>
      <c r="C7563">
        <f t="shared" si="253"/>
        <v>1.8940585861533608E-2</v>
      </c>
      <c r="D7563">
        <f t="shared" si="252"/>
        <v>1.4779910328581933</v>
      </c>
    </row>
    <row r="7564" spans="1:4" x14ac:dyDescent="0.3">
      <c r="A7564" s="1">
        <v>36901</v>
      </c>
      <c r="B7564">
        <v>2524.179932</v>
      </c>
      <c r="C7564">
        <f t="shared" si="253"/>
        <v>3.3949076859253392E-2</v>
      </c>
      <c r="D7564">
        <f t="shared" si="252"/>
        <v>2.6786085973920306</v>
      </c>
    </row>
    <row r="7565" spans="1:4" x14ac:dyDescent="0.3">
      <c r="A7565" s="1">
        <v>36902</v>
      </c>
      <c r="B7565">
        <v>2640.570068</v>
      </c>
      <c r="C7565">
        <f t="shared" si="253"/>
        <v>4.6110078970392508E-2</v>
      </c>
      <c r="D7565">
        <f t="shared" si="252"/>
        <v>3.6514387599436793</v>
      </c>
    </row>
    <row r="7566" spans="1:4" x14ac:dyDescent="0.3">
      <c r="A7566" s="1">
        <v>36903</v>
      </c>
      <c r="B7566">
        <v>2626.5</v>
      </c>
      <c r="C7566">
        <f t="shared" si="253"/>
        <v>-5.3284206204218748E-3</v>
      </c>
      <c r="D7566">
        <f t="shared" si="252"/>
        <v>-0.46342969094729419</v>
      </c>
    </row>
    <row r="7567" spans="1:4" x14ac:dyDescent="0.3">
      <c r="A7567" s="1">
        <v>36907</v>
      </c>
      <c r="B7567">
        <v>2618.5500489999999</v>
      </c>
      <c r="C7567">
        <f t="shared" si="253"/>
        <v>-3.0268231486769675E-3</v>
      </c>
      <c r="D7567">
        <f t="shared" si="252"/>
        <v>-0.27931135743305635</v>
      </c>
    </row>
    <row r="7568" spans="1:4" x14ac:dyDescent="0.3">
      <c r="A7568" s="1">
        <v>36908</v>
      </c>
      <c r="B7568">
        <v>2682.780029</v>
      </c>
      <c r="C7568">
        <f t="shared" si="253"/>
        <v>2.4528834201404285E-2</v>
      </c>
      <c r="D7568">
        <f t="shared" si="252"/>
        <v>1.9250279210333689</v>
      </c>
    </row>
    <row r="7569" spans="1:4" x14ac:dyDescent="0.3">
      <c r="A7569" s="1">
        <v>36909</v>
      </c>
      <c r="B7569">
        <v>2768.48999</v>
      </c>
      <c r="C7569">
        <f t="shared" si="253"/>
        <v>3.1948188100963393E-2</v>
      </c>
      <c r="D7569">
        <f t="shared" si="252"/>
        <v>2.5185457244325673</v>
      </c>
    </row>
    <row r="7570" spans="1:4" x14ac:dyDescent="0.3">
      <c r="A7570" s="1">
        <v>36910</v>
      </c>
      <c r="B7570">
        <v>2770.3798830000001</v>
      </c>
      <c r="C7570">
        <f t="shared" si="253"/>
        <v>6.8264397083842411E-4</v>
      </c>
      <c r="D7570">
        <f t="shared" si="252"/>
        <v>1.7430758708236745E-2</v>
      </c>
    </row>
    <row r="7571" spans="1:4" x14ac:dyDescent="0.3">
      <c r="A7571" s="1">
        <v>36913</v>
      </c>
      <c r="B7571">
        <v>2757.9099120000001</v>
      </c>
      <c r="C7571">
        <f t="shared" si="253"/>
        <v>-4.5011772849348208E-3</v>
      </c>
      <c r="D7571">
        <f t="shared" si="252"/>
        <v>-0.39725362575325102</v>
      </c>
    </row>
    <row r="7572" spans="1:4" x14ac:dyDescent="0.3">
      <c r="A7572" s="1">
        <v>36914</v>
      </c>
      <c r="B7572">
        <v>2840.389893</v>
      </c>
      <c r="C7572">
        <f t="shared" si="253"/>
        <v>2.990669877979682E-2</v>
      </c>
      <c r="D7572">
        <f t="shared" si="252"/>
        <v>2.3552349733934896</v>
      </c>
    </row>
    <row r="7573" spans="1:4" x14ac:dyDescent="0.3">
      <c r="A7573" s="1">
        <v>36915</v>
      </c>
      <c r="B7573">
        <v>2859.1499020000001</v>
      </c>
      <c r="C7573">
        <f t="shared" si="253"/>
        <v>6.6047302330687748E-3</v>
      </c>
      <c r="D7573">
        <f t="shared" si="252"/>
        <v>0.49117330792244696</v>
      </c>
    </row>
    <row r="7574" spans="1:4" x14ac:dyDescent="0.3">
      <c r="A7574" s="1">
        <v>36916</v>
      </c>
      <c r="B7574">
        <v>2754.280029</v>
      </c>
      <c r="C7574">
        <f t="shared" si="253"/>
        <v>-3.6678690028334196E-2</v>
      </c>
      <c r="D7574">
        <f t="shared" si="252"/>
        <v>-2.9713223305021885</v>
      </c>
    </row>
    <row r="7575" spans="1:4" x14ac:dyDescent="0.3">
      <c r="A7575" s="1">
        <v>36917</v>
      </c>
      <c r="B7575">
        <v>2781.3000489999999</v>
      </c>
      <c r="C7575">
        <f t="shared" si="253"/>
        <v>9.8101934863210425E-3</v>
      </c>
      <c r="D7575">
        <f t="shared" si="252"/>
        <v>0.74759718723897184</v>
      </c>
    </row>
    <row r="7576" spans="1:4" x14ac:dyDescent="0.3">
      <c r="A7576" s="1">
        <v>36920</v>
      </c>
      <c r="B7576">
        <v>2838.3400879999999</v>
      </c>
      <c r="C7576">
        <f t="shared" si="253"/>
        <v>2.0508409015599877E-2</v>
      </c>
      <c r="D7576">
        <f t="shared" si="252"/>
        <v>1.6034104382561636</v>
      </c>
    </row>
    <row r="7577" spans="1:4" x14ac:dyDescent="0.3">
      <c r="A7577" s="1">
        <v>36921</v>
      </c>
      <c r="B7577">
        <v>2838.3500979999999</v>
      </c>
      <c r="C7577">
        <f t="shared" si="253"/>
        <v>3.5267091643760969E-6</v>
      </c>
      <c r="D7577">
        <f t="shared" si="252"/>
        <v>-3.689582967882097E-2</v>
      </c>
    </row>
    <row r="7578" spans="1:4" x14ac:dyDescent="0.3">
      <c r="A7578" s="1">
        <v>36922</v>
      </c>
      <c r="B7578">
        <v>2772.7299800000001</v>
      </c>
      <c r="C7578">
        <f t="shared" si="253"/>
        <v>-2.3119106429554986E-2</v>
      </c>
      <c r="D7578">
        <f t="shared" si="252"/>
        <v>-1.8866113999407732</v>
      </c>
    </row>
    <row r="7579" spans="1:4" x14ac:dyDescent="0.3">
      <c r="A7579" s="1">
        <v>36923</v>
      </c>
      <c r="B7579">
        <v>2782.790039</v>
      </c>
      <c r="C7579">
        <f t="shared" si="253"/>
        <v>3.6282144574351629E-3</v>
      </c>
      <c r="D7579">
        <f t="shared" si="252"/>
        <v>0.25306428537776138</v>
      </c>
    </row>
    <row r="7580" spans="1:4" x14ac:dyDescent="0.3">
      <c r="A7580" s="1">
        <v>36924</v>
      </c>
      <c r="B7580">
        <v>2660.5</v>
      </c>
      <c r="C7580">
        <f t="shared" si="253"/>
        <v>-4.3945118850556582E-2</v>
      </c>
      <c r="D7580">
        <f t="shared" si="252"/>
        <v>-3.5526067565461239</v>
      </c>
    </row>
    <row r="7581" spans="1:4" x14ac:dyDescent="0.3">
      <c r="A7581" s="1">
        <v>36927</v>
      </c>
      <c r="B7581">
        <v>2643.209961</v>
      </c>
      <c r="C7581">
        <f t="shared" si="253"/>
        <v>-6.4987930840067574E-3</v>
      </c>
      <c r="D7581">
        <f t="shared" si="252"/>
        <v>-0.55705467543375808</v>
      </c>
    </row>
    <row r="7582" spans="1:4" x14ac:dyDescent="0.3">
      <c r="A7582" s="1">
        <v>36928</v>
      </c>
      <c r="B7582">
        <v>2664.48999</v>
      </c>
      <c r="C7582">
        <f t="shared" si="253"/>
        <v>8.0508280893240823E-3</v>
      </c>
      <c r="D7582">
        <f t="shared" si="252"/>
        <v>0.60685519003295552</v>
      </c>
    </row>
    <row r="7583" spans="1:4" x14ac:dyDescent="0.3">
      <c r="A7583" s="1">
        <v>36929</v>
      </c>
      <c r="B7583">
        <v>2607.820068</v>
      </c>
      <c r="C7583">
        <f t="shared" si="253"/>
        <v>-2.1268581309250873E-2</v>
      </c>
      <c r="D7583">
        <f t="shared" si="252"/>
        <v>-1.7385769997212068</v>
      </c>
    </row>
    <row r="7584" spans="1:4" x14ac:dyDescent="0.3">
      <c r="A7584" s="1">
        <v>36930</v>
      </c>
      <c r="B7584">
        <v>2562.0600589999999</v>
      </c>
      <c r="C7584">
        <f t="shared" si="253"/>
        <v>-1.7547226344912108E-2</v>
      </c>
      <c r="D7584">
        <f t="shared" si="252"/>
        <v>-1.440883904877154</v>
      </c>
    </row>
    <row r="7585" spans="1:4" x14ac:dyDescent="0.3">
      <c r="A7585" s="1">
        <v>36931</v>
      </c>
      <c r="B7585">
        <v>2470.969971</v>
      </c>
      <c r="C7585">
        <f t="shared" si="253"/>
        <v>-3.5553455384474235E-2</v>
      </c>
      <c r="D7585">
        <f t="shared" si="252"/>
        <v>-2.8813081859858944</v>
      </c>
    </row>
    <row r="7586" spans="1:4" x14ac:dyDescent="0.3">
      <c r="A7586" s="1">
        <v>36934</v>
      </c>
      <c r="B7586">
        <v>2489.6599120000001</v>
      </c>
      <c r="C7586">
        <f t="shared" si="253"/>
        <v>7.5638074194953825E-3</v>
      </c>
      <c r="D7586">
        <f t="shared" si="252"/>
        <v>0.56789553908762014</v>
      </c>
    </row>
    <row r="7587" spans="1:4" x14ac:dyDescent="0.3">
      <c r="A7587" s="1">
        <v>36935</v>
      </c>
      <c r="B7587">
        <v>2427.719971</v>
      </c>
      <c r="C7587">
        <f t="shared" si="253"/>
        <v>-2.4878876308146978E-2</v>
      </c>
      <c r="D7587">
        <f t="shared" si="252"/>
        <v>-2.0273857540111537</v>
      </c>
    </row>
    <row r="7588" spans="1:4" x14ac:dyDescent="0.3">
      <c r="A7588" s="1">
        <v>36936</v>
      </c>
      <c r="B7588">
        <v>2491.3999020000001</v>
      </c>
      <c r="C7588">
        <f t="shared" si="253"/>
        <v>2.623034442220689E-2</v>
      </c>
      <c r="D7588">
        <f t="shared" si="252"/>
        <v>2.0611417420457427</v>
      </c>
    </row>
    <row r="7589" spans="1:4" x14ac:dyDescent="0.3">
      <c r="A7589" s="1">
        <v>36937</v>
      </c>
      <c r="B7589">
        <v>2552.9099120000001</v>
      </c>
      <c r="C7589">
        <f t="shared" si="253"/>
        <v>2.4688934903875564E-2</v>
      </c>
      <c r="D7589">
        <f t="shared" si="252"/>
        <v>1.9378353188930491</v>
      </c>
    </row>
    <row r="7590" spans="1:4" x14ac:dyDescent="0.3">
      <c r="A7590" s="1">
        <v>36938</v>
      </c>
      <c r="B7590">
        <v>2425.3798830000001</v>
      </c>
      <c r="C7590">
        <f t="shared" si="253"/>
        <v>-4.9954770593565706E-2</v>
      </c>
      <c r="D7590">
        <f t="shared" si="252"/>
        <v>-4.0333541841512277</v>
      </c>
    </row>
    <row r="7591" spans="1:4" x14ac:dyDescent="0.3">
      <c r="A7591" s="1">
        <v>36942</v>
      </c>
      <c r="B7591">
        <v>2318.3500979999999</v>
      </c>
      <c r="C7591">
        <f t="shared" si="253"/>
        <v>-4.4129080871081083E-2</v>
      </c>
      <c r="D7591">
        <f t="shared" si="252"/>
        <v>-3.5673229617317355</v>
      </c>
    </row>
    <row r="7592" spans="1:4" x14ac:dyDescent="0.3">
      <c r="A7592" s="1">
        <v>36943</v>
      </c>
      <c r="B7592">
        <v>2268.9399410000001</v>
      </c>
      <c r="C7592">
        <f t="shared" si="253"/>
        <v>-2.131263826055654E-2</v>
      </c>
      <c r="D7592">
        <f t="shared" si="252"/>
        <v>-1.7421013746623939</v>
      </c>
    </row>
    <row r="7593" spans="1:4" x14ac:dyDescent="0.3">
      <c r="A7593" s="1">
        <v>36944</v>
      </c>
      <c r="B7593">
        <v>2244.959961</v>
      </c>
      <c r="C7593">
        <f t="shared" si="253"/>
        <v>-1.056880332823233E-2</v>
      </c>
      <c r="D7593">
        <f t="shared" si="252"/>
        <v>-0.88263875898967814</v>
      </c>
    </row>
    <row r="7594" spans="1:4" x14ac:dyDescent="0.3">
      <c r="A7594" s="1">
        <v>36945</v>
      </c>
      <c r="B7594">
        <v>2262.51001</v>
      </c>
      <c r="C7594">
        <f t="shared" si="253"/>
        <v>7.8175331876219351E-3</v>
      </c>
      <c r="D7594">
        <f t="shared" si="252"/>
        <v>0.58819255721115171</v>
      </c>
    </row>
    <row r="7595" spans="1:4" x14ac:dyDescent="0.3">
      <c r="A7595" s="1">
        <v>36948</v>
      </c>
      <c r="B7595">
        <v>2308.5</v>
      </c>
      <c r="C7595">
        <f t="shared" si="253"/>
        <v>2.0326977470477594E-2</v>
      </c>
      <c r="D7595">
        <f t="shared" si="252"/>
        <v>1.5888966606973522</v>
      </c>
    </row>
    <row r="7596" spans="1:4" x14ac:dyDescent="0.3">
      <c r="A7596" s="1">
        <v>36949</v>
      </c>
      <c r="B7596">
        <v>2207.820068</v>
      </c>
      <c r="C7596">
        <f t="shared" si="253"/>
        <v>-4.3612706086203164E-2</v>
      </c>
      <c r="D7596">
        <f t="shared" si="252"/>
        <v>-3.526015102287305</v>
      </c>
    </row>
    <row r="7597" spans="1:4" x14ac:dyDescent="0.3">
      <c r="A7597" s="1">
        <v>36950</v>
      </c>
      <c r="B7597">
        <v>2151.830078</v>
      </c>
      <c r="C7597">
        <f t="shared" si="253"/>
        <v>-2.5359851924309999E-2</v>
      </c>
      <c r="D7597">
        <f t="shared" si="252"/>
        <v>-2.0658618255206442</v>
      </c>
    </row>
    <row r="7598" spans="1:4" x14ac:dyDescent="0.3">
      <c r="A7598" s="1">
        <v>36951</v>
      </c>
      <c r="B7598">
        <v>2183.3701169999999</v>
      </c>
      <c r="C7598">
        <f t="shared" si="253"/>
        <v>1.4657309293359538E-2</v>
      </c>
      <c r="D7598">
        <f t="shared" si="252"/>
        <v>1.1353465203427577</v>
      </c>
    </row>
    <row r="7599" spans="1:4" x14ac:dyDescent="0.3">
      <c r="A7599" s="1">
        <v>36952</v>
      </c>
      <c r="B7599">
        <v>2117.6298830000001</v>
      </c>
      <c r="C7599">
        <f t="shared" si="253"/>
        <v>-3.0109523570070861E-2</v>
      </c>
      <c r="D7599">
        <f t="shared" si="252"/>
        <v>-2.4458160264150046</v>
      </c>
    </row>
    <row r="7600" spans="1:4" x14ac:dyDescent="0.3">
      <c r="A7600" s="1">
        <v>36955</v>
      </c>
      <c r="B7600">
        <v>2142.919922</v>
      </c>
      <c r="C7600">
        <f t="shared" si="253"/>
        <v>1.1942615280897025E-2</v>
      </c>
      <c r="D7600">
        <f t="shared" si="252"/>
        <v>0.91818216223423688</v>
      </c>
    </row>
    <row r="7601" spans="1:4" x14ac:dyDescent="0.3">
      <c r="A7601" s="1">
        <v>36956</v>
      </c>
      <c r="B7601">
        <v>2204.429932</v>
      </c>
      <c r="C7601">
        <f t="shared" si="253"/>
        <v>2.8703830399127703E-2</v>
      </c>
      <c r="D7601">
        <f t="shared" si="252"/>
        <v>2.2590104491642964</v>
      </c>
    </row>
    <row r="7602" spans="1:4" x14ac:dyDescent="0.3">
      <c r="A7602" s="1">
        <v>36957</v>
      </c>
      <c r="B7602">
        <v>2223.919922</v>
      </c>
      <c r="C7602">
        <f t="shared" si="253"/>
        <v>8.841283506941619E-3</v>
      </c>
      <c r="D7602">
        <f t="shared" si="252"/>
        <v>0.67008837307025959</v>
      </c>
    </row>
    <row r="7603" spans="1:4" x14ac:dyDescent="0.3">
      <c r="A7603" s="1">
        <v>36958</v>
      </c>
      <c r="B7603">
        <v>2168.7299800000001</v>
      </c>
      <c r="C7603">
        <f t="shared" si="253"/>
        <v>-2.4816514953635085E-2</v>
      </c>
      <c r="D7603">
        <f t="shared" si="252"/>
        <v>-2.0223971020816243</v>
      </c>
    </row>
    <row r="7604" spans="1:4" x14ac:dyDescent="0.3">
      <c r="A7604" s="1">
        <v>36959</v>
      </c>
      <c r="B7604">
        <v>2052.780029</v>
      </c>
      <c r="C7604">
        <f t="shared" si="253"/>
        <v>-5.3464447888528777E-2</v>
      </c>
      <c r="D7604">
        <f t="shared" si="252"/>
        <v>-4.3141139358690026</v>
      </c>
    </row>
    <row r="7605" spans="1:4" x14ac:dyDescent="0.3">
      <c r="A7605" s="1">
        <v>36962</v>
      </c>
      <c r="B7605">
        <v>1923.380005</v>
      </c>
      <c r="C7605">
        <f t="shared" si="253"/>
        <v>-6.3036478420455261E-2</v>
      </c>
      <c r="D7605">
        <f t="shared" si="252"/>
        <v>-5.0798370179983863</v>
      </c>
    </row>
    <row r="7606" spans="1:4" x14ac:dyDescent="0.3">
      <c r="A7606" s="1">
        <v>36963</v>
      </c>
      <c r="B7606">
        <v>2014.780029</v>
      </c>
      <c r="C7606">
        <f t="shared" si="253"/>
        <v>4.7520523122002625E-2</v>
      </c>
      <c r="D7606">
        <f t="shared" si="252"/>
        <v>3.7642684922914822</v>
      </c>
    </row>
    <row r="7607" spans="1:4" x14ac:dyDescent="0.3">
      <c r="A7607" s="1">
        <v>36964</v>
      </c>
      <c r="B7607">
        <v>1972.089966</v>
      </c>
      <c r="C7607">
        <f t="shared" si="253"/>
        <v>-2.1188448557924438E-2</v>
      </c>
      <c r="D7607">
        <f t="shared" si="252"/>
        <v>-1.7321667091229345</v>
      </c>
    </row>
    <row r="7608" spans="1:4" x14ac:dyDescent="0.3">
      <c r="A7608" s="1">
        <v>36965</v>
      </c>
      <c r="B7608">
        <v>1940.709961</v>
      </c>
      <c r="C7608">
        <f t="shared" si="253"/>
        <v>-1.5912055505078303E-2</v>
      </c>
      <c r="D7608">
        <f t="shared" si="252"/>
        <v>-1.3100769615531196</v>
      </c>
    </row>
    <row r="7609" spans="1:4" x14ac:dyDescent="0.3">
      <c r="A7609" s="1">
        <v>36966</v>
      </c>
      <c r="B7609">
        <v>1890.910034</v>
      </c>
      <c r="C7609">
        <f t="shared" si="253"/>
        <v>-2.5660674701921637E-2</v>
      </c>
      <c r="D7609">
        <f t="shared" si="252"/>
        <v>-2.0899264107389222</v>
      </c>
    </row>
    <row r="7610" spans="1:4" x14ac:dyDescent="0.3">
      <c r="A7610" s="1">
        <v>36969</v>
      </c>
      <c r="B7610">
        <v>1951.1800539999999</v>
      </c>
      <c r="C7610">
        <f t="shared" si="253"/>
        <v>3.1873552372296485E-2</v>
      </c>
      <c r="D7610">
        <f t="shared" si="252"/>
        <v>2.5125751730431647</v>
      </c>
    </row>
    <row r="7611" spans="1:4" x14ac:dyDescent="0.3">
      <c r="A7611" s="1">
        <v>36970</v>
      </c>
      <c r="B7611">
        <v>1857.4399410000001</v>
      </c>
      <c r="C7611">
        <f t="shared" si="253"/>
        <v>-4.8042779449199845E-2</v>
      </c>
      <c r="D7611">
        <f t="shared" si="252"/>
        <v>-3.8804027547565223</v>
      </c>
    </row>
    <row r="7612" spans="1:4" x14ac:dyDescent="0.3">
      <c r="A7612" s="1">
        <v>36971</v>
      </c>
      <c r="B7612">
        <v>1830.2299800000001</v>
      </c>
      <c r="C7612">
        <f t="shared" si="253"/>
        <v>-1.4649174059082011E-2</v>
      </c>
      <c r="D7612">
        <f t="shared" si="252"/>
        <v>-1.2090516388729513</v>
      </c>
    </row>
    <row r="7613" spans="1:4" x14ac:dyDescent="0.3">
      <c r="A7613" s="1">
        <v>36972</v>
      </c>
      <c r="B7613">
        <v>1897.6999510000001</v>
      </c>
      <c r="C7613">
        <f t="shared" si="253"/>
        <v>3.6864203808966121E-2</v>
      </c>
      <c r="D7613">
        <f t="shared" si="252"/>
        <v>2.9118067662954061</v>
      </c>
    </row>
    <row r="7614" spans="1:4" x14ac:dyDescent="0.3">
      <c r="A7614" s="1">
        <v>36973</v>
      </c>
      <c r="B7614">
        <v>1928.6800539999999</v>
      </c>
      <c r="C7614">
        <f t="shared" si="253"/>
        <v>1.632507972805437E-2</v>
      </c>
      <c r="D7614">
        <f t="shared" si="252"/>
        <v>1.268761297205339</v>
      </c>
    </row>
    <row r="7615" spans="1:4" x14ac:dyDescent="0.3">
      <c r="A7615" s="1">
        <v>36976</v>
      </c>
      <c r="B7615">
        <v>1918.48999</v>
      </c>
      <c r="C7615">
        <f t="shared" si="253"/>
        <v>-5.283439302888074E-3</v>
      </c>
      <c r="D7615">
        <f t="shared" si="252"/>
        <v>-0.45983137050887302</v>
      </c>
    </row>
    <row r="7616" spans="1:4" x14ac:dyDescent="0.3">
      <c r="A7616" s="1">
        <v>36977</v>
      </c>
      <c r="B7616">
        <v>1972.2299800000001</v>
      </c>
      <c r="C7616">
        <f t="shared" si="253"/>
        <v>2.8011608233619208E-2</v>
      </c>
      <c r="D7616">
        <f t="shared" si="252"/>
        <v>2.2036355223581694</v>
      </c>
    </row>
    <row r="7617" spans="1:4" x14ac:dyDescent="0.3">
      <c r="A7617" s="1">
        <v>36978</v>
      </c>
      <c r="B7617">
        <v>1854.130005</v>
      </c>
      <c r="C7617">
        <f t="shared" si="253"/>
        <v>-5.9881441919871881E-2</v>
      </c>
      <c r="D7617">
        <f t="shared" si="252"/>
        <v>-4.8274470715393258</v>
      </c>
    </row>
    <row r="7618" spans="1:4" x14ac:dyDescent="0.3">
      <c r="A7618" s="1">
        <v>36979</v>
      </c>
      <c r="B7618">
        <v>1820.5699460000001</v>
      </c>
      <c r="C7618">
        <f t="shared" si="253"/>
        <v>-1.8100164988161069E-2</v>
      </c>
      <c r="D7618">
        <f t="shared" si="252"/>
        <v>-1.4851167226397839</v>
      </c>
    </row>
    <row r="7619" spans="1:4" x14ac:dyDescent="0.3">
      <c r="A7619" s="1">
        <v>36980</v>
      </c>
      <c r="B7619">
        <v>1840.26001</v>
      </c>
      <c r="C7619">
        <f t="shared" si="253"/>
        <v>1.0815329585804275E-2</v>
      </c>
      <c r="D7619">
        <f t="shared" ref="D7619:D7682" si="254">(C7619-avrtn)/sdrtn</f>
        <v>0.82800394205329286</v>
      </c>
    </row>
    <row r="7620" spans="1:4" x14ac:dyDescent="0.3">
      <c r="A7620" s="1">
        <v>36983</v>
      </c>
      <c r="B7620">
        <v>1782.969971</v>
      </c>
      <c r="C7620">
        <f t="shared" ref="C7620:C7683" si="255">(B7620-B7619)/B7619</f>
        <v>-3.1131491576562587E-2</v>
      </c>
      <c r="D7620">
        <f t="shared" si="254"/>
        <v>-2.5275692645767895</v>
      </c>
    </row>
    <row r="7621" spans="1:4" x14ac:dyDescent="0.3">
      <c r="A7621" s="1">
        <v>36984</v>
      </c>
      <c r="B7621">
        <v>1673</v>
      </c>
      <c r="C7621">
        <f t="shared" si="255"/>
        <v>-6.1677971468202586E-2</v>
      </c>
      <c r="D7621">
        <f t="shared" si="254"/>
        <v>-4.9711620480321388</v>
      </c>
    </row>
    <row r="7622" spans="1:4" x14ac:dyDescent="0.3">
      <c r="A7622" s="1">
        <v>36985</v>
      </c>
      <c r="B7622">
        <v>1638.8000489999999</v>
      </c>
      <c r="C7622">
        <f t="shared" si="255"/>
        <v>-2.0442289898386166E-2</v>
      </c>
      <c r="D7622">
        <f t="shared" si="254"/>
        <v>-1.672477084582614</v>
      </c>
    </row>
    <row r="7623" spans="1:4" x14ac:dyDescent="0.3">
      <c r="A7623" s="1">
        <v>36986</v>
      </c>
      <c r="B7623">
        <v>1785</v>
      </c>
      <c r="C7623">
        <f t="shared" si="255"/>
        <v>8.9211585689914788E-2</v>
      </c>
      <c r="D7623">
        <f t="shared" si="254"/>
        <v>7.0993820630508129</v>
      </c>
    </row>
    <row r="7624" spans="1:4" x14ac:dyDescent="0.3">
      <c r="A7624" s="1">
        <v>36987</v>
      </c>
      <c r="B7624">
        <v>1720.3599850000001</v>
      </c>
      <c r="C7624">
        <f t="shared" si="255"/>
        <v>-3.6212893557422937E-2</v>
      </c>
      <c r="D7624">
        <f t="shared" si="254"/>
        <v>-2.934060528195821</v>
      </c>
    </row>
    <row r="7625" spans="1:4" x14ac:dyDescent="0.3">
      <c r="A7625" s="1">
        <v>36990</v>
      </c>
      <c r="B7625">
        <v>1745.709961</v>
      </c>
      <c r="C7625">
        <f t="shared" si="255"/>
        <v>1.4735274140894395E-2</v>
      </c>
      <c r="D7625">
        <f t="shared" si="254"/>
        <v>1.1415833875521777</v>
      </c>
    </row>
    <row r="7626" spans="1:4" x14ac:dyDescent="0.3">
      <c r="A7626" s="1">
        <v>36991</v>
      </c>
      <c r="B7626">
        <v>1852.030029</v>
      </c>
      <c r="C7626">
        <f t="shared" si="255"/>
        <v>6.0903626819598579E-2</v>
      </c>
      <c r="D7626">
        <f t="shared" si="254"/>
        <v>4.8348617564479266</v>
      </c>
    </row>
    <row r="7627" spans="1:4" x14ac:dyDescent="0.3">
      <c r="A7627" s="1">
        <v>36992</v>
      </c>
      <c r="B7627">
        <v>1898.9499510000001</v>
      </c>
      <c r="C7627">
        <f t="shared" si="255"/>
        <v>2.5334320321649624E-2</v>
      </c>
      <c r="D7627">
        <f t="shared" si="254"/>
        <v>1.9894634984742787</v>
      </c>
    </row>
    <row r="7628" spans="1:4" x14ac:dyDescent="0.3">
      <c r="A7628" s="1">
        <v>36993</v>
      </c>
      <c r="B7628">
        <v>1961.4300539999999</v>
      </c>
      <c r="C7628">
        <f t="shared" si="255"/>
        <v>3.2902448517454302E-2</v>
      </c>
      <c r="D7628">
        <f t="shared" si="254"/>
        <v>2.594882633809561</v>
      </c>
    </row>
    <row r="7629" spans="1:4" x14ac:dyDescent="0.3">
      <c r="A7629" s="1">
        <v>36997</v>
      </c>
      <c r="B7629">
        <v>1909.5699460000001</v>
      </c>
      <c r="C7629">
        <f t="shared" si="255"/>
        <v>-2.6439947677073708E-2</v>
      </c>
      <c r="D7629">
        <f t="shared" si="254"/>
        <v>-2.1522650443614673</v>
      </c>
    </row>
    <row r="7630" spans="1:4" x14ac:dyDescent="0.3">
      <c r="A7630" s="1">
        <v>36998</v>
      </c>
      <c r="B7630">
        <v>1923.219971</v>
      </c>
      <c r="C7630">
        <f t="shared" si="255"/>
        <v>7.1482194347438233E-3</v>
      </c>
      <c r="D7630">
        <f t="shared" si="254"/>
        <v>0.53465020921549988</v>
      </c>
    </row>
    <row r="7631" spans="1:4" x14ac:dyDescent="0.3">
      <c r="A7631" s="1">
        <v>36999</v>
      </c>
      <c r="B7631">
        <v>2079.4399410000001</v>
      </c>
      <c r="C7631">
        <f t="shared" si="255"/>
        <v>8.1228342236261075E-2</v>
      </c>
      <c r="D7631">
        <f t="shared" si="254"/>
        <v>6.4607554140517482</v>
      </c>
    </row>
    <row r="7632" spans="1:4" x14ac:dyDescent="0.3">
      <c r="A7632" s="1">
        <v>37000</v>
      </c>
      <c r="B7632">
        <v>2182.139893</v>
      </c>
      <c r="C7632">
        <f t="shared" si="255"/>
        <v>4.9388275167308586E-2</v>
      </c>
      <c r="D7632">
        <f t="shared" si="254"/>
        <v>3.9136809756736572</v>
      </c>
    </row>
    <row r="7633" spans="1:4" x14ac:dyDescent="0.3">
      <c r="A7633" s="1">
        <v>37001</v>
      </c>
      <c r="B7633">
        <v>2163.4099120000001</v>
      </c>
      <c r="C7633">
        <f t="shared" si="255"/>
        <v>-8.583309007861098E-3</v>
      </c>
      <c r="D7633">
        <f t="shared" si="254"/>
        <v>-0.72380737776140913</v>
      </c>
    </row>
    <row r="7634" spans="1:4" x14ac:dyDescent="0.3">
      <c r="A7634" s="1">
        <v>37004</v>
      </c>
      <c r="B7634">
        <v>2059.320068</v>
      </c>
      <c r="C7634">
        <f t="shared" si="255"/>
        <v>-4.8113787138828676E-2</v>
      </c>
      <c r="D7634">
        <f t="shared" si="254"/>
        <v>-3.8860830779414646</v>
      </c>
    </row>
    <row r="7635" spans="1:4" x14ac:dyDescent="0.3">
      <c r="A7635" s="1">
        <v>37005</v>
      </c>
      <c r="B7635">
        <v>2016.6099850000001</v>
      </c>
      <c r="C7635">
        <f t="shared" si="255"/>
        <v>-2.0739895494477325E-2</v>
      </c>
      <c r="D7635">
        <f t="shared" si="254"/>
        <v>-1.6962843085083834</v>
      </c>
    </row>
    <row r="7636" spans="1:4" x14ac:dyDescent="0.3">
      <c r="A7636" s="1">
        <v>37006</v>
      </c>
      <c r="B7636">
        <v>2059.8000489999999</v>
      </c>
      <c r="C7636">
        <f t="shared" si="255"/>
        <v>2.1417162625027811E-2</v>
      </c>
      <c r="D7636">
        <f t="shared" si="254"/>
        <v>1.676106990193228</v>
      </c>
    </row>
    <row r="7637" spans="1:4" x14ac:dyDescent="0.3">
      <c r="A7637" s="1">
        <v>37007</v>
      </c>
      <c r="B7637">
        <v>2034.880005</v>
      </c>
      <c r="C7637">
        <f t="shared" si="255"/>
        <v>-1.2098283040675839E-2</v>
      </c>
      <c r="D7637">
        <f t="shared" si="254"/>
        <v>-1.0049908467270015</v>
      </c>
    </row>
    <row r="7638" spans="1:4" x14ac:dyDescent="0.3">
      <c r="A7638" s="1">
        <v>37008</v>
      </c>
      <c r="B7638">
        <v>2075.679932</v>
      </c>
      <c r="C7638">
        <f t="shared" si="255"/>
        <v>2.0050286454114538E-2</v>
      </c>
      <c r="D7638">
        <f t="shared" si="254"/>
        <v>1.5667625171485655</v>
      </c>
    </row>
    <row r="7639" spans="1:4" x14ac:dyDescent="0.3">
      <c r="A7639" s="1">
        <v>37011</v>
      </c>
      <c r="B7639">
        <v>2116.23999</v>
      </c>
      <c r="C7639">
        <f t="shared" si="255"/>
        <v>1.9540612873256813E-2</v>
      </c>
      <c r="D7639">
        <f t="shared" si="254"/>
        <v>1.5259907264702348</v>
      </c>
    </row>
    <row r="7640" spans="1:4" x14ac:dyDescent="0.3">
      <c r="A7640" s="1">
        <v>37012</v>
      </c>
      <c r="B7640">
        <v>2168.23999</v>
      </c>
      <c r="C7640">
        <f t="shared" si="255"/>
        <v>2.4571882322288029E-2</v>
      </c>
      <c r="D7640">
        <f t="shared" si="254"/>
        <v>1.9284715936891379</v>
      </c>
    </row>
    <row r="7641" spans="1:4" x14ac:dyDescent="0.3">
      <c r="A7641" s="1">
        <v>37013</v>
      </c>
      <c r="B7641">
        <v>2220.6000979999999</v>
      </c>
      <c r="C7641">
        <f t="shared" si="255"/>
        <v>2.4148668155502404E-2</v>
      </c>
      <c r="D7641">
        <f t="shared" si="254"/>
        <v>1.89461620061334</v>
      </c>
    </row>
    <row r="7642" spans="1:4" x14ac:dyDescent="0.3">
      <c r="A7642" s="1">
        <v>37014</v>
      </c>
      <c r="B7642">
        <v>2146.1999510000001</v>
      </c>
      <c r="C7642">
        <f t="shared" si="255"/>
        <v>-3.3504522974221643E-2</v>
      </c>
      <c r="D7642">
        <f t="shared" si="254"/>
        <v>-2.717402018426101</v>
      </c>
    </row>
    <row r="7643" spans="1:4" x14ac:dyDescent="0.3">
      <c r="A7643" s="1">
        <v>37015</v>
      </c>
      <c r="B7643">
        <v>2191.530029</v>
      </c>
      <c r="C7643">
        <f t="shared" si="255"/>
        <v>2.1121087985711148E-2</v>
      </c>
      <c r="D7643">
        <f t="shared" si="254"/>
        <v>1.6524222365140864</v>
      </c>
    </row>
    <row r="7644" spans="1:4" x14ac:dyDescent="0.3">
      <c r="A7644" s="1">
        <v>37018</v>
      </c>
      <c r="B7644">
        <v>2173.570068</v>
      </c>
      <c r="C7644">
        <f t="shared" si="255"/>
        <v>-8.1951699325768269E-3</v>
      </c>
      <c r="D7644">
        <f t="shared" si="254"/>
        <v>-0.69275784777608174</v>
      </c>
    </row>
    <row r="7645" spans="1:4" x14ac:dyDescent="0.3">
      <c r="A7645" s="1">
        <v>37019</v>
      </c>
      <c r="B7645">
        <v>2198.7700199999999</v>
      </c>
      <c r="C7645">
        <f t="shared" si="255"/>
        <v>1.1593807060099772E-2</v>
      </c>
      <c r="D7645">
        <f t="shared" si="254"/>
        <v>0.8902789388784309</v>
      </c>
    </row>
    <row r="7646" spans="1:4" x14ac:dyDescent="0.3">
      <c r="A7646" s="1">
        <v>37020</v>
      </c>
      <c r="B7646">
        <v>2156.6298830000001</v>
      </c>
      <c r="C7646">
        <f t="shared" si="255"/>
        <v>-1.916532271073983E-2</v>
      </c>
      <c r="D7646">
        <f t="shared" si="254"/>
        <v>-1.5703249604913583</v>
      </c>
    </row>
    <row r="7647" spans="1:4" x14ac:dyDescent="0.3">
      <c r="A7647" s="1">
        <v>37021</v>
      </c>
      <c r="B7647">
        <v>2128.860107</v>
      </c>
      <c r="C7647">
        <f t="shared" si="255"/>
        <v>-1.287646815009847E-2</v>
      </c>
      <c r="D7647">
        <f t="shared" si="254"/>
        <v>-1.0672424555645219</v>
      </c>
    </row>
    <row r="7648" spans="1:4" x14ac:dyDescent="0.3">
      <c r="A7648" s="1">
        <v>37022</v>
      </c>
      <c r="B7648">
        <v>2107.429932</v>
      </c>
      <c r="C7648">
        <f t="shared" si="255"/>
        <v>-1.0066502223201256E-2</v>
      </c>
      <c r="D7648">
        <f t="shared" si="254"/>
        <v>-0.84245673606167781</v>
      </c>
    </row>
    <row r="7649" spans="1:4" x14ac:dyDescent="0.3">
      <c r="A7649" s="1">
        <v>37025</v>
      </c>
      <c r="B7649">
        <v>2081.919922</v>
      </c>
      <c r="C7649">
        <f t="shared" si="255"/>
        <v>-1.2104796279414316E-2</v>
      </c>
      <c r="D7649">
        <f t="shared" si="254"/>
        <v>-1.0055118790434818</v>
      </c>
    </row>
    <row r="7650" spans="1:4" x14ac:dyDescent="0.3">
      <c r="A7650" s="1">
        <v>37026</v>
      </c>
      <c r="B7650">
        <v>2085.580078</v>
      </c>
      <c r="C7650">
        <f t="shared" si="255"/>
        <v>1.7580676188946691E-3</v>
      </c>
      <c r="D7650">
        <f t="shared" si="254"/>
        <v>0.10346022838427205</v>
      </c>
    </row>
    <row r="7651" spans="1:4" x14ac:dyDescent="0.3">
      <c r="A7651" s="1">
        <v>37027</v>
      </c>
      <c r="B7651">
        <v>2166.4399410000001</v>
      </c>
      <c r="C7651">
        <f t="shared" si="255"/>
        <v>3.8770922225888335E-2</v>
      </c>
      <c r="D7651">
        <f t="shared" si="254"/>
        <v>3.064336399176204</v>
      </c>
    </row>
    <row r="7652" spans="1:4" x14ac:dyDescent="0.3">
      <c r="A7652" s="1">
        <v>37028</v>
      </c>
      <c r="B7652">
        <v>2193.679932</v>
      </c>
      <c r="C7652">
        <f t="shared" si="255"/>
        <v>1.2573619274867272E-2</v>
      </c>
      <c r="D7652">
        <f t="shared" si="254"/>
        <v>0.96865988704792949</v>
      </c>
    </row>
    <row r="7653" spans="1:4" x14ac:dyDescent="0.3">
      <c r="A7653" s="1">
        <v>37029</v>
      </c>
      <c r="B7653">
        <v>2198.8798830000001</v>
      </c>
      <c r="C7653">
        <f t="shared" si="255"/>
        <v>2.3704237451172777E-3</v>
      </c>
      <c r="D7653">
        <f t="shared" si="254"/>
        <v>0.15244620045864393</v>
      </c>
    </row>
    <row r="7654" spans="1:4" x14ac:dyDescent="0.3">
      <c r="A7654" s="1">
        <v>37032</v>
      </c>
      <c r="B7654">
        <v>2305.5900879999999</v>
      </c>
      <c r="C7654">
        <f t="shared" si="255"/>
        <v>4.8529347066658235E-2</v>
      </c>
      <c r="D7654">
        <f t="shared" si="254"/>
        <v>3.8449702595550832</v>
      </c>
    </row>
    <row r="7655" spans="1:4" x14ac:dyDescent="0.3">
      <c r="A7655" s="1">
        <v>37033</v>
      </c>
      <c r="B7655">
        <v>2313.8500979999999</v>
      </c>
      <c r="C7655">
        <f t="shared" si="255"/>
        <v>3.5826012798160357E-3</v>
      </c>
      <c r="D7655">
        <f t="shared" si="254"/>
        <v>0.24941541873073828</v>
      </c>
    </row>
    <row r="7656" spans="1:4" x14ac:dyDescent="0.3">
      <c r="A7656" s="1">
        <v>37034</v>
      </c>
      <c r="B7656">
        <v>2243.4799800000001</v>
      </c>
      <c r="C7656">
        <f t="shared" si="255"/>
        <v>-3.041256564581472E-2</v>
      </c>
      <c r="D7656">
        <f t="shared" si="254"/>
        <v>-2.4700581463580522</v>
      </c>
    </row>
    <row r="7657" spans="1:4" x14ac:dyDescent="0.3">
      <c r="A7657" s="1">
        <v>37035</v>
      </c>
      <c r="B7657">
        <v>2282.0200199999999</v>
      </c>
      <c r="C7657">
        <f t="shared" si="255"/>
        <v>1.717868683633177E-2</v>
      </c>
      <c r="D7657">
        <f t="shared" si="254"/>
        <v>1.3370463558141283</v>
      </c>
    </row>
    <row r="7658" spans="1:4" x14ac:dyDescent="0.3">
      <c r="A7658" s="1">
        <v>37036</v>
      </c>
      <c r="B7658">
        <v>2251.030029</v>
      </c>
      <c r="C7658">
        <f t="shared" si="255"/>
        <v>-1.3580069731377693E-2</v>
      </c>
      <c r="D7658">
        <f t="shared" si="254"/>
        <v>-1.1235276888398698</v>
      </c>
    </row>
    <row r="7659" spans="1:4" x14ac:dyDescent="0.3">
      <c r="A7659" s="1">
        <v>37040</v>
      </c>
      <c r="B7659">
        <v>2175.540039</v>
      </c>
      <c r="C7659">
        <f t="shared" si="255"/>
        <v>-3.353575431134332E-2</v>
      </c>
      <c r="D7659">
        <f t="shared" si="254"/>
        <v>-2.7199003969718096</v>
      </c>
    </row>
    <row r="7660" spans="1:4" x14ac:dyDescent="0.3">
      <c r="A7660" s="1">
        <v>37041</v>
      </c>
      <c r="B7660">
        <v>2084.5</v>
      </c>
      <c r="C7660">
        <f t="shared" si="255"/>
        <v>-4.1847098820505774E-2</v>
      </c>
      <c r="D7660">
        <f t="shared" si="254"/>
        <v>-3.3847737812519716</v>
      </c>
    </row>
    <row r="7661" spans="1:4" x14ac:dyDescent="0.3">
      <c r="A7661" s="1">
        <v>37042</v>
      </c>
      <c r="B7661">
        <v>2110.48999</v>
      </c>
      <c r="C7661">
        <f t="shared" si="255"/>
        <v>1.2468213000719614E-2</v>
      </c>
      <c r="D7661">
        <f t="shared" si="254"/>
        <v>0.96022781854930594</v>
      </c>
    </row>
    <row r="7662" spans="1:4" x14ac:dyDescent="0.3">
      <c r="A7662" s="1">
        <v>37043</v>
      </c>
      <c r="B7662">
        <v>2149.4399410000001</v>
      </c>
      <c r="C7662">
        <f t="shared" si="255"/>
        <v>1.8455406651798456E-2</v>
      </c>
      <c r="D7662">
        <f t="shared" si="254"/>
        <v>1.4391786911482127</v>
      </c>
    </row>
    <row r="7663" spans="1:4" x14ac:dyDescent="0.3">
      <c r="A7663" s="1">
        <v>37046</v>
      </c>
      <c r="B7663">
        <v>2155.929932</v>
      </c>
      <c r="C7663">
        <f t="shared" si="255"/>
        <v>3.0193869929580498E-3</v>
      </c>
      <c r="D7663">
        <f t="shared" si="254"/>
        <v>0.20436059173308532</v>
      </c>
    </row>
    <row r="7664" spans="1:4" x14ac:dyDescent="0.3">
      <c r="A7664" s="1">
        <v>37047</v>
      </c>
      <c r="B7664">
        <v>2233.6599120000001</v>
      </c>
      <c r="C7664">
        <f t="shared" si="255"/>
        <v>3.6054038142089337E-2</v>
      </c>
      <c r="D7664">
        <f t="shared" si="254"/>
        <v>2.8469968443663913</v>
      </c>
    </row>
    <row r="7665" spans="1:4" x14ac:dyDescent="0.3">
      <c r="A7665" s="1">
        <v>37048</v>
      </c>
      <c r="B7665">
        <v>2217.7299800000001</v>
      </c>
      <c r="C7665">
        <f t="shared" si="255"/>
        <v>-7.1317625008260471E-3</v>
      </c>
      <c r="D7665">
        <f t="shared" si="254"/>
        <v>-0.60768962599350707</v>
      </c>
    </row>
    <row r="7666" spans="1:4" x14ac:dyDescent="0.3">
      <c r="A7666" s="1">
        <v>37049</v>
      </c>
      <c r="B7666">
        <v>2264</v>
      </c>
      <c r="C7666">
        <f t="shared" si="255"/>
        <v>2.0863685127257888E-2</v>
      </c>
      <c r="D7666">
        <f t="shared" si="254"/>
        <v>1.631831066284704</v>
      </c>
    </row>
    <row r="7667" spans="1:4" x14ac:dyDescent="0.3">
      <c r="A7667" s="1">
        <v>37050</v>
      </c>
      <c r="B7667">
        <v>2215.1000979999999</v>
      </c>
      <c r="C7667">
        <f t="shared" si="255"/>
        <v>-2.1598896643109589E-2</v>
      </c>
      <c r="D7667">
        <f t="shared" si="254"/>
        <v>-1.7650008681651355</v>
      </c>
    </row>
    <row r="7668" spans="1:4" x14ac:dyDescent="0.3">
      <c r="A7668" s="1">
        <v>37053</v>
      </c>
      <c r="B7668">
        <v>2170.780029</v>
      </c>
      <c r="C7668">
        <f t="shared" si="255"/>
        <v>-2.0008156308609346E-2</v>
      </c>
      <c r="D7668">
        <f t="shared" si="254"/>
        <v>-1.6377481825684563</v>
      </c>
    </row>
    <row r="7669" spans="1:4" x14ac:dyDescent="0.3">
      <c r="A7669" s="1">
        <v>37054</v>
      </c>
      <c r="B7669">
        <v>2169.9499510000001</v>
      </c>
      <c r="C7669">
        <f t="shared" si="255"/>
        <v>-3.8238697100154579E-4</v>
      </c>
      <c r="D7669">
        <f t="shared" si="254"/>
        <v>-6.7767337205559858E-2</v>
      </c>
    </row>
    <row r="7670" spans="1:4" x14ac:dyDescent="0.3">
      <c r="A7670" s="1">
        <v>37055</v>
      </c>
      <c r="B7670">
        <v>2121.6599120000001</v>
      </c>
      <c r="C7670">
        <f t="shared" si="255"/>
        <v>-2.2253987460745805E-2</v>
      </c>
      <c r="D7670">
        <f t="shared" si="254"/>
        <v>-1.8174054398264947</v>
      </c>
    </row>
    <row r="7671" spans="1:4" x14ac:dyDescent="0.3">
      <c r="A7671" s="1">
        <v>37056</v>
      </c>
      <c r="B7671">
        <v>2044.0699460000001</v>
      </c>
      <c r="C7671">
        <f t="shared" si="255"/>
        <v>-3.6570406765549519E-2</v>
      </c>
      <c r="D7671">
        <f t="shared" si="254"/>
        <v>-2.9626601147428513</v>
      </c>
    </row>
    <row r="7672" spans="1:4" x14ac:dyDescent="0.3">
      <c r="A7672" s="1">
        <v>37057</v>
      </c>
      <c r="B7672">
        <v>2028.4300539999999</v>
      </c>
      <c r="C7672">
        <f t="shared" si="255"/>
        <v>-7.6513487371630993E-3</v>
      </c>
      <c r="D7672">
        <f t="shared" si="254"/>
        <v>-0.64925438834910099</v>
      </c>
    </row>
    <row r="7673" spans="1:4" x14ac:dyDescent="0.3">
      <c r="A7673" s="1">
        <v>37060</v>
      </c>
      <c r="B7673">
        <v>1988.630005</v>
      </c>
      <c r="C7673">
        <f t="shared" si="255"/>
        <v>-1.9621109893099595E-2</v>
      </c>
      <c r="D7673">
        <f t="shared" si="254"/>
        <v>-1.6067860608720468</v>
      </c>
    </row>
    <row r="7674" spans="1:4" x14ac:dyDescent="0.3">
      <c r="A7674" s="1">
        <v>37061</v>
      </c>
      <c r="B7674">
        <v>1992.660034</v>
      </c>
      <c r="C7674">
        <f t="shared" si="255"/>
        <v>2.0265353483892613E-3</v>
      </c>
      <c r="D7674">
        <f t="shared" si="254"/>
        <v>0.12493654279793941</v>
      </c>
    </row>
    <row r="7675" spans="1:4" x14ac:dyDescent="0.3">
      <c r="A7675" s="1">
        <v>37062</v>
      </c>
      <c r="B7675">
        <v>2031.23999</v>
      </c>
      <c r="C7675">
        <f t="shared" si="255"/>
        <v>1.9361032660727334E-2</v>
      </c>
      <c r="D7675">
        <f t="shared" si="254"/>
        <v>1.5116250479061228</v>
      </c>
    </row>
    <row r="7676" spans="1:4" x14ac:dyDescent="0.3">
      <c r="A7676" s="1">
        <v>37063</v>
      </c>
      <c r="B7676">
        <v>2058.76001</v>
      </c>
      <c r="C7676">
        <f t="shared" si="255"/>
        <v>1.3548384304899359E-2</v>
      </c>
      <c r="D7676">
        <f t="shared" si="254"/>
        <v>1.0466370811927426</v>
      </c>
    </row>
    <row r="7677" spans="1:4" x14ac:dyDescent="0.3">
      <c r="A7677" s="1">
        <v>37064</v>
      </c>
      <c r="B7677">
        <v>2034.839966</v>
      </c>
      <c r="C7677">
        <f t="shared" si="255"/>
        <v>-1.1618665548103375E-2</v>
      </c>
      <c r="D7677">
        <f t="shared" si="254"/>
        <v>-0.96662341952011821</v>
      </c>
    </row>
    <row r="7678" spans="1:4" x14ac:dyDescent="0.3">
      <c r="A7678" s="1">
        <v>37067</v>
      </c>
      <c r="B7678">
        <v>2050.8701169999999</v>
      </c>
      <c r="C7678">
        <f t="shared" si="255"/>
        <v>7.8778435984385078E-3</v>
      </c>
      <c r="D7678">
        <f t="shared" si="254"/>
        <v>0.59301714207858636</v>
      </c>
    </row>
    <row r="7679" spans="1:4" x14ac:dyDescent="0.3">
      <c r="A7679" s="1">
        <v>37068</v>
      </c>
      <c r="B7679">
        <v>2064.6201169999999</v>
      </c>
      <c r="C7679">
        <f t="shared" si="255"/>
        <v>6.704471378281826E-3</v>
      </c>
      <c r="D7679">
        <f t="shared" si="254"/>
        <v>0.49915218940145129</v>
      </c>
    </row>
    <row r="7680" spans="1:4" x14ac:dyDescent="0.3">
      <c r="A7680" s="1">
        <v>37069</v>
      </c>
      <c r="B7680">
        <v>2074.73999</v>
      </c>
      <c r="C7680">
        <f t="shared" si="255"/>
        <v>4.9015665965246903E-3</v>
      </c>
      <c r="D7680">
        <f t="shared" si="254"/>
        <v>0.35492722044964092</v>
      </c>
    </row>
    <row r="7681" spans="1:4" x14ac:dyDescent="0.3">
      <c r="A7681" s="1">
        <v>37070</v>
      </c>
      <c r="B7681">
        <v>2125.459961</v>
      </c>
      <c r="C7681">
        <f t="shared" si="255"/>
        <v>2.4446422802116993E-2</v>
      </c>
      <c r="D7681">
        <f t="shared" si="254"/>
        <v>1.9184353479680845</v>
      </c>
    </row>
    <row r="7682" spans="1:4" x14ac:dyDescent="0.3">
      <c r="A7682" s="1">
        <v>37071</v>
      </c>
      <c r="B7682">
        <v>2160.540039</v>
      </c>
      <c r="C7682">
        <f t="shared" si="255"/>
        <v>1.6504699520895824E-2</v>
      </c>
      <c r="D7682">
        <f t="shared" si="254"/>
        <v>1.2831301420316539</v>
      </c>
    </row>
    <row r="7683" spans="1:4" x14ac:dyDescent="0.3">
      <c r="A7683" s="1">
        <v>37074</v>
      </c>
      <c r="B7683">
        <v>2148.719971</v>
      </c>
      <c r="C7683">
        <f t="shared" si="255"/>
        <v>-5.4708858834529531E-3</v>
      </c>
      <c r="D7683">
        <f t="shared" ref="D7683:D7746" si="256">(C7683-avrtn)/sdrtn</f>
        <v>-0.47482632616911841</v>
      </c>
    </row>
    <row r="7684" spans="1:4" x14ac:dyDescent="0.3">
      <c r="A7684" s="1">
        <v>37075</v>
      </c>
      <c r="B7684">
        <v>2140.8000489999999</v>
      </c>
      <c r="C7684">
        <f t="shared" ref="C7684:C7747" si="257">(B7684-B7683)/B7683</f>
        <v>-3.6858790847064931E-3</v>
      </c>
      <c r="D7684">
        <f t="shared" si="256"/>
        <v>-0.33203312226121623</v>
      </c>
    </row>
    <row r="7685" spans="1:4" x14ac:dyDescent="0.3">
      <c r="A7685" s="1">
        <v>37077</v>
      </c>
      <c r="B7685">
        <v>2080.110107</v>
      </c>
      <c r="C7685">
        <f t="shared" si="257"/>
        <v>-2.8349187505086783E-2</v>
      </c>
      <c r="D7685">
        <f t="shared" si="256"/>
        <v>-2.3049963797614295</v>
      </c>
    </row>
    <row r="7686" spans="1:4" x14ac:dyDescent="0.3">
      <c r="A7686" s="1">
        <v>37078</v>
      </c>
      <c r="B7686">
        <v>2004.160034</v>
      </c>
      <c r="C7686">
        <f t="shared" si="257"/>
        <v>-3.6512525343928813E-2</v>
      </c>
      <c r="D7686">
        <f t="shared" si="256"/>
        <v>-2.9580298390230229</v>
      </c>
    </row>
    <row r="7687" spans="1:4" x14ac:dyDescent="0.3">
      <c r="A7687" s="1">
        <v>37081</v>
      </c>
      <c r="B7687">
        <v>2026.709961</v>
      </c>
      <c r="C7687">
        <f t="shared" si="257"/>
        <v>1.1251560063790807E-2</v>
      </c>
      <c r="D7687">
        <f t="shared" si="256"/>
        <v>0.86290058650177159</v>
      </c>
    </row>
    <row r="7688" spans="1:4" x14ac:dyDescent="0.3">
      <c r="A7688" s="1">
        <v>37082</v>
      </c>
      <c r="B7688">
        <v>1962.790039</v>
      </c>
      <c r="C7688">
        <f t="shared" si="257"/>
        <v>-3.153876145576414E-2</v>
      </c>
      <c r="D7688">
        <f t="shared" si="256"/>
        <v>-2.560149180209164</v>
      </c>
    </row>
    <row r="7689" spans="1:4" x14ac:dyDescent="0.3">
      <c r="A7689" s="1">
        <v>37083</v>
      </c>
      <c r="B7689">
        <v>1972.040039</v>
      </c>
      <c r="C7689">
        <f t="shared" si="257"/>
        <v>4.7126793066020857E-3</v>
      </c>
      <c r="D7689">
        <f t="shared" si="256"/>
        <v>0.33981701396500974</v>
      </c>
    </row>
    <row r="7690" spans="1:4" x14ac:dyDescent="0.3">
      <c r="A7690" s="1">
        <v>37084</v>
      </c>
      <c r="B7690">
        <v>2075.73999</v>
      </c>
      <c r="C7690">
        <f t="shared" si="257"/>
        <v>5.2585114373532277E-2</v>
      </c>
      <c r="D7690">
        <f t="shared" si="256"/>
        <v>4.169414966690189</v>
      </c>
    </row>
    <row r="7691" spans="1:4" x14ac:dyDescent="0.3">
      <c r="A7691" s="1">
        <v>37085</v>
      </c>
      <c r="B7691">
        <v>2084.790039</v>
      </c>
      <c r="C7691">
        <f t="shared" si="257"/>
        <v>4.3599145575067642E-3</v>
      </c>
      <c r="D7691">
        <f t="shared" si="256"/>
        <v>0.31159728461469988</v>
      </c>
    </row>
    <row r="7692" spans="1:4" x14ac:dyDescent="0.3">
      <c r="A7692" s="1">
        <v>37088</v>
      </c>
      <c r="B7692">
        <v>2029.119995</v>
      </c>
      <c r="C7692">
        <f t="shared" si="257"/>
        <v>-2.6702949917538417E-2</v>
      </c>
      <c r="D7692">
        <f t="shared" si="256"/>
        <v>-2.1733041421269688</v>
      </c>
    </row>
    <row r="7693" spans="1:4" x14ac:dyDescent="0.3">
      <c r="A7693" s="1">
        <v>37089</v>
      </c>
      <c r="B7693">
        <v>2067.320068</v>
      </c>
      <c r="C7693">
        <f t="shared" si="257"/>
        <v>1.882593099182386E-2</v>
      </c>
      <c r="D7693">
        <f t="shared" si="256"/>
        <v>1.4688191147450549</v>
      </c>
    </row>
    <row r="7694" spans="1:4" x14ac:dyDescent="0.3">
      <c r="A7694" s="1">
        <v>37090</v>
      </c>
      <c r="B7694">
        <v>2016.170044</v>
      </c>
      <c r="C7694">
        <f t="shared" si="257"/>
        <v>-2.4742189074517335E-2</v>
      </c>
      <c r="D7694">
        <f t="shared" si="256"/>
        <v>-2.0164513373820454</v>
      </c>
    </row>
    <row r="7695" spans="1:4" x14ac:dyDescent="0.3">
      <c r="A7695" s="1">
        <v>37091</v>
      </c>
      <c r="B7695">
        <v>2046.589966</v>
      </c>
      <c r="C7695">
        <f t="shared" si="257"/>
        <v>1.508797439508036E-2</v>
      </c>
      <c r="D7695">
        <f t="shared" si="256"/>
        <v>1.1697979575749438</v>
      </c>
    </row>
    <row r="7696" spans="1:4" x14ac:dyDescent="0.3">
      <c r="A7696" s="1">
        <v>37092</v>
      </c>
      <c r="B7696">
        <v>2029.369995</v>
      </c>
      <c r="C7696">
        <f t="shared" si="257"/>
        <v>-8.4139819338877701E-3</v>
      </c>
      <c r="D7696">
        <f t="shared" si="256"/>
        <v>-0.7102619081206315</v>
      </c>
    </row>
    <row r="7697" spans="1:4" x14ac:dyDescent="0.3">
      <c r="A7697" s="1">
        <v>37095</v>
      </c>
      <c r="B7697">
        <v>1988.5600589999999</v>
      </c>
      <c r="C7697">
        <f t="shared" si="257"/>
        <v>-2.010965772655967E-2</v>
      </c>
      <c r="D7697">
        <f t="shared" si="256"/>
        <v>-1.6458678786281578</v>
      </c>
    </row>
    <row r="7698" spans="1:4" x14ac:dyDescent="0.3">
      <c r="A7698" s="1">
        <v>37096</v>
      </c>
      <c r="B7698">
        <v>1959.23999</v>
      </c>
      <c r="C7698">
        <f t="shared" si="257"/>
        <v>-1.4744371872149664E-2</v>
      </c>
      <c r="D7698">
        <f t="shared" si="256"/>
        <v>-1.2166670724626172</v>
      </c>
    </row>
    <row r="7699" spans="1:4" x14ac:dyDescent="0.3">
      <c r="A7699" s="1">
        <v>37097</v>
      </c>
      <c r="B7699">
        <v>1984.3199460000001</v>
      </c>
      <c r="C7699">
        <f t="shared" si="257"/>
        <v>1.2800859582291416E-2</v>
      </c>
      <c r="D7699">
        <f t="shared" si="256"/>
        <v>0.98683817722413347</v>
      </c>
    </row>
    <row r="7700" spans="1:4" x14ac:dyDescent="0.3">
      <c r="A7700" s="1">
        <v>37098</v>
      </c>
      <c r="B7700">
        <v>2022.959961</v>
      </c>
      <c r="C7700">
        <f t="shared" si="257"/>
        <v>1.9472673788262142E-2</v>
      </c>
      <c r="D7700">
        <f t="shared" si="256"/>
        <v>1.5205558790378479</v>
      </c>
    </row>
    <row r="7701" spans="1:4" x14ac:dyDescent="0.3">
      <c r="A7701" s="1">
        <v>37099</v>
      </c>
      <c r="B7701">
        <v>2029.0699460000001</v>
      </c>
      <c r="C7701">
        <f t="shared" si="257"/>
        <v>3.0203192934079291E-3</v>
      </c>
      <c r="D7701">
        <f t="shared" si="256"/>
        <v>0.20443517193543331</v>
      </c>
    </row>
    <row r="7702" spans="1:4" x14ac:dyDescent="0.3">
      <c r="A7702" s="1">
        <v>37102</v>
      </c>
      <c r="B7702">
        <v>2017.839966</v>
      </c>
      <c r="C7702">
        <f t="shared" si="257"/>
        <v>-5.534545530152004E-3</v>
      </c>
      <c r="D7702">
        <f t="shared" si="256"/>
        <v>-0.47991883613501113</v>
      </c>
    </row>
    <row r="7703" spans="1:4" x14ac:dyDescent="0.3">
      <c r="A7703" s="1">
        <v>37103</v>
      </c>
      <c r="B7703">
        <v>2027.130005</v>
      </c>
      <c r="C7703">
        <f t="shared" si="257"/>
        <v>4.6039523235411918E-3</v>
      </c>
      <c r="D7703">
        <f t="shared" si="256"/>
        <v>0.33111930240816406</v>
      </c>
    </row>
    <row r="7704" spans="1:4" x14ac:dyDescent="0.3">
      <c r="A7704" s="1">
        <v>37104</v>
      </c>
      <c r="B7704">
        <v>2068.3798830000001</v>
      </c>
      <c r="C7704">
        <f t="shared" si="257"/>
        <v>2.0348906038712637E-2</v>
      </c>
      <c r="D7704">
        <f t="shared" si="256"/>
        <v>1.5906508559853443</v>
      </c>
    </row>
    <row r="7705" spans="1:4" x14ac:dyDescent="0.3">
      <c r="A7705" s="1">
        <v>37105</v>
      </c>
      <c r="B7705">
        <v>2087.3798830000001</v>
      </c>
      <c r="C7705">
        <f t="shared" si="257"/>
        <v>9.1859334719704387E-3</v>
      </c>
      <c r="D7705">
        <f t="shared" si="256"/>
        <v>0.69765895306344083</v>
      </c>
    </row>
    <row r="7706" spans="1:4" x14ac:dyDescent="0.3">
      <c r="A7706" s="1">
        <v>37106</v>
      </c>
      <c r="B7706">
        <v>2066.330078</v>
      </c>
      <c r="C7706">
        <f t="shared" si="257"/>
        <v>-1.0084319184750955E-2</v>
      </c>
      <c r="D7706">
        <f t="shared" si="256"/>
        <v>-0.84388201972187005</v>
      </c>
    </row>
    <row r="7707" spans="1:4" x14ac:dyDescent="0.3">
      <c r="A7707" s="1">
        <v>37109</v>
      </c>
      <c r="B7707">
        <v>2034.26001</v>
      </c>
      <c r="C7707">
        <f t="shared" si="257"/>
        <v>-1.5520302560295979E-2</v>
      </c>
      <c r="D7707">
        <f t="shared" si="256"/>
        <v>-1.2787383368682681</v>
      </c>
    </row>
    <row r="7708" spans="1:4" x14ac:dyDescent="0.3">
      <c r="A7708" s="1">
        <v>37110</v>
      </c>
      <c r="B7708">
        <v>2027.790039</v>
      </c>
      <c r="C7708">
        <f t="shared" si="257"/>
        <v>-3.1805034598305785E-3</v>
      </c>
      <c r="D7708">
        <f t="shared" si="256"/>
        <v>-0.29160515038812979</v>
      </c>
    </row>
    <row r="7709" spans="1:4" x14ac:dyDescent="0.3">
      <c r="A7709" s="1">
        <v>37111</v>
      </c>
      <c r="B7709">
        <v>1966.3599850000001</v>
      </c>
      <c r="C7709">
        <f t="shared" si="257"/>
        <v>-3.0294090028321678E-2</v>
      </c>
      <c r="D7709">
        <f t="shared" si="256"/>
        <v>-2.4605805841332589</v>
      </c>
    </row>
    <row r="7710" spans="1:4" x14ac:dyDescent="0.3">
      <c r="A7710" s="1">
        <v>37112</v>
      </c>
      <c r="B7710">
        <v>1963.3199460000001</v>
      </c>
      <c r="C7710">
        <f t="shared" si="257"/>
        <v>-1.5460236290355445E-3</v>
      </c>
      <c r="D7710">
        <f t="shared" si="256"/>
        <v>-0.160853484945751</v>
      </c>
    </row>
    <row r="7711" spans="1:4" x14ac:dyDescent="0.3">
      <c r="A7711" s="1">
        <v>37113</v>
      </c>
      <c r="B7711">
        <v>1956.469971</v>
      </c>
      <c r="C7711">
        <f t="shared" si="257"/>
        <v>-3.4889754030951437E-3</v>
      </c>
      <c r="D7711">
        <f t="shared" si="256"/>
        <v>-0.31628163740508503</v>
      </c>
    </row>
    <row r="7712" spans="1:4" x14ac:dyDescent="0.3">
      <c r="A7712" s="1">
        <v>37116</v>
      </c>
      <c r="B7712">
        <v>1982.25</v>
      </c>
      <c r="C7712">
        <f t="shared" si="257"/>
        <v>1.3176807915341121E-2</v>
      </c>
      <c r="D7712">
        <f t="shared" si="256"/>
        <v>1.0169124979593271</v>
      </c>
    </row>
    <row r="7713" spans="1:4" x14ac:dyDescent="0.3">
      <c r="A7713" s="1">
        <v>37117</v>
      </c>
      <c r="B7713">
        <v>1964.530029</v>
      </c>
      <c r="C7713">
        <f t="shared" si="257"/>
        <v>-8.9393219825955293E-3</v>
      </c>
      <c r="D7713">
        <f t="shared" si="256"/>
        <v>-0.7522869518060642</v>
      </c>
    </row>
    <row r="7714" spans="1:4" x14ac:dyDescent="0.3">
      <c r="A7714" s="1">
        <v>37118</v>
      </c>
      <c r="B7714">
        <v>1918.8900149999999</v>
      </c>
      <c r="C7714">
        <f t="shared" si="257"/>
        <v>-2.3232026655877636E-2</v>
      </c>
      <c r="D7714">
        <f t="shared" si="256"/>
        <v>-1.8956445537158402</v>
      </c>
    </row>
    <row r="7715" spans="1:4" x14ac:dyDescent="0.3">
      <c r="A7715" s="1">
        <v>37119</v>
      </c>
      <c r="B7715">
        <v>1930.3199460000001</v>
      </c>
      <c r="C7715">
        <f t="shared" si="257"/>
        <v>5.9565326363950699E-3</v>
      </c>
      <c r="D7715">
        <f t="shared" si="256"/>
        <v>0.43932016559299453</v>
      </c>
    </row>
    <row r="7716" spans="1:4" x14ac:dyDescent="0.3">
      <c r="A7716" s="1">
        <v>37120</v>
      </c>
      <c r="B7716">
        <v>1867.01001</v>
      </c>
      <c r="C7716">
        <f t="shared" si="257"/>
        <v>-3.2797638614878666E-2</v>
      </c>
      <c r="D7716">
        <f t="shared" si="256"/>
        <v>-2.6608541764045168</v>
      </c>
    </row>
    <row r="7717" spans="1:4" x14ac:dyDescent="0.3">
      <c r="A7717" s="1">
        <v>37123</v>
      </c>
      <c r="B7717">
        <v>1881.349976</v>
      </c>
      <c r="C7717">
        <f t="shared" si="257"/>
        <v>7.6807118993432733E-3</v>
      </c>
      <c r="D7717">
        <f t="shared" si="256"/>
        <v>0.57724741676135793</v>
      </c>
    </row>
    <row r="7718" spans="1:4" x14ac:dyDescent="0.3">
      <c r="A7718" s="1">
        <v>37124</v>
      </c>
      <c r="B7718">
        <v>1831.3000489999999</v>
      </c>
      <c r="C7718">
        <f t="shared" si="257"/>
        <v>-2.6603198574681367E-2</v>
      </c>
      <c r="D7718">
        <f t="shared" si="256"/>
        <v>-2.1653244448783777</v>
      </c>
    </row>
    <row r="7719" spans="1:4" x14ac:dyDescent="0.3">
      <c r="A7719" s="1">
        <v>37125</v>
      </c>
      <c r="B7719">
        <v>1860.01001</v>
      </c>
      <c r="C7719">
        <f t="shared" si="257"/>
        <v>1.5677365932293501E-2</v>
      </c>
      <c r="D7719">
        <f t="shared" si="256"/>
        <v>1.2169468569595125</v>
      </c>
    </row>
    <row r="7720" spans="1:4" x14ac:dyDescent="0.3">
      <c r="A7720" s="1">
        <v>37126</v>
      </c>
      <c r="B7720">
        <v>1842.969971</v>
      </c>
      <c r="C7720">
        <f t="shared" si="257"/>
        <v>-9.1612619869717686E-3</v>
      </c>
      <c r="D7720">
        <f t="shared" si="256"/>
        <v>-0.77004123953341219</v>
      </c>
    </row>
    <row r="7721" spans="1:4" x14ac:dyDescent="0.3">
      <c r="A7721" s="1">
        <v>37127</v>
      </c>
      <c r="B7721">
        <v>1916.8000489999999</v>
      </c>
      <c r="C7721">
        <f t="shared" si="257"/>
        <v>4.0060380343549265E-2</v>
      </c>
      <c r="D7721">
        <f t="shared" si="256"/>
        <v>3.1674877463056164</v>
      </c>
    </row>
    <row r="7722" spans="1:4" x14ac:dyDescent="0.3">
      <c r="A7722" s="1">
        <v>37130</v>
      </c>
      <c r="B7722">
        <v>1912.410034</v>
      </c>
      <c r="C7722">
        <f t="shared" si="257"/>
        <v>-2.290283226093526E-3</v>
      </c>
      <c r="D7722">
        <f t="shared" si="256"/>
        <v>-0.22039119229663973</v>
      </c>
    </row>
    <row r="7723" spans="1:4" x14ac:dyDescent="0.3">
      <c r="A7723" s="1">
        <v>37131</v>
      </c>
      <c r="B7723">
        <v>1864.9799800000001</v>
      </c>
      <c r="C7723">
        <f t="shared" si="257"/>
        <v>-2.4801194909438509E-2</v>
      </c>
      <c r="D7723">
        <f t="shared" si="256"/>
        <v>-2.0211715615422965</v>
      </c>
    </row>
    <row r="7724" spans="1:4" x14ac:dyDescent="0.3">
      <c r="A7724" s="1">
        <v>37132</v>
      </c>
      <c r="B7724">
        <v>1843.170044</v>
      </c>
      <c r="C7724">
        <f t="shared" si="257"/>
        <v>-1.1694461192017785E-2</v>
      </c>
      <c r="D7724">
        <f t="shared" si="256"/>
        <v>-0.97268675935972093</v>
      </c>
    </row>
    <row r="7725" spans="1:4" x14ac:dyDescent="0.3">
      <c r="A7725" s="1">
        <v>37133</v>
      </c>
      <c r="B7725">
        <v>1791.6800539999999</v>
      </c>
      <c r="C7725">
        <f t="shared" si="257"/>
        <v>-2.7935561435372392E-2</v>
      </c>
      <c r="D7725">
        <f t="shared" si="256"/>
        <v>-2.27190799502484</v>
      </c>
    </row>
    <row r="7726" spans="1:4" x14ac:dyDescent="0.3">
      <c r="A7726" s="1">
        <v>37134</v>
      </c>
      <c r="B7726">
        <v>1805.4300539999999</v>
      </c>
      <c r="C7726">
        <f t="shared" si="257"/>
        <v>7.6743612618238146E-3</v>
      </c>
      <c r="D7726">
        <f t="shared" si="256"/>
        <v>0.57673939187377876</v>
      </c>
    </row>
    <row r="7727" spans="1:4" x14ac:dyDescent="0.3">
      <c r="A7727" s="1">
        <v>37138</v>
      </c>
      <c r="B7727">
        <v>1770.780029</v>
      </c>
      <c r="C7727">
        <f t="shared" si="257"/>
        <v>-1.9192117093227427E-2</v>
      </c>
      <c r="D7727">
        <f t="shared" si="256"/>
        <v>-1.5724684009112069</v>
      </c>
    </row>
    <row r="7728" spans="1:4" x14ac:dyDescent="0.3">
      <c r="A7728" s="1">
        <v>37139</v>
      </c>
      <c r="B7728">
        <v>1759.01001</v>
      </c>
      <c r="C7728">
        <f t="shared" si="257"/>
        <v>-6.6467990418024123E-3</v>
      </c>
      <c r="D7728">
        <f t="shared" si="256"/>
        <v>-0.5688945434532755</v>
      </c>
    </row>
    <row r="7729" spans="1:4" x14ac:dyDescent="0.3">
      <c r="A7729" s="1">
        <v>37140</v>
      </c>
      <c r="B7729">
        <v>1705.6400149999999</v>
      </c>
      <c r="C7729">
        <f t="shared" si="257"/>
        <v>-3.0340927394722453E-2</v>
      </c>
      <c r="D7729">
        <f t="shared" si="256"/>
        <v>-2.4643273808489194</v>
      </c>
    </row>
    <row r="7730" spans="1:4" x14ac:dyDescent="0.3">
      <c r="A7730" s="1">
        <v>37141</v>
      </c>
      <c r="B7730">
        <v>1687.6999510000001</v>
      </c>
      <c r="C7730">
        <f t="shared" si="257"/>
        <v>-1.05180834421265E-2</v>
      </c>
      <c r="D7730">
        <f t="shared" si="256"/>
        <v>-0.87858137666262959</v>
      </c>
    </row>
    <row r="7731" spans="1:4" x14ac:dyDescent="0.3">
      <c r="A7731" s="1">
        <v>37144</v>
      </c>
      <c r="B7731">
        <v>1695.380005</v>
      </c>
      <c r="C7731">
        <f t="shared" si="257"/>
        <v>4.5506039124130586E-3</v>
      </c>
      <c r="D7731">
        <f t="shared" si="256"/>
        <v>0.32685164888789076</v>
      </c>
    </row>
    <row r="7732" spans="1:4" x14ac:dyDescent="0.3">
      <c r="A7732" s="1">
        <v>37151</v>
      </c>
      <c r="B7732">
        <v>1579.5500489999999</v>
      </c>
      <c r="C7732">
        <f t="shared" si="257"/>
        <v>-6.8320940236640357E-2</v>
      </c>
      <c r="D7732">
        <f t="shared" si="256"/>
        <v>-5.5025722334563651</v>
      </c>
    </row>
    <row r="7733" spans="1:4" x14ac:dyDescent="0.3">
      <c r="A7733" s="1">
        <v>37152</v>
      </c>
      <c r="B7733">
        <v>1555.079956</v>
      </c>
      <c r="C7733">
        <f t="shared" si="257"/>
        <v>-1.549181237751328E-2</v>
      </c>
      <c r="D7733">
        <f t="shared" si="256"/>
        <v>-1.2764592393979837</v>
      </c>
    </row>
    <row r="7734" spans="1:4" x14ac:dyDescent="0.3">
      <c r="A7734" s="1">
        <v>37153</v>
      </c>
      <c r="B7734">
        <v>1527.8000489999999</v>
      </c>
      <c r="C7734">
        <f t="shared" si="257"/>
        <v>-1.7542446544144188E-2</v>
      </c>
      <c r="D7734">
        <f t="shared" si="256"/>
        <v>-1.4405015404703785</v>
      </c>
    </row>
    <row r="7735" spans="1:4" x14ac:dyDescent="0.3">
      <c r="A7735" s="1">
        <v>37154</v>
      </c>
      <c r="B7735">
        <v>1470.9300539999999</v>
      </c>
      <c r="C7735">
        <f t="shared" si="257"/>
        <v>-3.7223454101355392E-2</v>
      </c>
      <c r="D7735">
        <f t="shared" si="256"/>
        <v>-3.0149012162606308</v>
      </c>
    </row>
    <row r="7736" spans="1:4" x14ac:dyDescent="0.3">
      <c r="A7736" s="1">
        <v>37155</v>
      </c>
      <c r="B7736">
        <v>1423.1899410000001</v>
      </c>
      <c r="C7736">
        <f t="shared" si="257"/>
        <v>-3.2455732935891074E-2</v>
      </c>
      <c r="D7736">
        <f t="shared" si="256"/>
        <v>-2.6335031280100623</v>
      </c>
    </row>
    <row r="7737" spans="1:4" x14ac:dyDescent="0.3">
      <c r="A7737" s="1">
        <v>37158</v>
      </c>
      <c r="B7737">
        <v>1499.400024</v>
      </c>
      <c r="C7737">
        <f t="shared" si="257"/>
        <v>5.3548778560401543E-2</v>
      </c>
      <c r="D7737">
        <f t="shared" si="256"/>
        <v>4.2465041390289162</v>
      </c>
    </row>
    <row r="7738" spans="1:4" x14ac:dyDescent="0.3">
      <c r="A7738" s="1">
        <v>37159</v>
      </c>
      <c r="B7738">
        <v>1501.6400149999999</v>
      </c>
      <c r="C7738">
        <f t="shared" si="257"/>
        <v>1.4939248793822335E-3</v>
      </c>
      <c r="D7738">
        <f t="shared" si="256"/>
        <v>8.2329895384712137E-2</v>
      </c>
    </row>
    <row r="7739" spans="1:4" x14ac:dyDescent="0.3">
      <c r="A7739" s="1">
        <v>37160</v>
      </c>
      <c r="B7739">
        <v>1464.040039</v>
      </c>
      <c r="C7739">
        <f t="shared" si="257"/>
        <v>-2.5039274143210662E-2</v>
      </c>
      <c r="D7739">
        <f t="shared" si="256"/>
        <v>-2.0402169212564099</v>
      </c>
    </row>
    <row r="7740" spans="1:4" x14ac:dyDescent="0.3">
      <c r="A7740" s="1">
        <v>37161</v>
      </c>
      <c r="B7740">
        <v>1460.709961</v>
      </c>
      <c r="C7740">
        <f t="shared" si="257"/>
        <v>-2.2745812350012905E-3</v>
      </c>
      <c r="D7740">
        <f t="shared" si="256"/>
        <v>-0.21913509757623406</v>
      </c>
    </row>
    <row r="7741" spans="1:4" x14ac:dyDescent="0.3">
      <c r="A7741" s="1">
        <v>37162</v>
      </c>
      <c r="B7741">
        <v>1498.8000489999999</v>
      </c>
      <c r="C7741">
        <f t="shared" si="257"/>
        <v>2.6076421067138818E-2</v>
      </c>
      <c r="D7741">
        <f t="shared" si="256"/>
        <v>2.048828506576915</v>
      </c>
    </row>
    <row r="7742" spans="1:4" x14ac:dyDescent="0.3">
      <c r="A7742" s="1">
        <v>37165</v>
      </c>
      <c r="B7742">
        <v>1480.459961</v>
      </c>
      <c r="C7742">
        <f t="shared" si="257"/>
        <v>-1.2236514144923093E-2</v>
      </c>
      <c r="D7742">
        <f t="shared" si="256"/>
        <v>-1.0160487666570848</v>
      </c>
    </row>
    <row r="7743" spans="1:4" x14ac:dyDescent="0.3">
      <c r="A7743" s="1">
        <v>37166</v>
      </c>
      <c r="B7743">
        <v>1492.329956</v>
      </c>
      <c r="C7743">
        <f t="shared" si="257"/>
        <v>8.0177750919938704E-3</v>
      </c>
      <c r="D7743">
        <f t="shared" si="256"/>
        <v>0.60421108616127572</v>
      </c>
    </row>
    <row r="7744" spans="1:4" x14ac:dyDescent="0.3">
      <c r="A7744" s="1">
        <v>37167</v>
      </c>
      <c r="B7744">
        <v>1580.8100589999999</v>
      </c>
      <c r="C7744">
        <f t="shared" si="257"/>
        <v>5.928990612582722E-2</v>
      </c>
      <c r="D7744">
        <f t="shared" si="256"/>
        <v>4.70577073660536</v>
      </c>
    </row>
    <row r="7745" spans="1:4" x14ac:dyDescent="0.3">
      <c r="A7745" s="1">
        <v>37168</v>
      </c>
      <c r="B7745">
        <v>1597.3100589999999</v>
      </c>
      <c r="C7745">
        <f t="shared" si="257"/>
        <v>1.04376866189969E-2</v>
      </c>
      <c r="D7745">
        <f t="shared" si="256"/>
        <v>0.79779405758586119</v>
      </c>
    </row>
    <row r="7746" spans="1:4" x14ac:dyDescent="0.3">
      <c r="A7746" s="1">
        <v>37169</v>
      </c>
      <c r="B7746">
        <v>1605.3000489999999</v>
      </c>
      <c r="C7746">
        <f t="shared" si="257"/>
        <v>5.0021534360099058E-3</v>
      </c>
      <c r="D7746">
        <f t="shared" si="256"/>
        <v>0.36297375399290277</v>
      </c>
    </row>
    <row r="7747" spans="1:4" x14ac:dyDescent="0.3">
      <c r="A7747" s="1">
        <v>37172</v>
      </c>
      <c r="B7747">
        <v>1605.9499510000001</v>
      </c>
      <c r="C7747">
        <f t="shared" si="257"/>
        <v>4.0484767966272644E-4</v>
      </c>
      <c r="D7747">
        <f t="shared" ref="D7747:D7810" si="258">(C7747-avrtn)/sdrtn</f>
        <v>-4.7918022806442105E-3</v>
      </c>
    </row>
    <row r="7748" spans="1:4" x14ac:dyDescent="0.3">
      <c r="A7748" s="1">
        <v>37173</v>
      </c>
      <c r="B7748">
        <v>1570.1899410000001</v>
      </c>
      <c r="C7748">
        <f t="shared" ref="C7748:C7811" si="259">(B7748-B7747)/B7747</f>
        <v>-2.2267200779035962E-2</v>
      </c>
      <c r="D7748">
        <f t="shared" si="258"/>
        <v>-1.8184624509562177</v>
      </c>
    </row>
    <row r="7749" spans="1:4" x14ac:dyDescent="0.3">
      <c r="A7749" s="1">
        <v>37174</v>
      </c>
      <c r="B7749">
        <v>1626.26001</v>
      </c>
      <c r="C7749">
        <f t="shared" si="259"/>
        <v>3.5709099603765629E-2</v>
      </c>
      <c r="D7749">
        <f t="shared" si="258"/>
        <v>2.8194031796962395</v>
      </c>
    </row>
    <row r="7750" spans="1:4" x14ac:dyDescent="0.3">
      <c r="A7750" s="1">
        <v>37175</v>
      </c>
      <c r="B7750">
        <v>1701.469971</v>
      </c>
      <c r="C7750">
        <f t="shared" si="259"/>
        <v>4.6247193276307656E-2</v>
      </c>
      <c r="D7750">
        <f t="shared" si="258"/>
        <v>3.6624073405994961</v>
      </c>
    </row>
    <row r="7751" spans="1:4" x14ac:dyDescent="0.3">
      <c r="A7751" s="1">
        <v>37176</v>
      </c>
      <c r="B7751">
        <v>1703.400024</v>
      </c>
      <c r="C7751">
        <f t="shared" si="259"/>
        <v>1.1343444391590991E-3</v>
      </c>
      <c r="D7751">
        <f t="shared" si="258"/>
        <v>5.3564938770466593E-2</v>
      </c>
    </row>
    <row r="7752" spans="1:4" x14ac:dyDescent="0.3">
      <c r="A7752" s="1">
        <v>37179</v>
      </c>
      <c r="B7752">
        <v>1696.3100589999999</v>
      </c>
      <c r="C7752">
        <f t="shared" si="259"/>
        <v>-4.1622431020936282E-3</v>
      </c>
      <c r="D7752">
        <f t="shared" si="258"/>
        <v>-0.37014028483164313</v>
      </c>
    </row>
    <row r="7753" spans="1:4" x14ac:dyDescent="0.3">
      <c r="A7753" s="1">
        <v>37180</v>
      </c>
      <c r="B7753">
        <v>1722.0699460000001</v>
      </c>
      <c r="C7753">
        <f t="shared" si="259"/>
        <v>1.5185836376626806E-2</v>
      </c>
      <c r="D7753">
        <f t="shared" si="258"/>
        <v>1.1776265136877868</v>
      </c>
    </row>
    <row r="7754" spans="1:4" x14ac:dyDescent="0.3">
      <c r="A7754" s="1">
        <v>37181</v>
      </c>
      <c r="B7754">
        <v>1646.339966</v>
      </c>
      <c r="C7754">
        <f t="shared" si="259"/>
        <v>-4.3976134753355753E-2</v>
      </c>
      <c r="D7754">
        <f t="shared" si="258"/>
        <v>-3.5550879012319032</v>
      </c>
    </row>
    <row r="7755" spans="1:4" x14ac:dyDescent="0.3">
      <c r="A7755" s="1">
        <v>37182</v>
      </c>
      <c r="B7755">
        <v>1652.719971</v>
      </c>
      <c r="C7755">
        <f t="shared" si="259"/>
        <v>3.8752658210084311E-3</v>
      </c>
      <c r="D7755">
        <f t="shared" si="258"/>
        <v>0.27282737858234568</v>
      </c>
    </row>
    <row r="7756" spans="1:4" x14ac:dyDescent="0.3">
      <c r="A7756" s="1">
        <v>37183</v>
      </c>
      <c r="B7756">
        <v>1671.3100589999999</v>
      </c>
      <c r="C7756">
        <f t="shared" si="259"/>
        <v>1.124817774710603E-2</v>
      </c>
      <c r="D7756">
        <f t="shared" si="258"/>
        <v>0.86263001507515868</v>
      </c>
    </row>
    <row r="7757" spans="1:4" x14ac:dyDescent="0.3">
      <c r="A7757" s="1">
        <v>37186</v>
      </c>
      <c r="B7757">
        <v>1708.079956</v>
      </c>
      <c r="C7757">
        <f t="shared" si="259"/>
        <v>2.2000643628029604E-2</v>
      </c>
      <c r="D7757">
        <f t="shared" si="258"/>
        <v>1.7227830711451508</v>
      </c>
    </row>
    <row r="7758" spans="1:4" x14ac:dyDescent="0.3">
      <c r="A7758" s="1">
        <v>37187</v>
      </c>
      <c r="B7758">
        <v>1704.4399410000001</v>
      </c>
      <c r="C7758">
        <f t="shared" si="259"/>
        <v>-2.1310565627877132E-3</v>
      </c>
      <c r="D7758">
        <f t="shared" si="258"/>
        <v>-0.20765371397612647</v>
      </c>
    </row>
    <row r="7759" spans="1:4" x14ac:dyDescent="0.3">
      <c r="A7759" s="1">
        <v>37188</v>
      </c>
      <c r="B7759">
        <v>1731.540039</v>
      </c>
      <c r="C7759">
        <f t="shared" si="259"/>
        <v>1.5899708372299808E-2</v>
      </c>
      <c r="D7759">
        <f t="shared" si="258"/>
        <v>1.2347333378824406</v>
      </c>
    </row>
    <row r="7760" spans="1:4" x14ac:dyDescent="0.3">
      <c r="A7760" s="1">
        <v>37189</v>
      </c>
      <c r="B7760">
        <v>1775.469971</v>
      </c>
      <c r="C7760">
        <f t="shared" si="259"/>
        <v>2.5370439614766545E-2</v>
      </c>
      <c r="D7760">
        <f t="shared" si="258"/>
        <v>1.9923528934002115</v>
      </c>
    </row>
    <row r="7761" spans="1:4" x14ac:dyDescent="0.3">
      <c r="A7761" s="1">
        <v>37190</v>
      </c>
      <c r="B7761">
        <v>1768.959961</v>
      </c>
      <c r="C7761">
        <f t="shared" si="259"/>
        <v>-3.6666404424363906E-3</v>
      </c>
      <c r="D7761">
        <f t="shared" si="258"/>
        <v>-0.33049410998937773</v>
      </c>
    </row>
    <row r="7762" spans="1:4" x14ac:dyDescent="0.3">
      <c r="A7762" s="1">
        <v>37193</v>
      </c>
      <c r="B7762">
        <v>1699.5200199999999</v>
      </c>
      <c r="C7762">
        <f t="shared" si="259"/>
        <v>-3.9254670841020856E-2</v>
      </c>
      <c r="D7762">
        <f t="shared" si="258"/>
        <v>-3.1773902030207268</v>
      </c>
    </row>
    <row r="7763" spans="1:4" x14ac:dyDescent="0.3">
      <c r="A7763" s="1">
        <v>37194</v>
      </c>
      <c r="B7763">
        <v>1667.410034</v>
      </c>
      <c r="C7763">
        <f t="shared" si="259"/>
        <v>-1.8893561489202074E-2</v>
      </c>
      <c r="D7763">
        <f t="shared" si="258"/>
        <v>-1.548585180257158</v>
      </c>
    </row>
    <row r="7764" spans="1:4" x14ac:dyDescent="0.3">
      <c r="A7764" s="1">
        <v>37195</v>
      </c>
      <c r="B7764">
        <v>1690.1999510000001</v>
      </c>
      <c r="C7764">
        <f t="shared" si="259"/>
        <v>1.3667854058265826E-2</v>
      </c>
      <c r="D7764">
        <f t="shared" si="258"/>
        <v>1.0561941701994988</v>
      </c>
    </row>
    <row r="7765" spans="1:4" x14ac:dyDescent="0.3">
      <c r="A7765" s="1">
        <v>37196</v>
      </c>
      <c r="B7765">
        <v>1746.3000489999999</v>
      </c>
      <c r="C7765">
        <f t="shared" si="259"/>
        <v>3.3191397246703558E-2</v>
      </c>
      <c r="D7765">
        <f t="shared" si="258"/>
        <v>2.6179973439852269</v>
      </c>
    </row>
    <row r="7766" spans="1:4" x14ac:dyDescent="0.3">
      <c r="A7766" s="1">
        <v>37197</v>
      </c>
      <c r="B7766">
        <v>1745.7299800000001</v>
      </c>
      <c r="C7766">
        <f t="shared" si="259"/>
        <v>-3.2644390082123617E-4</v>
      </c>
      <c r="D7766">
        <f t="shared" si="258"/>
        <v>-6.32921216304142E-2</v>
      </c>
    </row>
    <row r="7767" spans="1:4" x14ac:dyDescent="0.3">
      <c r="A7767" s="1">
        <v>37200</v>
      </c>
      <c r="B7767">
        <v>1793.650024</v>
      </c>
      <c r="C7767">
        <f t="shared" si="259"/>
        <v>2.7449860258457588E-2</v>
      </c>
      <c r="D7767">
        <f t="shared" si="258"/>
        <v>2.1586979942667162</v>
      </c>
    </row>
    <row r="7768" spans="1:4" x14ac:dyDescent="0.3">
      <c r="A7768" s="1">
        <v>37201</v>
      </c>
      <c r="B7768">
        <v>1835.079956</v>
      </c>
      <c r="C7768">
        <f t="shared" si="259"/>
        <v>2.3098113592755154E-2</v>
      </c>
      <c r="D7768">
        <f t="shared" si="258"/>
        <v>1.8105761554997346</v>
      </c>
    </row>
    <row r="7769" spans="1:4" x14ac:dyDescent="0.3">
      <c r="A7769" s="1">
        <v>37202</v>
      </c>
      <c r="B7769">
        <v>1837.530029</v>
      </c>
      <c r="C7769">
        <f t="shared" si="259"/>
        <v>1.3351314704240465E-3</v>
      </c>
      <c r="D7769">
        <f t="shared" si="258"/>
        <v>6.962707563045642E-2</v>
      </c>
    </row>
    <row r="7770" spans="1:4" x14ac:dyDescent="0.3">
      <c r="A7770" s="1">
        <v>37203</v>
      </c>
      <c r="B7770">
        <v>1827.7700199999999</v>
      </c>
      <c r="C7770">
        <f t="shared" si="259"/>
        <v>-5.3114827218968307E-3</v>
      </c>
      <c r="D7770">
        <f t="shared" si="258"/>
        <v>-0.46207472871434552</v>
      </c>
    </row>
    <row r="7771" spans="1:4" x14ac:dyDescent="0.3">
      <c r="A7771" s="1">
        <v>37204</v>
      </c>
      <c r="B7771">
        <v>1828.4799800000001</v>
      </c>
      <c r="C7771">
        <f t="shared" si="259"/>
        <v>3.8842961216758407E-4</v>
      </c>
      <c r="D7771">
        <f t="shared" si="258"/>
        <v>-6.1051801687586633E-3</v>
      </c>
    </row>
    <row r="7772" spans="1:4" x14ac:dyDescent="0.3">
      <c r="A7772" s="1">
        <v>37207</v>
      </c>
      <c r="B7772">
        <v>1840.130005</v>
      </c>
      <c r="C7772">
        <f t="shared" si="259"/>
        <v>6.371426062865569E-3</v>
      </c>
      <c r="D7772">
        <f t="shared" si="258"/>
        <v>0.47250993365867072</v>
      </c>
    </row>
    <row r="7773" spans="1:4" x14ac:dyDescent="0.3">
      <c r="A7773" s="1">
        <v>37208</v>
      </c>
      <c r="B7773">
        <v>1892.1099850000001</v>
      </c>
      <c r="C7773">
        <f t="shared" si="259"/>
        <v>2.8247993271540654E-2</v>
      </c>
      <c r="D7773">
        <f t="shared" si="258"/>
        <v>2.2225453533708013</v>
      </c>
    </row>
    <row r="7774" spans="1:4" x14ac:dyDescent="0.3">
      <c r="A7774" s="1">
        <v>37209</v>
      </c>
      <c r="B7774">
        <v>1903.1899410000001</v>
      </c>
      <c r="C7774">
        <f t="shared" si="259"/>
        <v>5.8558731193419696E-3</v>
      </c>
      <c r="D7774">
        <f t="shared" si="258"/>
        <v>0.43126781814315385</v>
      </c>
    </row>
    <row r="7775" spans="1:4" x14ac:dyDescent="0.3">
      <c r="A7775" s="1">
        <v>37210</v>
      </c>
      <c r="B7775">
        <v>1900.5699460000001</v>
      </c>
      <c r="C7775">
        <f t="shared" si="259"/>
        <v>-1.3766334844242522E-3</v>
      </c>
      <c r="D7775">
        <f t="shared" si="258"/>
        <v>-0.1473029699132842</v>
      </c>
    </row>
    <row r="7776" spans="1:4" x14ac:dyDescent="0.3">
      <c r="A7776" s="1">
        <v>37211</v>
      </c>
      <c r="B7776">
        <v>1898.579956</v>
      </c>
      <c r="C7776">
        <f t="shared" si="259"/>
        <v>-1.0470490729311123E-3</v>
      </c>
      <c r="D7776">
        <f t="shared" si="258"/>
        <v>-0.12093757225303108</v>
      </c>
    </row>
    <row r="7777" spans="1:4" x14ac:dyDescent="0.3">
      <c r="A7777" s="1">
        <v>37214</v>
      </c>
      <c r="B7777">
        <v>1934.420044</v>
      </c>
      <c r="C7777">
        <f t="shared" si="259"/>
        <v>1.8877312955262193E-2</v>
      </c>
      <c r="D7777">
        <f t="shared" si="258"/>
        <v>1.4729294605362255</v>
      </c>
    </row>
    <row r="7778" spans="1:4" x14ac:dyDescent="0.3">
      <c r="A7778" s="1">
        <v>37215</v>
      </c>
      <c r="B7778">
        <v>1880.51001</v>
      </c>
      <c r="C7778">
        <f t="shared" si="259"/>
        <v>-2.786883550302997E-2</v>
      </c>
      <c r="D7778">
        <f t="shared" si="258"/>
        <v>-2.2665701948161194</v>
      </c>
    </row>
    <row r="7779" spans="1:4" x14ac:dyDescent="0.3">
      <c r="A7779" s="1">
        <v>37216</v>
      </c>
      <c r="B7779">
        <v>1875.0500489999999</v>
      </c>
      <c r="C7779">
        <f t="shared" si="259"/>
        <v>-2.9034469218273511E-3</v>
      </c>
      <c r="D7779">
        <f t="shared" si="258"/>
        <v>-0.26944176661116326</v>
      </c>
    </row>
    <row r="7780" spans="1:4" x14ac:dyDescent="0.3">
      <c r="A7780" s="1">
        <v>37218</v>
      </c>
      <c r="B7780">
        <v>1903.1999510000001</v>
      </c>
      <c r="C7780">
        <f t="shared" si="259"/>
        <v>1.5012880330854631E-2</v>
      </c>
      <c r="D7780">
        <f t="shared" si="258"/>
        <v>1.1637907412255226</v>
      </c>
    </row>
    <row r="7781" spans="1:4" x14ac:dyDescent="0.3">
      <c r="A7781" s="1">
        <v>37221</v>
      </c>
      <c r="B7781">
        <v>1941.2299800000001</v>
      </c>
      <c r="C7781">
        <f t="shared" si="259"/>
        <v>1.998215110294526E-2</v>
      </c>
      <c r="D7781">
        <f t="shared" si="258"/>
        <v>1.5613119692292614</v>
      </c>
    </row>
    <row r="7782" spans="1:4" x14ac:dyDescent="0.3">
      <c r="A7782" s="1">
        <v>37222</v>
      </c>
      <c r="B7782">
        <v>1935.969971</v>
      </c>
      <c r="C7782">
        <f t="shared" si="259"/>
        <v>-2.7096269139631163E-3</v>
      </c>
      <c r="D7782">
        <f t="shared" si="258"/>
        <v>-0.25393696297465901</v>
      </c>
    </row>
    <row r="7783" spans="1:4" x14ac:dyDescent="0.3">
      <c r="A7783" s="1">
        <v>37223</v>
      </c>
      <c r="B7783">
        <v>1887.969971</v>
      </c>
      <c r="C7783">
        <f t="shared" si="259"/>
        <v>-2.4793773002174318E-2</v>
      </c>
      <c r="D7783">
        <f t="shared" si="258"/>
        <v>-2.0205778394802261</v>
      </c>
    </row>
    <row r="7784" spans="1:4" x14ac:dyDescent="0.3">
      <c r="A7784" s="1">
        <v>37224</v>
      </c>
      <c r="B7784">
        <v>1933.26001</v>
      </c>
      <c r="C7784">
        <f t="shared" si="259"/>
        <v>2.3988749660044238E-2</v>
      </c>
      <c r="D7784">
        <f t="shared" si="258"/>
        <v>1.8818233785654694</v>
      </c>
    </row>
    <row r="7785" spans="1:4" x14ac:dyDescent="0.3">
      <c r="A7785" s="1">
        <v>37225</v>
      </c>
      <c r="B7785">
        <v>1930.579956</v>
      </c>
      <c r="C7785">
        <f t="shared" si="259"/>
        <v>-1.3862874037310312E-3</v>
      </c>
      <c r="D7785">
        <f t="shared" si="258"/>
        <v>-0.14807524376067316</v>
      </c>
    </row>
    <row r="7786" spans="1:4" x14ac:dyDescent="0.3">
      <c r="A7786" s="1">
        <v>37228</v>
      </c>
      <c r="B7786">
        <v>1904.900024</v>
      </c>
      <c r="C7786">
        <f t="shared" si="259"/>
        <v>-1.3301667159751661E-2</v>
      </c>
      <c r="D7786">
        <f t="shared" si="258"/>
        <v>-1.1012566279080021</v>
      </c>
    </row>
    <row r="7787" spans="1:4" x14ac:dyDescent="0.3">
      <c r="A7787" s="1">
        <v>37229</v>
      </c>
      <c r="B7787">
        <v>1963.099976</v>
      </c>
      <c r="C7787">
        <f t="shared" si="259"/>
        <v>3.0552759339983051E-2</v>
      </c>
      <c r="D7787">
        <f t="shared" si="258"/>
        <v>2.4069171615914908</v>
      </c>
    </row>
    <row r="7788" spans="1:4" x14ac:dyDescent="0.3">
      <c r="A7788" s="1">
        <v>37230</v>
      </c>
      <c r="B7788">
        <v>2046.839966</v>
      </c>
      <c r="C7788">
        <f t="shared" si="259"/>
        <v>4.2657017484472752E-2</v>
      </c>
      <c r="D7788">
        <f t="shared" si="258"/>
        <v>3.3752080401437716</v>
      </c>
    </row>
    <row r="7789" spans="1:4" x14ac:dyDescent="0.3">
      <c r="A7789" s="1">
        <v>37231</v>
      </c>
      <c r="B7789">
        <v>2054.2700199999999</v>
      </c>
      <c r="C7789">
        <f t="shared" si="259"/>
        <v>3.6300121765357046E-3</v>
      </c>
      <c r="D7789">
        <f t="shared" si="258"/>
        <v>0.25320809551353957</v>
      </c>
    </row>
    <row r="7790" spans="1:4" x14ac:dyDescent="0.3">
      <c r="A7790" s="1">
        <v>37232</v>
      </c>
      <c r="B7790">
        <v>2021.26001</v>
      </c>
      <c r="C7790">
        <f t="shared" si="259"/>
        <v>-1.6068973250166971E-2</v>
      </c>
      <c r="D7790">
        <f t="shared" si="258"/>
        <v>-1.3226297359105896</v>
      </c>
    </row>
    <row r="7791" spans="1:4" x14ac:dyDescent="0.3">
      <c r="A7791" s="1">
        <v>37235</v>
      </c>
      <c r="B7791">
        <v>1992.119995</v>
      </c>
      <c r="C7791">
        <f t="shared" si="259"/>
        <v>-1.4416757297840147E-2</v>
      </c>
      <c r="D7791">
        <f t="shared" si="258"/>
        <v>-1.1904592536770351</v>
      </c>
    </row>
    <row r="7792" spans="1:4" x14ac:dyDescent="0.3">
      <c r="A7792" s="1">
        <v>37236</v>
      </c>
      <c r="B7792">
        <v>2001.9300539999999</v>
      </c>
      <c r="C7792">
        <f t="shared" si="259"/>
        <v>4.9244317734986193E-3</v>
      </c>
      <c r="D7792">
        <f t="shared" si="258"/>
        <v>0.35675634058538575</v>
      </c>
    </row>
    <row r="7793" spans="1:4" x14ac:dyDescent="0.3">
      <c r="A7793" s="1">
        <v>37237</v>
      </c>
      <c r="B7793">
        <v>2011.380005</v>
      </c>
      <c r="C7793">
        <f t="shared" si="259"/>
        <v>4.7204201670874441E-3</v>
      </c>
      <c r="D7793">
        <f t="shared" si="258"/>
        <v>0.34043625097322994</v>
      </c>
    </row>
    <row r="7794" spans="1:4" x14ac:dyDescent="0.3">
      <c r="A7794" s="1">
        <v>37238</v>
      </c>
      <c r="B7794">
        <v>1946.51001</v>
      </c>
      <c r="C7794">
        <f t="shared" si="259"/>
        <v>-3.2251486461405895E-2</v>
      </c>
      <c r="D7794">
        <f t="shared" si="258"/>
        <v>-2.6171642499177694</v>
      </c>
    </row>
    <row r="7795" spans="1:4" x14ac:dyDescent="0.3">
      <c r="A7795" s="1">
        <v>37239</v>
      </c>
      <c r="B7795">
        <v>1953.170044</v>
      </c>
      <c r="C7795">
        <f t="shared" si="259"/>
        <v>3.4215256874019343E-3</v>
      </c>
      <c r="D7795">
        <f t="shared" si="258"/>
        <v>0.23653003368440387</v>
      </c>
    </row>
    <row r="7796" spans="1:4" x14ac:dyDescent="0.3">
      <c r="A7796" s="1">
        <v>37242</v>
      </c>
      <c r="B7796">
        <v>1987.4499510000001</v>
      </c>
      <c r="C7796">
        <f t="shared" si="259"/>
        <v>1.7550907615701737E-2</v>
      </c>
      <c r="D7796">
        <f t="shared" si="258"/>
        <v>1.3668224875827355</v>
      </c>
    </row>
    <row r="7797" spans="1:4" x14ac:dyDescent="0.3">
      <c r="A7797" s="1">
        <v>37243</v>
      </c>
      <c r="B7797">
        <v>2004.76001</v>
      </c>
      <c r="C7797">
        <f t="shared" si="259"/>
        <v>8.709682974049348E-3</v>
      </c>
      <c r="D7797">
        <f t="shared" si="258"/>
        <v>0.65956087158350263</v>
      </c>
    </row>
    <row r="7798" spans="1:4" x14ac:dyDescent="0.3">
      <c r="A7798" s="1">
        <v>37244</v>
      </c>
      <c r="B7798">
        <v>1982.8900149999999</v>
      </c>
      <c r="C7798">
        <f t="shared" si="259"/>
        <v>-1.0909033944666533E-2</v>
      </c>
      <c r="D7798">
        <f t="shared" si="258"/>
        <v>-0.90985580926776</v>
      </c>
    </row>
    <row r="7799" spans="1:4" x14ac:dyDescent="0.3">
      <c r="A7799" s="1">
        <v>37245</v>
      </c>
      <c r="B7799">
        <v>1918.540039</v>
      </c>
      <c r="C7799">
        <f t="shared" si="259"/>
        <v>-3.2452619920021117E-2</v>
      </c>
      <c r="D7799">
        <f t="shared" si="258"/>
        <v>-2.6332540995412632</v>
      </c>
    </row>
    <row r="7800" spans="1:4" x14ac:dyDescent="0.3">
      <c r="A7800" s="1">
        <v>37246</v>
      </c>
      <c r="B7800">
        <v>1945.829956</v>
      </c>
      <c r="C7800">
        <f t="shared" si="259"/>
        <v>1.4224314554427738E-2</v>
      </c>
      <c r="D7800">
        <f t="shared" si="258"/>
        <v>1.100708721713219</v>
      </c>
    </row>
    <row r="7801" spans="1:4" x14ac:dyDescent="0.3">
      <c r="A7801" s="1">
        <v>37249</v>
      </c>
      <c r="B7801">
        <v>1944.4799800000001</v>
      </c>
      <c r="C7801">
        <f t="shared" si="259"/>
        <v>-6.9377902002037506E-4</v>
      </c>
      <c r="D7801">
        <f t="shared" si="258"/>
        <v>-9.2677420675309638E-2</v>
      </c>
    </row>
    <row r="7802" spans="1:4" x14ac:dyDescent="0.3">
      <c r="A7802" s="1">
        <v>37251</v>
      </c>
      <c r="B7802">
        <v>1960.6999510000001</v>
      </c>
      <c r="C7802">
        <f t="shared" si="259"/>
        <v>8.3415469260835415E-3</v>
      </c>
      <c r="D7802">
        <f t="shared" si="258"/>
        <v>0.6301115015307126</v>
      </c>
    </row>
    <row r="7803" spans="1:4" x14ac:dyDescent="0.3">
      <c r="A7803" s="1">
        <v>37252</v>
      </c>
      <c r="B7803">
        <v>1976.420044</v>
      </c>
      <c r="C7803">
        <f t="shared" si="259"/>
        <v>8.0175923868322195E-3</v>
      </c>
      <c r="D7803">
        <f t="shared" si="258"/>
        <v>0.60419647049963177</v>
      </c>
    </row>
    <row r="7804" spans="1:4" x14ac:dyDescent="0.3">
      <c r="A7804" s="1">
        <v>37253</v>
      </c>
      <c r="B7804">
        <v>1987.26001</v>
      </c>
      <c r="C7804">
        <f t="shared" si="259"/>
        <v>5.4846468658865735E-3</v>
      </c>
      <c r="D7804">
        <f t="shared" si="258"/>
        <v>0.40157124435819752</v>
      </c>
    </row>
    <row r="7805" spans="1:4" x14ac:dyDescent="0.3">
      <c r="A7805" s="1">
        <v>37256</v>
      </c>
      <c r="B7805">
        <v>1950.400024</v>
      </c>
      <c r="C7805">
        <f t="shared" si="259"/>
        <v>-1.854814458828663E-2</v>
      </c>
      <c r="D7805">
        <f t="shared" si="258"/>
        <v>-1.5209532485467061</v>
      </c>
    </row>
    <row r="7806" spans="1:4" x14ac:dyDescent="0.3">
      <c r="A7806" s="1">
        <v>37258</v>
      </c>
      <c r="B7806">
        <v>1979.25</v>
      </c>
      <c r="C7806">
        <f t="shared" si="259"/>
        <v>1.4791825084596066E-2</v>
      </c>
      <c r="D7806">
        <f t="shared" si="258"/>
        <v>1.1461072305094413</v>
      </c>
    </row>
    <row r="7807" spans="1:4" x14ac:dyDescent="0.3">
      <c r="A7807" s="1">
        <v>37259</v>
      </c>
      <c r="B7807">
        <v>2044.2700199999999</v>
      </c>
      <c r="C7807">
        <f t="shared" si="259"/>
        <v>3.2850837438423611E-2</v>
      </c>
      <c r="D7807">
        <f t="shared" si="258"/>
        <v>2.5907539597131306</v>
      </c>
    </row>
    <row r="7808" spans="1:4" x14ac:dyDescent="0.3">
      <c r="A7808" s="1">
        <v>37260</v>
      </c>
      <c r="B7808">
        <v>2059.3798830000001</v>
      </c>
      <c r="C7808">
        <f t="shared" si="259"/>
        <v>7.3913244591828102E-3</v>
      </c>
      <c r="D7808">
        <f t="shared" si="258"/>
        <v>0.55409761151678516</v>
      </c>
    </row>
    <row r="7809" spans="1:4" x14ac:dyDescent="0.3">
      <c r="A7809" s="1">
        <v>37263</v>
      </c>
      <c r="B7809">
        <v>2037.099976</v>
      </c>
      <c r="C7809">
        <f t="shared" si="259"/>
        <v>-1.0818745576723736E-2</v>
      </c>
      <c r="D7809">
        <f t="shared" si="258"/>
        <v>-0.90263311110032363</v>
      </c>
    </row>
    <row r="7810" spans="1:4" x14ac:dyDescent="0.3">
      <c r="A7810" s="1">
        <v>37264</v>
      </c>
      <c r="B7810">
        <v>2055.73999</v>
      </c>
      <c r="C7810">
        <f t="shared" si="259"/>
        <v>9.1502696085643976E-3</v>
      </c>
      <c r="D7810">
        <f t="shared" si="258"/>
        <v>0.69480599064164017</v>
      </c>
    </row>
    <row r="7811" spans="1:4" x14ac:dyDescent="0.3">
      <c r="A7811" s="1">
        <v>37265</v>
      </c>
      <c r="B7811">
        <v>2044.8900149999999</v>
      </c>
      <c r="C7811">
        <f t="shared" si="259"/>
        <v>-5.2778926580107468E-3</v>
      </c>
      <c r="D7811">
        <f t="shared" ref="D7811:D7874" si="260">(C7811-avrtn)/sdrtn</f>
        <v>-0.45938766172662687</v>
      </c>
    </row>
    <row r="7812" spans="1:4" x14ac:dyDescent="0.3">
      <c r="A7812" s="1">
        <v>37266</v>
      </c>
      <c r="B7812">
        <v>2047.23999</v>
      </c>
      <c r="C7812">
        <f t="shared" ref="C7812:C7875" si="261">(B7812-B7811)/B7811</f>
        <v>1.1491938357379508E-3</v>
      </c>
      <c r="D7812">
        <f t="shared" si="260"/>
        <v>5.4752829435691139E-2</v>
      </c>
    </row>
    <row r="7813" spans="1:4" x14ac:dyDescent="0.3">
      <c r="A7813" s="1">
        <v>37267</v>
      </c>
      <c r="B7813">
        <v>2022.459961</v>
      </c>
      <c r="C7813">
        <f t="shared" si="261"/>
        <v>-1.2104115355816205E-2</v>
      </c>
      <c r="D7813">
        <f t="shared" si="260"/>
        <v>-1.0054574079556076</v>
      </c>
    </row>
    <row r="7814" spans="1:4" x14ac:dyDescent="0.3">
      <c r="A7814" s="1">
        <v>37270</v>
      </c>
      <c r="B7814">
        <v>1990.73999</v>
      </c>
      <c r="C7814">
        <f t="shared" si="261"/>
        <v>-1.568385610181184E-2</v>
      </c>
      <c r="D7814">
        <f t="shared" si="260"/>
        <v>-1.2918219476533557</v>
      </c>
    </row>
    <row r="7815" spans="1:4" x14ac:dyDescent="0.3">
      <c r="A7815" s="1">
        <v>37271</v>
      </c>
      <c r="B7815">
        <v>2000.910034</v>
      </c>
      <c r="C7815">
        <f t="shared" si="261"/>
        <v>5.1086751916808388E-3</v>
      </c>
      <c r="D7815">
        <f t="shared" si="260"/>
        <v>0.37149505642650082</v>
      </c>
    </row>
    <row r="7816" spans="1:4" x14ac:dyDescent="0.3">
      <c r="A7816" s="1">
        <v>37272</v>
      </c>
      <c r="B7816">
        <v>1944.4399410000001</v>
      </c>
      <c r="C7816">
        <f t="shared" si="261"/>
        <v>-2.8222204916985242E-2</v>
      </c>
      <c r="D7816">
        <f t="shared" si="260"/>
        <v>-2.2948382948688288</v>
      </c>
    </row>
    <row r="7817" spans="1:4" x14ac:dyDescent="0.3">
      <c r="A7817" s="1">
        <v>37273</v>
      </c>
      <c r="B7817">
        <v>1985.8199460000001</v>
      </c>
      <c r="C7817">
        <f t="shared" si="261"/>
        <v>2.1281194717034452E-2</v>
      </c>
      <c r="D7817">
        <f t="shared" si="260"/>
        <v>1.6652301166571377</v>
      </c>
    </row>
    <row r="7818" spans="1:4" x14ac:dyDescent="0.3">
      <c r="A7818" s="1">
        <v>37274</v>
      </c>
      <c r="B7818">
        <v>1930.339966</v>
      </c>
      <c r="C7818">
        <f t="shared" si="261"/>
        <v>-2.7938071682557301E-2</v>
      </c>
      <c r="D7818">
        <f t="shared" si="260"/>
        <v>-2.2721088044774347</v>
      </c>
    </row>
    <row r="7819" spans="1:4" x14ac:dyDescent="0.3">
      <c r="A7819" s="1">
        <v>37278</v>
      </c>
      <c r="B7819">
        <v>1882.530029</v>
      </c>
      <c r="C7819">
        <f t="shared" si="261"/>
        <v>-2.4767625310618466E-2</v>
      </c>
      <c r="D7819">
        <f t="shared" si="260"/>
        <v>-2.0184861316757079</v>
      </c>
    </row>
    <row r="7820" spans="1:4" x14ac:dyDescent="0.3">
      <c r="A7820" s="1">
        <v>37279</v>
      </c>
      <c r="B7820">
        <v>1922.380005</v>
      </c>
      <c r="C7820">
        <f t="shared" si="261"/>
        <v>2.1168308279878159E-2</v>
      </c>
      <c r="D7820">
        <f t="shared" si="260"/>
        <v>1.6561996658764375</v>
      </c>
    </row>
    <row r="7821" spans="1:4" x14ac:dyDescent="0.3">
      <c r="A7821" s="1">
        <v>37280</v>
      </c>
      <c r="B7821">
        <v>1942.579956</v>
      </c>
      <c r="C7821">
        <f t="shared" si="261"/>
        <v>1.0507782513062528E-2</v>
      </c>
      <c r="D7821">
        <f t="shared" si="260"/>
        <v>0.80340144087507281</v>
      </c>
    </row>
    <row r="7822" spans="1:4" x14ac:dyDescent="0.3">
      <c r="A7822" s="1">
        <v>37281</v>
      </c>
      <c r="B7822">
        <v>1937.6999510000001</v>
      </c>
      <c r="C7822">
        <f t="shared" si="261"/>
        <v>-2.5121256836441808E-3</v>
      </c>
      <c r="D7822">
        <f t="shared" si="260"/>
        <v>-0.23813767667905594</v>
      </c>
    </row>
    <row r="7823" spans="1:4" x14ac:dyDescent="0.3">
      <c r="A7823" s="1">
        <v>37284</v>
      </c>
      <c r="B7823">
        <v>1943.910034</v>
      </c>
      <c r="C7823">
        <f t="shared" si="261"/>
        <v>3.2048733844448245E-3</v>
      </c>
      <c r="D7823">
        <f t="shared" si="260"/>
        <v>0.21919874032742803</v>
      </c>
    </row>
    <row r="7824" spans="1:4" x14ac:dyDescent="0.3">
      <c r="A7824" s="1">
        <v>37285</v>
      </c>
      <c r="B7824">
        <v>1892.98999</v>
      </c>
      <c r="C7824">
        <f t="shared" si="261"/>
        <v>-2.6194650528770284E-2</v>
      </c>
      <c r="D7824">
        <f t="shared" si="260"/>
        <v>-2.132642281165094</v>
      </c>
    </row>
    <row r="7825" spans="1:4" x14ac:dyDescent="0.3">
      <c r="A7825" s="1">
        <v>37286</v>
      </c>
      <c r="B7825">
        <v>1913.4399410000001</v>
      </c>
      <c r="C7825">
        <f t="shared" si="261"/>
        <v>1.0802989507620193E-2</v>
      </c>
      <c r="D7825">
        <f t="shared" si="260"/>
        <v>0.82701678654127098</v>
      </c>
    </row>
    <row r="7826" spans="1:4" x14ac:dyDescent="0.3">
      <c r="A7826" s="1">
        <v>37287</v>
      </c>
      <c r="B7826">
        <v>1934.030029</v>
      </c>
      <c r="C7826">
        <f t="shared" si="261"/>
        <v>1.0760770463085009E-2</v>
      </c>
      <c r="D7826">
        <f t="shared" si="260"/>
        <v>0.82363943658420469</v>
      </c>
    </row>
    <row r="7827" spans="1:4" x14ac:dyDescent="0.3">
      <c r="A7827" s="1">
        <v>37288</v>
      </c>
      <c r="B7827">
        <v>1911.23999</v>
      </c>
      <c r="C7827">
        <f t="shared" si="261"/>
        <v>-1.1783704833054574E-2</v>
      </c>
      <c r="D7827">
        <f t="shared" si="260"/>
        <v>-0.97982588367061929</v>
      </c>
    </row>
    <row r="7828" spans="1:4" x14ac:dyDescent="0.3">
      <c r="A7828" s="1">
        <v>37291</v>
      </c>
      <c r="B7828">
        <v>1855.530029</v>
      </c>
      <c r="C7828">
        <f t="shared" si="261"/>
        <v>-2.9148595305396482E-2</v>
      </c>
      <c r="D7828">
        <f t="shared" si="260"/>
        <v>-2.3689457166016892</v>
      </c>
    </row>
    <row r="7829" spans="1:4" x14ac:dyDescent="0.3">
      <c r="A7829" s="1">
        <v>37292</v>
      </c>
      <c r="B7829">
        <v>1838.5200199999999</v>
      </c>
      <c r="C7829">
        <f t="shared" si="261"/>
        <v>-9.167196830097802E-3</v>
      </c>
      <c r="D7829">
        <f t="shared" si="260"/>
        <v>-0.77051600257927411</v>
      </c>
    </row>
    <row r="7830" spans="1:4" x14ac:dyDescent="0.3">
      <c r="A7830" s="1">
        <v>37293</v>
      </c>
      <c r="B7830">
        <v>1812.709961</v>
      </c>
      <c r="C7830">
        <f t="shared" si="261"/>
        <v>-1.4038497660743401E-2</v>
      </c>
      <c r="D7830">
        <f t="shared" si="260"/>
        <v>-1.1602000381222171</v>
      </c>
    </row>
    <row r="7831" spans="1:4" x14ac:dyDescent="0.3">
      <c r="A7831" s="1">
        <v>37294</v>
      </c>
      <c r="B7831">
        <v>1782.1099850000001</v>
      </c>
      <c r="C7831">
        <f t="shared" si="261"/>
        <v>-1.6880789899294854E-2</v>
      </c>
      <c r="D7831">
        <f t="shared" si="260"/>
        <v>-1.3875717296308125</v>
      </c>
    </row>
    <row r="7832" spans="1:4" x14ac:dyDescent="0.3">
      <c r="A7832" s="1">
        <v>37295</v>
      </c>
      <c r="B7832">
        <v>1818.880005</v>
      </c>
      <c r="C7832">
        <f t="shared" si="261"/>
        <v>2.0632856731342498E-2</v>
      </c>
      <c r="D7832">
        <f t="shared" si="260"/>
        <v>1.6133657437835085</v>
      </c>
    </row>
    <row r="7833" spans="1:4" x14ac:dyDescent="0.3">
      <c r="A7833" s="1">
        <v>37298</v>
      </c>
      <c r="B7833">
        <v>1846.660034</v>
      </c>
      <c r="C7833">
        <f t="shared" si="261"/>
        <v>1.5273151018007927E-2</v>
      </c>
      <c r="D7833">
        <f t="shared" si="260"/>
        <v>1.1846113259583257</v>
      </c>
    </row>
    <row r="7834" spans="1:4" x14ac:dyDescent="0.3">
      <c r="A7834" s="1">
        <v>37299</v>
      </c>
      <c r="B7834">
        <v>1834.209961</v>
      </c>
      <c r="C7834">
        <f t="shared" si="261"/>
        <v>-6.7419410020111885E-3</v>
      </c>
      <c r="D7834">
        <f t="shared" si="260"/>
        <v>-0.57650550904389952</v>
      </c>
    </row>
    <row r="7835" spans="1:4" x14ac:dyDescent="0.3">
      <c r="A7835" s="1">
        <v>37300</v>
      </c>
      <c r="B7835">
        <v>1859.160034</v>
      </c>
      <c r="C7835">
        <f t="shared" si="261"/>
        <v>1.3602626487971611E-2</v>
      </c>
      <c r="D7835">
        <f t="shared" si="260"/>
        <v>1.0509762327933332</v>
      </c>
    </row>
    <row r="7836" spans="1:4" x14ac:dyDescent="0.3">
      <c r="A7836" s="1">
        <v>37301</v>
      </c>
      <c r="B7836">
        <v>1843.369995</v>
      </c>
      <c r="C7836">
        <f t="shared" si="261"/>
        <v>-8.4931037195477808E-3</v>
      </c>
      <c r="D7836">
        <f t="shared" si="260"/>
        <v>-0.71659132562270567</v>
      </c>
    </row>
    <row r="7837" spans="1:4" x14ac:dyDescent="0.3">
      <c r="A7837" s="1">
        <v>37302</v>
      </c>
      <c r="B7837">
        <v>1805.1999510000001</v>
      </c>
      <c r="C7837">
        <f t="shared" si="261"/>
        <v>-2.0706664480561843E-2</v>
      </c>
      <c r="D7837">
        <f t="shared" si="260"/>
        <v>-1.6936259640418905</v>
      </c>
    </row>
    <row r="7838" spans="1:4" x14ac:dyDescent="0.3">
      <c r="A7838" s="1">
        <v>37306</v>
      </c>
      <c r="B7838">
        <v>1750.6099850000001</v>
      </c>
      <c r="C7838">
        <f t="shared" si="261"/>
        <v>-3.0240398560702157E-2</v>
      </c>
      <c r="D7838">
        <f t="shared" si="260"/>
        <v>-2.4562854875043314</v>
      </c>
    </row>
    <row r="7839" spans="1:4" x14ac:dyDescent="0.3">
      <c r="A7839" s="1">
        <v>37307</v>
      </c>
      <c r="B7839">
        <v>1775.5699460000001</v>
      </c>
      <c r="C7839">
        <f t="shared" si="261"/>
        <v>1.4257865094948616E-2</v>
      </c>
      <c r="D7839">
        <f t="shared" si="260"/>
        <v>1.1033926269942425</v>
      </c>
    </row>
    <row r="7840" spans="1:4" x14ac:dyDescent="0.3">
      <c r="A7840" s="1">
        <v>37308</v>
      </c>
      <c r="B7840">
        <v>1716.23999</v>
      </c>
      <c r="C7840">
        <f t="shared" si="261"/>
        <v>-3.3414598018883135E-2</v>
      </c>
      <c r="D7840">
        <f t="shared" si="260"/>
        <v>-2.7102083917726461</v>
      </c>
    </row>
    <row r="7841" spans="1:4" x14ac:dyDescent="0.3">
      <c r="A7841" s="1">
        <v>37309</v>
      </c>
      <c r="B7841">
        <v>1724.540039</v>
      </c>
      <c r="C7841">
        <f t="shared" si="261"/>
        <v>4.8361820306960356E-3</v>
      </c>
      <c r="D7841">
        <f t="shared" si="260"/>
        <v>0.34969672404628976</v>
      </c>
    </row>
    <row r="7842" spans="1:4" x14ac:dyDescent="0.3">
      <c r="A7842" s="1">
        <v>37312</v>
      </c>
      <c r="B7842">
        <v>1769.880005</v>
      </c>
      <c r="C7842">
        <f t="shared" si="261"/>
        <v>2.6291048612759986E-2</v>
      </c>
      <c r="D7842">
        <f t="shared" si="260"/>
        <v>2.0659978276728674</v>
      </c>
    </row>
    <row r="7843" spans="1:4" x14ac:dyDescent="0.3">
      <c r="A7843" s="1">
        <v>37313</v>
      </c>
      <c r="B7843">
        <v>1766.8599850000001</v>
      </c>
      <c r="C7843">
        <f t="shared" si="261"/>
        <v>-1.7063416680612375E-3</v>
      </c>
      <c r="D7843">
        <f t="shared" si="260"/>
        <v>-0.17367826883609092</v>
      </c>
    </row>
    <row r="7844" spans="1:4" x14ac:dyDescent="0.3">
      <c r="A7844" s="1">
        <v>37314</v>
      </c>
      <c r="B7844">
        <v>1751.880005</v>
      </c>
      <c r="C7844">
        <f t="shared" si="261"/>
        <v>-8.4783062196069087E-3</v>
      </c>
      <c r="D7844">
        <f t="shared" si="260"/>
        <v>-0.71540758647511926</v>
      </c>
    </row>
    <row r="7845" spans="1:4" x14ac:dyDescent="0.3">
      <c r="A7845" s="1">
        <v>37315</v>
      </c>
      <c r="B7845">
        <v>1731.48999</v>
      </c>
      <c r="C7845">
        <f t="shared" si="261"/>
        <v>-1.1638933569539741E-2</v>
      </c>
      <c r="D7845">
        <f t="shared" si="260"/>
        <v>-0.96824477789242525</v>
      </c>
    </row>
    <row r="7846" spans="1:4" x14ac:dyDescent="0.3">
      <c r="A7846" s="1">
        <v>37316</v>
      </c>
      <c r="B7846">
        <v>1802.73999</v>
      </c>
      <c r="C7846">
        <f t="shared" si="261"/>
        <v>4.1149530411088313E-2</v>
      </c>
      <c r="D7846">
        <f t="shared" si="260"/>
        <v>3.2546152730969018</v>
      </c>
    </row>
    <row r="7847" spans="1:4" x14ac:dyDescent="0.3">
      <c r="A7847" s="1">
        <v>37319</v>
      </c>
      <c r="B7847">
        <v>1859.3199460000001</v>
      </c>
      <c r="C7847">
        <f t="shared" si="261"/>
        <v>3.1385533306996775E-2</v>
      </c>
      <c r="D7847">
        <f t="shared" si="260"/>
        <v>2.4735356545655747</v>
      </c>
    </row>
    <row r="7848" spans="1:4" x14ac:dyDescent="0.3">
      <c r="A7848" s="1">
        <v>37320</v>
      </c>
      <c r="B7848">
        <v>1866.290039</v>
      </c>
      <c r="C7848">
        <f t="shared" si="261"/>
        <v>3.7487324411244207E-3</v>
      </c>
      <c r="D7848">
        <f t="shared" si="260"/>
        <v>0.26270522849999189</v>
      </c>
    </row>
    <row r="7849" spans="1:4" x14ac:dyDescent="0.3">
      <c r="A7849" s="1">
        <v>37321</v>
      </c>
      <c r="B7849">
        <v>1890.400024</v>
      </c>
      <c r="C7849">
        <f t="shared" si="261"/>
        <v>1.2918669925987883E-2</v>
      </c>
      <c r="D7849">
        <f t="shared" si="260"/>
        <v>0.99626252028082285</v>
      </c>
    </row>
    <row r="7850" spans="1:4" x14ac:dyDescent="0.3">
      <c r="A7850" s="1">
        <v>37322</v>
      </c>
      <c r="B7850">
        <v>1881.630005</v>
      </c>
      <c r="C7850">
        <f t="shared" si="261"/>
        <v>-4.6392397845208908E-3</v>
      </c>
      <c r="D7850">
        <f t="shared" si="260"/>
        <v>-0.40829805800374608</v>
      </c>
    </row>
    <row r="7851" spans="1:4" x14ac:dyDescent="0.3">
      <c r="A7851" s="1">
        <v>37323</v>
      </c>
      <c r="B7851">
        <v>1929.670044</v>
      </c>
      <c r="C7851">
        <f t="shared" si="261"/>
        <v>2.5531076179878404E-2</v>
      </c>
      <c r="D7851">
        <f t="shared" si="260"/>
        <v>2.0052031580676575</v>
      </c>
    </row>
    <row r="7852" spans="1:4" x14ac:dyDescent="0.3">
      <c r="A7852" s="1">
        <v>37326</v>
      </c>
      <c r="B7852">
        <v>1929.48999</v>
      </c>
      <c r="C7852">
        <f t="shared" si="261"/>
        <v>-9.3308180100414788E-5</v>
      </c>
      <c r="D7852">
        <f t="shared" si="260"/>
        <v>-4.4642222632560319E-2</v>
      </c>
    </row>
    <row r="7853" spans="1:4" x14ac:dyDescent="0.3">
      <c r="A7853" s="1">
        <v>37327</v>
      </c>
      <c r="B7853">
        <v>1897.119995</v>
      </c>
      <c r="C7853">
        <f t="shared" si="261"/>
        <v>-1.677645137718492E-2</v>
      </c>
      <c r="D7853">
        <f t="shared" si="260"/>
        <v>-1.3792250769045844</v>
      </c>
    </row>
    <row r="7854" spans="1:4" x14ac:dyDescent="0.3">
      <c r="A7854" s="1">
        <v>37328</v>
      </c>
      <c r="B7854">
        <v>1862.030029</v>
      </c>
      <c r="C7854">
        <f t="shared" si="261"/>
        <v>-1.8496439915494118E-2</v>
      </c>
      <c r="D7854">
        <f t="shared" si="260"/>
        <v>-1.51681708733419</v>
      </c>
    </row>
    <row r="7855" spans="1:4" x14ac:dyDescent="0.3">
      <c r="A7855" s="1">
        <v>37329</v>
      </c>
      <c r="B7855">
        <v>1854.1400149999999</v>
      </c>
      <c r="C7855">
        <f t="shared" si="261"/>
        <v>-4.2373183445582685E-3</v>
      </c>
      <c r="D7855">
        <f t="shared" si="260"/>
        <v>-0.37614599551757272</v>
      </c>
    </row>
    <row r="7856" spans="1:4" x14ac:dyDescent="0.3">
      <c r="A7856" s="1">
        <v>37330</v>
      </c>
      <c r="B7856">
        <v>1868.3000489999999</v>
      </c>
      <c r="C7856">
        <f t="shared" si="261"/>
        <v>7.6369820431279548E-3</v>
      </c>
      <c r="D7856">
        <f t="shared" si="260"/>
        <v>0.57374920808237562</v>
      </c>
    </row>
    <row r="7857" spans="1:4" x14ac:dyDescent="0.3">
      <c r="A7857" s="1">
        <v>37333</v>
      </c>
      <c r="B7857">
        <v>1877.0600589999999</v>
      </c>
      <c r="C7857">
        <f t="shared" si="261"/>
        <v>4.688759712171889E-3</v>
      </c>
      <c r="D7857">
        <f t="shared" si="260"/>
        <v>0.33790354476855405</v>
      </c>
    </row>
    <row r="7858" spans="1:4" x14ac:dyDescent="0.3">
      <c r="A7858" s="1">
        <v>37334</v>
      </c>
      <c r="B7858">
        <v>1880.869995</v>
      </c>
      <c r="C7858">
        <f t="shared" si="261"/>
        <v>2.0297357997323979E-3</v>
      </c>
      <c r="D7858">
        <f t="shared" si="260"/>
        <v>0.12519256574505577</v>
      </c>
    </row>
    <row r="7859" spans="1:4" x14ac:dyDescent="0.3">
      <c r="A7859" s="1">
        <v>37335</v>
      </c>
      <c r="B7859">
        <v>1832.869995</v>
      </c>
      <c r="C7859">
        <f t="shared" si="261"/>
        <v>-2.5520105125607047E-2</v>
      </c>
      <c r="D7859">
        <f t="shared" si="260"/>
        <v>-2.0786814226593067</v>
      </c>
    </row>
    <row r="7860" spans="1:4" x14ac:dyDescent="0.3">
      <c r="A7860" s="1">
        <v>37336</v>
      </c>
      <c r="B7860">
        <v>1868.829956</v>
      </c>
      <c r="C7860">
        <f t="shared" si="261"/>
        <v>1.9619482613659145E-2</v>
      </c>
      <c r="D7860">
        <f t="shared" si="260"/>
        <v>1.5322999813881109</v>
      </c>
    </row>
    <row r="7861" spans="1:4" x14ac:dyDescent="0.3">
      <c r="A7861" s="1">
        <v>37337</v>
      </c>
      <c r="B7861">
        <v>1851.3900149999999</v>
      </c>
      <c r="C7861">
        <f t="shared" si="261"/>
        <v>-9.3320106219445097E-3</v>
      </c>
      <c r="D7861">
        <f t="shared" si="260"/>
        <v>-0.78370042820864916</v>
      </c>
    </row>
    <row r="7862" spans="1:4" x14ac:dyDescent="0.3">
      <c r="A7862" s="1">
        <v>37340</v>
      </c>
      <c r="B7862">
        <v>1812.48999</v>
      </c>
      <c r="C7862">
        <f t="shared" si="261"/>
        <v>-2.1011253536440788E-2</v>
      </c>
      <c r="D7862">
        <f t="shared" si="260"/>
        <v>-1.7179918360345245</v>
      </c>
    </row>
    <row r="7863" spans="1:4" x14ac:dyDescent="0.3">
      <c r="A7863" s="1">
        <v>37341</v>
      </c>
      <c r="B7863">
        <v>1824.170044</v>
      </c>
      <c r="C7863">
        <f t="shared" si="261"/>
        <v>6.4442033139172966E-3</v>
      </c>
      <c r="D7863">
        <f t="shared" si="260"/>
        <v>0.47833181448096446</v>
      </c>
    </row>
    <row r="7864" spans="1:4" x14ac:dyDescent="0.3">
      <c r="A7864" s="1">
        <v>37342</v>
      </c>
      <c r="B7864">
        <v>1826.75</v>
      </c>
      <c r="C7864">
        <f t="shared" si="261"/>
        <v>1.4143177103943488E-3</v>
      </c>
      <c r="D7864">
        <f t="shared" si="260"/>
        <v>7.5961649212316212E-2</v>
      </c>
    </row>
    <row r="7865" spans="1:4" x14ac:dyDescent="0.3">
      <c r="A7865" s="1">
        <v>37343</v>
      </c>
      <c r="B7865">
        <v>1845.349976</v>
      </c>
      <c r="C7865">
        <f t="shared" si="261"/>
        <v>1.0182004105652098E-2</v>
      </c>
      <c r="D7865">
        <f t="shared" si="260"/>
        <v>0.77734050789105413</v>
      </c>
    </row>
    <row r="7866" spans="1:4" x14ac:dyDescent="0.3">
      <c r="A7866" s="1">
        <v>37347</v>
      </c>
      <c r="B7866">
        <v>1862.619995</v>
      </c>
      <c r="C7866">
        <f t="shared" si="261"/>
        <v>9.3586686669781313E-3</v>
      </c>
      <c r="D7866">
        <f t="shared" si="260"/>
        <v>0.71147705837269015</v>
      </c>
    </row>
    <row r="7867" spans="1:4" x14ac:dyDescent="0.3">
      <c r="A7867" s="1">
        <v>37348</v>
      </c>
      <c r="B7867">
        <v>1804.400024</v>
      </c>
      <c r="C7867">
        <f t="shared" si="261"/>
        <v>-3.1257031040300837E-2</v>
      </c>
      <c r="D7867">
        <f t="shared" si="260"/>
        <v>-2.5376119054544901</v>
      </c>
    </row>
    <row r="7868" spans="1:4" x14ac:dyDescent="0.3">
      <c r="A7868" s="1">
        <v>37349</v>
      </c>
      <c r="B7868">
        <v>1784.349976</v>
      </c>
      <c r="C7868">
        <f t="shared" si="261"/>
        <v>-1.1111753343669907E-2</v>
      </c>
      <c r="D7868">
        <f t="shared" si="260"/>
        <v>-0.92607252760088032</v>
      </c>
    </row>
    <row r="7869" spans="1:4" x14ac:dyDescent="0.3">
      <c r="A7869" s="1">
        <v>37350</v>
      </c>
      <c r="B7869">
        <v>1789.75</v>
      </c>
      <c r="C7869">
        <f t="shared" si="261"/>
        <v>3.0263255934272113E-3</v>
      </c>
      <c r="D7869">
        <f t="shared" si="260"/>
        <v>0.20491565123892264</v>
      </c>
    </row>
    <row r="7870" spans="1:4" x14ac:dyDescent="0.3">
      <c r="A7870" s="1">
        <v>37351</v>
      </c>
      <c r="B7870">
        <v>1770.030029</v>
      </c>
      <c r="C7870">
        <f t="shared" si="261"/>
        <v>-1.1018282441681793E-2</v>
      </c>
      <c r="D7870">
        <f t="shared" si="260"/>
        <v>-0.91859523979647684</v>
      </c>
    </row>
    <row r="7871" spans="1:4" x14ac:dyDescent="0.3">
      <c r="A7871" s="1">
        <v>37354</v>
      </c>
      <c r="B7871">
        <v>1785.869995</v>
      </c>
      <c r="C7871">
        <f t="shared" si="261"/>
        <v>8.9489815090589078E-3</v>
      </c>
      <c r="D7871">
        <f t="shared" si="260"/>
        <v>0.67870377038281182</v>
      </c>
    </row>
    <row r="7872" spans="1:4" x14ac:dyDescent="0.3">
      <c r="A7872" s="1">
        <v>37355</v>
      </c>
      <c r="B7872">
        <v>1742.5699460000001</v>
      </c>
      <c r="C7872">
        <f t="shared" si="261"/>
        <v>-2.4245913264251882E-2</v>
      </c>
      <c r="D7872">
        <f t="shared" si="260"/>
        <v>-1.9767513132591346</v>
      </c>
    </row>
    <row r="7873" spans="1:4" x14ac:dyDescent="0.3">
      <c r="A7873" s="1">
        <v>37356</v>
      </c>
      <c r="B7873">
        <v>1767.0699460000001</v>
      </c>
      <c r="C7873">
        <f t="shared" si="261"/>
        <v>1.405969387698828E-2</v>
      </c>
      <c r="D7873">
        <f t="shared" si="260"/>
        <v>1.0875397444423329</v>
      </c>
    </row>
    <row r="7874" spans="1:4" x14ac:dyDescent="0.3">
      <c r="A7874" s="1">
        <v>37357</v>
      </c>
      <c r="B7874">
        <v>1725.23999</v>
      </c>
      <c r="C7874">
        <f t="shared" si="261"/>
        <v>-2.36719299621884E-2</v>
      </c>
      <c r="D7874">
        <f t="shared" si="260"/>
        <v>-1.9308350093274971</v>
      </c>
    </row>
    <row r="7875" spans="1:4" x14ac:dyDescent="0.3">
      <c r="A7875" s="1">
        <v>37358</v>
      </c>
      <c r="B7875">
        <v>1756.1899410000001</v>
      </c>
      <c r="C7875">
        <f t="shared" si="261"/>
        <v>1.7939504752611291E-2</v>
      </c>
      <c r="D7875">
        <f t="shared" ref="D7875:D7938" si="262">(C7875-avrtn)/sdrtn</f>
        <v>1.3979086606145248</v>
      </c>
    </row>
    <row r="7876" spans="1:4" x14ac:dyDescent="0.3">
      <c r="A7876" s="1">
        <v>37361</v>
      </c>
      <c r="B7876">
        <v>1753.780029</v>
      </c>
      <c r="C7876">
        <f t="shared" ref="C7876:C7939" si="263">(B7876-B7875)/B7875</f>
        <v>-1.3722388129770505E-3</v>
      </c>
      <c r="D7876">
        <f t="shared" si="262"/>
        <v>-0.14695141426850505</v>
      </c>
    </row>
    <row r="7877" spans="1:4" x14ac:dyDescent="0.3">
      <c r="A7877" s="1">
        <v>37362</v>
      </c>
      <c r="B7877">
        <v>1816.790039</v>
      </c>
      <c r="C7877">
        <f t="shared" si="263"/>
        <v>3.5928114676917651E-2</v>
      </c>
      <c r="D7877">
        <f t="shared" si="262"/>
        <v>2.8369234849530396</v>
      </c>
    </row>
    <row r="7878" spans="1:4" x14ac:dyDescent="0.3">
      <c r="A7878" s="1">
        <v>37363</v>
      </c>
      <c r="B7878">
        <v>1810.670044</v>
      </c>
      <c r="C7878">
        <f t="shared" si="263"/>
        <v>-3.3685758225362097E-3</v>
      </c>
      <c r="D7878">
        <f t="shared" si="262"/>
        <v>-0.30665016604640388</v>
      </c>
    </row>
    <row r="7879" spans="1:4" x14ac:dyDescent="0.3">
      <c r="A7879" s="1">
        <v>37364</v>
      </c>
      <c r="B7879">
        <v>1802.4300539999999</v>
      </c>
      <c r="C7879">
        <f t="shared" si="263"/>
        <v>-4.5507960035594619E-3</v>
      </c>
      <c r="D7879">
        <f t="shared" si="262"/>
        <v>-0.40122291920983216</v>
      </c>
    </row>
    <row r="7880" spans="1:4" x14ac:dyDescent="0.3">
      <c r="A7880" s="1">
        <v>37365</v>
      </c>
      <c r="B7880">
        <v>1796.829956</v>
      </c>
      <c r="C7880">
        <f t="shared" si="263"/>
        <v>-3.1069710514269361E-3</v>
      </c>
      <c r="D7880">
        <f t="shared" si="262"/>
        <v>-0.28572286008290848</v>
      </c>
    </row>
    <row r="7881" spans="1:4" x14ac:dyDescent="0.3">
      <c r="A7881" s="1">
        <v>37368</v>
      </c>
      <c r="B7881">
        <v>1758.6800539999999</v>
      </c>
      <c r="C7881">
        <f t="shared" si="263"/>
        <v>-2.1231782046269552E-2</v>
      </c>
      <c r="D7881">
        <f t="shared" si="262"/>
        <v>-1.7356332100021747</v>
      </c>
    </row>
    <row r="7882" spans="1:4" x14ac:dyDescent="0.3">
      <c r="A7882" s="1">
        <v>37369</v>
      </c>
      <c r="B7882">
        <v>1730.290039</v>
      </c>
      <c r="C7882">
        <f t="shared" si="263"/>
        <v>-1.6142796943326196E-2</v>
      </c>
      <c r="D7882">
        <f t="shared" si="262"/>
        <v>-1.3285353277984875</v>
      </c>
    </row>
    <row r="7883" spans="1:4" x14ac:dyDescent="0.3">
      <c r="A7883" s="1">
        <v>37370</v>
      </c>
      <c r="B7883">
        <v>1713.339966</v>
      </c>
      <c r="C7883">
        <f t="shared" si="263"/>
        <v>-9.7960877182163425E-3</v>
      </c>
      <c r="D7883">
        <f t="shared" si="262"/>
        <v>-0.82082468761397342</v>
      </c>
    </row>
    <row r="7884" spans="1:4" x14ac:dyDescent="0.3">
      <c r="A7884" s="1">
        <v>37371</v>
      </c>
      <c r="B7884">
        <v>1713.6999510000001</v>
      </c>
      <c r="C7884">
        <f t="shared" si="263"/>
        <v>2.10107163285568E-4</v>
      </c>
      <c r="D7884">
        <f t="shared" si="262"/>
        <v>-2.0370242813028707E-2</v>
      </c>
    </row>
    <row r="7885" spans="1:4" x14ac:dyDescent="0.3">
      <c r="A7885" s="1">
        <v>37372</v>
      </c>
      <c r="B7885">
        <v>1663.8900149999999</v>
      </c>
      <c r="C7885">
        <f t="shared" si="263"/>
        <v>-2.9065727621065972E-2</v>
      </c>
      <c r="D7885">
        <f t="shared" si="262"/>
        <v>-2.3623166426092022</v>
      </c>
    </row>
    <row r="7886" spans="1:4" x14ac:dyDescent="0.3">
      <c r="A7886" s="1">
        <v>37375</v>
      </c>
      <c r="B7886">
        <v>1656.9300539999999</v>
      </c>
      <c r="C7886">
        <f t="shared" si="263"/>
        <v>-4.1829453493054478E-3</v>
      </c>
      <c r="D7886">
        <f t="shared" si="262"/>
        <v>-0.37179637948043953</v>
      </c>
    </row>
    <row r="7887" spans="1:4" x14ac:dyDescent="0.3">
      <c r="A7887" s="1">
        <v>37376</v>
      </c>
      <c r="B7887">
        <v>1688.2299800000001</v>
      </c>
      <c r="C7887">
        <f t="shared" si="263"/>
        <v>1.8890312191778339E-2</v>
      </c>
      <c r="D7887">
        <f t="shared" si="262"/>
        <v>1.4739693460043373</v>
      </c>
    </row>
    <row r="7888" spans="1:4" x14ac:dyDescent="0.3">
      <c r="A7888" s="1">
        <v>37377</v>
      </c>
      <c r="B7888">
        <v>1677.530029</v>
      </c>
      <c r="C7888">
        <f t="shared" si="263"/>
        <v>-6.3379700199377191E-3</v>
      </c>
      <c r="D7888">
        <f t="shared" si="262"/>
        <v>-0.544189491616626</v>
      </c>
    </row>
    <row r="7889" spans="1:4" x14ac:dyDescent="0.3">
      <c r="A7889" s="1">
        <v>37378</v>
      </c>
      <c r="B7889">
        <v>1644.8199460000001</v>
      </c>
      <c r="C7889">
        <f t="shared" si="263"/>
        <v>-1.9498955270266544E-2</v>
      </c>
      <c r="D7889">
        <f t="shared" si="262"/>
        <v>-1.5970141933482132</v>
      </c>
    </row>
    <row r="7890" spans="1:4" x14ac:dyDescent="0.3">
      <c r="A7890" s="1">
        <v>37379</v>
      </c>
      <c r="B7890">
        <v>1613.030029</v>
      </c>
      <c r="C7890">
        <f t="shared" si="263"/>
        <v>-1.9327292982620516E-2</v>
      </c>
      <c r="D7890">
        <f t="shared" si="262"/>
        <v>-1.5832819162160754</v>
      </c>
    </row>
    <row r="7891" spans="1:4" x14ac:dyDescent="0.3">
      <c r="A7891" s="1">
        <v>37382</v>
      </c>
      <c r="B7891">
        <v>1578.4799800000001</v>
      </c>
      <c r="C7891">
        <f t="shared" si="263"/>
        <v>-2.1419346434250384E-2</v>
      </c>
      <c r="D7891">
        <f t="shared" si="262"/>
        <v>-1.7506375897712694</v>
      </c>
    </row>
    <row r="7892" spans="1:4" x14ac:dyDescent="0.3">
      <c r="A7892" s="1">
        <v>37383</v>
      </c>
      <c r="B7892">
        <v>1573.8199460000001</v>
      </c>
      <c r="C7892">
        <f t="shared" si="263"/>
        <v>-2.9522287637756394E-3</v>
      </c>
      <c r="D7892">
        <f t="shared" si="262"/>
        <v>-0.27334411337489367</v>
      </c>
    </row>
    <row r="7893" spans="1:4" x14ac:dyDescent="0.3">
      <c r="A7893" s="1">
        <v>37384</v>
      </c>
      <c r="B7893">
        <v>1696.290039</v>
      </c>
      <c r="C7893">
        <f t="shared" si="263"/>
        <v>7.7817092934467036E-2</v>
      </c>
      <c r="D7893">
        <f t="shared" si="262"/>
        <v>6.187869497049169</v>
      </c>
    </row>
    <row r="7894" spans="1:4" x14ac:dyDescent="0.3">
      <c r="A7894" s="1">
        <v>37385</v>
      </c>
      <c r="B7894">
        <v>1650.48999</v>
      </c>
      <c r="C7894">
        <f t="shared" si="263"/>
        <v>-2.7000128484513223E-2</v>
      </c>
      <c r="D7894">
        <f t="shared" si="262"/>
        <v>-2.1970772054793843</v>
      </c>
    </row>
    <row r="7895" spans="1:4" x14ac:dyDescent="0.3">
      <c r="A7895" s="1">
        <v>37386</v>
      </c>
      <c r="B7895">
        <v>1600.849976</v>
      </c>
      <c r="C7895">
        <f t="shared" si="263"/>
        <v>-3.0075925513489522E-2</v>
      </c>
      <c r="D7895">
        <f t="shared" si="262"/>
        <v>-2.4431283200445315</v>
      </c>
    </row>
    <row r="7896" spans="1:4" x14ac:dyDescent="0.3">
      <c r="A7896" s="1">
        <v>37389</v>
      </c>
      <c r="B7896">
        <v>1652.540039</v>
      </c>
      <c r="C7896">
        <f t="shared" si="263"/>
        <v>3.2289136255701206E-2</v>
      </c>
      <c r="D7896">
        <f t="shared" si="262"/>
        <v>2.5458201748244025</v>
      </c>
    </row>
    <row r="7897" spans="1:4" x14ac:dyDescent="0.3">
      <c r="A7897" s="1">
        <v>37390</v>
      </c>
      <c r="B7897">
        <v>1719.0500489999999</v>
      </c>
      <c r="C7897">
        <f t="shared" si="263"/>
        <v>4.0247139815291315E-2</v>
      </c>
      <c r="D7897">
        <f t="shared" si="262"/>
        <v>3.1824277360854438</v>
      </c>
    </row>
    <row r="7898" spans="1:4" x14ac:dyDescent="0.3">
      <c r="A7898" s="1">
        <v>37391</v>
      </c>
      <c r="B7898">
        <v>1725.5600589999999</v>
      </c>
      <c r="C7898">
        <f t="shared" si="263"/>
        <v>3.7869810735219412E-3</v>
      </c>
      <c r="D7898">
        <f t="shared" si="262"/>
        <v>0.26576496181247733</v>
      </c>
    </row>
    <row r="7899" spans="1:4" x14ac:dyDescent="0.3">
      <c r="A7899" s="1">
        <v>37392</v>
      </c>
      <c r="B7899">
        <v>1730.4399410000001</v>
      </c>
      <c r="C7899">
        <f t="shared" si="263"/>
        <v>2.827998929708757E-3</v>
      </c>
      <c r="D7899">
        <f t="shared" si="262"/>
        <v>0.18905033366556045</v>
      </c>
    </row>
    <row r="7900" spans="1:4" x14ac:dyDescent="0.3">
      <c r="A7900" s="1">
        <v>37393</v>
      </c>
      <c r="B7900">
        <v>1741.3900149999999</v>
      </c>
      <c r="C7900">
        <f t="shared" si="263"/>
        <v>6.3279133476726989E-3</v>
      </c>
      <c r="D7900">
        <f t="shared" si="262"/>
        <v>0.46902909536859511</v>
      </c>
    </row>
    <row r="7901" spans="1:4" x14ac:dyDescent="0.3">
      <c r="A7901" s="1">
        <v>37396</v>
      </c>
      <c r="B7901">
        <v>1701.589966</v>
      </c>
      <c r="C7901">
        <f t="shared" si="263"/>
        <v>-2.2855333186230509E-2</v>
      </c>
      <c r="D7901">
        <f t="shared" si="262"/>
        <v>-1.8655106251168725</v>
      </c>
    </row>
    <row r="7902" spans="1:4" x14ac:dyDescent="0.3">
      <c r="A7902" s="1">
        <v>37397</v>
      </c>
      <c r="B7902">
        <v>1664.1800539999999</v>
      </c>
      <c r="C7902">
        <f t="shared" si="263"/>
        <v>-2.1985268335791348E-2</v>
      </c>
      <c r="D7902">
        <f t="shared" si="262"/>
        <v>-1.7959090148097825</v>
      </c>
    </row>
    <row r="7903" spans="1:4" x14ac:dyDescent="0.3">
      <c r="A7903" s="1">
        <v>37398</v>
      </c>
      <c r="B7903">
        <v>1673.4499510000001</v>
      </c>
      <c r="C7903">
        <f t="shared" si="263"/>
        <v>5.5702488307795379E-3</v>
      </c>
      <c r="D7903">
        <f t="shared" si="262"/>
        <v>0.40841904955225178</v>
      </c>
    </row>
    <row r="7904" spans="1:4" x14ac:dyDescent="0.3">
      <c r="A7904" s="1">
        <v>37399</v>
      </c>
      <c r="B7904">
        <v>1697.630005</v>
      </c>
      <c r="C7904">
        <f t="shared" si="263"/>
        <v>1.4449224481168799E-2</v>
      </c>
      <c r="D7904">
        <f t="shared" si="262"/>
        <v>1.1187005910173591</v>
      </c>
    </row>
    <row r="7905" spans="1:4" x14ac:dyDescent="0.3">
      <c r="A7905" s="1">
        <v>37400</v>
      </c>
      <c r="B7905">
        <v>1661.48999</v>
      </c>
      <c r="C7905">
        <f t="shared" si="263"/>
        <v>-2.1288510979163535E-2</v>
      </c>
      <c r="D7905">
        <f t="shared" si="262"/>
        <v>-1.7401712913629275</v>
      </c>
    </row>
    <row r="7906" spans="1:4" x14ac:dyDescent="0.3">
      <c r="A7906" s="1">
        <v>37404</v>
      </c>
      <c r="B7906">
        <v>1652.170044</v>
      </c>
      <c r="C7906">
        <f t="shared" si="263"/>
        <v>-5.6093904002395296E-3</v>
      </c>
      <c r="D7906">
        <f t="shared" si="262"/>
        <v>-0.48590611797806843</v>
      </c>
    </row>
    <row r="7907" spans="1:4" x14ac:dyDescent="0.3">
      <c r="A7907" s="1">
        <v>37405</v>
      </c>
      <c r="B7907">
        <v>1624.3900149999999</v>
      </c>
      <c r="C7907">
        <f t="shared" si="263"/>
        <v>-1.6814267454421911E-2</v>
      </c>
      <c r="D7907">
        <f t="shared" si="262"/>
        <v>-1.3822502075829048</v>
      </c>
    </row>
    <row r="7908" spans="1:4" x14ac:dyDescent="0.3">
      <c r="A7908" s="1">
        <v>37406</v>
      </c>
      <c r="B7908">
        <v>1631.920044</v>
      </c>
      <c r="C7908">
        <f t="shared" si="263"/>
        <v>4.6356040916688433E-3</v>
      </c>
      <c r="D7908">
        <f t="shared" si="262"/>
        <v>0.33365131370552792</v>
      </c>
    </row>
    <row r="7909" spans="1:4" x14ac:dyDescent="0.3">
      <c r="A7909" s="1">
        <v>37407</v>
      </c>
      <c r="B7909">
        <v>1615.7299800000001</v>
      </c>
      <c r="C7909">
        <f t="shared" si="263"/>
        <v>-9.9208684025452742E-3</v>
      </c>
      <c r="D7909">
        <f t="shared" si="262"/>
        <v>-0.83080662925904802</v>
      </c>
    </row>
    <row r="7910" spans="1:4" x14ac:dyDescent="0.3">
      <c r="A7910" s="1">
        <v>37410</v>
      </c>
      <c r="B7910">
        <v>1562.5600589999999</v>
      </c>
      <c r="C7910">
        <f t="shared" si="263"/>
        <v>-3.2907677432586942E-2</v>
      </c>
      <c r="D7910">
        <f t="shared" si="262"/>
        <v>-2.6696568293388565</v>
      </c>
    </row>
    <row r="7911" spans="1:4" x14ac:dyDescent="0.3">
      <c r="A7911" s="1">
        <v>37411</v>
      </c>
      <c r="B7911">
        <v>1578.119995</v>
      </c>
      <c r="C7911">
        <f t="shared" si="263"/>
        <v>9.9579762776978217E-3</v>
      </c>
      <c r="D7911">
        <f t="shared" si="262"/>
        <v>0.75941920286264497</v>
      </c>
    </row>
    <row r="7912" spans="1:4" x14ac:dyDescent="0.3">
      <c r="A7912" s="1">
        <v>37412</v>
      </c>
      <c r="B7912">
        <v>1595.26001</v>
      </c>
      <c r="C7912">
        <f t="shared" si="263"/>
        <v>1.0861034049568549E-2</v>
      </c>
      <c r="D7912">
        <f t="shared" si="262"/>
        <v>0.83166011121655681</v>
      </c>
    </row>
    <row r="7913" spans="1:4" x14ac:dyDescent="0.3">
      <c r="A7913" s="1">
        <v>37413</v>
      </c>
      <c r="B7913">
        <v>1554.880005</v>
      </c>
      <c r="C7913">
        <f t="shared" si="263"/>
        <v>-2.5312491222042221E-2</v>
      </c>
      <c r="D7913">
        <f t="shared" si="262"/>
        <v>-2.0620731640875931</v>
      </c>
    </row>
    <row r="7914" spans="1:4" x14ac:dyDescent="0.3">
      <c r="A7914" s="1">
        <v>37414</v>
      </c>
      <c r="B7914">
        <v>1535.4799800000001</v>
      </c>
      <c r="C7914">
        <f t="shared" si="263"/>
        <v>-1.2476863126167678E-2</v>
      </c>
      <c r="D7914">
        <f t="shared" si="262"/>
        <v>-1.0352756968357353</v>
      </c>
    </row>
    <row r="7915" spans="1:4" x14ac:dyDescent="0.3">
      <c r="A7915" s="1">
        <v>37417</v>
      </c>
      <c r="B7915">
        <v>1530.6899410000001</v>
      </c>
      <c r="C7915">
        <f t="shared" si="263"/>
        <v>-3.1195711193837765E-3</v>
      </c>
      <c r="D7915">
        <f t="shared" si="262"/>
        <v>-0.28673081370766668</v>
      </c>
    </row>
    <row r="7916" spans="1:4" x14ac:dyDescent="0.3">
      <c r="A7916" s="1">
        <v>37418</v>
      </c>
      <c r="B7916">
        <v>1497.1800539999999</v>
      </c>
      <c r="C7916">
        <f t="shared" si="263"/>
        <v>-2.1892014902840574E-2</v>
      </c>
      <c r="D7916">
        <f t="shared" si="262"/>
        <v>-1.7884491236341282</v>
      </c>
    </row>
    <row r="7917" spans="1:4" x14ac:dyDescent="0.3">
      <c r="A7917" s="1">
        <v>37419</v>
      </c>
      <c r="B7917">
        <v>1519.119995</v>
      </c>
      <c r="C7917">
        <f t="shared" si="263"/>
        <v>1.4654176657899885E-2</v>
      </c>
      <c r="D7917">
        <f t="shared" si="262"/>
        <v>1.1350959223874595</v>
      </c>
    </row>
    <row r="7918" spans="1:4" x14ac:dyDescent="0.3">
      <c r="A7918" s="1">
        <v>37420</v>
      </c>
      <c r="B7918">
        <v>1496.880005</v>
      </c>
      <c r="C7918">
        <f t="shared" si="263"/>
        <v>-1.4640048233977748E-2</v>
      </c>
      <c r="D7918">
        <f t="shared" si="262"/>
        <v>-1.2083216103902275</v>
      </c>
    </row>
    <row r="7919" spans="1:4" x14ac:dyDescent="0.3">
      <c r="A7919" s="1">
        <v>37421</v>
      </c>
      <c r="B7919">
        <v>1504.73999</v>
      </c>
      <c r="C7919">
        <f t="shared" si="263"/>
        <v>5.2509118792057425E-3</v>
      </c>
      <c r="D7919">
        <f t="shared" si="262"/>
        <v>0.38287340654773921</v>
      </c>
    </row>
    <row r="7920" spans="1:4" x14ac:dyDescent="0.3">
      <c r="A7920" s="1">
        <v>37424</v>
      </c>
      <c r="B7920">
        <v>1553.290039</v>
      </c>
      <c r="C7920">
        <f t="shared" si="263"/>
        <v>3.2264742960675843E-2</v>
      </c>
      <c r="D7920">
        <f t="shared" si="262"/>
        <v>2.5438688115282022</v>
      </c>
    </row>
    <row r="7921" spans="1:4" x14ac:dyDescent="0.3">
      <c r="A7921" s="1">
        <v>37425</v>
      </c>
      <c r="B7921">
        <v>1542.959961</v>
      </c>
      <c r="C7921">
        <f t="shared" si="263"/>
        <v>-6.6504501674718832E-3</v>
      </c>
      <c r="D7921">
        <f t="shared" si="262"/>
        <v>-0.56918661849331464</v>
      </c>
    </row>
    <row r="7922" spans="1:4" x14ac:dyDescent="0.3">
      <c r="A7922" s="1">
        <v>37426</v>
      </c>
      <c r="B7922">
        <v>1496.829956</v>
      </c>
      <c r="C7922">
        <f t="shared" si="263"/>
        <v>-2.9897084931551236E-2</v>
      </c>
      <c r="D7922">
        <f t="shared" si="262"/>
        <v>-2.4288218088863358</v>
      </c>
    </row>
    <row r="7923" spans="1:4" x14ac:dyDescent="0.3">
      <c r="A7923" s="1">
        <v>37427</v>
      </c>
      <c r="B7923">
        <v>1464.75</v>
      </c>
      <c r="C7923">
        <f t="shared" si="263"/>
        <v>-2.1431930775709328E-2</v>
      </c>
      <c r="D7923">
        <f t="shared" si="262"/>
        <v>-1.7516442853408636</v>
      </c>
    </row>
    <row r="7924" spans="1:4" x14ac:dyDescent="0.3">
      <c r="A7924" s="1">
        <v>37428</v>
      </c>
      <c r="B7924">
        <v>1440.959961</v>
      </c>
      <c r="C7924">
        <f t="shared" si="263"/>
        <v>-1.624170609318995E-2</v>
      </c>
      <c r="D7924">
        <f t="shared" si="262"/>
        <v>-1.3364476530707334</v>
      </c>
    </row>
    <row r="7925" spans="1:4" x14ac:dyDescent="0.3">
      <c r="A7925" s="1">
        <v>37431</v>
      </c>
      <c r="B7925">
        <v>1460.339966</v>
      </c>
      <c r="C7925">
        <f t="shared" si="263"/>
        <v>1.3449370922527654E-2</v>
      </c>
      <c r="D7925">
        <f t="shared" si="262"/>
        <v>1.0387164177484673</v>
      </c>
    </row>
    <row r="7926" spans="1:4" x14ac:dyDescent="0.3">
      <c r="A7926" s="1">
        <v>37432</v>
      </c>
      <c r="B7926">
        <v>1423.98999</v>
      </c>
      <c r="C7926">
        <f t="shared" si="263"/>
        <v>-2.4891447776756916E-2</v>
      </c>
      <c r="D7926">
        <f t="shared" si="262"/>
        <v>-2.0283914198057609</v>
      </c>
    </row>
    <row r="7927" spans="1:4" x14ac:dyDescent="0.3">
      <c r="A7927" s="1">
        <v>37433</v>
      </c>
      <c r="B7927">
        <v>1429.329956</v>
      </c>
      <c r="C7927">
        <f t="shared" si="263"/>
        <v>3.7500024842169037E-3</v>
      </c>
      <c r="D7927">
        <f t="shared" si="262"/>
        <v>0.2628068267249421</v>
      </c>
    </row>
    <row r="7928" spans="1:4" x14ac:dyDescent="0.3">
      <c r="A7928" s="1">
        <v>37434</v>
      </c>
      <c r="B7928">
        <v>1459.1999510000001</v>
      </c>
      <c r="C7928">
        <f t="shared" si="263"/>
        <v>2.0897900358564946E-2</v>
      </c>
      <c r="D7928">
        <f t="shared" si="262"/>
        <v>1.6345681440953967</v>
      </c>
    </row>
    <row r="7929" spans="1:4" x14ac:dyDescent="0.3">
      <c r="A7929" s="1">
        <v>37435</v>
      </c>
      <c r="B7929">
        <v>1463.209961</v>
      </c>
      <c r="C7929">
        <f t="shared" si="263"/>
        <v>2.7480880857019474E-3</v>
      </c>
      <c r="D7929">
        <f t="shared" si="262"/>
        <v>0.18265779474036967</v>
      </c>
    </row>
    <row r="7930" spans="1:4" x14ac:dyDescent="0.3">
      <c r="A7930" s="1">
        <v>37438</v>
      </c>
      <c r="B7930">
        <v>1403.8000489999999</v>
      </c>
      <c r="C7930">
        <f t="shared" si="263"/>
        <v>-4.0602451858240241E-2</v>
      </c>
      <c r="D7930">
        <f t="shared" si="262"/>
        <v>-3.2852071422896194</v>
      </c>
    </row>
    <row r="7931" spans="1:4" x14ac:dyDescent="0.3">
      <c r="A7931" s="1">
        <v>37439</v>
      </c>
      <c r="B7931">
        <v>1357.8199460000001</v>
      </c>
      <c r="C7931">
        <f t="shared" si="263"/>
        <v>-3.2754025783624879E-2</v>
      </c>
      <c r="D7931">
        <f t="shared" si="262"/>
        <v>-2.6573653292412476</v>
      </c>
    </row>
    <row r="7932" spans="1:4" x14ac:dyDescent="0.3">
      <c r="A7932" s="1">
        <v>37440</v>
      </c>
      <c r="B7932">
        <v>1380.170044</v>
      </c>
      <c r="C7932">
        <f t="shared" si="263"/>
        <v>1.6460281104163341E-2</v>
      </c>
      <c r="D7932">
        <f t="shared" si="262"/>
        <v>1.2795768513426764</v>
      </c>
    </row>
    <row r="7933" spans="1:4" x14ac:dyDescent="0.3">
      <c r="A7933" s="1">
        <v>37442</v>
      </c>
      <c r="B7933">
        <v>1448.3599850000001</v>
      </c>
      <c r="C7933">
        <f t="shared" si="263"/>
        <v>4.9406912790522853E-2</v>
      </c>
      <c r="D7933">
        <f t="shared" si="262"/>
        <v>3.9151719088924342</v>
      </c>
    </row>
    <row r="7934" spans="1:4" x14ac:dyDescent="0.3">
      <c r="A7934" s="1">
        <v>37445</v>
      </c>
      <c r="B7934">
        <v>1405.6099850000001</v>
      </c>
      <c r="C7934">
        <f t="shared" si="263"/>
        <v>-2.9516142701222169E-2</v>
      </c>
      <c r="D7934">
        <f t="shared" si="262"/>
        <v>-2.3983479969038215</v>
      </c>
    </row>
    <row r="7935" spans="1:4" x14ac:dyDescent="0.3">
      <c r="A7935" s="1">
        <v>37446</v>
      </c>
      <c r="B7935">
        <v>1381.119995</v>
      </c>
      <c r="C7935">
        <f t="shared" si="263"/>
        <v>-1.7423033602027259E-2</v>
      </c>
      <c r="D7935">
        <f t="shared" si="262"/>
        <v>-1.4309489961299762</v>
      </c>
    </row>
    <row r="7936" spans="1:4" x14ac:dyDescent="0.3">
      <c r="A7936" s="1">
        <v>37447</v>
      </c>
      <c r="B7936">
        <v>1346.01001</v>
      </c>
      <c r="C7936">
        <f t="shared" si="263"/>
        <v>-2.5421386358250538E-2</v>
      </c>
      <c r="D7936">
        <f t="shared" si="262"/>
        <v>-2.070784327204783</v>
      </c>
    </row>
    <row r="7937" spans="1:4" x14ac:dyDescent="0.3">
      <c r="A7937" s="1">
        <v>37448</v>
      </c>
      <c r="B7937">
        <v>1374.4300539999999</v>
      </c>
      <c r="C7937">
        <f t="shared" si="263"/>
        <v>2.1114288741433625E-2</v>
      </c>
      <c r="D7937">
        <f t="shared" si="262"/>
        <v>1.651878324930544</v>
      </c>
    </row>
    <row r="7938" spans="1:4" x14ac:dyDescent="0.3">
      <c r="A7938" s="1">
        <v>37449</v>
      </c>
      <c r="B7938">
        <v>1373.5</v>
      </c>
      <c r="C7938">
        <f t="shared" si="263"/>
        <v>-6.7668339854268591E-4</v>
      </c>
      <c r="D7938">
        <f t="shared" si="262"/>
        <v>-9.1309841254710061E-2</v>
      </c>
    </row>
    <row r="7939" spans="1:4" x14ac:dyDescent="0.3">
      <c r="A7939" s="1">
        <v>37452</v>
      </c>
      <c r="B7939">
        <v>1382.619995</v>
      </c>
      <c r="C7939">
        <f t="shared" si="263"/>
        <v>6.6399672369858156E-3</v>
      </c>
      <c r="D7939">
        <f t="shared" ref="D7939:D8002" si="264">(C7939-avrtn)/sdrtn</f>
        <v>0.49399212334038434</v>
      </c>
    </row>
    <row r="7940" spans="1:4" x14ac:dyDescent="0.3">
      <c r="A7940" s="1">
        <v>37453</v>
      </c>
      <c r="B7940">
        <v>1375.26001</v>
      </c>
      <c r="C7940">
        <f t="shared" ref="C7940:C8003" si="265">(B7940-B7939)/B7939</f>
        <v>-5.3232160872952305E-3</v>
      </c>
      <c r="D7940">
        <f t="shared" si="264"/>
        <v>-0.46301334969833069</v>
      </c>
    </row>
    <row r="7941" spans="1:4" x14ac:dyDescent="0.3">
      <c r="A7941" s="1">
        <v>37454</v>
      </c>
      <c r="B7941">
        <v>1397.25</v>
      </c>
      <c r="C7941">
        <f t="shared" si="265"/>
        <v>1.5989696377487216E-2</v>
      </c>
      <c r="D7941">
        <f t="shared" si="264"/>
        <v>1.2419320082645449</v>
      </c>
    </row>
    <row r="7942" spans="1:4" x14ac:dyDescent="0.3">
      <c r="A7942" s="1">
        <v>37455</v>
      </c>
      <c r="B7942">
        <v>1356.9499510000001</v>
      </c>
      <c r="C7942">
        <f t="shared" si="265"/>
        <v>-2.8842404007872566E-2</v>
      </c>
      <c r="D7942">
        <f t="shared" si="264"/>
        <v>-2.3444516718659143</v>
      </c>
    </row>
    <row r="7943" spans="1:4" x14ac:dyDescent="0.3">
      <c r="A7943" s="1">
        <v>37456</v>
      </c>
      <c r="B7943">
        <v>1319.150024</v>
      </c>
      <c r="C7943">
        <f t="shared" si="265"/>
        <v>-2.7856537355812928E-2</v>
      </c>
      <c r="D7943">
        <f t="shared" si="264"/>
        <v>-2.2655863936090395</v>
      </c>
    </row>
    <row r="7944" spans="1:4" x14ac:dyDescent="0.3">
      <c r="A7944" s="1">
        <v>37459</v>
      </c>
      <c r="B7944">
        <v>1282.650024</v>
      </c>
      <c r="C7944">
        <f t="shared" si="265"/>
        <v>-2.7669332021328909E-2</v>
      </c>
      <c r="D7944">
        <f t="shared" si="264"/>
        <v>-2.2506107366432531</v>
      </c>
    </row>
    <row r="7945" spans="1:4" x14ac:dyDescent="0.3">
      <c r="A7945" s="1">
        <v>37460</v>
      </c>
      <c r="B7945">
        <v>1229.0500489999999</v>
      </c>
      <c r="C7945">
        <f t="shared" si="265"/>
        <v>-4.1788464504796272E-2</v>
      </c>
      <c r="D7945">
        <f t="shared" si="264"/>
        <v>-3.3800832771009586</v>
      </c>
    </row>
    <row r="7946" spans="1:4" x14ac:dyDescent="0.3">
      <c r="A7946" s="1">
        <v>37461</v>
      </c>
      <c r="B7946">
        <v>1290.2299800000001</v>
      </c>
      <c r="C7946">
        <f t="shared" si="265"/>
        <v>4.9778225915029541E-2</v>
      </c>
      <c r="D7946">
        <f t="shared" si="264"/>
        <v>3.9448754320042778</v>
      </c>
    </row>
    <row r="7947" spans="1:4" x14ac:dyDescent="0.3">
      <c r="A7947" s="1">
        <v>37462</v>
      </c>
      <c r="B7947">
        <v>1240.079956</v>
      </c>
      <c r="C7947">
        <f t="shared" si="265"/>
        <v>-3.8869058057386038E-2</v>
      </c>
      <c r="D7947">
        <f t="shared" si="264"/>
        <v>-3.146542765979182</v>
      </c>
    </row>
    <row r="7948" spans="1:4" x14ac:dyDescent="0.3">
      <c r="A7948" s="1">
        <v>37463</v>
      </c>
      <c r="B7948">
        <v>1262.119995</v>
      </c>
      <c r="C7948">
        <f t="shared" si="265"/>
        <v>1.7773078980400824E-2</v>
      </c>
      <c r="D7948">
        <f t="shared" si="264"/>
        <v>1.3845952831845521</v>
      </c>
    </row>
    <row r="7949" spans="1:4" x14ac:dyDescent="0.3">
      <c r="A7949" s="1">
        <v>37466</v>
      </c>
      <c r="B7949">
        <v>1335.25</v>
      </c>
      <c r="C7949">
        <f t="shared" si="265"/>
        <v>5.7942196692636963E-2</v>
      </c>
      <c r="D7949">
        <f t="shared" si="264"/>
        <v>4.5979595237644428</v>
      </c>
    </row>
    <row r="7950" spans="1:4" x14ac:dyDescent="0.3">
      <c r="A7950" s="1">
        <v>37467</v>
      </c>
      <c r="B7950">
        <v>1344.1899410000001</v>
      </c>
      <c r="C7950">
        <f t="shared" si="265"/>
        <v>6.6953312113837036E-3</v>
      </c>
      <c r="D7950">
        <f t="shared" si="264"/>
        <v>0.49842101363419233</v>
      </c>
    </row>
    <row r="7951" spans="1:4" x14ac:dyDescent="0.3">
      <c r="A7951" s="1">
        <v>37468</v>
      </c>
      <c r="B7951">
        <v>1328.26001</v>
      </c>
      <c r="C7951">
        <f t="shared" si="265"/>
        <v>-1.1850952394532257E-2</v>
      </c>
      <c r="D7951">
        <f t="shared" si="264"/>
        <v>-0.98520541206520884</v>
      </c>
    </row>
    <row r="7952" spans="1:4" x14ac:dyDescent="0.3">
      <c r="A7952" s="1">
        <v>37469</v>
      </c>
      <c r="B7952">
        <v>1280</v>
      </c>
      <c r="C7952">
        <f t="shared" si="265"/>
        <v>-3.6333255263779243E-2</v>
      </c>
      <c r="D7952">
        <f t="shared" si="264"/>
        <v>-2.9436889697740316</v>
      </c>
    </row>
    <row r="7953" spans="1:4" x14ac:dyDescent="0.3">
      <c r="A7953" s="1">
        <v>37470</v>
      </c>
      <c r="B7953">
        <v>1247.920044</v>
      </c>
      <c r="C7953">
        <f t="shared" si="265"/>
        <v>-2.506246562500003E-2</v>
      </c>
      <c r="D7953">
        <f t="shared" si="264"/>
        <v>-2.042072144435616</v>
      </c>
    </row>
    <row r="7954" spans="1:4" x14ac:dyDescent="0.3">
      <c r="A7954" s="1">
        <v>37473</v>
      </c>
      <c r="B7954">
        <v>1206.01001</v>
      </c>
      <c r="C7954">
        <f t="shared" si="265"/>
        <v>-3.358390964349315E-2</v>
      </c>
      <c r="D7954">
        <f t="shared" si="264"/>
        <v>-2.723752625527887</v>
      </c>
    </row>
    <row r="7955" spans="1:4" x14ac:dyDescent="0.3">
      <c r="A7955" s="1">
        <v>37474</v>
      </c>
      <c r="B7955">
        <v>1259.5500489999999</v>
      </c>
      <c r="C7955">
        <f t="shared" si="265"/>
        <v>4.4394357058445959E-2</v>
      </c>
      <c r="D7955">
        <f t="shared" si="264"/>
        <v>3.5141880620786128</v>
      </c>
    </row>
    <row r="7956" spans="1:4" x14ac:dyDescent="0.3">
      <c r="A7956" s="1">
        <v>37475</v>
      </c>
      <c r="B7956">
        <v>1280.900024</v>
      </c>
      <c r="C7956">
        <f t="shared" si="265"/>
        <v>1.6950477686020149E-2</v>
      </c>
      <c r="D7956">
        <f t="shared" si="264"/>
        <v>1.318790562190832</v>
      </c>
    </row>
    <row r="7957" spans="1:4" x14ac:dyDescent="0.3">
      <c r="A7957" s="1">
        <v>37476</v>
      </c>
      <c r="B7957">
        <v>1316.5200199999999</v>
      </c>
      <c r="C7957">
        <f t="shared" si="265"/>
        <v>2.7808568453895118E-2</v>
      </c>
      <c r="D7957">
        <f t="shared" si="264"/>
        <v>2.1873931748848054</v>
      </c>
    </row>
    <row r="7958" spans="1:4" x14ac:dyDescent="0.3">
      <c r="A7958" s="1">
        <v>37477</v>
      </c>
      <c r="B7958">
        <v>1306.119995</v>
      </c>
      <c r="C7958">
        <f t="shared" si="265"/>
        <v>-7.8996330036818687E-3</v>
      </c>
      <c r="D7958">
        <f t="shared" si="264"/>
        <v>-0.66911610871959815</v>
      </c>
    </row>
    <row r="7959" spans="1:4" x14ac:dyDescent="0.3">
      <c r="A7959" s="1">
        <v>37480</v>
      </c>
      <c r="B7959">
        <v>1306.839966</v>
      </c>
      <c r="C7959">
        <f t="shared" si="265"/>
        <v>5.5122883253922383E-4</v>
      </c>
      <c r="D7959">
        <f t="shared" si="264"/>
        <v>6.9180880265783205E-3</v>
      </c>
    </row>
    <row r="7960" spans="1:4" x14ac:dyDescent="0.3">
      <c r="A7960" s="1">
        <v>37481</v>
      </c>
      <c r="B7960">
        <v>1269.280029</v>
      </c>
      <c r="C7960">
        <f t="shared" si="265"/>
        <v>-2.8741037906090477E-2</v>
      </c>
      <c r="D7960">
        <f t="shared" si="264"/>
        <v>-2.3363428005432483</v>
      </c>
    </row>
    <row r="7961" spans="1:4" x14ac:dyDescent="0.3">
      <c r="A7961" s="1">
        <v>37482</v>
      </c>
      <c r="B7961">
        <v>1334.3000489999999</v>
      </c>
      <c r="C7961">
        <f t="shared" si="265"/>
        <v>5.1225906430770705E-2</v>
      </c>
      <c r="D7961">
        <f t="shared" si="264"/>
        <v>4.0606839203657206</v>
      </c>
    </row>
    <row r="7962" spans="1:4" x14ac:dyDescent="0.3">
      <c r="A7962" s="1">
        <v>37483</v>
      </c>
      <c r="B7962">
        <v>1345.01001</v>
      </c>
      <c r="C7962">
        <f t="shared" si="265"/>
        <v>8.0266511329491995E-3</v>
      </c>
      <c r="D7962">
        <f t="shared" si="264"/>
        <v>0.60492113293920358</v>
      </c>
    </row>
    <row r="7963" spans="1:4" x14ac:dyDescent="0.3">
      <c r="A7963" s="1">
        <v>37484</v>
      </c>
      <c r="B7963">
        <v>1361.01001</v>
      </c>
      <c r="C7963">
        <f t="shared" si="265"/>
        <v>1.1895822247449296E-2</v>
      </c>
      <c r="D7963">
        <f t="shared" si="264"/>
        <v>0.91443891197252181</v>
      </c>
    </row>
    <row r="7964" spans="1:4" x14ac:dyDescent="0.3">
      <c r="A7964" s="1">
        <v>37487</v>
      </c>
      <c r="B7964">
        <v>1394.540039</v>
      </c>
      <c r="C7964">
        <f t="shared" si="265"/>
        <v>2.4636136952438735E-2</v>
      </c>
      <c r="D7964">
        <f t="shared" si="264"/>
        <v>1.9336116998845763</v>
      </c>
    </row>
    <row r="7965" spans="1:4" x14ac:dyDescent="0.3">
      <c r="A7965" s="1">
        <v>37488</v>
      </c>
      <c r="B7965">
        <v>1376.589966</v>
      </c>
      <c r="C7965">
        <f t="shared" si="265"/>
        <v>-1.2871679907356159E-2</v>
      </c>
      <c r="D7965">
        <f t="shared" si="264"/>
        <v>-1.0668594158345088</v>
      </c>
    </row>
    <row r="7966" spans="1:4" x14ac:dyDescent="0.3">
      <c r="A7966" s="1">
        <v>37489</v>
      </c>
      <c r="B7966">
        <v>1409.25</v>
      </c>
      <c r="C7966">
        <f t="shared" si="265"/>
        <v>2.3725317492253168E-2</v>
      </c>
      <c r="D7966">
        <f t="shared" si="264"/>
        <v>1.8607498883817304</v>
      </c>
    </row>
    <row r="7967" spans="1:4" x14ac:dyDescent="0.3">
      <c r="A7967" s="1">
        <v>37490</v>
      </c>
      <c r="B7967">
        <v>1422.9499510000001</v>
      </c>
      <c r="C7967">
        <f t="shared" si="265"/>
        <v>9.7214482880965455E-3</v>
      </c>
      <c r="D7967">
        <f t="shared" si="264"/>
        <v>0.74049793630344762</v>
      </c>
    </row>
    <row r="7968" spans="1:4" x14ac:dyDescent="0.3">
      <c r="A7968" s="1">
        <v>37491</v>
      </c>
      <c r="B7968">
        <v>1380.619995</v>
      </c>
      <c r="C7968">
        <f t="shared" si="265"/>
        <v>-2.9748028713344421E-2</v>
      </c>
      <c r="D7968">
        <f t="shared" si="264"/>
        <v>-2.4168979243526225</v>
      </c>
    </row>
    <row r="7969" spans="1:4" x14ac:dyDescent="0.3">
      <c r="A7969" s="1">
        <v>37494</v>
      </c>
      <c r="B7969">
        <v>1391.73999</v>
      </c>
      <c r="C7969">
        <f t="shared" si="265"/>
        <v>8.0543488000114159E-3</v>
      </c>
      <c r="D7969">
        <f t="shared" si="264"/>
        <v>0.60713683241069338</v>
      </c>
    </row>
    <row r="7970" spans="1:4" x14ac:dyDescent="0.3">
      <c r="A7970" s="1">
        <v>37495</v>
      </c>
      <c r="B7970">
        <v>1347.780029</v>
      </c>
      <c r="C7970">
        <f t="shared" si="265"/>
        <v>-3.1586331725655177E-2</v>
      </c>
      <c r="D7970">
        <f t="shared" si="264"/>
        <v>-2.5639546061903284</v>
      </c>
    </row>
    <row r="7971" spans="1:4" x14ac:dyDescent="0.3">
      <c r="A7971" s="1">
        <v>37496</v>
      </c>
      <c r="B7971">
        <v>1314.380005</v>
      </c>
      <c r="C7971">
        <f t="shared" si="265"/>
        <v>-2.4781509802294325E-2</v>
      </c>
      <c r="D7971">
        <f t="shared" si="264"/>
        <v>-2.0195968339164057</v>
      </c>
    </row>
    <row r="7972" spans="1:4" x14ac:dyDescent="0.3">
      <c r="A7972" s="1">
        <v>37497</v>
      </c>
      <c r="B7972">
        <v>1335.7700199999999</v>
      </c>
      <c r="C7972">
        <f t="shared" si="265"/>
        <v>1.6273843879723315E-2</v>
      </c>
      <c r="D7972">
        <f t="shared" si="264"/>
        <v>1.2646626400219219</v>
      </c>
    </row>
    <row r="7973" spans="1:4" x14ac:dyDescent="0.3">
      <c r="A7973" s="1">
        <v>37498</v>
      </c>
      <c r="B7973">
        <v>1314.849976</v>
      </c>
      <c r="C7973">
        <f t="shared" si="265"/>
        <v>-1.5661411535497678E-2</v>
      </c>
      <c r="D7973">
        <f t="shared" si="264"/>
        <v>-1.2900264746408308</v>
      </c>
    </row>
    <row r="7974" spans="1:4" x14ac:dyDescent="0.3">
      <c r="A7974" s="1">
        <v>37502</v>
      </c>
      <c r="B7974">
        <v>1263.839966</v>
      </c>
      <c r="C7974">
        <f t="shared" si="265"/>
        <v>-3.8795308157650955E-2</v>
      </c>
      <c r="D7974">
        <f t="shared" si="264"/>
        <v>-3.1406430772617755</v>
      </c>
    </row>
    <row r="7975" spans="1:4" x14ac:dyDescent="0.3">
      <c r="A7975" s="1">
        <v>37503</v>
      </c>
      <c r="B7975">
        <v>1292.3100589999999</v>
      </c>
      <c r="C7975">
        <f t="shared" si="265"/>
        <v>2.2526659835031604E-2</v>
      </c>
      <c r="D7975">
        <f t="shared" si="264"/>
        <v>1.7648622047137432</v>
      </c>
    </row>
    <row r="7976" spans="1:4" x14ac:dyDescent="0.3">
      <c r="A7976" s="1">
        <v>37504</v>
      </c>
      <c r="B7976">
        <v>1251</v>
      </c>
      <c r="C7976">
        <f t="shared" si="265"/>
        <v>-3.1966058541683079E-2</v>
      </c>
      <c r="D7976">
        <f t="shared" si="264"/>
        <v>-2.5943311900265629</v>
      </c>
    </row>
    <row r="7977" spans="1:4" x14ac:dyDescent="0.3">
      <c r="A7977" s="1">
        <v>37505</v>
      </c>
      <c r="B7977">
        <v>1295.3000489999999</v>
      </c>
      <c r="C7977">
        <f t="shared" si="265"/>
        <v>3.541170983213425E-2</v>
      </c>
      <c r="D7977">
        <f t="shared" si="264"/>
        <v>2.7956132208397775</v>
      </c>
    </row>
    <row r="7978" spans="1:4" x14ac:dyDescent="0.3">
      <c r="A7978" s="1">
        <v>37508</v>
      </c>
      <c r="B7978">
        <v>1304.599976</v>
      </c>
      <c r="C7978">
        <f t="shared" si="265"/>
        <v>7.1797472772272128E-3</v>
      </c>
      <c r="D7978">
        <f t="shared" si="264"/>
        <v>0.53717230697090812</v>
      </c>
    </row>
    <row r="7979" spans="1:4" x14ac:dyDescent="0.3">
      <c r="A7979" s="1">
        <v>37509</v>
      </c>
      <c r="B7979">
        <v>1320.089966</v>
      </c>
      <c r="C7979">
        <f t="shared" si="265"/>
        <v>1.1873363701487631E-2</v>
      </c>
      <c r="D7979">
        <f t="shared" si="264"/>
        <v>0.9126423206456814</v>
      </c>
    </row>
    <row r="7980" spans="1:4" x14ac:dyDescent="0.3">
      <c r="A7980" s="1">
        <v>37510</v>
      </c>
      <c r="B7980">
        <v>1315.4499510000001</v>
      </c>
      <c r="C7980">
        <f t="shared" si="265"/>
        <v>-3.5149233154613256E-3</v>
      </c>
      <c r="D7980">
        <f t="shared" si="264"/>
        <v>-0.31835736369592638</v>
      </c>
    </row>
    <row r="7981" spans="1:4" x14ac:dyDescent="0.3">
      <c r="A7981" s="1">
        <v>37511</v>
      </c>
      <c r="B7981">
        <v>1279.6800539999999</v>
      </c>
      <c r="C7981">
        <f t="shared" si="265"/>
        <v>-2.7192138304317839E-2</v>
      </c>
      <c r="D7981">
        <f t="shared" si="264"/>
        <v>-2.2124372015146569</v>
      </c>
    </row>
    <row r="7982" spans="1:4" x14ac:dyDescent="0.3">
      <c r="A7982" s="1">
        <v>37512</v>
      </c>
      <c r="B7982">
        <v>1291.400024</v>
      </c>
      <c r="C7982">
        <f t="shared" si="265"/>
        <v>9.1585158050764646E-3</v>
      </c>
      <c r="D7982">
        <f t="shared" si="264"/>
        <v>0.69546565245404279</v>
      </c>
    </row>
    <row r="7983" spans="1:4" x14ac:dyDescent="0.3">
      <c r="A7983" s="1">
        <v>37515</v>
      </c>
      <c r="B7983">
        <v>1275.880005</v>
      </c>
      <c r="C7983">
        <f t="shared" si="265"/>
        <v>-1.2017979488592644E-2</v>
      </c>
      <c r="D7983">
        <f t="shared" si="264"/>
        <v>-0.99856689277052513</v>
      </c>
    </row>
    <row r="7984" spans="1:4" x14ac:dyDescent="0.3">
      <c r="A7984" s="1">
        <v>37516</v>
      </c>
      <c r="B7984">
        <v>1259.9399410000001</v>
      </c>
      <c r="C7984">
        <f t="shared" si="265"/>
        <v>-1.2493388043964129E-2</v>
      </c>
      <c r="D7984">
        <f t="shared" si="264"/>
        <v>-1.0365976223085833</v>
      </c>
    </row>
    <row r="7985" spans="1:4" x14ac:dyDescent="0.3">
      <c r="A7985" s="1">
        <v>37517</v>
      </c>
      <c r="B7985">
        <v>1252.130005</v>
      </c>
      <c r="C7985">
        <f t="shared" si="265"/>
        <v>-6.1986573691770177E-3</v>
      </c>
      <c r="D7985">
        <f t="shared" si="264"/>
        <v>-0.53304505241281275</v>
      </c>
    </row>
    <row r="7986" spans="1:4" x14ac:dyDescent="0.3">
      <c r="A7986" s="1">
        <v>37518</v>
      </c>
      <c r="B7986">
        <v>1216.4499510000001</v>
      </c>
      <c r="C7986">
        <f t="shared" si="265"/>
        <v>-2.8495486776550751E-2</v>
      </c>
      <c r="D7986">
        <f t="shared" si="264"/>
        <v>-2.3166997198923482</v>
      </c>
    </row>
    <row r="7987" spans="1:4" x14ac:dyDescent="0.3">
      <c r="A7987" s="1">
        <v>37519</v>
      </c>
      <c r="B7987">
        <v>1221.089966</v>
      </c>
      <c r="C7987">
        <f t="shared" si="265"/>
        <v>3.8143903875252393E-3</v>
      </c>
      <c r="D7987">
        <f t="shared" si="264"/>
        <v>0.26795759422496851</v>
      </c>
    </row>
    <row r="7988" spans="1:4" x14ac:dyDescent="0.3">
      <c r="A7988" s="1">
        <v>37522</v>
      </c>
      <c r="B7988">
        <v>1184.9300539999999</v>
      </c>
      <c r="C7988">
        <f t="shared" si="265"/>
        <v>-2.9612815604775904E-2</v>
      </c>
      <c r="D7988">
        <f t="shared" si="264"/>
        <v>-2.4060814316667658</v>
      </c>
    </row>
    <row r="7989" spans="1:4" x14ac:dyDescent="0.3">
      <c r="A7989" s="1">
        <v>37523</v>
      </c>
      <c r="B7989">
        <v>1182.170044</v>
      </c>
      <c r="C7989">
        <f t="shared" si="265"/>
        <v>-2.3292598501345515E-3</v>
      </c>
      <c r="D7989">
        <f t="shared" si="264"/>
        <v>-0.22350916194708606</v>
      </c>
    </row>
    <row r="7990" spans="1:4" x14ac:dyDescent="0.3">
      <c r="A7990" s="1">
        <v>37524</v>
      </c>
      <c r="B7990">
        <v>1222.290039</v>
      </c>
      <c r="C7990">
        <f t="shared" si="265"/>
        <v>3.3937583855745225E-2</v>
      </c>
      <c r="D7990">
        <f t="shared" si="264"/>
        <v>2.67768920437089</v>
      </c>
    </row>
    <row r="7991" spans="1:4" x14ac:dyDescent="0.3">
      <c r="A7991" s="1">
        <v>37525</v>
      </c>
      <c r="B7991">
        <v>1221.6099850000001</v>
      </c>
      <c r="C7991">
        <f t="shared" si="265"/>
        <v>-5.5637694679759012E-4</v>
      </c>
      <c r="D7991">
        <f t="shared" si="264"/>
        <v>-8.1685819818187941E-2</v>
      </c>
    </row>
    <row r="7992" spans="1:4" x14ac:dyDescent="0.3">
      <c r="A7992" s="1">
        <v>37526</v>
      </c>
      <c r="B7992">
        <v>1199.160034</v>
      </c>
      <c r="C7992">
        <f t="shared" si="265"/>
        <v>-1.8377347333158916E-2</v>
      </c>
      <c r="D7992">
        <f t="shared" si="264"/>
        <v>-1.5072901704589985</v>
      </c>
    </row>
    <row r="7993" spans="1:4" x14ac:dyDescent="0.3">
      <c r="A7993" s="1">
        <v>37529</v>
      </c>
      <c r="B7993">
        <v>1172.0600589999999</v>
      </c>
      <c r="C7993">
        <f t="shared" si="265"/>
        <v>-2.2599131251567449E-2</v>
      </c>
      <c r="D7993">
        <f t="shared" si="264"/>
        <v>-1.8450155238524781</v>
      </c>
    </row>
    <row r="7994" spans="1:4" x14ac:dyDescent="0.3">
      <c r="A7994" s="1">
        <v>37530</v>
      </c>
      <c r="B7994">
        <v>1213.719971</v>
      </c>
      <c r="C7994">
        <f t="shared" si="265"/>
        <v>3.554417854281653E-2</v>
      </c>
      <c r="D7994">
        <f t="shared" si="264"/>
        <v>2.8062101729797666</v>
      </c>
    </row>
    <row r="7995" spans="1:4" x14ac:dyDescent="0.3">
      <c r="A7995" s="1">
        <v>37531</v>
      </c>
      <c r="B7995">
        <v>1187.3000489999999</v>
      </c>
      <c r="C7995">
        <f t="shared" si="265"/>
        <v>-2.1767724542121787E-2</v>
      </c>
      <c r="D7995">
        <f t="shared" si="264"/>
        <v>-1.7785064058616422</v>
      </c>
    </row>
    <row r="7996" spans="1:4" x14ac:dyDescent="0.3">
      <c r="A7996" s="1">
        <v>37532</v>
      </c>
      <c r="B7996">
        <v>1165.5600589999999</v>
      </c>
      <c r="C7996">
        <f t="shared" si="265"/>
        <v>-1.831044310855582E-2</v>
      </c>
      <c r="D7996">
        <f t="shared" si="264"/>
        <v>-1.5019381076025662</v>
      </c>
    </row>
    <row r="7997" spans="1:4" x14ac:dyDescent="0.3">
      <c r="A7997" s="1">
        <v>37533</v>
      </c>
      <c r="B7997">
        <v>1139.900024</v>
      </c>
      <c r="C7997">
        <f t="shared" si="265"/>
        <v>-2.2015197588372306E-2</v>
      </c>
      <c r="D7997">
        <f t="shared" si="264"/>
        <v>-1.7983032319464372</v>
      </c>
    </row>
    <row r="7998" spans="1:4" x14ac:dyDescent="0.3">
      <c r="A7998" s="1">
        <v>37536</v>
      </c>
      <c r="B7998">
        <v>1119.400024</v>
      </c>
      <c r="C7998">
        <f t="shared" si="265"/>
        <v>-1.7984033308521098E-2</v>
      </c>
      <c r="D7998">
        <f t="shared" si="264"/>
        <v>-1.4758266658049062</v>
      </c>
    </row>
    <row r="7999" spans="1:4" x14ac:dyDescent="0.3">
      <c r="A7999" s="1">
        <v>37537</v>
      </c>
      <c r="B7999">
        <v>1129.219971</v>
      </c>
      <c r="C7999">
        <f t="shared" si="265"/>
        <v>8.7725091919418751E-3</v>
      </c>
      <c r="D7999">
        <f t="shared" si="264"/>
        <v>0.66458671067195318</v>
      </c>
    </row>
    <row r="8000" spans="1:4" x14ac:dyDescent="0.3">
      <c r="A8000" s="1">
        <v>37538</v>
      </c>
      <c r="B8000">
        <v>1114.1099850000001</v>
      </c>
      <c r="C8000">
        <f t="shared" si="265"/>
        <v>-1.3380905747370931E-2</v>
      </c>
      <c r="D8000">
        <f t="shared" si="264"/>
        <v>-1.1075953890865244</v>
      </c>
    </row>
    <row r="8001" spans="1:4" x14ac:dyDescent="0.3">
      <c r="A8001" s="1">
        <v>37539</v>
      </c>
      <c r="B8001">
        <v>1163.369995</v>
      </c>
      <c r="C8001">
        <f t="shared" si="265"/>
        <v>4.4214674191255868E-2</v>
      </c>
      <c r="D8001">
        <f t="shared" si="264"/>
        <v>3.4998141715637705</v>
      </c>
    </row>
    <row r="8002" spans="1:4" x14ac:dyDescent="0.3">
      <c r="A8002" s="1">
        <v>37540</v>
      </c>
      <c r="B8002">
        <v>1210.469971</v>
      </c>
      <c r="C8002">
        <f t="shared" si="265"/>
        <v>4.0485809503794164E-2</v>
      </c>
      <c r="D8002">
        <f t="shared" si="264"/>
        <v>3.2015203297500481</v>
      </c>
    </row>
    <row r="8003" spans="1:4" x14ac:dyDescent="0.3">
      <c r="A8003" s="1">
        <v>37543</v>
      </c>
      <c r="B8003">
        <v>1220.530029</v>
      </c>
      <c r="C8003">
        <f t="shared" si="265"/>
        <v>8.3108695308559844E-3</v>
      </c>
      <c r="D8003">
        <f t="shared" ref="D8003:D8066" si="266">(C8003-avrtn)/sdrtn</f>
        <v>0.62765743605871094</v>
      </c>
    </row>
    <row r="8004" spans="1:4" x14ac:dyDescent="0.3">
      <c r="A8004" s="1">
        <v>37544</v>
      </c>
      <c r="B8004">
        <v>1282.4399410000001</v>
      </c>
      <c r="C8004">
        <f t="shared" ref="C8004:C8067" si="267">(B8004-B8003)/B8003</f>
        <v>5.0723792556520604E-2</v>
      </c>
      <c r="D8004">
        <f t="shared" si="266"/>
        <v>4.0205168751303004</v>
      </c>
    </row>
    <row r="8005" spans="1:4" x14ac:dyDescent="0.3">
      <c r="A8005" s="1">
        <v>37545</v>
      </c>
      <c r="B8005">
        <v>1232.420044</v>
      </c>
      <c r="C8005">
        <f t="shared" si="267"/>
        <v>-3.9003695534464117E-2</v>
      </c>
      <c r="D8005">
        <f t="shared" si="266"/>
        <v>-3.1573132105128145</v>
      </c>
    </row>
    <row r="8006" spans="1:4" x14ac:dyDescent="0.3">
      <c r="A8006" s="1">
        <v>37546</v>
      </c>
      <c r="B8006">
        <v>1272.290039</v>
      </c>
      <c r="C8006">
        <f t="shared" si="267"/>
        <v>3.2350979030328089E-2</v>
      </c>
      <c r="D8006">
        <f t="shared" si="266"/>
        <v>2.5507673424955444</v>
      </c>
    </row>
    <row r="8007" spans="1:4" x14ac:dyDescent="0.3">
      <c r="A8007" s="1">
        <v>37547</v>
      </c>
      <c r="B8007">
        <v>1287.8599850000001</v>
      </c>
      <c r="C8007">
        <f t="shared" si="267"/>
        <v>1.2237733160465366E-2</v>
      </c>
      <c r="D8007">
        <f t="shared" si="266"/>
        <v>0.94179037906773222</v>
      </c>
    </row>
    <row r="8008" spans="1:4" x14ac:dyDescent="0.3">
      <c r="A8008" s="1">
        <v>37550</v>
      </c>
      <c r="B8008">
        <v>1309.670044</v>
      </c>
      <c r="C8008">
        <f t="shared" si="267"/>
        <v>1.6935116591886276E-2</v>
      </c>
      <c r="D8008">
        <f t="shared" si="266"/>
        <v>1.3175617378253186</v>
      </c>
    </row>
    <row r="8009" spans="1:4" x14ac:dyDescent="0.3">
      <c r="A8009" s="1">
        <v>37551</v>
      </c>
      <c r="B8009">
        <v>1292.8000489999999</v>
      </c>
      <c r="C8009">
        <f t="shared" si="267"/>
        <v>-1.2881103204037259E-2</v>
      </c>
      <c r="D8009">
        <f t="shared" si="266"/>
        <v>-1.0676132408201693</v>
      </c>
    </row>
    <row r="8010" spans="1:4" x14ac:dyDescent="0.3">
      <c r="A8010" s="1">
        <v>37552</v>
      </c>
      <c r="B8010">
        <v>1320.2299800000001</v>
      </c>
      <c r="C8010">
        <f t="shared" si="267"/>
        <v>2.1217458199524034E-2</v>
      </c>
      <c r="D8010">
        <f t="shared" si="266"/>
        <v>1.6601314573424302</v>
      </c>
    </row>
    <row r="8011" spans="1:4" x14ac:dyDescent="0.3">
      <c r="A8011" s="1">
        <v>37553</v>
      </c>
      <c r="B8011">
        <v>1298.709961</v>
      </c>
      <c r="C8011">
        <f t="shared" si="267"/>
        <v>-1.6300204756750068E-2</v>
      </c>
      <c r="D8011">
        <f t="shared" si="266"/>
        <v>-1.341127305607601</v>
      </c>
    </row>
    <row r="8012" spans="1:4" x14ac:dyDescent="0.3">
      <c r="A8012" s="1">
        <v>37554</v>
      </c>
      <c r="B8012">
        <v>1331.130005</v>
      </c>
      <c r="C8012">
        <f t="shared" si="267"/>
        <v>2.4963267375755473E-2</v>
      </c>
      <c r="D8012">
        <f t="shared" si="266"/>
        <v>1.959780788581577</v>
      </c>
    </row>
    <row r="8013" spans="1:4" x14ac:dyDescent="0.3">
      <c r="A8013" s="1">
        <v>37557</v>
      </c>
      <c r="B8013">
        <v>1315.829956</v>
      </c>
      <c r="C8013">
        <f t="shared" si="267"/>
        <v>-1.149403059245137E-2</v>
      </c>
      <c r="D8013">
        <f t="shared" si="266"/>
        <v>-0.95665313556995768</v>
      </c>
    </row>
    <row r="8014" spans="1:4" x14ac:dyDescent="0.3">
      <c r="A8014" s="1">
        <v>37558</v>
      </c>
      <c r="B8014">
        <v>1300.540039</v>
      </c>
      <c r="C8014">
        <f t="shared" si="267"/>
        <v>-1.161997941320623E-2</v>
      </c>
      <c r="D8014">
        <f t="shared" si="266"/>
        <v>-0.96672852332570103</v>
      </c>
    </row>
    <row r="8015" spans="1:4" x14ac:dyDescent="0.3">
      <c r="A8015" s="1">
        <v>37559</v>
      </c>
      <c r="B8015">
        <v>1326.7299800000001</v>
      </c>
      <c r="C8015">
        <f t="shared" si="267"/>
        <v>2.0137742948796743E-2</v>
      </c>
      <c r="D8015">
        <f t="shared" si="266"/>
        <v>1.5737586770998868</v>
      </c>
    </row>
    <row r="8016" spans="1:4" x14ac:dyDescent="0.3">
      <c r="A8016" s="1">
        <v>37560</v>
      </c>
      <c r="B8016">
        <v>1329.75</v>
      </c>
      <c r="C8016">
        <f t="shared" si="267"/>
        <v>2.2762883522085865E-3</v>
      </c>
      <c r="D8016">
        <f t="shared" si="266"/>
        <v>0.1449157561129972</v>
      </c>
    </row>
    <row r="8017" spans="1:4" x14ac:dyDescent="0.3">
      <c r="A8017" s="1">
        <v>37561</v>
      </c>
      <c r="B8017">
        <v>1360.6999510000001</v>
      </c>
      <c r="C8017">
        <f t="shared" si="267"/>
        <v>2.3275014852415909E-2</v>
      </c>
      <c r="D8017">
        <f t="shared" si="266"/>
        <v>1.8247275288502687</v>
      </c>
    </row>
    <row r="8018" spans="1:4" x14ac:dyDescent="0.3">
      <c r="A8018" s="1">
        <v>37564</v>
      </c>
      <c r="B8018">
        <v>1396.540039</v>
      </c>
      <c r="C8018">
        <f t="shared" si="267"/>
        <v>2.633944976161752E-2</v>
      </c>
      <c r="D8018">
        <f t="shared" si="266"/>
        <v>2.0698697205547569</v>
      </c>
    </row>
    <row r="8019" spans="1:4" x14ac:dyDescent="0.3">
      <c r="A8019" s="1">
        <v>37565</v>
      </c>
      <c r="B8019">
        <v>1401.170044</v>
      </c>
      <c r="C8019">
        <f t="shared" si="267"/>
        <v>3.3153399621219043E-3</v>
      </c>
      <c r="D8019">
        <f t="shared" si="266"/>
        <v>0.22803561230031283</v>
      </c>
    </row>
    <row r="8020" spans="1:4" x14ac:dyDescent="0.3">
      <c r="A8020" s="1">
        <v>37566</v>
      </c>
      <c r="B8020">
        <v>1418.98999</v>
      </c>
      <c r="C8020">
        <f t="shared" si="267"/>
        <v>1.2717903923444194E-2</v>
      </c>
      <c r="D8020">
        <f t="shared" si="266"/>
        <v>0.98020206563206314</v>
      </c>
    </row>
    <row r="8021" spans="1:4" x14ac:dyDescent="0.3">
      <c r="A8021" s="1">
        <v>37567</v>
      </c>
      <c r="B8021">
        <v>1376.709961</v>
      </c>
      <c r="C8021">
        <f t="shared" si="267"/>
        <v>-2.9795861350649846E-2</v>
      </c>
      <c r="D8021">
        <f t="shared" si="266"/>
        <v>-2.4207243386480766</v>
      </c>
    </row>
    <row r="8022" spans="1:4" x14ac:dyDescent="0.3">
      <c r="A8022" s="1">
        <v>37568</v>
      </c>
      <c r="B8022">
        <v>1359.280029</v>
      </c>
      <c r="C8022">
        <f t="shared" si="267"/>
        <v>-1.2660569396432229E-2</v>
      </c>
      <c r="D8022">
        <f t="shared" si="266"/>
        <v>-1.0499714430522022</v>
      </c>
    </row>
    <row r="8023" spans="1:4" x14ac:dyDescent="0.3">
      <c r="A8023" s="1">
        <v>37571</v>
      </c>
      <c r="B8023">
        <v>1319.1899410000001</v>
      </c>
      <c r="C8023">
        <f t="shared" si="267"/>
        <v>-2.9493619522603848E-2</v>
      </c>
      <c r="D8023">
        <f t="shared" si="266"/>
        <v>-2.3965462352302196</v>
      </c>
    </row>
    <row r="8024" spans="1:4" x14ac:dyDescent="0.3">
      <c r="A8024" s="1">
        <v>37572</v>
      </c>
      <c r="B8024">
        <v>1349.5600589999999</v>
      </c>
      <c r="C8024">
        <f t="shared" si="267"/>
        <v>2.3021793189976891E-2</v>
      </c>
      <c r="D8024">
        <f t="shared" si="266"/>
        <v>1.8044708371088449</v>
      </c>
    </row>
    <row r="8025" spans="1:4" x14ac:dyDescent="0.3">
      <c r="A8025" s="1">
        <v>37573</v>
      </c>
      <c r="B8025">
        <v>1361.329956</v>
      </c>
      <c r="C8025">
        <f t="shared" si="267"/>
        <v>8.7212843337416291E-3</v>
      </c>
      <c r="D8025">
        <f t="shared" si="266"/>
        <v>0.66048893265380904</v>
      </c>
    </row>
    <row r="8026" spans="1:4" x14ac:dyDescent="0.3">
      <c r="A8026" s="1">
        <v>37574</v>
      </c>
      <c r="B8026">
        <v>1411.5200199999999</v>
      </c>
      <c r="C8026">
        <f t="shared" si="267"/>
        <v>3.6868404885082758E-2</v>
      </c>
      <c r="D8026">
        <f t="shared" si="266"/>
        <v>2.9121428351098086</v>
      </c>
    </row>
    <row r="8027" spans="1:4" x14ac:dyDescent="0.3">
      <c r="A8027" s="1">
        <v>37575</v>
      </c>
      <c r="B8027">
        <v>1411.1400149999999</v>
      </c>
      <c r="C8027">
        <f t="shared" si="267"/>
        <v>-2.6921686877667014E-4</v>
      </c>
      <c r="D8027">
        <f t="shared" si="266"/>
        <v>-5.8714194385810783E-2</v>
      </c>
    </row>
    <row r="8028" spans="1:4" x14ac:dyDescent="0.3">
      <c r="A8028" s="1">
        <v>37578</v>
      </c>
      <c r="B8028">
        <v>1393.6899410000001</v>
      </c>
      <c r="C8028">
        <f t="shared" si="267"/>
        <v>-1.2365940880784859E-2</v>
      </c>
      <c r="D8028">
        <f t="shared" si="266"/>
        <v>-1.0264023733201082</v>
      </c>
    </row>
    <row r="8029" spans="1:4" x14ac:dyDescent="0.3">
      <c r="A8029" s="1">
        <v>37579</v>
      </c>
      <c r="B8029">
        <v>1374.51001</v>
      </c>
      <c r="C8029">
        <f t="shared" si="267"/>
        <v>-1.3761978497339332E-2</v>
      </c>
      <c r="D8029">
        <f t="shared" si="266"/>
        <v>-1.1380796421034856</v>
      </c>
    </row>
    <row r="8030" spans="1:4" x14ac:dyDescent="0.3">
      <c r="A8030" s="1">
        <v>37580</v>
      </c>
      <c r="B8030">
        <v>1419.349976</v>
      </c>
      <c r="C8030">
        <f t="shared" si="267"/>
        <v>3.2622509602531019E-2</v>
      </c>
      <c r="D8030">
        <f t="shared" si="266"/>
        <v>2.5724886717313944</v>
      </c>
    </row>
    <row r="8031" spans="1:4" x14ac:dyDescent="0.3">
      <c r="A8031" s="1">
        <v>37581</v>
      </c>
      <c r="B8031">
        <v>1467.5500489999999</v>
      </c>
      <c r="C8031">
        <f t="shared" si="267"/>
        <v>3.3959258685329327E-2</v>
      </c>
      <c r="D8031">
        <f t="shared" si="266"/>
        <v>2.6794231016101864</v>
      </c>
    </row>
    <row r="8032" spans="1:4" x14ac:dyDescent="0.3">
      <c r="A8032" s="1">
        <v>37582</v>
      </c>
      <c r="B8032">
        <v>1468.73999</v>
      </c>
      <c r="C8032">
        <f t="shared" si="267"/>
        <v>8.1083503817190085E-4</v>
      </c>
      <c r="D8032">
        <f t="shared" si="266"/>
        <v>2.7685516970096316E-2</v>
      </c>
    </row>
    <row r="8033" spans="1:4" x14ac:dyDescent="0.3">
      <c r="A8033" s="1">
        <v>37585</v>
      </c>
      <c r="B8033">
        <v>1481.900024</v>
      </c>
      <c r="C8033">
        <f t="shared" si="267"/>
        <v>8.9600842147696917E-3</v>
      </c>
      <c r="D8033">
        <f t="shared" si="266"/>
        <v>0.67959194118507582</v>
      </c>
    </row>
    <row r="8034" spans="1:4" x14ac:dyDescent="0.3">
      <c r="A8034" s="1">
        <v>37586</v>
      </c>
      <c r="B8034">
        <v>1444.4300539999999</v>
      </c>
      <c r="C8034">
        <f t="shared" si="267"/>
        <v>-2.5285086303500931E-2</v>
      </c>
      <c r="D8034">
        <f t="shared" si="266"/>
        <v>-2.0598808832939883</v>
      </c>
    </row>
    <row r="8035" spans="1:4" x14ac:dyDescent="0.3">
      <c r="A8035" s="1">
        <v>37587</v>
      </c>
      <c r="B8035">
        <v>1487.9399410000001</v>
      </c>
      <c r="C8035">
        <f t="shared" si="267"/>
        <v>3.0122529560715001E-2</v>
      </c>
      <c r="D8035">
        <f t="shared" si="266"/>
        <v>2.37250054836547</v>
      </c>
    </row>
    <row r="8036" spans="1:4" x14ac:dyDescent="0.3">
      <c r="A8036" s="1">
        <v>37589</v>
      </c>
      <c r="B8036">
        <v>1478.780029</v>
      </c>
      <c r="C8036">
        <f t="shared" si="267"/>
        <v>-6.1561033127748238E-3</v>
      </c>
      <c r="D8036">
        <f t="shared" si="266"/>
        <v>-0.52964090288396271</v>
      </c>
    </row>
    <row r="8037" spans="1:4" x14ac:dyDescent="0.3">
      <c r="A8037" s="1">
        <v>37592</v>
      </c>
      <c r="B8037">
        <v>1484.780029</v>
      </c>
      <c r="C8037">
        <f t="shared" si="267"/>
        <v>4.0573985868996342E-3</v>
      </c>
      <c r="D8037">
        <f t="shared" si="266"/>
        <v>0.28739725091923352</v>
      </c>
    </row>
    <row r="8038" spans="1:4" x14ac:dyDescent="0.3">
      <c r="A8038" s="1">
        <v>37593</v>
      </c>
      <c r="B8038">
        <v>1448.959961</v>
      </c>
      <c r="C8038">
        <f t="shared" si="267"/>
        <v>-2.4124831490442946E-2</v>
      </c>
      <c r="D8038">
        <f t="shared" si="266"/>
        <v>-1.9670652692456487</v>
      </c>
    </row>
    <row r="8039" spans="1:4" x14ac:dyDescent="0.3">
      <c r="A8039" s="1">
        <v>37594</v>
      </c>
      <c r="B8039">
        <v>1430.349976</v>
      </c>
      <c r="C8039">
        <f t="shared" si="267"/>
        <v>-1.2843684781432033E-2</v>
      </c>
      <c r="D8039">
        <f t="shared" si="266"/>
        <v>-1.0646199208772242</v>
      </c>
    </row>
    <row r="8040" spans="1:4" x14ac:dyDescent="0.3">
      <c r="A8040" s="1">
        <v>37595</v>
      </c>
      <c r="B8040">
        <v>1410.75</v>
      </c>
      <c r="C8040">
        <f t="shared" si="267"/>
        <v>-1.3702923290712155E-2</v>
      </c>
      <c r="D8040">
        <f t="shared" si="266"/>
        <v>-1.133355468409772</v>
      </c>
    </row>
    <row r="8041" spans="1:4" x14ac:dyDescent="0.3">
      <c r="A8041" s="1">
        <v>37596</v>
      </c>
      <c r="B8041">
        <v>1422.4399410000001</v>
      </c>
      <c r="C8041">
        <f t="shared" si="267"/>
        <v>8.2863306751728445E-3</v>
      </c>
      <c r="D8041">
        <f t="shared" si="266"/>
        <v>0.62569442850843726</v>
      </c>
    </row>
    <row r="8042" spans="1:4" x14ac:dyDescent="0.3">
      <c r="A8042" s="1">
        <v>37599</v>
      </c>
      <c r="B8042">
        <v>1367.1400149999999</v>
      </c>
      <c r="C8042">
        <f t="shared" si="267"/>
        <v>-3.8876809070141356E-2</v>
      </c>
      <c r="D8042">
        <f t="shared" si="266"/>
        <v>-3.1471628151272526</v>
      </c>
    </row>
    <row r="8043" spans="1:4" x14ac:dyDescent="0.3">
      <c r="A8043" s="1">
        <v>37600</v>
      </c>
      <c r="B8043">
        <v>1390.76001</v>
      </c>
      <c r="C8043">
        <f t="shared" si="267"/>
        <v>1.7276939260679906E-2</v>
      </c>
      <c r="D8043">
        <f t="shared" si="266"/>
        <v>1.3449061457455964</v>
      </c>
    </row>
    <row r="8044" spans="1:4" x14ac:dyDescent="0.3">
      <c r="A8044" s="1">
        <v>37601</v>
      </c>
      <c r="B8044">
        <v>1396.589966</v>
      </c>
      <c r="C8044">
        <f t="shared" si="267"/>
        <v>4.191920933935998E-3</v>
      </c>
      <c r="D8044">
        <f t="shared" si="266"/>
        <v>0.29815848552294633</v>
      </c>
    </row>
    <row r="8045" spans="1:4" x14ac:dyDescent="0.3">
      <c r="A8045" s="1">
        <v>37602</v>
      </c>
      <c r="B8045">
        <v>1399.5500489999999</v>
      </c>
      <c r="C8045">
        <f t="shared" si="267"/>
        <v>2.1195075663317064E-3</v>
      </c>
      <c r="D8045">
        <f t="shared" si="266"/>
        <v>0.13237393792929047</v>
      </c>
    </row>
    <row r="8046" spans="1:4" x14ac:dyDescent="0.3">
      <c r="A8046" s="1">
        <v>37603</v>
      </c>
      <c r="B8046">
        <v>1362.420044</v>
      </c>
      <c r="C8046">
        <f t="shared" si="267"/>
        <v>-2.6529958701033911E-2</v>
      </c>
      <c r="D8046">
        <f t="shared" si="266"/>
        <v>-2.159465556150741</v>
      </c>
    </row>
    <row r="8047" spans="1:4" x14ac:dyDescent="0.3">
      <c r="A8047" s="1">
        <v>37606</v>
      </c>
      <c r="B8047">
        <v>1400.329956</v>
      </c>
      <c r="C8047">
        <f t="shared" si="267"/>
        <v>2.7825421511488035E-2</v>
      </c>
      <c r="D8047">
        <f t="shared" si="266"/>
        <v>2.1887413501920516</v>
      </c>
    </row>
    <row r="8048" spans="1:4" x14ac:dyDescent="0.3">
      <c r="A8048" s="1">
        <v>37607</v>
      </c>
      <c r="B8048">
        <v>1392.0500489999999</v>
      </c>
      <c r="C8048">
        <f t="shared" si="267"/>
        <v>-5.9128257340515635E-3</v>
      </c>
      <c r="D8048">
        <f t="shared" si="266"/>
        <v>-0.51017969694948295</v>
      </c>
    </row>
    <row r="8049" spans="1:4" x14ac:dyDescent="0.3">
      <c r="A8049" s="1">
        <v>37608</v>
      </c>
      <c r="B8049">
        <v>1361.51001</v>
      </c>
      <c r="C8049">
        <f t="shared" si="267"/>
        <v>-2.1938894382381492E-2</v>
      </c>
      <c r="D8049">
        <f t="shared" si="266"/>
        <v>-1.7921992892278298</v>
      </c>
    </row>
    <row r="8050" spans="1:4" x14ac:dyDescent="0.3">
      <c r="A8050" s="1">
        <v>37609</v>
      </c>
      <c r="B8050">
        <v>1354.099976</v>
      </c>
      <c r="C8050">
        <f t="shared" si="267"/>
        <v>-5.4425115831502379E-3</v>
      </c>
      <c r="D8050">
        <f t="shared" si="266"/>
        <v>-0.4725564988207212</v>
      </c>
    </row>
    <row r="8051" spans="1:4" x14ac:dyDescent="0.3">
      <c r="A8051" s="1">
        <v>37610</v>
      </c>
      <c r="B8051">
        <v>1363.0500489999999</v>
      </c>
      <c r="C8051">
        <f t="shared" si="267"/>
        <v>6.6096101902596701E-3</v>
      </c>
      <c r="D8051">
        <f t="shared" si="266"/>
        <v>0.49156368443121473</v>
      </c>
    </row>
    <row r="8052" spans="1:4" x14ac:dyDescent="0.3">
      <c r="A8052" s="1">
        <v>37613</v>
      </c>
      <c r="B8052">
        <v>1381.6899410000001</v>
      </c>
      <c r="C8052">
        <f t="shared" si="267"/>
        <v>1.3675133949538596E-2</v>
      </c>
      <c r="D8052">
        <f t="shared" si="266"/>
        <v>1.0567765315662285</v>
      </c>
    </row>
    <row r="8053" spans="1:4" x14ac:dyDescent="0.3">
      <c r="A8053" s="1">
        <v>37614</v>
      </c>
      <c r="B8053">
        <v>1372.469971</v>
      </c>
      <c r="C8053">
        <f t="shared" si="267"/>
        <v>-6.6729660008432402E-3</v>
      </c>
      <c r="D8053">
        <f t="shared" si="266"/>
        <v>-0.57098779257736321</v>
      </c>
    </row>
    <row r="8054" spans="1:4" x14ac:dyDescent="0.3">
      <c r="A8054" s="1">
        <v>37616</v>
      </c>
      <c r="B8054">
        <v>1367.8900149999999</v>
      </c>
      <c r="C8054">
        <f t="shared" si="267"/>
        <v>-3.3370172730722999E-3</v>
      </c>
      <c r="D8054">
        <f t="shared" si="266"/>
        <v>-0.30412561185882186</v>
      </c>
    </row>
    <row r="8055" spans="1:4" x14ac:dyDescent="0.3">
      <c r="A8055" s="1">
        <v>37617</v>
      </c>
      <c r="B8055">
        <v>1348.3100589999999</v>
      </c>
      <c r="C8055">
        <f t="shared" si="267"/>
        <v>-1.4313984154639831E-2</v>
      </c>
      <c r="D8055">
        <f t="shared" si="266"/>
        <v>-1.1822378248266998</v>
      </c>
    </row>
    <row r="8056" spans="1:4" x14ac:dyDescent="0.3">
      <c r="A8056" s="1">
        <v>37620</v>
      </c>
      <c r="B8056">
        <v>1339.540039</v>
      </c>
      <c r="C8056">
        <f t="shared" si="267"/>
        <v>-6.5044534389251578E-3</v>
      </c>
      <c r="D8056">
        <f t="shared" si="266"/>
        <v>-0.55750748055171162</v>
      </c>
    </row>
    <row r="8057" spans="1:4" x14ac:dyDescent="0.3">
      <c r="A8057" s="1">
        <v>37621</v>
      </c>
      <c r="B8057">
        <v>1335.51001</v>
      </c>
      <c r="C8057">
        <f t="shared" si="267"/>
        <v>-3.0085170152946905E-3</v>
      </c>
      <c r="D8057">
        <f t="shared" si="266"/>
        <v>-0.27784694203774446</v>
      </c>
    </row>
    <row r="8058" spans="1:4" x14ac:dyDescent="0.3">
      <c r="A8058" s="1">
        <v>37623</v>
      </c>
      <c r="B8058">
        <v>1384.849976</v>
      </c>
      <c r="C8058">
        <f t="shared" si="267"/>
        <v>3.6944662062098663E-2</v>
      </c>
      <c r="D8058">
        <f t="shared" si="266"/>
        <v>2.9182430956996956</v>
      </c>
    </row>
    <row r="8059" spans="1:4" x14ac:dyDescent="0.3">
      <c r="A8059" s="1">
        <v>37624</v>
      </c>
      <c r="B8059">
        <v>1387.079956</v>
      </c>
      <c r="C8059">
        <f t="shared" si="267"/>
        <v>1.6102682880070099E-3</v>
      </c>
      <c r="D8059">
        <f t="shared" si="266"/>
        <v>9.1636889667739391E-2</v>
      </c>
    </row>
    <row r="8060" spans="1:4" x14ac:dyDescent="0.3">
      <c r="A8060" s="1">
        <v>37627</v>
      </c>
      <c r="B8060">
        <v>1421.3199460000001</v>
      </c>
      <c r="C8060">
        <f t="shared" si="267"/>
        <v>2.4684943252110576E-2</v>
      </c>
      <c r="D8060">
        <f t="shared" si="266"/>
        <v>1.9375160031656202</v>
      </c>
    </row>
    <row r="8061" spans="1:4" x14ac:dyDescent="0.3">
      <c r="A8061" s="1">
        <v>37628</v>
      </c>
      <c r="B8061">
        <v>1431.5699460000001</v>
      </c>
      <c r="C8061">
        <f t="shared" si="267"/>
        <v>7.2116063866171903E-3</v>
      </c>
      <c r="D8061">
        <f t="shared" si="266"/>
        <v>0.53972090471666567</v>
      </c>
    </row>
    <row r="8062" spans="1:4" x14ac:dyDescent="0.3">
      <c r="A8062" s="1">
        <v>37629</v>
      </c>
      <c r="B8062">
        <v>1401.0699460000001</v>
      </c>
      <c r="C8062">
        <f t="shared" si="267"/>
        <v>-2.1305281020477639E-2</v>
      </c>
      <c r="D8062">
        <f t="shared" si="266"/>
        <v>-1.7415128257092338</v>
      </c>
    </row>
    <row r="8063" spans="1:4" x14ac:dyDescent="0.3">
      <c r="A8063" s="1">
        <v>37630</v>
      </c>
      <c r="B8063">
        <v>1438.459961</v>
      </c>
      <c r="C8063">
        <f t="shared" si="267"/>
        <v>2.6686758292651255E-2</v>
      </c>
      <c r="D8063">
        <f t="shared" si="266"/>
        <v>2.0976529748962425</v>
      </c>
    </row>
    <row r="8064" spans="1:4" x14ac:dyDescent="0.3">
      <c r="A8064" s="1">
        <v>37631</v>
      </c>
      <c r="B8064">
        <v>1447.719971</v>
      </c>
      <c r="C8064">
        <f t="shared" si="267"/>
        <v>6.4374471664560744E-3</v>
      </c>
      <c r="D8064">
        <f t="shared" si="266"/>
        <v>0.47779135046551102</v>
      </c>
    </row>
    <row r="8065" spans="1:4" x14ac:dyDescent="0.3">
      <c r="A8065" s="1">
        <v>37634</v>
      </c>
      <c r="B8065">
        <v>1446.040039</v>
      </c>
      <c r="C8065">
        <f t="shared" si="267"/>
        <v>-1.1603984428284219E-3</v>
      </c>
      <c r="D8065">
        <f t="shared" si="266"/>
        <v>-0.13000505574942181</v>
      </c>
    </row>
    <row r="8066" spans="1:4" x14ac:dyDescent="0.3">
      <c r="A8066" s="1">
        <v>37635</v>
      </c>
      <c r="B8066">
        <v>1460.98999</v>
      </c>
      <c r="C8066">
        <f t="shared" si="267"/>
        <v>1.0338545681168414E-2</v>
      </c>
      <c r="D8066">
        <f t="shared" si="266"/>
        <v>0.78986319022955465</v>
      </c>
    </row>
    <row r="8067" spans="1:4" x14ac:dyDescent="0.3">
      <c r="A8067" s="1">
        <v>37636</v>
      </c>
      <c r="B8067">
        <v>1438.8000489999999</v>
      </c>
      <c r="C8067">
        <f t="shared" si="267"/>
        <v>-1.5188290920460097E-2</v>
      </c>
      <c r="D8067">
        <f t="shared" ref="D8067:D8130" si="268">(C8067-avrtn)/sdrtn</f>
        <v>-1.252178770921418</v>
      </c>
    </row>
    <row r="8068" spans="1:4" x14ac:dyDescent="0.3">
      <c r="A8068" s="1">
        <v>37637</v>
      </c>
      <c r="B8068">
        <v>1423.75</v>
      </c>
      <c r="C8068">
        <f t="shared" ref="C8068:C8131" si="269">(B8068-B8067)/B8067</f>
        <v>-1.0460139343517597E-2</v>
      </c>
      <c r="D8068">
        <f t="shared" si="268"/>
        <v>-0.87394608704147447</v>
      </c>
    </row>
    <row r="8069" spans="1:4" x14ac:dyDescent="0.3">
      <c r="A8069" s="1">
        <v>37638</v>
      </c>
      <c r="B8069">
        <v>1376.1899410000001</v>
      </c>
      <c r="C8069">
        <f t="shared" si="269"/>
        <v>-3.3404782440737427E-2</v>
      </c>
      <c r="D8069">
        <f t="shared" si="268"/>
        <v>-2.7094231858828879</v>
      </c>
    </row>
    <row r="8070" spans="1:4" x14ac:dyDescent="0.3">
      <c r="A8070" s="1">
        <v>37642</v>
      </c>
      <c r="B8070">
        <v>1364.25</v>
      </c>
      <c r="C8070">
        <f t="shared" si="269"/>
        <v>-8.6760850695682349E-3</v>
      </c>
      <c r="D8070">
        <f t="shared" si="268"/>
        <v>-0.73122908120053487</v>
      </c>
    </row>
    <row r="8071" spans="1:4" x14ac:dyDescent="0.3">
      <c r="A8071" s="1">
        <v>37643</v>
      </c>
      <c r="B8071">
        <v>1359.4799800000001</v>
      </c>
      <c r="C8071">
        <f t="shared" si="269"/>
        <v>-3.4964412680959732E-3</v>
      </c>
      <c r="D8071">
        <f t="shared" si="268"/>
        <v>-0.31687887590533109</v>
      </c>
    </row>
    <row r="8072" spans="1:4" x14ac:dyDescent="0.3">
      <c r="A8072" s="1">
        <v>37644</v>
      </c>
      <c r="B8072">
        <v>1388.2700199999999</v>
      </c>
      <c r="C8072">
        <f t="shared" si="269"/>
        <v>2.1177244551993962E-2</v>
      </c>
      <c r="D8072">
        <f t="shared" si="268"/>
        <v>1.6569145308995312</v>
      </c>
    </row>
    <row r="8073" spans="1:4" x14ac:dyDescent="0.3">
      <c r="A8073" s="1">
        <v>37645</v>
      </c>
      <c r="B8073">
        <v>1342.1400149999999</v>
      </c>
      <c r="C8073">
        <f t="shared" si="269"/>
        <v>-3.3228409700873596E-2</v>
      </c>
      <c r="D8073">
        <f t="shared" si="268"/>
        <v>-2.6953140919428211</v>
      </c>
    </row>
    <row r="8074" spans="1:4" x14ac:dyDescent="0.3">
      <c r="A8074" s="1">
        <v>37648</v>
      </c>
      <c r="B8074">
        <v>1325.2700199999999</v>
      </c>
      <c r="C8074">
        <f t="shared" si="269"/>
        <v>-1.2569474728014885E-2</v>
      </c>
      <c r="D8074">
        <f t="shared" si="268"/>
        <v>-1.0426842441623294</v>
      </c>
    </row>
    <row r="8075" spans="1:4" x14ac:dyDescent="0.3">
      <c r="A8075" s="1">
        <v>37649</v>
      </c>
      <c r="B8075">
        <v>1342.1800539999999</v>
      </c>
      <c r="C8075">
        <f t="shared" si="269"/>
        <v>1.2759689531043641E-2</v>
      </c>
      <c r="D8075">
        <f t="shared" si="268"/>
        <v>0.98354474241657375</v>
      </c>
    </row>
    <row r="8076" spans="1:4" x14ac:dyDescent="0.3">
      <c r="A8076" s="1">
        <v>37650</v>
      </c>
      <c r="B8076">
        <v>1358.0600589999999</v>
      </c>
      <c r="C8076">
        <f t="shared" si="269"/>
        <v>1.1831501259964324E-2</v>
      </c>
      <c r="D8076">
        <f t="shared" si="268"/>
        <v>0.90929349746320498</v>
      </c>
    </row>
    <row r="8077" spans="1:4" x14ac:dyDescent="0.3">
      <c r="A8077" s="1">
        <v>37651</v>
      </c>
      <c r="B8077">
        <v>1322.349976</v>
      </c>
      <c r="C8077">
        <f t="shared" si="269"/>
        <v>-2.6294921762366582E-2</v>
      </c>
      <c r="D8077">
        <f t="shared" si="268"/>
        <v>-2.1406635675350216</v>
      </c>
    </row>
    <row r="8078" spans="1:4" x14ac:dyDescent="0.3">
      <c r="A8078" s="1">
        <v>37652</v>
      </c>
      <c r="B8078">
        <v>1320.910034</v>
      </c>
      <c r="C8078">
        <f t="shared" si="269"/>
        <v>-1.0889265520733625E-3</v>
      </c>
      <c r="D8078">
        <f t="shared" si="268"/>
        <v>-0.12428759838318792</v>
      </c>
    </row>
    <row r="8079" spans="1:4" x14ac:dyDescent="0.3">
      <c r="A8079" s="1">
        <v>37655</v>
      </c>
      <c r="B8079">
        <v>1323.790039</v>
      </c>
      <c r="C8079">
        <f t="shared" si="269"/>
        <v>2.1803188149602496E-3</v>
      </c>
      <c r="D8079">
        <f t="shared" si="268"/>
        <v>0.13723858776222542</v>
      </c>
    </row>
    <row r="8080" spans="1:4" x14ac:dyDescent="0.3">
      <c r="A8080" s="1">
        <v>37656</v>
      </c>
      <c r="B8080">
        <v>1306.150024</v>
      </c>
      <c r="C8080">
        <f t="shared" si="269"/>
        <v>-1.3325387319975105E-2</v>
      </c>
      <c r="D8080">
        <f t="shared" si="268"/>
        <v>-1.1031541431879959</v>
      </c>
    </row>
    <row r="8081" spans="1:4" x14ac:dyDescent="0.3">
      <c r="A8081" s="1">
        <v>37657</v>
      </c>
      <c r="B8081">
        <v>1301.5</v>
      </c>
      <c r="C8081">
        <f t="shared" si="269"/>
        <v>-3.5600994637351325E-3</v>
      </c>
      <c r="D8081">
        <f t="shared" si="268"/>
        <v>-0.32197126979239926</v>
      </c>
    </row>
    <row r="8082" spans="1:4" x14ac:dyDescent="0.3">
      <c r="A8082" s="1">
        <v>37658</v>
      </c>
      <c r="B8082">
        <v>1301.7299800000001</v>
      </c>
      <c r="C8082">
        <f t="shared" si="269"/>
        <v>1.767038033039329E-4</v>
      </c>
      <c r="D8082">
        <f t="shared" si="268"/>
        <v>-2.3042374256122537E-2</v>
      </c>
    </row>
    <row r="8083" spans="1:4" x14ac:dyDescent="0.3">
      <c r="A8083" s="1">
        <v>37659</v>
      </c>
      <c r="B8083">
        <v>1282.469971</v>
      </c>
      <c r="C8083">
        <f t="shared" si="269"/>
        <v>-1.479570210098417E-2</v>
      </c>
      <c r="D8083">
        <f t="shared" si="268"/>
        <v>-1.2207732796982156</v>
      </c>
    </row>
    <row r="8084" spans="1:4" x14ac:dyDescent="0.3">
      <c r="A8084" s="1">
        <v>37662</v>
      </c>
      <c r="B8084">
        <v>1296.6800539999999</v>
      </c>
      <c r="C8084">
        <f t="shared" si="269"/>
        <v>1.1080246182232006E-2</v>
      </c>
      <c r="D8084">
        <f t="shared" si="268"/>
        <v>0.84919618042395772</v>
      </c>
    </row>
    <row r="8085" spans="1:4" x14ac:dyDescent="0.3">
      <c r="A8085" s="1">
        <v>37663</v>
      </c>
      <c r="B8085">
        <v>1295.459961</v>
      </c>
      <c r="C8085">
        <f t="shared" si="269"/>
        <v>-9.4093604373427517E-4</v>
      </c>
      <c r="D8085">
        <f t="shared" si="268"/>
        <v>-0.11244896625666739</v>
      </c>
    </row>
    <row r="8086" spans="1:4" x14ac:dyDescent="0.3">
      <c r="A8086" s="1">
        <v>37664</v>
      </c>
      <c r="B8086">
        <v>1278.969971</v>
      </c>
      <c r="C8086">
        <f t="shared" si="269"/>
        <v>-1.2729061874881082E-2</v>
      </c>
      <c r="D8086">
        <f t="shared" si="268"/>
        <v>-1.0554505596853563</v>
      </c>
    </row>
    <row r="8087" spans="1:4" x14ac:dyDescent="0.3">
      <c r="A8087" s="1">
        <v>37665</v>
      </c>
      <c r="B8087">
        <v>1277.4399410000001</v>
      </c>
      <c r="C8087">
        <f t="shared" si="269"/>
        <v>-1.1962986111422134E-3</v>
      </c>
      <c r="D8087">
        <f t="shared" si="268"/>
        <v>-0.13287692159215092</v>
      </c>
    </row>
    <row r="8088" spans="1:4" x14ac:dyDescent="0.3">
      <c r="A8088" s="1">
        <v>37666</v>
      </c>
      <c r="B8088">
        <v>1310.170044</v>
      </c>
      <c r="C8088">
        <f t="shared" si="269"/>
        <v>2.5621637424596441E-2</v>
      </c>
      <c r="D8088">
        <f t="shared" si="268"/>
        <v>2.012447685255037</v>
      </c>
    </row>
    <row r="8089" spans="1:4" x14ac:dyDescent="0.3">
      <c r="A8089" s="1">
        <v>37670</v>
      </c>
      <c r="B8089">
        <v>1346.540039</v>
      </c>
      <c r="C8089">
        <f t="shared" si="269"/>
        <v>2.7759751618928036E-2</v>
      </c>
      <c r="D8089">
        <f t="shared" si="268"/>
        <v>2.1834880288234637</v>
      </c>
    </row>
    <row r="8090" spans="1:4" x14ac:dyDescent="0.3">
      <c r="A8090" s="1">
        <v>37671</v>
      </c>
      <c r="B8090">
        <v>1334.3199460000001</v>
      </c>
      <c r="C8090">
        <f t="shared" si="269"/>
        <v>-9.0751798283511022E-3</v>
      </c>
      <c r="D8090">
        <f t="shared" si="268"/>
        <v>-0.76315502081571018</v>
      </c>
    </row>
    <row r="8091" spans="1:4" x14ac:dyDescent="0.3">
      <c r="A8091" s="1">
        <v>37672</v>
      </c>
      <c r="B8091">
        <v>1331.2299800000001</v>
      </c>
      <c r="C8091">
        <f t="shared" si="269"/>
        <v>-2.3157609306996029E-3</v>
      </c>
      <c r="D8091">
        <f t="shared" si="268"/>
        <v>-0.22242930390017857</v>
      </c>
    </row>
    <row r="8092" spans="1:4" x14ac:dyDescent="0.3">
      <c r="A8092" s="1">
        <v>37673</v>
      </c>
      <c r="B8092">
        <v>1349.0200199999999</v>
      </c>
      <c r="C8092">
        <f t="shared" si="269"/>
        <v>1.3363611297275518E-2</v>
      </c>
      <c r="D8092">
        <f t="shared" si="268"/>
        <v>1.0318560003739825</v>
      </c>
    </row>
    <row r="8093" spans="1:4" x14ac:dyDescent="0.3">
      <c r="A8093" s="1">
        <v>37676</v>
      </c>
      <c r="B8093">
        <v>1322.380005</v>
      </c>
      <c r="C8093">
        <f t="shared" si="269"/>
        <v>-1.9747679504415323E-2</v>
      </c>
      <c r="D8093">
        <f t="shared" si="268"/>
        <v>-1.6169111093199533</v>
      </c>
    </row>
    <row r="8094" spans="1:4" x14ac:dyDescent="0.3">
      <c r="A8094" s="1">
        <v>37677</v>
      </c>
      <c r="B8094">
        <v>1328.9799800000001</v>
      </c>
      <c r="C8094">
        <f t="shared" si="269"/>
        <v>4.9909821496432003E-3</v>
      </c>
      <c r="D8094">
        <f t="shared" si="268"/>
        <v>0.36208009702017036</v>
      </c>
    </row>
    <row r="8095" spans="1:4" x14ac:dyDescent="0.3">
      <c r="A8095" s="1">
        <v>37678</v>
      </c>
      <c r="B8095">
        <v>1303.6800539999999</v>
      </c>
      <c r="C8095">
        <f t="shared" si="269"/>
        <v>-1.9037100920060616E-2</v>
      </c>
      <c r="D8095">
        <f t="shared" si="268"/>
        <v>-1.5600677444881748</v>
      </c>
    </row>
    <row r="8096" spans="1:4" x14ac:dyDescent="0.3">
      <c r="A8096" s="1">
        <v>37679</v>
      </c>
      <c r="B8096">
        <v>1323.9399410000001</v>
      </c>
      <c r="C8096">
        <f t="shared" si="269"/>
        <v>1.5540536144461227E-2</v>
      </c>
      <c r="D8096">
        <f t="shared" si="268"/>
        <v>1.2060010365803799</v>
      </c>
    </row>
    <row r="8097" spans="1:4" x14ac:dyDescent="0.3">
      <c r="A8097" s="1">
        <v>37680</v>
      </c>
      <c r="B8097">
        <v>1337.5200199999999</v>
      </c>
      <c r="C8097">
        <f t="shared" si="269"/>
        <v>1.0257322541189081E-2</v>
      </c>
      <c r="D8097">
        <f t="shared" si="268"/>
        <v>0.78336567302275517</v>
      </c>
    </row>
    <row r="8098" spans="1:4" x14ac:dyDescent="0.3">
      <c r="A8098" s="1">
        <v>37683</v>
      </c>
      <c r="B8098">
        <v>1320.290039</v>
      </c>
      <c r="C8098">
        <f t="shared" si="269"/>
        <v>-1.2882035963842959E-2</v>
      </c>
      <c r="D8098">
        <f t="shared" si="268"/>
        <v>-1.067687857769094</v>
      </c>
    </row>
    <row r="8099" spans="1:4" x14ac:dyDescent="0.3">
      <c r="A8099" s="1">
        <v>37684</v>
      </c>
      <c r="B8099">
        <v>1307.7700199999999</v>
      </c>
      <c r="C8099">
        <f t="shared" si="269"/>
        <v>-9.4827792607470006E-3</v>
      </c>
      <c r="D8099">
        <f t="shared" si="268"/>
        <v>-0.79576129934850126</v>
      </c>
    </row>
    <row r="8100" spans="1:4" x14ac:dyDescent="0.3">
      <c r="A8100" s="1">
        <v>37685</v>
      </c>
      <c r="B8100">
        <v>1314.400024</v>
      </c>
      <c r="C8100">
        <f t="shared" si="269"/>
        <v>5.0697017813576273E-3</v>
      </c>
      <c r="D8100">
        <f t="shared" si="268"/>
        <v>0.36837734386026472</v>
      </c>
    </row>
    <row r="8101" spans="1:4" x14ac:dyDescent="0.3">
      <c r="A8101" s="1">
        <v>37686</v>
      </c>
      <c r="B8101">
        <v>1302.8900149999999</v>
      </c>
      <c r="C8101">
        <f t="shared" si="269"/>
        <v>-8.7568539180124683E-3</v>
      </c>
      <c r="D8101">
        <f t="shared" si="268"/>
        <v>-0.73769025695258417</v>
      </c>
    </row>
    <row r="8102" spans="1:4" x14ac:dyDescent="0.3">
      <c r="A8102" s="1">
        <v>37687</v>
      </c>
      <c r="B8102">
        <v>1305.290039</v>
      </c>
      <c r="C8102">
        <f t="shared" si="269"/>
        <v>1.8420772071079464E-3</v>
      </c>
      <c r="D8102">
        <f t="shared" si="268"/>
        <v>0.11018064999184335</v>
      </c>
    </row>
    <row r="8103" spans="1:4" x14ac:dyDescent="0.3">
      <c r="A8103" s="1">
        <v>37690</v>
      </c>
      <c r="B8103">
        <v>1278.369995</v>
      </c>
      <c r="C8103">
        <f t="shared" si="269"/>
        <v>-2.0623802523325595E-2</v>
      </c>
      <c r="D8103">
        <f t="shared" si="268"/>
        <v>-1.6869973481933946</v>
      </c>
    </row>
    <row r="8104" spans="1:4" x14ac:dyDescent="0.3">
      <c r="A8104" s="1">
        <v>37691</v>
      </c>
      <c r="B8104">
        <v>1271.469971</v>
      </c>
      <c r="C8104">
        <f t="shared" si="269"/>
        <v>-5.3975171718576125E-3</v>
      </c>
      <c r="D8104">
        <f t="shared" si="268"/>
        <v>-0.46895713093543595</v>
      </c>
    </row>
    <row r="8105" spans="1:4" x14ac:dyDescent="0.3">
      <c r="A8105" s="1">
        <v>37692</v>
      </c>
      <c r="B8105">
        <v>1279.23999</v>
      </c>
      <c r="C8105">
        <f t="shared" si="269"/>
        <v>6.1110519140998637E-3</v>
      </c>
      <c r="D8105">
        <f t="shared" si="268"/>
        <v>0.45168107242231154</v>
      </c>
    </row>
    <row r="8106" spans="1:4" x14ac:dyDescent="0.3">
      <c r="A8106" s="1">
        <v>37693</v>
      </c>
      <c r="B8106">
        <v>1340.7700199999999</v>
      </c>
      <c r="C8106">
        <f t="shared" si="269"/>
        <v>4.80988950321979E-2</v>
      </c>
      <c r="D8106">
        <f t="shared" si="268"/>
        <v>3.8105358668275984</v>
      </c>
    </row>
    <row r="8107" spans="1:4" x14ac:dyDescent="0.3">
      <c r="A8107" s="1">
        <v>37694</v>
      </c>
      <c r="B8107">
        <v>1340.329956</v>
      </c>
      <c r="C8107">
        <f t="shared" si="269"/>
        <v>-3.2821736273599928E-4</v>
      </c>
      <c r="D8107">
        <f t="shared" si="268"/>
        <v>-6.3433991291076283E-2</v>
      </c>
    </row>
    <row r="8108" spans="1:4" x14ac:dyDescent="0.3">
      <c r="A8108" s="1">
        <v>37697</v>
      </c>
      <c r="B8108">
        <v>1392.2700199999999</v>
      </c>
      <c r="C8108">
        <f t="shared" si="269"/>
        <v>3.8751699734449488E-2</v>
      </c>
      <c r="D8108">
        <f t="shared" si="268"/>
        <v>3.0627986789044535</v>
      </c>
    </row>
    <row r="8109" spans="1:4" x14ac:dyDescent="0.3">
      <c r="A8109" s="1">
        <v>37698</v>
      </c>
      <c r="B8109">
        <v>1400.5500489999999</v>
      </c>
      <c r="C8109">
        <f t="shared" si="269"/>
        <v>5.9471430692733104E-3</v>
      </c>
      <c r="D8109">
        <f t="shared" si="268"/>
        <v>0.43856903883338449</v>
      </c>
    </row>
    <row r="8110" spans="1:4" x14ac:dyDescent="0.3">
      <c r="A8110" s="1">
        <v>37699</v>
      </c>
      <c r="B8110">
        <v>1397.0699460000001</v>
      </c>
      <c r="C8110">
        <f t="shared" si="269"/>
        <v>-2.4848115941909278E-3</v>
      </c>
      <c r="D8110">
        <f t="shared" si="268"/>
        <v>-0.23595266183900263</v>
      </c>
    </row>
    <row r="8111" spans="1:4" x14ac:dyDescent="0.3">
      <c r="A8111" s="1">
        <v>37700</v>
      </c>
      <c r="B8111">
        <v>1402.7700199999999</v>
      </c>
      <c r="C8111">
        <f t="shared" si="269"/>
        <v>4.0800204859605923E-3</v>
      </c>
      <c r="D8111">
        <f t="shared" si="268"/>
        <v>0.2892069098223054</v>
      </c>
    </row>
    <row r="8112" spans="1:4" x14ac:dyDescent="0.3">
      <c r="A8112" s="1">
        <v>37701</v>
      </c>
      <c r="B8112">
        <v>1421.839966</v>
      </c>
      <c r="C8112">
        <f t="shared" si="269"/>
        <v>1.3594492132074561E-2</v>
      </c>
      <c r="D8112">
        <f t="shared" si="268"/>
        <v>1.0503255177702406</v>
      </c>
    </row>
    <row r="8113" spans="1:4" x14ac:dyDescent="0.3">
      <c r="A8113" s="1">
        <v>37704</v>
      </c>
      <c r="B8113">
        <v>1369.780029</v>
      </c>
      <c r="C8113">
        <f t="shared" si="269"/>
        <v>-3.6614484221074418E-2</v>
      </c>
      <c r="D8113">
        <f t="shared" si="268"/>
        <v>-2.9661861299372632</v>
      </c>
    </row>
    <row r="8114" spans="1:4" x14ac:dyDescent="0.3">
      <c r="A8114" s="1">
        <v>37705</v>
      </c>
      <c r="B8114">
        <v>1391.01001</v>
      </c>
      <c r="C8114">
        <f t="shared" si="269"/>
        <v>1.5498825030686699E-2</v>
      </c>
      <c r="D8114">
        <f t="shared" si="268"/>
        <v>1.2026643189955424</v>
      </c>
    </row>
    <row r="8115" spans="1:4" x14ac:dyDescent="0.3">
      <c r="A8115" s="1">
        <v>37706</v>
      </c>
      <c r="B8115">
        <v>1387.4499510000001</v>
      </c>
      <c r="C8115">
        <f t="shared" si="269"/>
        <v>-2.5593338469217129E-3</v>
      </c>
      <c r="D8115">
        <f t="shared" si="268"/>
        <v>-0.24191413562013117</v>
      </c>
    </row>
    <row r="8116" spans="1:4" x14ac:dyDescent="0.3">
      <c r="A8116" s="1">
        <v>37707</v>
      </c>
      <c r="B8116">
        <v>1384.25</v>
      </c>
      <c r="C8116">
        <f t="shared" si="269"/>
        <v>-2.3063541843031535E-3</v>
      </c>
      <c r="D8116">
        <f t="shared" si="268"/>
        <v>-0.22167680286923491</v>
      </c>
    </row>
    <row r="8117" spans="1:4" x14ac:dyDescent="0.3">
      <c r="A8117" s="1">
        <v>37708</v>
      </c>
      <c r="B8117">
        <v>1369.599976</v>
      </c>
      <c r="C8117">
        <f t="shared" si="269"/>
        <v>-1.0583365721509865E-2</v>
      </c>
      <c r="D8117">
        <f t="shared" si="268"/>
        <v>-0.88380369057096198</v>
      </c>
    </row>
    <row r="8118" spans="1:4" x14ac:dyDescent="0.3">
      <c r="A8118" s="1">
        <v>37711</v>
      </c>
      <c r="B8118">
        <v>1341.170044</v>
      </c>
      <c r="C8118">
        <f t="shared" si="269"/>
        <v>-2.0757836228233118E-2</v>
      </c>
      <c r="D8118">
        <f t="shared" si="268"/>
        <v>-1.6977194934361088</v>
      </c>
    </row>
    <row r="8119" spans="1:4" x14ac:dyDescent="0.3">
      <c r="A8119" s="1">
        <v>37712</v>
      </c>
      <c r="B8119">
        <v>1348.3000489999999</v>
      </c>
      <c r="C8119">
        <f t="shared" si="269"/>
        <v>5.3162572724447035E-3</v>
      </c>
      <c r="D8119">
        <f t="shared" si="268"/>
        <v>0.38810076930499354</v>
      </c>
    </row>
    <row r="8120" spans="1:4" x14ac:dyDescent="0.3">
      <c r="A8120" s="1">
        <v>37713</v>
      </c>
      <c r="B8120">
        <v>1396.719971</v>
      </c>
      <c r="C8120">
        <f t="shared" si="269"/>
        <v>3.5911829889728089E-2</v>
      </c>
      <c r="D8120">
        <f t="shared" si="268"/>
        <v>2.8356207689413195</v>
      </c>
    </row>
    <row r="8121" spans="1:4" x14ac:dyDescent="0.3">
      <c r="A8121" s="1">
        <v>37714</v>
      </c>
      <c r="B8121">
        <v>1396.579956</v>
      </c>
      <c r="C8121">
        <f t="shared" si="269"/>
        <v>-1.0024557742931313E-4</v>
      </c>
      <c r="D8121">
        <f t="shared" si="268"/>
        <v>-4.5197185892123917E-2</v>
      </c>
    </row>
    <row r="8122" spans="1:4" x14ac:dyDescent="0.3">
      <c r="A8122" s="1">
        <v>37715</v>
      </c>
      <c r="B8122">
        <v>1383.51001</v>
      </c>
      <c r="C8122">
        <f t="shared" si="269"/>
        <v>-9.3585375787822583E-3</v>
      </c>
      <c r="D8122">
        <f t="shared" si="268"/>
        <v>-0.78582247567617081</v>
      </c>
    </row>
    <row r="8123" spans="1:4" x14ac:dyDescent="0.3">
      <c r="A8123" s="1">
        <v>37718</v>
      </c>
      <c r="B8123">
        <v>1389.51001</v>
      </c>
      <c r="C8123">
        <f t="shared" si="269"/>
        <v>4.3367955104278572E-3</v>
      </c>
      <c r="D8123">
        <f t="shared" si="268"/>
        <v>0.30974785591447695</v>
      </c>
    </row>
    <row r="8124" spans="1:4" x14ac:dyDescent="0.3">
      <c r="A8124" s="1">
        <v>37719</v>
      </c>
      <c r="B8124">
        <v>1382.9399410000001</v>
      </c>
      <c r="C8124">
        <f t="shared" si="269"/>
        <v>-4.7283351344837568E-3</v>
      </c>
      <c r="D8124">
        <f t="shared" si="268"/>
        <v>-0.41542531963850721</v>
      </c>
    </row>
    <row r="8125" spans="1:4" x14ac:dyDescent="0.3">
      <c r="A8125" s="1">
        <v>37720</v>
      </c>
      <c r="B8125">
        <v>1356.73999</v>
      </c>
      <c r="C8125">
        <f t="shared" si="269"/>
        <v>-1.8945111225188088E-2</v>
      </c>
      <c r="D8125">
        <f t="shared" si="268"/>
        <v>-1.5527089471622582</v>
      </c>
    </row>
    <row r="8126" spans="1:4" x14ac:dyDescent="0.3">
      <c r="A8126" s="1">
        <v>37721</v>
      </c>
      <c r="B8126">
        <v>1365.6099850000001</v>
      </c>
      <c r="C8126">
        <f t="shared" si="269"/>
        <v>6.5377265101473252E-3</v>
      </c>
      <c r="D8126">
        <f t="shared" si="268"/>
        <v>0.48581328560968595</v>
      </c>
    </row>
    <row r="8127" spans="1:4" x14ac:dyDescent="0.3">
      <c r="A8127" s="1">
        <v>37722</v>
      </c>
      <c r="B8127">
        <v>1358.849976</v>
      </c>
      <c r="C8127">
        <f t="shared" si="269"/>
        <v>-4.950175433874029E-3</v>
      </c>
      <c r="D8127">
        <f t="shared" si="268"/>
        <v>-0.43317163137696718</v>
      </c>
    </row>
    <row r="8128" spans="1:4" x14ac:dyDescent="0.3">
      <c r="A8128" s="1">
        <v>37725</v>
      </c>
      <c r="B8128">
        <v>1384.9499510000001</v>
      </c>
      <c r="C8128">
        <f t="shared" si="269"/>
        <v>1.9207399978642004E-2</v>
      </c>
      <c r="D8128">
        <f t="shared" si="268"/>
        <v>1.4993350650806598</v>
      </c>
    </row>
    <row r="8129" spans="1:4" x14ac:dyDescent="0.3">
      <c r="A8129" s="1">
        <v>37726</v>
      </c>
      <c r="B8129">
        <v>1391.01001</v>
      </c>
      <c r="C8129">
        <f t="shared" si="269"/>
        <v>4.3756519833978531E-3</v>
      </c>
      <c r="D8129">
        <f t="shared" si="268"/>
        <v>0.31285621397330504</v>
      </c>
    </row>
    <row r="8130" spans="1:4" x14ac:dyDescent="0.3">
      <c r="A8130" s="1">
        <v>37727</v>
      </c>
      <c r="B8130">
        <v>1394.719971</v>
      </c>
      <c r="C8130">
        <f t="shared" si="269"/>
        <v>2.6670987076505806E-3</v>
      </c>
      <c r="D8130">
        <f t="shared" si="268"/>
        <v>0.1761789775265728</v>
      </c>
    </row>
    <row r="8131" spans="1:4" x14ac:dyDescent="0.3">
      <c r="A8131" s="1">
        <v>37728</v>
      </c>
      <c r="B8131">
        <v>1425.5</v>
      </c>
      <c r="C8131">
        <f t="shared" si="269"/>
        <v>2.2068966989790106E-2</v>
      </c>
      <c r="D8131">
        <f t="shared" ref="D8131:D8194" si="270">(C8131-avrtn)/sdrtn</f>
        <v>1.7282486591386486</v>
      </c>
    </row>
    <row r="8132" spans="1:4" x14ac:dyDescent="0.3">
      <c r="A8132" s="1">
        <v>37732</v>
      </c>
      <c r="B8132">
        <v>1424.369995</v>
      </c>
      <c r="C8132">
        <f t="shared" ref="C8132:C8195" si="271">(B8132-B8131)/B8131</f>
        <v>-7.9270782181689429E-4</v>
      </c>
      <c r="D8132">
        <f t="shared" si="270"/>
        <v>-0.10059131802136748</v>
      </c>
    </row>
    <row r="8133" spans="1:4" x14ac:dyDescent="0.3">
      <c r="A8133" s="1">
        <v>37733</v>
      </c>
      <c r="B8133">
        <v>1451.3599850000001</v>
      </c>
      <c r="C8133">
        <f t="shared" si="271"/>
        <v>1.8948721255533072E-2</v>
      </c>
      <c r="D8133">
        <f t="shared" si="270"/>
        <v>1.4786418309252105</v>
      </c>
    </row>
    <row r="8134" spans="1:4" x14ac:dyDescent="0.3">
      <c r="A8134" s="1">
        <v>37734</v>
      </c>
      <c r="B8134">
        <v>1466.160034</v>
      </c>
      <c r="C8134">
        <f t="shared" si="271"/>
        <v>1.0197366024253413E-2</v>
      </c>
      <c r="D8134">
        <f t="shared" si="270"/>
        <v>0.77856939821057258</v>
      </c>
    </row>
    <row r="8135" spans="1:4" x14ac:dyDescent="0.3">
      <c r="A8135" s="1">
        <v>37735</v>
      </c>
      <c r="B8135">
        <v>1457.2299800000001</v>
      </c>
      <c r="C8135">
        <f t="shared" si="271"/>
        <v>-6.0907771272668094E-3</v>
      </c>
      <c r="D8135">
        <f t="shared" si="270"/>
        <v>-0.52441507666620146</v>
      </c>
    </row>
    <row r="8136" spans="1:4" x14ac:dyDescent="0.3">
      <c r="A8136" s="1">
        <v>37736</v>
      </c>
      <c r="B8136">
        <v>1434.540039</v>
      </c>
      <c r="C8136">
        <f t="shared" si="271"/>
        <v>-1.5570597168197219E-2</v>
      </c>
      <c r="D8136">
        <f t="shared" si="270"/>
        <v>-1.2827616986877037</v>
      </c>
    </row>
    <row r="8137" spans="1:4" x14ac:dyDescent="0.3">
      <c r="A8137" s="1">
        <v>37739</v>
      </c>
      <c r="B8137">
        <v>1462.23999</v>
      </c>
      <c r="C8137">
        <f t="shared" si="271"/>
        <v>1.9309290955245383E-2</v>
      </c>
      <c r="D8137">
        <f t="shared" si="270"/>
        <v>1.5074859242307308</v>
      </c>
    </row>
    <row r="8138" spans="1:4" x14ac:dyDescent="0.3">
      <c r="A8138" s="1">
        <v>37740</v>
      </c>
      <c r="B8138">
        <v>1471.3000489999999</v>
      </c>
      <c r="C8138">
        <f t="shared" si="271"/>
        <v>6.1960136926633436E-3</v>
      </c>
      <c r="D8138">
        <f t="shared" si="270"/>
        <v>0.45847766534246892</v>
      </c>
    </row>
    <row r="8139" spans="1:4" x14ac:dyDescent="0.3">
      <c r="A8139" s="1">
        <v>37741</v>
      </c>
      <c r="B8139">
        <v>1464.3100589999999</v>
      </c>
      <c r="C8139">
        <f t="shared" si="271"/>
        <v>-4.7508936091933988E-3</v>
      </c>
      <c r="D8139">
        <f t="shared" si="270"/>
        <v>-0.4172299048542763</v>
      </c>
    </row>
    <row r="8140" spans="1:4" x14ac:dyDescent="0.3">
      <c r="A8140" s="1">
        <v>37742</v>
      </c>
      <c r="B8140">
        <v>1472.5600589999999</v>
      </c>
      <c r="C8140">
        <f t="shared" si="271"/>
        <v>5.6340526716275197E-3</v>
      </c>
      <c r="D8140">
        <f t="shared" si="270"/>
        <v>0.41352309445712909</v>
      </c>
    </row>
    <row r="8141" spans="1:4" x14ac:dyDescent="0.3">
      <c r="A8141" s="1">
        <v>37743</v>
      </c>
      <c r="B8141">
        <v>1502.880005</v>
      </c>
      <c r="C8141">
        <f t="shared" si="271"/>
        <v>2.0589955441674839E-2</v>
      </c>
      <c r="D8141">
        <f t="shared" si="270"/>
        <v>1.6099338170212529</v>
      </c>
    </row>
    <row r="8142" spans="1:4" x14ac:dyDescent="0.3">
      <c r="A8142" s="1">
        <v>37746</v>
      </c>
      <c r="B8142">
        <v>1504.040039</v>
      </c>
      <c r="C8142">
        <f t="shared" si="271"/>
        <v>7.7187399934833516E-4</v>
      </c>
      <c r="D8142">
        <f t="shared" si="270"/>
        <v>2.4568794072959987E-2</v>
      </c>
    </row>
    <row r="8143" spans="1:4" x14ac:dyDescent="0.3">
      <c r="A8143" s="1">
        <v>37747</v>
      </c>
      <c r="B8143">
        <v>1523.709961</v>
      </c>
      <c r="C8143">
        <f t="shared" si="271"/>
        <v>1.3078057425305047E-2</v>
      </c>
      <c r="D8143">
        <f t="shared" si="270"/>
        <v>1.0090128648208827</v>
      </c>
    </row>
    <row r="8144" spans="1:4" x14ac:dyDescent="0.3">
      <c r="A8144" s="1">
        <v>37748</v>
      </c>
      <c r="B8144">
        <v>1506.76001</v>
      </c>
      <c r="C8144">
        <f t="shared" si="271"/>
        <v>-1.1124132173340866E-2</v>
      </c>
      <c r="D8144">
        <f t="shared" si="270"/>
        <v>-0.92706278307250534</v>
      </c>
    </row>
    <row r="8145" spans="1:4" x14ac:dyDescent="0.3">
      <c r="A8145" s="1">
        <v>37749</v>
      </c>
      <c r="B8145">
        <v>1489.6899410000001</v>
      </c>
      <c r="C8145">
        <f t="shared" si="271"/>
        <v>-1.1328989943129614E-2</v>
      </c>
      <c r="D8145">
        <f t="shared" si="270"/>
        <v>-0.94345056227542234</v>
      </c>
    </row>
    <row r="8146" spans="1:4" x14ac:dyDescent="0.3">
      <c r="A8146" s="1">
        <v>37750</v>
      </c>
      <c r="B8146">
        <v>1520.150024</v>
      </c>
      <c r="C8146">
        <f t="shared" si="271"/>
        <v>2.0447263663170522E-2</v>
      </c>
      <c r="D8146">
        <f t="shared" si="270"/>
        <v>1.5985190614930067</v>
      </c>
    </row>
    <row r="8147" spans="1:4" x14ac:dyDescent="0.3">
      <c r="A8147" s="1">
        <v>37753</v>
      </c>
      <c r="B8147">
        <v>1541.400024</v>
      </c>
      <c r="C8147">
        <f t="shared" si="271"/>
        <v>1.3978883442099001E-2</v>
      </c>
      <c r="D8147">
        <f t="shared" si="270"/>
        <v>1.0810752419456844</v>
      </c>
    </row>
    <row r="8148" spans="1:4" x14ac:dyDescent="0.3">
      <c r="A8148" s="1">
        <v>37754</v>
      </c>
      <c r="B8148">
        <v>1539.6800539999999</v>
      </c>
      <c r="C8148">
        <f t="shared" si="271"/>
        <v>-1.1158492106005723E-3</v>
      </c>
      <c r="D8148">
        <f t="shared" si="270"/>
        <v>-0.12644130035873133</v>
      </c>
    </row>
    <row r="8149" spans="1:4" x14ac:dyDescent="0.3">
      <c r="A8149" s="1">
        <v>37755</v>
      </c>
      <c r="B8149">
        <v>1534.900024</v>
      </c>
      <c r="C8149">
        <f t="shared" si="271"/>
        <v>-3.1045605790512481E-3</v>
      </c>
      <c r="D8149">
        <f t="shared" si="270"/>
        <v>-0.28553003220477507</v>
      </c>
    </row>
    <row r="8150" spans="1:4" x14ac:dyDescent="0.3">
      <c r="A8150" s="1">
        <v>37756</v>
      </c>
      <c r="B8150">
        <v>1551.380005</v>
      </c>
      <c r="C8150">
        <f t="shared" si="271"/>
        <v>1.0736843274686112E-2</v>
      </c>
      <c r="D8150">
        <f t="shared" si="270"/>
        <v>0.82172535990147955</v>
      </c>
    </row>
    <row r="8151" spans="1:4" x14ac:dyDescent="0.3">
      <c r="A8151" s="1">
        <v>37757</v>
      </c>
      <c r="B8151">
        <v>1538.530029</v>
      </c>
      <c r="C8151">
        <f t="shared" si="271"/>
        <v>-8.2829325881378559E-3</v>
      </c>
      <c r="D8151">
        <f t="shared" si="270"/>
        <v>-0.69977849933876801</v>
      </c>
    </row>
    <row r="8152" spans="1:4" x14ac:dyDescent="0.3">
      <c r="A8152" s="1">
        <v>37760</v>
      </c>
      <c r="B8152">
        <v>1492.7700199999999</v>
      </c>
      <c r="C8152">
        <f t="shared" si="271"/>
        <v>-2.9742681740013072E-2</v>
      </c>
      <c r="D8152">
        <f t="shared" si="270"/>
        <v>-2.4164701884730002</v>
      </c>
    </row>
    <row r="8153" spans="1:4" x14ac:dyDescent="0.3">
      <c r="A8153" s="1">
        <v>37761</v>
      </c>
      <c r="B8153">
        <v>1491.089966</v>
      </c>
      <c r="C8153">
        <f t="shared" si="271"/>
        <v>-1.1254607055947758E-3</v>
      </c>
      <c r="D8153">
        <f t="shared" si="270"/>
        <v>-0.12721018043556404</v>
      </c>
    </row>
    <row r="8154" spans="1:4" x14ac:dyDescent="0.3">
      <c r="A8154" s="1">
        <v>37762</v>
      </c>
      <c r="B8154">
        <v>1489.869995</v>
      </c>
      <c r="C8154">
        <f t="shared" si="271"/>
        <v>-8.1817397193858306E-4</v>
      </c>
      <c r="D8154">
        <f t="shared" si="270"/>
        <v>-0.10262850531366756</v>
      </c>
    </row>
    <row r="8155" spans="1:4" x14ac:dyDescent="0.3">
      <c r="A8155" s="1">
        <v>37763</v>
      </c>
      <c r="B8155">
        <v>1507.5500489999999</v>
      </c>
      <c r="C8155">
        <f t="shared" si="271"/>
        <v>1.1866843455693547E-2</v>
      </c>
      <c r="D8155">
        <f t="shared" si="270"/>
        <v>0.91212072779356568</v>
      </c>
    </row>
    <row r="8156" spans="1:4" x14ac:dyDescent="0.3">
      <c r="A8156" s="1">
        <v>37764</v>
      </c>
      <c r="B8156">
        <v>1510.089966</v>
      </c>
      <c r="C8156">
        <f t="shared" si="271"/>
        <v>1.684797796056494E-3</v>
      </c>
      <c r="D8156">
        <f t="shared" si="270"/>
        <v>9.7598943844529801E-2</v>
      </c>
    </row>
    <row r="8157" spans="1:4" x14ac:dyDescent="0.3">
      <c r="A8157" s="1">
        <v>37768</v>
      </c>
      <c r="B8157">
        <v>1556.6899410000001</v>
      </c>
      <c r="C8157">
        <f t="shared" si="271"/>
        <v>3.0859072008428991E-2</v>
      </c>
      <c r="D8157">
        <f t="shared" si="270"/>
        <v>2.4314209155019473</v>
      </c>
    </row>
    <row r="8158" spans="1:4" x14ac:dyDescent="0.3">
      <c r="A8158" s="1">
        <v>37769</v>
      </c>
      <c r="B8158">
        <v>1563.23999</v>
      </c>
      <c r="C8158">
        <f t="shared" si="271"/>
        <v>4.2076773463264414E-3</v>
      </c>
      <c r="D8158">
        <f t="shared" si="270"/>
        <v>0.29941893372342693</v>
      </c>
    </row>
    <row r="8159" spans="1:4" x14ac:dyDescent="0.3">
      <c r="A8159" s="1">
        <v>37770</v>
      </c>
      <c r="B8159">
        <v>1574.9499510000001</v>
      </c>
      <c r="C8159">
        <f t="shared" si="271"/>
        <v>7.4908274320694811E-3</v>
      </c>
      <c r="D8159">
        <f t="shared" si="270"/>
        <v>0.56205744018904946</v>
      </c>
    </row>
    <row r="8160" spans="1:4" x14ac:dyDescent="0.3">
      <c r="A8160" s="1">
        <v>37771</v>
      </c>
      <c r="B8160">
        <v>1595.910034</v>
      </c>
      <c r="C8160">
        <f t="shared" si="271"/>
        <v>1.3308412109661978E-2</v>
      </c>
      <c r="D8160">
        <f t="shared" si="270"/>
        <v>1.0274402923453152</v>
      </c>
    </row>
    <row r="8161" spans="1:4" x14ac:dyDescent="0.3">
      <c r="A8161" s="1">
        <v>37774</v>
      </c>
      <c r="B8161">
        <v>1590.75</v>
      </c>
      <c r="C8161">
        <f t="shared" si="271"/>
        <v>-3.2332862693186101E-3</v>
      </c>
      <c r="D8161">
        <f t="shared" si="270"/>
        <v>-0.29582755810296285</v>
      </c>
    </row>
    <row r="8162" spans="1:4" x14ac:dyDescent="0.3">
      <c r="A8162" s="1">
        <v>37775</v>
      </c>
      <c r="B8162">
        <v>1603.5600589999999</v>
      </c>
      <c r="C8162">
        <f t="shared" si="271"/>
        <v>8.0528423699512252E-3</v>
      </c>
      <c r="D8162">
        <f t="shared" si="270"/>
        <v>0.60701632420035556</v>
      </c>
    </row>
    <row r="8163" spans="1:4" x14ac:dyDescent="0.3">
      <c r="A8163" s="1">
        <v>37776</v>
      </c>
      <c r="B8163">
        <v>1634.650024</v>
      </c>
      <c r="C8163">
        <f t="shared" si="271"/>
        <v>1.9388088912234577E-2</v>
      </c>
      <c r="D8163">
        <f t="shared" si="270"/>
        <v>1.5137894367707312</v>
      </c>
    </row>
    <row r="8164" spans="1:4" x14ac:dyDescent="0.3">
      <c r="A8164" s="1">
        <v>37777</v>
      </c>
      <c r="B8164">
        <v>1646.01001</v>
      </c>
      <c r="C8164">
        <f t="shared" si="271"/>
        <v>6.9494912263861654E-3</v>
      </c>
      <c r="D8164">
        <f t="shared" si="270"/>
        <v>0.51875276972216278</v>
      </c>
    </row>
    <row r="8165" spans="1:4" x14ac:dyDescent="0.3">
      <c r="A8165" s="1">
        <v>37778</v>
      </c>
      <c r="B8165">
        <v>1627.420044</v>
      </c>
      <c r="C8165">
        <f t="shared" si="271"/>
        <v>-1.1293956833227281E-2</v>
      </c>
      <c r="D8165">
        <f t="shared" si="270"/>
        <v>-0.9406480575402445</v>
      </c>
    </row>
    <row r="8166" spans="1:4" x14ac:dyDescent="0.3">
      <c r="A8166" s="1">
        <v>37781</v>
      </c>
      <c r="B8166">
        <v>1603.969971</v>
      </c>
      <c r="C8166">
        <f t="shared" si="271"/>
        <v>-1.440935490898991E-2</v>
      </c>
      <c r="D8166">
        <f t="shared" si="270"/>
        <v>-1.189867093007821</v>
      </c>
    </row>
    <row r="8167" spans="1:4" x14ac:dyDescent="0.3">
      <c r="A8167" s="1">
        <v>37782</v>
      </c>
      <c r="B8167">
        <v>1627.670044</v>
      </c>
      <c r="C8167">
        <f t="shared" si="271"/>
        <v>1.4775883232542123E-2</v>
      </c>
      <c r="D8167">
        <f t="shared" si="270"/>
        <v>1.1448319478984132</v>
      </c>
    </row>
    <row r="8168" spans="1:4" x14ac:dyDescent="0.3">
      <c r="A8168" s="1">
        <v>37783</v>
      </c>
      <c r="B8168">
        <v>1646.0200199999999</v>
      </c>
      <c r="C8168">
        <f t="shared" si="271"/>
        <v>1.1273768948223004E-2</v>
      </c>
      <c r="D8168">
        <f t="shared" si="270"/>
        <v>0.8646772059328689</v>
      </c>
    </row>
    <row r="8169" spans="1:4" x14ac:dyDescent="0.3">
      <c r="A8169" s="1">
        <v>37784</v>
      </c>
      <c r="B8169">
        <v>1653.619995</v>
      </c>
      <c r="C8169">
        <f t="shared" si="271"/>
        <v>4.6171826026758086E-3</v>
      </c>
      <c r="D8169">
        <f t="shared" si="270"/>
        <v>0.3321776703357005</v>
      </c>
    </row>
    <row r="8170" spans="1:4" x14ac:dyDescent="0.3">
      <c r="A8170" s="1">
        <v>37785</v>
      </c>
      <c r="B8170">
        <v>1626.48999</v>
      </c>
      <c r="C8170">
        <f t="shared" si="271"/>
        <v>-1.6406432603640587E-2</v>
      </c>
      <c r="D8170">
        <f t="shared" si="270"/>
        <v>-1.349625096547326</v>
      </c>
    </row>
    <row r="8171" spans="1:4" x14ac:dyDescent="0.3">
      <c r="A8171" s="1">
        <v>37788</v>
      </c>
      <c r="B8171">
        <v>1666.579956</v>
      </c>
      <c r="C8171">
        <f t="shared" si="271"/>
        <v>2.4648148003665243E-2</v>
      </c>
      <c r="D8171">
        <f t="shared" si="270"/>
        <v>1.9345725345929592</v>
      </c>
    </row>
    <row r="8172" spans="1:4" x14ac:dyDescent="0.3">
      <c r="A8172" s="1">
        <v>37789</v>
      </c>
      <c r="B8172">
        <v>1668.4399410000001</v>
      </c>
      <c r="C8172">
        <f t="shared" si="271"/>
        <v>1.116049064015055E-3</v>
      </c>
      <c r="D8172">
        <f t="shared" si="270"/>
        <v>5.2101383989975179E-2</v>
      </c>
    </row>
    <row r="8173" spans="1:4" x14ac:dyDescent="0.3">
      <c r="A8173" s="1">
        <v>37790</v>
      </c>
      <c r="B8173">
        <v>1677.1400149999999</v>
      </c>
      <c r="C8173">
        <f t="shared" si="271"/>
        <v>5.2144963604655505E-3</v>
      </c>
      <c r="D8173">
        <f t="shared" si="270"/>
        <v>0.37996031479003167</v>
      </c>
    </row>
    <row r="8174" spans="1:4" x14ac:dyDescent="0.3">
      <c r="A8174" s="1">
        <v>37791</v>
      </c>
      <c r="B8174">
        <v>1648.6400149999999</v>
      </c>
      <c r="C8174">
        <f t="shared" si="271"/>
        <v>-1.6993214487223358E-2</v>
      </c>
      <c r="D8174">
        <f t="shared" si="270"/>
        <v>-1.3965652343724251</v>
      </c>
    </row>
    <row r="8175" spans="1:4" x14ac:dyDescent="0.3">
      <c r="A8175" s="1">
        <v>37792</v>
      </c>
      <c r="B8175">
        <v>1644.719971</v>
      </c>
      <c r="C8175">
        <f t="shared" si="271"/>
        <v>-2.3777440583352344E-3</v>
      </c>
      <c r="D8175">
        <f t="shared" si="270"/>
        <v>-0.22738769923488528</v>
      </c>
    </row>
    <row r="8176" spans="1:4" x14ac:dyDescent="0.3">
      <c r="A8176" s="1">
        <v>37795</v>
      </c>
      <c r="B8176">
        <v>1610.75</v>
      </c>
      <c r="C8176">
        <f t="shared" si="271"/>
        <v>-2.0653954228661814E-2</v>
      </c>
      <c r="D8176">
        <f t="shared" si="270"/>
        <v>-1.689409360635739</v>
      </c>
    </row>
    <row r="8177" spans="1:4" x14ac:dyDescent="0.3">
      <c r="A8177" s="1">
        <v>37796</v>
      </c>
      <c r="B8177">
        <v>1605.6099850000001</v>
      </c>
      <c r="C8177">
        <f t="shared" si="271"/>
        <v>-3.1910693776190896E-3</v>
      </c>
      <c r="D8177">
        <f t="shared" si="270"/>
        <v>-0.29245038036389714</v>
      </c>
    </row>
    <row r="8178" spans="1:4" x14ac:dyDescent="0.3">
      <c r="A8178" s="1">
        <v>37797</v>
      </c>
      <c r="B8178">
        <v>1602.660034</v>
      </c>
      <c r="C8178">
        <f t="shared" si="271"/>
        <v>-1.8372774382067981E-3</v>
      </c>
      <c r="D8178">
        <f t="shared" si="270"/>
        <v>-0.18415259203663178</v>
      </c>
    </row>
    <row r="8179" spans="1:4" x14ac:dyDescent="0.3">
      <c r="A8179" s="1">
        <v>37798</v>
      </c>
      <c r="B8179">
        <v>1634.01001</v>
      </c>
      <c r="C8179">
        <f t="shared" si="271"/>
        <v>1.9561214065939556E-2</v>
      </c>
      <c r="D8179">
        <f t="shared" si="270"/>
        <v>1.5276387371722437</v>
      </c>
    </row>
    <row r="8180" spans="1:4" x14ac:dyDescent="0.3">
      <c r="A8180" s="1">
        <v>37799</v>
      </c>
      <c r="B8180">
        <v>1625.26001</v>
      </c>
      <c r="C8180">
        <f t="shared" si="271"/>
        <v>-5.354924355695961E-3</v>
      </c>
      <c r="D8180">
        <f t="shared" si="270"/>
        <v>-0.46554988078521042</v>
      </c>
    </row>
    <row r="8181" spans="1:4" x14ac:dyDescent="0.3">
      <c r="A8181" s="1">
        <v>37802</v>
      </c>
      <c r="B8181">
        <v>1622.8000489999999</v>
      </c>
      <c r="C8181">
        <f t="shared" si="271"/>
        <v>-1.5135799717363508E-3</v>
      </c>
      <c r="D8181">
        <f t="shared" si="270"/>
        <v>-0.15825812577093148</v>
      </c>
    </row>
    <row r="8182" spans="1:4" x14ac:dyDescent="0.3">
      <c r="A8182" s="1">
        <v>37803</v>
      </c>
      <c r="B8182">
        <v>1640.130005</v>
      </c>
      <c r="C8182">
        <f t="shared" si="271"/>
        <v>1.0679045770721467E-2</v>
      </c>
      <c r="D8182">
        <f t="shared" si="270"/>
        <v>0.8171017972490644</v>
      </c>
    </row>
    <row r="8183" spans="1:4" x14ac:dyDescent="0.3">
      <c r="A8183" s="1">
        <v>37804</v>
      </c>
      <c r="B8183">
        <v>1678.7299800000001</v>
      </c>
      <c r="C8183">
        <f t="shared" si="271"/>
        <v>2.353470449435506E-2</v>
      </c>
      <c r="D8183">
        <f t="shared" si="270"/>
        <v>1.8455016323552125</v>
      </c>
    </row>
    <row r="8184" spans="1:4" x14ac:dyDescent="0.3">
      <c r="A8184" s="1">
        <v>37805</v>
      </c>
      <c r="B8184">
        <v>1663.459961</v>
      </c>
      <c r="C8184">
        <f t="shared" si="271"/>
        <v>-9.0961734060411824E-3</v>
      </c>
      <c r="D8184">
        <f t="shared" si="270"/>
        <v>-0.76483442070480934</v>
      </c>
    </row>
    <row r="8185" spans="1:4" x14ac:dyDescent="0.3">
      <c r="A8185" s="1">
        <v>37809</v>
      </c>
      <c r="B8185">
        <v>1720.709961</v>
      </c>
      <c r="C8185">
        <f t="shared" si="271"/>
        <v>3.4416217608017316E-2</v>
      </c>
      <c r="D8185">
        <f t="shared" si="270"/>
        <v>2.7159779363989078</v>
      </c>
    </row>
    <row r="8186" spans="1:4" x14ac:dyDescent="0.3">
      <c r="A8186" s="1">
        <v>37810</v>
      </c>
      <c r="B8186">
        <v>1746.459961</v>
      </c>
      <c r="C8186">
        <f t="shared" si="271"/>
        <v>1.4964753260936112E-2</v>
      </c>
      <c r="D8186">
        <f t="shared" si="270"/>
        <v>1.1599407735317351</v>
      </c>
    </row>
    <row r="8187" spans="1:4" x14ac:dyDescent="0.3">
      <c r="A8187" s="1">
        <v>37811</v>
      </c>
      <c r="B8187">
        <v>1747.459961</v>
      </c>
      <c r="C8187">
        <f t="shared" si="271"/>
        <v>5.7258684557956495E-4</v>
      </c>
      <c r="D8187">
        <f t="shared" si="270"/>
        <v>8.6266412451312165E-3</v>
      </c>
    </row>
    <row r="8188" spans="1:4" x14ac:dyDescent="0.3">
      <c r="A8188" s="1">
        <v>37812</v>
      </c>
      <c r="B8188">
        <v>1715.8599850000001</v>
      </c>
      <c r="C8188">
        <f t="shared" si="271"/>
        <v>-1.8083376274851296E-2</v>
      </c>
      <c r="D8188">
        <f t="shared" si="270"/>
        <v>-1.4837736946106037</v>
      </c>
    </row>
    <row r="8189" spans="1:4" x14ac:dyDescent="0.3">
      <c r="A8189" s="1">
        <v>37813</v>
      </c>
      <c r="B8189">
        <v>1733.9300539999999</v>
      </c>
      <c r="C8189">
        <f t="shared" si="271"/>
        <v>1.0531202521166011E-2</v>
      </c>
      <c r="D8189">
        <f t="shared" si="270"/>
        <v>0.80527494521970266</v>
      </c>
    </row>
    <row r="8190" spans="1:4" x14ac:dyDescent="0.3">
      <c r="A8190" s="1">
        <v>37816</v>
      </c>
      <c r="B8190">
        <v>1754.8199460000001</v>
      </c>
      <c r="C8190">
        <f t="shared" si="271"/>
        <v>1.2047713200315833E-2</v>
      </c>
      <c r="D8190">
        <f t="shared" si="270"/>
        <v>0.92658956362251454</v>
      </c>
    </row>
    <row r="8191" spans="1:4" x14ac:dyDescent="0.3">
      <c r="A8191" s="1">
        <v>37817</v>
      </c>
      <c r="B8191">
        <v>1753.209961</v>
      </c>
      <c r="C8191">
        <f t="shared" si="271"/>
        <v>-9.1746449752289939E-4</v>
      </c>
      <c r="D8191">
        <f t="shared" si="270"/>
        <v>-0.11057133907533206</v>
      </c>
    </row>
    <row r="8192" spans="1:4" x14ac:dyDescent="0.3">
      <c r="A8192" s="1">
        <v>37818</v>
      </c>
      <c r="B8192">
        <v>1747.969971</v>
      </c>
      <c r="C8192">
        <f t="shared" si="271"/>
        <v>-2.9887977575778981E-3</v>
      </c>
      <c r="D8192">
        <f t="shared" si="270"/>
        <v>-0.27626948250647332</v>
      </c>
    </row>
    <row r="8193" spans="1:4" x14ac:dyDescent="0.3">
      <c r="A8193" s="1">
        <v>37819</v>
      </c>
      <c r="B8193">
        <v>1698.0200199999999</v>
      </c>
      <c r="C8193">
        <f t="shared" si="271"/>
        <v>-2.8575977750592636E-2</v>
      </c>
      <c r="D8193">
        <f t="shared" si="270"/>
        <v>-2.3231386668348359</v>
      </c>
    </row>
    <row r="8194" spans="1:4" x14ac:dyDescent="0.3">
      <c r="A8194" s="1">
        <v>37820</v>
      </c>
      <c r="B8194">
        <v>1708.5</v>
      </c>
      <c r="C8194">
        <f t="shared" si="271"/>
        <v>6.1718824728580462E-3</v>
      </c>
      <c r="D8194">
        <f t="shared" si="270"/>
        <v>0.4565472669862139</v>
      </c>
    </row>
    <row r="8195" spans="1:4" x14ac:dyDescent="0.3">
      <c r="A8195" s="1">
        <v>37823</v>
      </c>
      <c r="B8195">
        <v>1681.410034</v>
      </c>
      <c r="C8195">
        <f t="shared" si="271"/>
        <v>-1.5855994146912498E-2</v>
      </c>
      <c r="D8195">
        <f t="shared" ref="D8195:D8258" si="272">(C8195-avrtn)/sdrtn</f>
        <v>-1.3055922834255373</v>
      </c>
    </row>
    <row r="8196" spans="1:4" x14ac:dyDescent="0.3">
      <c r="A8196" s="1">
        <v>37824</v>
      </c>
      <c r="B8196">
        <v>1706.099976</v>
      </c>
      <c r="C8196">
        <f t="shared" ref="C8196:C8259" si="273">(B8196-B8195)/B8195</f>
        <v>1.4684069620581303E-2</v>
      </c>
      <c r="D8196">
        <f t="shared" si="272"/>
        <v>1.137487236481376</v>
      </c>
    </row>
    <row r="8197" spans="1:4" x14ac:dyDescent="0.3">
      <c r="A8197" s="1">
        <v>37825</v>
      </c>
      <c r="B8197">
        <v>1719.1800539999999</v>
      </c>
      <c r="C8197">
        <f t="shared" si="273"/>
        <v>7.6666538796082593E-3</v>
      </c>
      <c r="D8197">
        <f t="shared" si="272"/>
        <v>0.57612283298947942</v>
      </c>
    </row>
    <row r="8198" spans="1:4" x14ac:dyDescent="0.3">
      <c r="A8198" s="1">
        <v>37826</v>
      </c>
      <c r="B8198">
        <v>1701.420044</v>
      </c>
      <c r="C8198">
        <f t="shared" si="273"/>
        <v>-1.0330511896457803E-2</v>
      </c>
      <c r="D8198">
        <f t="shared" si="272"/>
        <v>-0.86357642430793835</v>
      </c>
    </row>
    <row r="8199" spans="1:4" x14ac:dyDescent="0.3">
      <c r="A8199" s="1">
        <v>37827</v>
      </c>
      <c r="B8199">
        <v>1730.6999510000001</v>
      </c>
      <c r="C8199">
        <f t="shared" si="273"/>
        <v>1.7209099600803864E-2</v>
      </c>
      <c r="D8199">
        <f t="shared" si="272"/>
        <v>1.3394792519138612</v>
      </c>
    </row>
    <row r="8200" spans="1:4" x14ac:dyDescent="0.3">
      <c r="A8200" s="1">
        <v>37830</v>
      </c>
      <c r="B8200">
        <v>1735.3599850000001</v>
      </c>
      <c r="C8200">
        <f t="shared" si="273"/>
        <v>2.6925718679933074E-3</v>
      </c>
      <c r="D8200">
        <f t="shared" si="272"/>
        <v>0.17821672560772972</v>
      </c>
    </row>
    <row r="8201" spans="1:4" x14ac:dyDescent="0.3">
      <c r="A8201" s="1">
        <v>37831</v>
      </c>
      <c r="B8201">
        <v>1731.369995</v>
      </c>
      <c r="C8201">
        <f t="shared" si="273"/>
        <v>-2.2992289982991824E-3</v>
      </c>
      <c r="D8201">
        <f t="shared" si="272"/>
        <v>-0.22110681728785714</v>
      </c>
    </row>
    <row r="8202" spans="1:4" x14ac:dyDescent="0.3">
      <c r="A8202" s="1">
        <v>37832</v>
      </c>
      <c r="B8202">
        <v>1720.910034</v>
      </c>
      <c r="C8202">
        <f t="shared" si="273"/>
        <v>-6.0414359901160355E-3</v>
      </c>
      <c r="D8202">
        <f t="shared" si="272"/>
        <v>-0.52046798858610788</v>
      </c>
    </row>
    <row r="8203" spans="1:4" x14ac:dyDescent="0.3">
      <c r="A8203" s="1">
        <v>37833</v>
      </c>
      <c r="B8203">
        <v>1735.0200199999999</v>
      </c>
      <c r="C8203">
        <f t="shared" si="273"/>
        <v>8.199142152250323E-3</v>
      </c>
      <c r="D8203">
        <f t="shared" si="272"/>
        <v>0.61871970519598396</v>
      </c>
    </row>
    <row r="8204" spans="1:4" x14ac:dyDescent="0.3">
      <c r="A8204" s="1">
        <v>37834</v>
      </c>
      <c r="B8204">
        <v>1715.619995</v>
      </c>
      <c r="C8204">
        <f t="shared" si="273"/>
        <v>-1.1181441583596203E-2</v>
      </c>
      <c r="D8204">
        <f t="shared" si="272"/>
        <v>-0.93164730023522924</v>
      </c>
    </row>
    <row r="8205" spans="1:4" x14ac:dyDescent="0.3">
      <c r="A8205" s="1">
        <v>37837</v>
      </c>
      <c r="B8205">
        <v>1714.0600589999999</v>
      </c>
      <c r="C8205">
        <f t="shared" si="273"/>
        <v>-9.0925496587028704E-4</v>
      </c>
      <c r="D8205">
        <f t="shared" si="272"/>
        <v>-0.10991461030091895</v>
      </c>
    </row>
    <row r="8206" spans="1:4" x14ac:dyDescent="0.3">
      <c r="A8206" s="1">
        <v>37838</v>
      </c>
      <c r="B8206">
        <v>1673.5</v>
      </c>
      <c r="C8206">
        <f t="shared" si="273"/>
        <v>-2.3663149250244511E-2</v>
      </c>
      <c r="D8206">
        <f t="shared" si="272"/>
        <v>-1.9301325884784892</v>
      </c>
    </row>
    <row r="8207" spans="1:4" x14ac:dyDescent="0.3">
      <c r="A8207" s="1">
        <v>37839</v>
      </c>
      <c r="B8207">
        <v>1652.6800539999999</v>
      </c>
      <c r="C8207">
        <f t="shared" si="273"/>
        <v>-1.2440959665372018E-2</v>
      </c>
      <c r="D8207">
        <f t="shared" si="272"/>
        <v>-1.0324035676079955</v>
      </c>
    </row>
    <row r="8208" spans="1:4" x14ac:dyDescent="0.3">
      <c r="A8208" s="1">
        <v>37840</v>
      </c>
      <c r="B8208">
        <v>1652.1800539999999</v>
      </c>
      <c r="C8208">
        <f t="shared" si="273"/>
        <v>-3.0253889661815937E-4</v>
      </c>
      <c r="D8208">
        <f t="shared" si="272"/>
        <v>-6.1379819592132699E-2</v>
      </c>
    </row>
    <row r="8209" spans="1:4" x14ac:dyDescent="0.3">
      <c r="A8209" s="1">
        <v>37841</v>
      </c>
      <c r="B8209">
        <v>1644.030029</v>
      </c>
      <c r="C8209">
        <f t="shared" si="273"/>
        <v>-4.9328915333824233E-3</v>
      </c>
      <c r="D8209">
        <f t="shared" si="272"/>
        <v>-0.43178899040946223</v>
      </c>
    </row>
    <row r="8210" spans="1:4" x14ac:dyDescent="0.3">
      <c r="A8210" s="1">
        <v>37844</v>
      </c>
      <c r="B8210">
        <v>1661.51001</v>
      </c>
      <c r="C8210">
        <f t="shared" si="273"/>
        <v>1.063239763973919E-2</v>
      </c>
      <c r="D8210">
        <f t="shared" si="272"/>
        <v>0.81337013858874296</v>
      </c>
    </row>
    <row r="8211" spans="1:4" x14ac:dyDescent="0.3">
      <c r="A8211" s="1">
        <v>37845</v>
      </c>
      <c r="B8211">
        <v>1687.01001</v>
      </c>
      <c r="C8211">
        <f t="shared" si="273"/>
        <v>1.5347485026587351E-2</v>
      </c>
      <c r="D8211">
        <f t="shared" si="272"/>
        <v>1.1905577409814099</v>
      </c>
    </row>
    <row r="8212" spans="1:4" x14ac:dyDescent="0.3">
      <c r="A8212" s="1">
        <v>37846</v>
      </c>
      <c r="B8212">
        <v>1686.6099850000001</v>
      </c>
      <c r="C8212">
        <f t="shared" si="273"/>
        <v>-2.3712070327307314E-4</v>
      </c>
      <c r="D8212">
        <f t="shared" si="272"/>
        <v>-5.614663312574418E-2</v>
      </c>
    </row>
    <row r="8213" spans="1:4" x14ac:dyDescent="0.3">
      <c r="A8213" s="1">
        <v>37847</v>
      </c>
      <c r="B8213">
        <v>1700.339966</v>
      </c>
      <c r="C8213">
        <f t="shared" si="273"/>
        <v>8.140578510804887E-3</v>
      </c>
      <c r="D8213">
        <f t="shared" si="272"/>
        <v>0.61403485469548158</v>
      </c>
    </row>
    <row r="8214" spans="1:4" x14ac:dyDescent="0.3">
      <c r="A8214" s="1">
        <v>37848</v>
      </c>
      <c r="B8214">
        <v>1702.01001</v>
      </c>
      <c r="C8214">
        <f t="shared" si="273"/>
        <v>9.8218240669169904E-4</v>
      </c>
      <c r="D8214">
        <f t="shared" si="272"/>
        <v>4.1392601867090761E-2</v>
      </c>
    </row>
    <row r="8215" spans="1:4" x14ac:dyDescent="0.3">
      <c r="A8215" s="1">
        <v>37851</v>
      </c>
      <c r="B8215">
        <v>1739.48999</v>
      </c>
      <c r="C8215">
        <f t="shared" si="273"/>
        <v>2.2021010322965179E-2</v>
      </c>
      <c r="D8215">
        <f t="shared" si="272"/>
        <v>1.7244123229916468</v>
      </c>
    </row>
    <row r="8216" spans="1:4" x14ac:dyDescent="0.3">
      <c r="A8216" s="1">
        <v>37852</v>
      </c>
      <c r="B8216">
        <v>1761.1099850000001</v>
      </c>
      <c r="C8216">
        <f t="shared" si="273"/>
        <v>1.2428927515702471E-2</v>
      </c>
      <c r="D8216">
        <f t="shared" si="272"/>
        <v>0.95708514129081423</v>
      </c>
    </row>
    <row r="8217" spans="1:4" x14ac:dyDescent="0.3">
      <c r="A8217" s="1">
        <v>37853</v>
      </c>
      <c r="B8217">
        <v>1760.540039</v>
      </c>
      <c r="C8217">
        <f t="shared" si="273"/>
        <v>-3.2362885047186455E-4</v>
      </c>
      <c r="D8217">
        <f t="shared" si="272"/>
        <v>-6.3066929178020689E-2</v>
      </c>
    </row>
    <row r="8218" spans="1:4" x14ac:dyDescent="0.3">
      <c r="A8218" s="1">
        <v>37854</v>
      </c>
      <c r="B8218">
        <v>1777.5500489999999</v>
      </c>
      <c r="C8218">
        <f t="shared" si="273"/>
        <v>9.6618137748584118E-3</v>
      </c>
      <c r="D8218">
        <f t="shared" si="272"/>
        <v>0.73572742046298067</v>
      </c>
    </row>
    <row r="8219" spans="1:4" x14ac:dyDescent="0.3">
      <c r="A8219" s="1">
        <v>37855</v>
      </c>
      <c r="B8219">
        <v>1765.3199460000001</v>
      </c>
      <c r="C8219">
        <f t="shared" si="273"/>
        <v>-6.880314288129432E-3</v>
      </c>
      <c r="D8219">
        <f t="shared" si="272"/>
        <v>-0.58757480293900666</v>
      </c>
    </row>
    <row r="8220" spans="1:4" x14ac:dyDescent="0.3">
      <c r="A8220" s="1">
        <v>37858</v>
      </c>
      <c r="B8220">
        <v>1764.3100589999999</v>
      </c>
      <c r="C8220">
        <f t="shared" si="273"/>
        <v>-5.7207023706294343E-4</v>
      </c>
      <c r="D8220">
        <f t="shared" si="272"/>
        <v>-8.2941218508221046E-2</v>
      </c>
    </row>
    <row r="8221" spans="1:4" x14ac:dyDescent="0.3">
      <c r="A8221" s="1">
        <v>37859</v>
      </c>
      <c r="B8221">
        <v>1770.650024</v>
      </c>
      <c r="C8221">
        <f t="shared" si="273"/>
        <v>3.5934528444470657E-3</v>
      </c>
      <c r="D8221">
        <f t="shared" si="272"/>
        <v>0.25028349927932031</v>
      </c>
    </row>
    <row r="8222" spans="1:4" x14ac:dyDescent="0.3">
      <c r="A8222" s="1">
        <v>37860</v>
      </c>
      <c r="B8222">
        <v>1782.130005</v>
      </c>
      <c r="C8222">
        <f t="shared" si="273"/>
        <v>6.4834839434085439E-3</v>
      </c>
      <c r="D8222">
        <f t="shared" si="272"/>
        <v>0.48147410331735063</v>
      </c>
    </row>
    <row r="8223" spans="1:4" x14ac:dyDescent="0.3">
      <c r="A8223" s="1">
        <v>37861</v>
      </c>
      <c r="B8223">
        <v>1800.1800539999999</v>
      </c>
      <c r="C8223">
        <f t="shared" si="273"/>
        <v>1.0128357049911151E-2</v>
      </c>
      <c r="D8223">
        <f t="shared" si="272"/>
        <v>0.77304896402978962</v>
      </c>
    </row>
    <row r="8224" spans="1:4" x14ac:dyDescent="0.3">
      <c r="A8224" s="1">
        <v>37862</v>
      </c>
      <c r="B8224">
        <v>1810.4499510000001</v>
      </c>
      <c r="C8224">
        <f t="shared" si="273"/>
        <v>5.7049276694186328E-3</v>
      </c>
      <c r="D8224">
        <f t="shared" si="272"/>
        <v>0.41919280284068577</v>
      </c>
    </row>
    <row r="8225" spans="1:4" x14ac:dyDescent="0.3">
      <c r="A8225" s="1">
        <v>37866</v>
      </c>
      <c r="B8225">
        <v>1841.4799800000001</v>
      </c>
      <c r="C8225">
        <f t="shared" si="273"/>
        <v>1.7139401717711451E-2</v>
      </c>
      <c r="D8225">
        <f t="shared" si="272"/>
        <v>1.333903707865876</v>
      </c>
    </row>
    <row r="8226" spans="1:4" x14ac:dyDescent="0.3">
      <c r="A8226" s="1">
        <v>37867</v>
      </c>
      <c r="B8226">
        <v>1852.900024</v>
      </c>
      <c r="C8226">
        <f t="shared" si="273"/>
        <v>6.2015575102803786E-3</v>
      </c>
      <c r="D8226">
        <f t="shared" si="272"/>
        <v>0.45892114795551747</v>
      </c>
    </row>
    <row r="8227" spans="1:4" x14ac:dyDescent="0.3">
      <c r="A8227" s="1">
        <v>37868</v>
      </c>
      <c r="B8227">
        <v>1868.969971</v>
      </c>
      <c r="C8227">
        <f t="shared" si="273"/>
        <v>8.6728624274657329E-3</v>
      </c>
      <c r="D8227">
        <f t="shared" si="272"/>
        <v>0.65661537926380564</v>
      </c>
    </row>
    <row r="8228" spans="1:4" x14ac:dyDescent="0.3">
      <c r="A8228" s="1">
        <v>37869</v>
      </c>
      <c r="B8228">
        <v>1858.23999</v>
      </c>
      <c r="C8228">
        <f t="shared" si="273"/>
        <v>-5.7411200642559458E-3</v>
      </c>
      <c r="D8228">
        <f t="shared" si="272"/>
        <v>-0.49644394942376663</v>
      </c>
    </row>
    <row r="8229" spans="1:4" x14ac:dyDescent="0.3">
      <c r="A8229" s="1">
        <v>37872</v>
      </c>
      <c r="B8229">
        <v>1888.619995</v>
      </c>
      <c r="C8229">
        <f t="shared" si="273"/>
        <v>1.6348805947287777E-2</v>
      </c>
      <c r="D8229">
        <f t="shared" si="272"/>
        <v>1.2706592971812152</v>
      </c>
    </row>
    <row r="8230" spans="1:4" x14ac:dyDescent="0.3">
      <c r="A8230" s="1">
        <v>37873</v>
      </c>
      <c r="B8230">
        <v>1873.4300539999999</v>
      </c>
      <c r="C8230">
        <f t="shared" si="273"/>
        <v>-8.0428784192767642E-3</v>
      </c>
      <c r="D8230">
        <f t="shared" si="272"/>
        <v>-0.68057515293852122</v>
      </c>
    </row>
    <row r="8231" spans="1:4" x14ac:dyDescent="0.3">
      <c r="A8231" s="1">
        <v>37874</v>
      </c>
      <c r="B8231">
        <v>1823.8100589999999</v>
      </c>
      <c r="C8231">
        <f t="shared" si="273"/>
        <v>-2.6486174327168138E-2</v>
      </c>
      <c r="D8231">
        <f t="shared" si="272"/>
        <v>-2.1559629862839005</v>
      </c>
    </row>
    <row r="8232" spans="1:4" x14ac:dyDescent="0.3">
      <c r="A8232" s="1">
        <v>37875</v>
      </c>
      <c r="B8232">
        <v>1846.089966</v>
      </c>
      <c r="C8232">
        <f t="shared" si="273"/>
        <v>1.2216133412607796E-2</v>
      </c>
      <c r="D8232">
        <f t="shared" si="272"/>
        <v>0.94006248805782056</v>
      </c>
    </row>
    <row r="8233" spans="1:4" x14ac:dyDescent="0.3">
      <c r="A8233" s="1">
        <v>37876</v>
      </c>
      <c r="B8233">
        <v>1855.030029</v>
      </c>
      <c r="C8233">
        <f t="shared" si="273"/>
        <v>4.8427016909532395E-3</v>
      </c>
      <c r="D8233">
        <f t="shared" si="272"/>
        <v>0.35021827005786293</v>
      </c>
    </row>
    <row r="8234" spans="1:4" x14ac:dyDescent="0.3">
      <c r="A8234" s="1">
        <v>37879</v>
      </c>
      <c r="B8234">
        <v>1845.6999510000001</v>
      </c>
      <c r="C8234">
        <f t="shared" si="273"/>
        <v>-5.0296102241695608E-3</v>
      </c>
      <c r="D8234">
        <f t="shared" si="272"/>
        <v>-0.43952608796280029</v>
      </c>
    </row>
    <row r="8235" spans="1:4" x14ac:dyDescent="0.3">
      <c r="A8235" s="1">
        <v>37880</v>
      </c>
      <c r="B8235">
        <v>1887.25</v>
      </c>
      <c r="C8235">
        <f t="shared" si="273"/>
        <v>2.2511811292777101E-2</v>
      </c>
      <c r="D8235">
        <f t="shared" si="272"/>
        <v>1.7636743823909535</v>
      </c>
    </row>
    <row r="8236" spans="1:4" x14ac:dyDescent="0.3">
      <c r="A8236" s="1">
        <v>37881</v>
      </c>
      <c r="B8236">
        <v>1883.099976</v>
      </c>
      <c r="C8236">
        <f t="shared" si="273"/>
        <v>-2.1989794674791524E-3</v>
      </c>
      <c r="D8236">
        <f t="shared" si="272"/>
        <v>-0.21308726705078862</v>
      </c>
    </row>
    <row r="8237" spans="1:4" x14ac:dyDescent="0.3">
      <c r="A8237" s="1">
        <v>37882</v>
      </c>
      <c r="B8237">
        <v>1909.5500489999999</v>
      </c>
      <c r="C8237">
        <f t="shared" si="273"/>
        <v>1.4046026943393672E-2</v>
      </c>
      <c r="D8237">
        <f t="shared" si="272"/>
        <v>1.086446445953531</v>
      </c>
    </row>
    <row r="8238" spans="1:4" x14ac:dyDescent="0.3">
      <c r="A8238" s="1">
        <v>37883</v>
      </c>
      <c r="B8238">
        <v>1905.6999510000001</v>
      </c>
      <c r="C8238">
        <f t="shared" si="273"/>
        <v>-2.0162330921968358E-3</v>
      </c>
      <c r="D8238">
        <f t="shared" si="272"/>
        <v>-0.19846830848578859</v>
      </c>
    </row>
    <row r="8239" spans="1:4" x14ac:dyDescent="0.3">
      <c r="A8239" s="1">
        <v>37886</v>
      </c>
      <c r="B8239">
        <v>1874.619995</v>
      </c>
      <c r="C8239">
        <f t="shared" si="273"/>
        <v>-1.6308945164054338E-2</v>
      </c>
      <c r="D8239">
        <f t="shared" si="272"/>
        <v>-1.3418265022511728</v>
      </c>
    </row>
    <row r="8240" spans="1:4" x14ac:dyDescent="0.3">
      <c r="A8240" s="1">
        <v>37887</v>
      </c>
      <c r="B8240">
        <v>1901.719971</v>
      </c>
      <c r="C8240">
        <f t="shared" si="273"/>
        <v>1.4456250371958702E-2</v>
      </c>
      <c r="D8240">
        <f t="shared" si="272"/>
        <v>1.1192626333899158</v>
      </c>
    </row>
    <row r="8241" spans="1:4" x14ac:dyDescent="0.3">
      <c r="A8241" s="1">
        <v>37888</v>
      </c>
      <c r="B8241">
        <v>1843.6999510000001</v>
      </c>
      <c r="C8241">
        <f t="shared" si="273"/>
        <v>-3.0509234211538883E-2</v>
      </c>
      <c r="D8241">
        <f t="shared" si="272"/>
        <v>-2.4777912341124679</v>
      </c>
    </row>
    <row r="8242" spans="1:4" x14ac:dyDescent="0.3">
      <c r="A8242" s="1">
        <v>37889</v>
      </c>
      <c r="B8242">
        <v>1817.23999</v>
      </c>
      <c r="C8242">
        <f t="shared" si="273"/>
        <v>-1.4351554864254601E-2</v>
      </c>
      <c r="D8242">
        <f t="shared" si="272"/>
        <v>-1.1852433271042002</v>
      </c>
    </row>
    <row r="8243" spans="1:4" x14ac:dyDescent="0.3">
      <c r="A8243" s="1">
        <v>37890</v>
      </c>
      <c r="B8243">
        <v>1792.0699460000001</v>
      </c>
      <c r="C8243">
        <f t="shared" si="273"/>
        <v>-1.3850698938228826E-2</v>
      </c>
      <c r="D8243">
        <f t="shared" si="272"/>
        <v>-1.1451769125540123</v>
      </c>
    </row>
    <row r="8244" spans="1:4" x14ac:dyDescent="0.3">
      <c r="A8244" s="1">
        <v>37893</v>
      </c>
      <c r="B8244">
        <v>1824.5600589999999</v>
      </c>
      <c r="C8244">
        <f t="shared" si="273"/>
        <v>1.8129935760889008E-2</v>
      </c>
      <c r="D8244">
        <f t="shared" si="272"/>
        <v>1.4131423582197573</v>
      </c>
    </row>
    <row r="8245" spans="1:4" x14ac:dyDescent="0.3">
      <c r="A8245" s="1">
        <v>37894</v>
      </c>
      <c r="B8245">
        <v>1786.9399410000001</v>
      </c>
      <c r="C8245">
        <f t="shared" si="273"/>
        <v>-2.061873371305659E-2</v>
      </c>
      <c r="D8245">
        <f t="shared" si="272"/>
        <v>-1.6865918642149467</v>
      </c>
    </row>
    <row r="8246" spans="1:4" x14ac:dyDescent="0.3">
      <c r="A8246" s="1">
        <v>37895</v>
      </c>
      <c r="B8246">
        <v>1832.25</v>
      </c>
      <c r="C8246">
        <f t="shared" si="273"/>
        <v>2.5356229361935732E-2</v>
      </c>
      <c r="D8246">
        <f t="shared" si="272"/>
        <v>1.9912161316066554</v>
      </c>
    </row>
    <row r="8247" spans="1:4" x14ac:dyDescent="0.3">
      <c r="A8247" s="1">
        <v>37896</v>
      </c>
      <c r="B8247">
        <v>1836.219971</v>
      </c>
      <c r="C8247">
        <f t="shared" si="273"/>
        <v>2.1667190612634666E-3</v>
      </c>
      <c r="D8247">
        <f t="shared" si="272"/>
        <v>0.13615066338900414</v>
      </c>
    </row>
    <row r="8248" spans="1:4" x14ac:dyDescent="0.3">
      <c r="A8248" s="1">
        <v>37897</v>
      </c>
      <c r="B8248">
        <v>1880.5699460000001</v>
      </c>
      <c r="C8248">
        <f t="shared" si="273"/>
        <v>2.4152866051144854E-2</v>
      </c>
      <c r="D8248">
        <f t="shared" si="272"/>
        <v>1.894952015002886</v>
      </c>
    </row>
    <row r="8249" spans="1:4" x14ac:dyDescent="0.3">
      <c r="A8249" s="1">
        <v>37900</v>
      </c>
      <c r="B8249">
        <v>1893.459961</v>
      </c>
      <c r="C8249">
        <f t="shared" si="273"/>
        <v>6.8543129849635209E-3</v>
      </c>
      <c r="D8249">
        <f t="shared" si="272"/>
        <v>0.51113890178361854</v>
      </c>
    </row>
    <row r="8250" spans="1:4" x14ac:dyDescent="0.3">
      <c r="A8250" s="1">
        <v>37901</v>
      </c>
      <c r="B8250">
        <v>1907.849976</v>
      </c>
      <c r="C8250">
        <f t="shared" si="273"/>
        <v>7.5998517509713254E-3</v>
      </c>
      <c r="D8250">
        <f t="shared" si="272"/>
        <v>0.57077893739051899</v>
      </c>
    </row>
    <row r="8251" spans="1:4" x14ac:dyDescent="0.3">
      <c r="A8251" s="1">
        <v>37902</v>
      </c>
      <c r="B8251">
        <v>1893.780029</v>
      </c>
      <c r="C8251">
        <f t="shared" si="273"/>
        <v>-7.374765928660188E-3</v>
      </c>
      <c r="D8251">
        <f t="shared" si="272"/>
        <v>-0.6271289009841724</v>
      </c>
    </row>
    <row r="8252" spans="1:4" x14ac:dyDescent="0.3">
      <c r="A8252" s="1">
        <v>37903</v>
      </c>
      <c r="B8252">
        <v>1911.900024</v>
      </c>
      <c r="C8252">
        <f t="shared" si="273"/>
        <v>9.5681624700457851E-3</v>
      </c>
      <c r="D8252">
        <f t="shared" si="272"/>
        <v>0.72823570117443692</v>
      </c>
    </row>
    <row r="8253" spans="1:4" x14ac:dyDescent="0.3">
      <c r="A8253" s="1">
        <v>37904</v>
      </c>
      <c r="B8253">
        <v>1915.3100589999999</v>
      </c>
      <c r="C8253">
        <f t="shared" si="273"/>
        <v>1.7835843700998247E-3</v>
      </c>
      <c r="D8253">
        <f t="shared" si="272"/>
        <v>0.10550146355517658</v>
      </c>
    </row>
    <row r="8254" spans="1:4" x14ac:dyDescent="0.3">
      <c r="A8254" s="1">
        <v>37907</v>
      </c>
      <c r="B8254">
        <v>1933.530029</v>
      </c>
      <c r="C8254">
        <f t="shared" si="273"/>
        <v>9.51280442264941E-3</v>
      </c>
      <c r="D8254">
        <f t="shared" si="272"/>
        <v>0.72380728501637803</v>
      </c>
    </row>
    <row r="8255" spans="1:4" x14ac:dyDescent="0.3">
      <c r="A8255" s="1">
        <v>37908</v>
      </c>
      <c r="B8255">
        <v>1943.1899410000001</v>
      </c>
      <c r="C8255">
        <f t="shared" si="273"/>
        <v>4.9959979183752702E-3</v>
      </c>
      <c r="D8255">
        <f t="shared" si="272"/>
        <v>0.36248133789377168</v>
      </c>
    </row>
    <row r="8256" spans="1:4" x14ac:dyDescent="0.3">
      <c r="A8256" s="1">
        <v>37909</v>
      </c>
      <c r="B8256">
        <v>1939.099976</v>
      </c>
      <c r="C8256">
        <f t="shared" si="273"/>
        <v>-2.1047685116645631E-3</v>
      </c>
      <c r="D8256">
        <f t="shared" si="272"/>
        <v>-0.20555077798338658</v>
      </c>
    </row>
    <row r="8257" spans="1:4" x14ac:dyDescent="0.3">
      <c r="A8257" s="1">
        <v>37910</v>
      </c>
      <c r="B8257">
        <v>1950.1400149999999</v>
      </c>
      <c r="C8257">
        <f t="shared" si="273"/>
        <v>5.6933830832041525E-3</v>
      </c>
      <c r="D8257">
        <f t="shared" si="272"/>
        <v>0.41826928341514952</v>
      </c>
    </row>
    <row r="8258" spans="1:4" x14ac:dyDescent="0.3">
      <c r="A8258" s="1">
        <v>37911</v>
      </c>
      <c r="B8258">
        <v>1912.3599850000001</v>
      </c>
      <c r="C8258">
        <f t="shared" si="273"/>
        <v>-1.9372983329096961E-2</v>
      </c>
      <c r="D8258">
        <f t="shared" si="272"/>
        <v>-1.5869369560543638</v>
      </c>
    </row>
    <row r="8259" spans="1:4" x14ac:dyDescent="0.3">
      <c r="A8259" s="1">
        <v>37914</v>
      </c>
      <c r="B8259">
        <v>1925.1400149999999</v>
      </c>
      <c r="C8259">
        <f t="shared" si="273"/>
        <v>6.6828578825340237E-3</v>
      </c>
      <c r="D8259">
        <f t="shared" ref="D8259:D8322" si="274">(C8259-avrtn)/sdrtn</f>
        <v>0.49742319861685264</v>
      </c>
    </row>
    <row r="8260" spans="1:4" x14ac:dyDescent="0.3">
      <c r="A8260" s="1">
        <v>37915</v>
      </c>
      <c r="B8260">
        <v>1940.900024</v>
      </c>
      <c r="C8260">
        <f t="shared" ref="C8260:C8323" si="275">(B8260-B8259)/B8259</f>
        <v>8.1864222223857735E-3</v>
      </c>
      <c r="D8260">
        <f t="shared" si="274"/>
        <v>0.61770216311148407</v>
      </c>
    </row>
    <row r="8261" spans="1:4" x14ac:dyDescent="0.3">
      <c r="A8261" s="1">
        <v>37916</v>
      </c>
      <c r="B8261">
        <v>1898.0699460000001</v>
      </c>
      <c r="C8261">
        <f t="shared" si="275"/>
        <v>-2.2067122196088942E-2</v>
      </c>
      <c r="D8261">
        <f t="shared" si="274"/>
        <v>-1.8024569870485052</v>
      </c>
    </row>
    <row r="8262" spans="1:4" x14ac:dyDescent="0.3">
      <c r="A8262" s="1">
        <v>37917</v>
      </c>
      <c r="B8262">
        <v>1885.51001</v>
      </c>
      <c r="C8262">
        <f t="shared" si="275"/>
        <v>-6.6172145164981747E-3</v>
      </c>
      <c r="D8262">
        <f t="shared" si="274"/>
        <v>-0.56652790308123147</v>
      </c>
    </row>
    <row r="8263" spans="1:4" x14ac:dyDescent="0.3">
      <c r="A8263" s="1">
        <v>37918</v>
      </c>
      <c r="B8263">
        <v>1865.589966</v>
      </c>
      <c r="C8263">
        <f t="shared" si="275"/>
        <v>-1.0564804161395018E-2</v>
      </c>
      <c r="D8263">
        <f t="shared" si="274"/>
        <v>-0.88231884208736544</v>
      </c>
    </row>
    <row r="8264" spans="1:4" x14ac:dyDescent="0.3">
      <c r="A8264" s="1">
        <v>37921</v>
      </c>
      <c r="B8264">
        <v>1882.910034</v>
      </c>
      <c r="C8264">
        <f t="shared" si="275"/>
        <v>9.2839628834067139E-3</v>
      </c>
      <c r="D8264">
        <f t="shared" si="274"/>
        <v>0.70550090287899436</v>
      </c>
    </row>
    <row r="8265" spans="1:4" x14ac:dyDescent="0.3">
      <c r="A8265" s="1">
        <v>37922</v>
      </c>
      <c r="B8265">
        <v>1932.26001</v>
      </c>
      <c r="C8265">
        <f t="shared" si="275"/>
        <v>2.6209417926974607E-2</v>
      </c>
      <c r="D8265">
        <f t="shared" si="274"/>
        <v>2.0594677084774227</v>
      </c>
    </row>
    <row r="8266" spans="1:4" x14ac:dyDescent="0.3">
      <c r="A8266" s="1">
        <v>37923</v>
      </c>
      <c r="B8266">
        <v>1936.5600589999999</v>
      </c>
      <c r="C8266">
        <f t="shared" si="275"/>
        <v>2.2253987443439068E-3</v>
      </c>
      <c r="D8266">
        <f t="shared" si="274"/>
        <v>0.14084479674314074</v>
      </c>
    </row>
    <row r="8267" spans="1:4" x14ac:dyDescent="0.3">
      <c r="A8267" s="1">
        <v>37924</v>
      </c>
      <c r="B8267">
        <v>1932.6899410000001</v>
      </c>
      <c r="C8267">
        <f t="shared" si="275"/>
        <v>-1.9984497676763355E-3</v>
      </c>
      <c r="D8267">
        <f t="shared" si="274"/>
        <v>-0.19704571564961595</v>
      </c>
    </row>
    <row r="8268" spans="1:4" x14ac:dyDescent="0.3">
      <c r="A8268" s="1">
        <v>37925</v>
      </c>
      <c r="B8268">
        <v>1932.209961</v>
      </c>
      <c r="C8268">
        <f t="shared" si="275"/>
        <v>-2.4834816481308973E-4</v>
      </c>
      <c r="D8268">
        <f t="shared" si="274"/>
        <v>-5.7044783881347795E-2</v>
      </c>
    </row>
    <row r="8269" spans="1:4" x14ac:dyDescent="0.3">
      <c r="A8269" s="1">
        <v>37928</v>
      </c>
      <c r="B8269">
        <v>1967.6999510000001</v>
      </c>
      <c r="C8269">
        <f t="shared" si="275"/>
        <v>1.8367563937840621E-2</v>
      </c>
      <c r="D8269">
        <f t="shared" si="274"/>
        <v>1.4321516352429839</v>
      </c>
    </row>
    <row r="8270" spans="1:4" x14ac:dyDescent="0.3">
      <c r="A8270" s="1">
        <v>37929</v>
      </c>
      <c r="B8270">
        <v>1957.969971</v>
      </c>
      <c r="C8270">
        <f t="shared" si="275"/>
        <v>-4.9448494395983589E-3</v>
      </c>
      <c r="D8270">
        <f t="shared" si="274"/>
        <v>-0.43274557373553291</v>
      </c>
    </row>
    <row r="8271" spans="1:4" x14ac:dyDescent="0.3">
      <c r="A8271" s="1">
        <v>37930</v>
      </c>
      <c r="B8271">
        <v>1959.369995</v>
      </c>
      <c r="C8271">
        <f t="shared" si="275"/>
        <v>7.1503854539964773E-4</v>
      </c>
      <c r="D8271">
        <f t="shared" si="274"/>
        <v>2.0022191465848094E-2</v>
      </c>
    </row>
    <row r="8272" spans="1:4" x14ac:dyDescent="0.3">
      <c r="A8272" s="1">
        <v>37931</v>
      </c>
      <c r="B8272">
        <v>1976.369995</v>
      </c>
      <c r="C8272">
        <f t="shared" si="275"/>
        <v>8.6762582071692896E-3</v>
      </c>
      <c r="D8272">
        <f t="shared" si="274"/>
        <v>0.6568870276765606</v>
      </c>
    </row>
    <row r="8273" spans="1:4" x14ac:dyDescent="0.3">
      <c r="A8273" s="1">
        <v>37932</v>
      </c>
      <c r="B8273">
        <v>1970.73999</v>
      </c>
      <c r="C8273">
        <f t="shared" si="275"/>
        <v>-2.8486594181470473E-3</v>
      </c>
      <c r="D8273">
        <f t="shared" si="274"/>
        <v>-0.26505899160430024</v>
      </c>
    </row>
    <row r="8274" spans="1:4" x14ac:dyDescent="0.3">
      <c r="A8274" s="1">
        <v>37935</v>
      </c>
      <c r="B8274">
        <v>1941.6400149999999</v>
      </c>
      <c r="C8274">
        <f t="shared" si="275"/>
        <v>-1.476601436397507E-2</v>
      </c>
      <c r="D8274">
        <f t="shared" si="274"/>
        <v>-1.2183983828141915</v>
      </c>
    </row>
    <row r="8275" spans="1:4" x14ac:dyDescent="0.3">
      <c r="A8275" s="1">
        <v>37936</v>
      </c>
      <c r="B8275">
        <v>1930.75</v>
      </c>
      <c r="C8275">
        <f t="shared" si="275"/>
        <v>-5.6086684019024755E-3</v>
      </c>
      <c r="D8275">
        <f t="shared" si="274"/>
        <v>-0.48584836107997897</v>
      </c>
    </row>
    <row r="8276" spans="1:4" x14ac:dyDescent="0.3">
      <c r="A8276" s="1">
        <v>37937</v>
      </c>
      <c r="B8276">
        <v>1973.1099850000001</v>
      </c>
      <c r="C8276">
        <f t="shared" si="275"/>
        <v>2.1939652984591506E-2</v>
      </c>
      <c r="D8276">
        <f t="shared" si="274"/>
        <v>1.7179040704651272</v>
      </c>
    </row>
    <row r="8277" spans="1:4" x14ac:dyDescent="0.3">
      <c r="A8277" s="1">
        <v>37938</v>
      </c>
      <c r="B8277">
        <v>1967.349976</v>
      </c>
      <c r="C8277">
        <f t="shared" si="275"/>
        <v>-2.9192538904515663E-3</v>
      </c>
      <c r="D8277">
        <f t="shared" si="274"/>
        <v>-0.2707062591024571</v>
      </c>
    </row>
    <row r="8278" spans="1:4" x14ac:dyDescent="0.3">
      <c r="A8278" s="1">
        <v>37939</v>
      </c>
      <c r="B8278">
        <v>1930.26001</v>
      </c>
      <c r="C8278">
        <f t="shared" si="275"/>
        <v>-1.8852754442506982E-2</v>
      </c>
      <c r="D8278">
        <f t="shared" si="274"/>
        <v>-1.5453207843211292</v>
      </c>
    </row>
    <row r="8279" spans="1:4" x14ac:dyDescent="0.3">
      <c r="A8279" s="1">
        <v>37942</v>
      </c>
      <c r="B8279">
        <v>1909.6099850000001</v>
      </c>
      <c r="C8279">
        <f t="shared" si="275"/>
        <v>-1.0698053574658015E-2</v>
      </c>
      <c r="D8279">
        <f t="shared" si="274"/>
        <v>-0.89297824722354391</v>
      </c>
    </row>
    <row r="8280" spans="1:4" x14ac:dyDescent="0.3">
      <c r="A8280" s="1">
        <v>37943</v>
      </c>
      <c r="B8280">
        <v>1881.75</v>
      </c>
      <c r="C8280">
        <f t="shared" si="275"/>
        <v>-1.4589358674724384E-2</v>
      </c>
      <c r="D8280">
        <f t="shared" si="274"/>
        <v>-1.2042666540866713</v>
      </c>
    </row>
    <row r="8281" spans="1:4" x14ac:dyDescent="0.3">
      <c r="A8281" s="1">
        <v>37944</v>
      </c>
      <c r="B8281">
        <v>1899.650024</v>
      </c>
      <c r="C8281">
        <f t="shared" si="275"/>
        <v>9.5124347017404177E-3</v>
      </c>
      <c r="D8281">
        <f t="shared" si="274"/>
        <v>0.72377770886396009</v>
      </c>
    </row>
    <row r="8282" spans="1:4" x14ac:dyDescent="0.3">
      <c r="A8282" s="1">
        <v>37945</v>
      </c>
      <c r="B8282">
        <v>1881.920044</v>
      </c>
      <c r="C8282">
        <f t="shared" si="275"/>
        <v>-9.3332875929782681E-3</v>
      </c>
      <c r="D8282">
        <f t="shared" si="274"/>
        <v>-0.78380258064041353</v>
      </c>
    </row>
    <row r="8283" spans="1:4" x14ac:dyDescent="0.3">
      <c r="A8283" s="1">
        <v>37946</v>
      </c>
      <c r="B8283">
        <v>1893.880005</v>
      </c>
      <c r="C8283">
        <f t="shared" si="275"/>
        <v>6.3551908265875407E-3</v>
      </c>
      <c r="D8283">
        <f t="shared" si="274"/>
        <v>0.47121118151611896</v>
      </c>
    </row>
    <row r="8284" spans="1:4" x14ac:dyDescent="0.3">
      <c r="A8284" s="1">
        <v>37949</v>
      </c>
      <c r="B8284">
        <v>1947.1400149999999</v>
      </c>
      <c r="C8284">
        <f t="shared" si="275"/>
        <v>2.8122167116918246E-2</v>
      </c>
      <c r="D8284">
        <f t="shared" si="274"/>
        <v>2.212479778401248</v>
      </c>
    </row>
    <row r="8285" spans="1:4" x14ac:dyDescent="0.3">
      <c r="A8285" s="1">
        <v>37950</v>
      </c>
      <c r="B8285">
        <v>1943.040039</v>
      </c>
      <c r="C8285">
        <f t="shared" si="275"/>
        <v>-2.1056400507489799E-3</v>
      </c>
      <c r="D8285">
        <f t="shared" si="274"/>
        <v>-0.20562049752634981</v>
      </c>
    </row>
    <row r="8286" spans="1:4" x14ac:dyDescent="0.3">
      <c r="A8286" s="1">
        <v>37951</v>
      </c>
      <c r="B8286">
        <v>1953.3100589999999</v>
      </c>
      <c r="C8286">
        <f t="shared" si="275"/>
        <v>5.2855421369934676E-3</v>
      </c>
      <c r="D8286">
        <f t="shared" si="274"/>
        <v>0.38564368477028632</v>
      </c>
    </row>
    <row r="8287" spans="1:4" x14ac:dyDescent="0.3">
      <c r="A8287" s="1">
        <v>37953</v>
      </c>
      <c r="B8287">
        <v>1960.26001</v>
      </c>
      <c r="C8287">
        <f t="shared" si="275"/>
        <v>3.5580377871796214E-3</v>
      </c>
      <c r="D8287">
        <f t="shared" si="274"/>
        <v>0.24745044032551039</v>
      </c>
    </row>
    <row r="8288" spans="1:4" x14ac:dyDescent="0.3">
      <c r="A8288" s="1">
        <v>37956</v>
      </c>
      <c r="B8288">
        <v>1989.8199460000001</v>
      </c>
      <c r="C8288">
        <f t="shared" si="275"/>
        <v>1.5079599568018584E-2</v>
      </c>
      <c r="D8288">
        <f t="shared" si="274"/>
        <v>1.1691280058474962</v>
      </c>
    </row>
    <row r="8289" spans="1:4" x14ac:dyDescent="0.3">
      <c r="A8289" s="1">
        <v>37957</v>
      </c>
      <c r="B8289">
        <v>1980.0699460000001</v>
      </c>
      <c r="C8289">
        <f t="shared" si="275"/>
        <v>-4.8999408311288482E-3</v>
      </c>
      <c r="D8289">
        <f t="shared" si="274"/>
        <v>-0.42915306972327349</v>
      </c>
    </row>
    <row r="8290" spans="1:4" x14ac:dyDescent="0.3">
      <c r="A8290" s="1">
        <v>37958</v>
      </c>
      <c r="B8290">
        <v>1960.25</v>
      </c>
      <c r="C8290">
        <f t="shared" si="275"/>
        <v>-1.0009720131371597E-2</v>
      </c>
      <c r="D8290">
        <f t="shared" si="274"/>
        <v>-0.83791440220466185</v>
      </c>
    </row>
    <row r="8291" spans="1:4" x14ac:dyDescent="0.3">
      <c r="A8291" s="1">
        <v>37959</v>
      </c>
      <c r="B8291">
        <v>1968.8000489999999</v>
      </c>
      <c r="C8291">
        <f t="shared" si="275"/>
        <v>4.3617135569442387E-3</v>
      </c>
      <c r="D8291">
        <f t="shared" si="274"/>
        <v>0.31174119717216792</v>
      </c>
    </row>
    <row r="8292" spans="1:4" x14ac:dyDescent="0.3">
      <c r="A8292" s="1">
        <v>37960</v>
      </c>
      <c r="B8292">
        <v>1937.8199460000001</v>
      </c>
      <c r="C8292">
        <f t="shared" si="275"/>
        <v>-1.5735525309304721E-2</v>
      </c>
      <c r="D8292">
        <f t="shared" si="274"/>
        <v>-1.2959552717877354</v>
      </c>
    </row>
    <row r="8293" spans="1:4" x14ac:dyDescent="0.3">
      <c r="A8293" s="1">
        <v>37963</v>
      </c>
      <c r="B8293">
        <v>1948.849976</v>
      </c>
      <c r="C8293">
        <f t="shared" si="275"/>
        <v>5.6919787737595602E-3</v>
      </c>
      <c r="D8293">
        <f t="shared" si="274"/>
        <v>0.41815694443413709</v>
      </c>
    </row>
    <row r="8294" spans="1:4" x14ac:dyDescent="0.3">
      <c r="A8294" s="1">
        <v>37964</v>
      </c>
      <c r="B8294">
        <v>1908.3199460000001</v>
      </c>
      <c r="C8294">
        <f t="shared" si="275"/>
        <v>-2.0796895861213228E-2</v>
      </c>
      <c r="D8294">
        <f t="shared" si="274"/>
        <v>-1.700844103460347</v>
      </c>
    </row>
    <row r="8295" spans="1:4" x14ac:dyDescent="0.3">
      <c r="A8295" s="1">
        <v>37965</v>
      </c>
      <c r="B8295">
        <v>1904.650024</v>
      </c>
      <c r="C8295">
        <f t="shared" si="275"/>
        <v>-1.9231167224827833E-3</v>
      </c>
      <c r="D8295">
        <f t="shared" si="274"/>
        <v>-0.19101938180546454</v>
      </c>
    </row>
    <row r="8296" spans="1:4" x14ac:dyDescent="0.3">
      <c r="A8296" s="1">
        <v>37966</v>
      </c>
      <c r="B8296">
        <v>1942.3199460000001</v>
      </c>
      <c r="C8296">
        <f t="shared" si="275"/>
        <v>1.9777870750705456E-2</v>
      </c>
      <c r="D8296">
        <f t="shared" si="274"/>
        <v>1.5449703810559046</v>
      </c>
    </row>
    <row r="8297" spans="1:4" x14ac:dyDescent="0.3">
      <c r="A8297" s="1">
        <v>37967</v>
      </c>
      <c r="B8297">
        <v>1949</v>
      </c>
      <c r="C8297">
        <f t="shared" si="275"/>
        <v>3.4392140253498315E-3</v>
      </c>
      <c r="D8297">
        <f t="shared" si="274"/>
        <v>0.23794502798535538</v>
      </c>
    </row>
    <row r="8298" spans="1:4" x14ac:dyDescent="0.3">
      <c r="A8298" s="1">
        <v>37970</v>
      </c>
      <c r="B8298">
        <v>1918.26001</v>
      </c>
      <c r="C8298">
        <f t="shared" si="275"/>
        <v>-1.5772185736275032E-2</v>
      </c>
      <c r="D8298">
        <f t="shared" si="274"/>
        <v>-1.2988879551967838</v>
      </c>
    </row>
    <row r="8299" spans="1:4" x14ac:dyDescent="0.3">
      <c r="A8299" s="1">
        <v>37971</v>
      </c>
      <c r="B8299">
        <v>1924.290039</v>
      </c>
      <c r="C8299">
        <f t="shared" si="275"/>
        <v>3.1434888745869301E-3</v>
      </c>
      <c r="D8299">
        <f t="shared" si="274"/>
        <v>0.21428823195340926</v>
      </c>
    </row>
    <row r="8300" spans="1:4" x14ac:dyDescent="0.3">
      <c r="A8300" s="1">
        <v>37972</v>
      </c>
      <c r="B8300">
        <v>1921.329956</v>
      </c>
      <c r="C8300">
        <f t="shared" si="275"/>
        <v>-1.5382727863301798E-3</v>
      </c>
      <c r="D8300">
        <f t="shared" si="274"/>
        <v>-0.16023344940097747</v>
      </c>
    </row>
    <row r="8301" spans="1:4" x14ac:dyDescent="0.3">
      <c r="A8301" s="1">
        <v>37973</v>
      </c>
      <c r="B8301">
        <v>1956.1800539999999</v>
      </c>
      <c r="C8301">
        <f t="shared" si="275"/>
        <v>1.813852841422095E-2</v>
      </c>
      <c r="D8301">
        <f t="shared" si="274"/>
        <v>1.4138297351531111</v>
      </c>
    </row>
    <row r="8302" spans="1:4" x14ac:dyDescent="0.3">
      <c r="A8302" s="1">
        <v>37974</v>
      </c>
      <c r="B8302">
        <v>1951.0200199999999</v>
      </c>
      <c r="C8302">
        <f t="shared" si="275"/>
        <v>-2.6378113760278615E-3</v>
      </c>
      <c r="D8302">
        <f t="shared" si="274"/>
        <v>-0.24819201524709517</v>
      </c>
    </row>
    <row r="8303" spans="1:4" x14ac:dyDescent="0.3">
      <c r="A8303" s="1">
        <v>37977</v>
      </c>
      <c r="B8303">
        <v>1955.8000489999999</v>
      </c>
      <c r="C8303">
        <f t="shared" si="275"/>
        <v>2.450015351457036E-3</v>
      </c>
      <c r="D8303">
        <f t="shared" si="274"/>
        <v>0.15881320168318372</v>
      </c>
    </row>
    <row r="8304" spans="1:4" x14ac:dyDescent="0.3">
      <c r="A8304" s="1">
        <v>37978</v>
      </c>
      <c r="B8304">
        <v>1974.780029</v>
      </c>
      <c r="C8304">
        <f t="shared" si="275"/>
        <v>9.7044582904599712E-3</v>
      </c>
      <c r="D8304">
        <f t="shared" si="274"/>
        <v>0.73913880635580942</v>
      </c>
    </row>
    <row r="8305" spans="1:4" x14ac:dyDescent="0.3">
      <c r="A8305" s="1">
        <v>37979</v>
      </c>
      <c r="B8305">
        <v>1969.2299800000001</v>
      </c>
      <c r="C8305">
        <f t="shared" si="275"/>
        <v>-2.8104644155280468E-3</v>
      </c>
      <c r="D8305">
        <f t="shared" si="274"/>
        <v>-0.26200354845356943</v>
      </c>
    </row>
    <row r="8306" spans="1:4" x14ac:dyDescent="0.3">
      <c r="A8306" s="1">
        <v>37981</v>
      </c>
      <c r="B8306">
        <v>1973.1400149999999</v>
      </c>
      <c r="C8306">
        <f t="shared" si="275"/>
        <v>1.9855654442148397E-3</v>
      </c>
      <c r="D8306">
        <f t="shared" si="274"/>
        <v>0.12165911893323829</v>
      </c>
    </row>
    <row r="8307" spans="1:4" x14ac:dyDescent="0.3">
      <c r="A8307" s="1">
        <v>37984</v>
      </c>
      <c r="B8307">
        <v>2006.4799800000001</v>
      </c>
      <c r="C8307">
        <f t="shared" si="275"/>
        <v>1.6896907845640199E-2</v>
      </c>
      <c r="D8307">
        <f t="shared" si="274"/>
        <v>1.3145051952409359</v>
      </c>
    </row>
    <row r="8308" spans="1:4" x14ac:dyDescent="0.3">
      <c r="A8308" s="1">
        <v>37985</v>
      </c>
      <c r="B8308">
        <v>2009.880005</v>
      </c>
      <c r="C8308">
        <f t="shared" si="275"/>
        <v>1.6945222648072043E-3</v>
      </c>
      <c r="D8308">
        <f t="shared" si="274"/>
        <v>9.8376861357332201E-2</v>
      </c>
    </row>
    <row r="8309" spans="1:4" x14ac:dyDescent="0.3">
      <c r="A8309" s="1">
        <v>37986</v>
      </c>
      <c r="B8309">
        <v>2003.369995</v>
      </c>
      <c r="C8309">
        <f t="shared" si="275"/>
        <v>-3.2390043106080681E-3</v>
      </c>
      <c r="D8309">
        <f t="shared" si="274"/>
        <v>-0.2962849778933932</v>
      </c>
    </row>
    <row r="8310" spans="1:4" x14ac:dyDescent="0.3">
      <c r="A8310" s="1">
        <v>37988</v>
      </c>
      <c r="B8310">
        <v>2006.6800539999999</v>
      </c>
      <c r="C8310">
        <f t="shared" si="275"/>
        <v>1.6522454705127547E-3</v>
      </c>
      <c r="D8310">
        <f t="shared" si="274"/>
        <v>9.4994891656993125E-2</v>
      </c>
    </row>
    <row r="8311" spans="1:4" x14ac:dyDescent="0.3">
      <c r="A8311" s="1">
        <v>37991</v>
      </c>
      <c r="B8311">
        <v>2047.3599850000001</v>
      </c>
      <c r="C8311">
        <f t="shared" si="275"/>
        <v>2.0272255618882094E-2</v>
      </c>
      <c r="D8311">
        <f t="shared" si="274"/>
        <v>1.5845191375873107</v>
      </c>
    </row>
    <row r="8312" spans="1:4" x14ac:dyDescent="0.3">
      <c r="A8312" s="1">
        <v>37992</v>
      </c>
      <c r="B8312">
        <v>2057.3701169999999</v>
      </c>
      <c r="C8312">
        <f t="shared" si="275"/>
        <v>4.8892877038426074E-3</v>
      </c>
      <c r="D8312">
        <f t="shared" si="274"/>
        <v>0.35394495952618271</v>
      </c>
    </row>
    <row r="8313" spans="1:4" x14ac:dyDescent="0.3">
      <c r="A8313" s="1">
        <v>37993</v>
      </c>
      <c r="B8313">
        <v>2077.679932</v>
      </c>
      <c r="C8313">
        <f t="shared" si="275"/>
        <v>9.8717361704539972E-3</v>
      </c>
      <c r="D8313">
        <f t="shared" si="274"/>
        <v>0.75252034890457897</v>
      </c>
    </row>
    <row r="8314" spans="1:4" x14ac:dyDescent="0.3">
      <c r="A8314" s="1">
        <v>37994</v>
      </c>
      <c r="B8314">
        <v>2100.25</v>
      </c>
      <c r="C8314">
        <f t="shared" si="275"/>
        <v>1.0863111132942296E-2</v>
      </c>
      <c r="D8314">
        <f t="shared" si="274"/>
        <v>0.83182626934543868</v>
      </c>
    </row>
    <row r="8315" spans="1:4" x14ac:dyDescent="0.3">
      <c r="A8315" s="1">
        <v>37995</v>
      </c>
      <c r="B8315">
        <v>2086.919922</v>
      </c>
      <c r="C8315">
        <f t="shared" si="275"/>
        <v>-6.3469006070705665E-3</v>
      </c>
      <c r="D8315">
        <f t="shared" si="274"/>
        <v>-0.54490390186446003</v>
      </c>
    </row>
    <row r="8316" spans="1:4" x14ac:dyDescent="0.3">
      <c r="A8316" s="1">
        <v>37998</v>
      </c>
      <c r="B8316">
        <v>2111.780029</v>
      </c>
      <c r="C8316">
        <f t="shared" si="275"/>
        <v>1.1912343515402012E-2</v>
      </c>
      <c r="D8316">
        <f t="shared" si="274"/>
        <v>0.91576054547287933</v>
      </c>
    </row>
    <row r="8317" spans="1:4" x14ac:dyDescent="0.3">
      <c r="A8317" s="1">
        <v>37999</v>
      </c>
      <c r="B8317">
        <v>2096.4399410000001</v>
      </c>
      <c r="C8317">
        <f t="shared" si="275"/>
        <v>-7.2640558151617612E-3</v>
      </c>
      <c r="D8317">
        <f t="shared" si="274"/>
        <v>-0.61827254714700519</v>
      </c>
    </row>
    <row r="8318" spans="1:4" x14ac:dyDescent="0.3">
      <c r="A8318" s="1">
        <v>38000</v>
      </c>
      <c r="B8318">
        <v>2111.1298830000001</v>
      </c>
      <c r="C8318">
        <f t="shared" si="275"/>
        <v>7.0070893578725105E-3</v>
      </c>
      <c r="D8318">
        <f t="shared" si="274"/>
        <v>0.52336038339613855</v>
      </c>
    </row>
    <row r="8319" spans="1:4" x14ac:dyDescent="0.3">
      <c r="A8319" s="1">
        <v>38001</v>
      </c>
      <c r="B8319">
        <v>2109.080078</v>
      </c>
      <c r="C8319">
        <f t="shared" si="275"/>
        <v>-9.7095162950715794E-4</v>
      </c>
      <c r="D8319">
        <f t="shared" si="274"/>
        <v>-0.11485008969367183</v>
      </c>
    </row>
    <row r="8320" spans="1:4" x14ac:dyDescent="0.3">
      <c r="A8320" s="1">
        <v>38002</v>
      </c>
      <c r="B8320">
        <v>2140.459961</v>
      </c>
      <c r="C8320">
        <f t="shared" si="275"/>
        <v>1.487846920907669E-2</v>
      </c>
      <c r="D8320">
        <f t="shared" si="274"/>
        <v>1.1530384041851225</v>
      </c>
    </row>
    <row r="8321" spans="1:4" x14ac:dyDescent="0.3">
      <c r="A8321" s="1">
        <v>38006</v>
      </c>
      <c r="B8321">
        <v>2147.9799800000001</v>
      </c>
      <c r="C8321">
        <f t="shared" si="275"/>
        <v>3.5132724447164035E-3</v>
      </c>
      <c r="D8321">
        <f t="shared" si="274"/>
        <v>0.24386939700464105</v>
      </c>
    </row>
    <row r="8322" spans="1:4" x14ac:dyDescent="0.3">
      <c r="A8322" s="1">
        <v>38007</v>
      </c>
      <c r="B8322">
        <v>2142.4499510000001</v>
      </c>
      <c r="C8322">
        <f t="shared" si="275"/>
        <v>-2.5745253919917882E-3</v>
      </c>
      <c r="D8322">
        <f t="shared" si="274"/>
        <v>-0.24312939675773063</v>
      </c>
    </row>
    <row r="8323" spans="1:4" x14ac:dyDescent="0.3">
      <c r="A8323" s="1">
        <v>38008</v>
      </c>
      <c r="B8323">
        <v>2119.01001</v>
      </c>
      <c r="C8323">
        <f t="shared" si="275"/>
        <v>-1.094071811995392E-2</v>
      </c>
      <c r="D8323">
        <f t="shared" ref="D8323:D8386" si="276">(C8323-avrtn)/sdrtn</f>
        <v>-0.91239041300464374</v>
      </c>
    </row>
    <row r="8324" spans="1:4" x14ac:dyDescent="0.3">
      <c r="A8324" s="1">
        <v>38009</v>
      </c>
      <c r="B8324">
        <v>2123.8701169999999</v>
      </c>
      <c r="C8324">
        <f t="shared" ref="C8324:C8387" si="277">(B8324-B8323)/B8323</f>
        <v>2.2935743470130993E-3</v>
      </c>
      <c r="D8324">
        <f t="shared" si="276"/>
        <v>0.14629856461692287</v>
      </c>
    </row>
    <row r="8325" spans="1:4" x14ac:dyDescent="0.3">
      <c r="A8325" s="1">
        <v>38012</v>
      </c>
      <c r="B8325">
        <v>2153.830078</v>
      </c>
      <c r="C8325">
        <f t="shared" si="277"/>
        <v>1.4106305635261227E-2</v>
      </c>
      <c r="D8325">
        <f t="shared" si="276"/>
        <v>1.0912684934354733</v>
      </c>
    </row>
    <row r="8326" spans="1:4" x14ac:dyDescent="0.3">
      <c r="A8326" s="1">
        <v>38013</v>
      </c>
      <c r="B8326">
        <v>2116.040039</v>
      </c>
      <c r="C8326">
        <f t="shared" si="277"/>
        <v>-1.7545506205898561E-2</v>
      </c>
      <c r="D8326">
        <f t="shared" si="276"/>
        <v>-1.440746300829324</v>
      </c>
    </row>
    <row r="8327" spans="1:4" x14ac:dyDescent="0.3">
      <c r="A8327" s="1">
        <v>38014</v>
      </c>
      <c r="B8327">
        <v>2077.3701169999999</v>
      </c>
      <c r="C8327">
        <f t="shared" si="277"/>
        <v>-1.8274664603357273E-2</v>
      </c>
      <c r="D8327">
        <f t="shared" si="276"/>
        <v>-1.4990759743087749</v>
      </c>
    </row>
    <row r="8328" spans="1:4" x14ac:dyDescent="0.3">
      <c r="A8328" s="1">
        <v>38015</v>
      </c>
      <c r="B8328">
        <v>2068.2299800000001</v>
      </c>
      <c r="C8328">
        <f t="shared" si="277"/>
        <v>-4.3998596712267373E-3</v>
      </c>
      <c r="D8328">
        <f t="shared" si="276"/>
        <v>-0.38914863327712129</v>
      </c>
    </row>
    <row r="8329" spans="1:4" x14ac:dyDescent="0.3">
      <c r="A8329" s="1">
        <v>38016</v>
      </c>
      <c r="B8329">
        <v>2066.1499020000001</v>
      </c>
      <c r="C8329">
        <f t="shared" si="277"/>
        <v>-1.0057285795653913E-3</v>
      </c>
      <c r="D8329">
        <f t="shared" si="276"/>
        <v>-0.11763210269465738</v>
      </c>
    </row>
    <row r="8330" spans="1:4" x14ac:dyDescent="0.3">
      <c r="A8330" s="1">
        <v>38019</v>
      </c>
      <c r="B8330">
        <v>2063.1499020000001</v>
      </c>
      <c r="C8330">
        <f t="shared" si="277"/>
        <v>-1.4519759660690872E-3</v>
      </c>
      <c r="D8330">
        <f t="shared" si="276"/>
        <v>-0.15333005863473531</v>
      </c>
    </row>
    <row r="8331" spans="1:4" x14ac:dyDescent="0.3">
      <c r="A8331" s="1">
        <v>38020</v>
      </c>
      <c r="B8331">
        <v>2066.209961</v>
      </c>
      <c r="C8331">
        <f t="shared" si="277"/>
        <v>1.4831976081977926E-3</v>
      </c>
      <c r="D8331">
        <f t="shared" si="276"/>
        <v>8.1471757800759548E-2</v>
      </c>
    </row>
    <row r="8332" spans="1:4" x14ac:dyDescent="0.3">
      <c r="A8332" s="1">
        <v>38021</v>
      </c>
      <c r="B8332">
        <v>2014.1400149999999</v>
      </c>
      <c r="C8332">
        <f t="shared" si="277"/>
        <v>-2.5200704179549772E-2</v>
      </c>
      <c r="D8332">
        <f t="shared" si="276"/>
        <v>-2.0531306603592627</v>
      </c>
    </row>
    <row r="8333" spans="1:4" x14ac:dyDescent="0.3">
      <c r="A8333" s="1">
        <v>38022</v>
      </c>
      <c r="B8333">
        <v>2019.5600589999999</v>
      </c>
      <c r="C8333">
        <f t="shared" si="277"/>
        <v>2.6909966336178281E-3</v>
      </c>
      <c r="D8333">
        <f t="shared" si="276"/>
        <v>0.17809071333509385</v>
      </c>
    </row>
    <row r="8334" spans="1:4" x14ac:dyDescent="0.3">
      <c r="A8334" s="1">
        <v>38023</v>
      </c>
      <c r="B8334">
        <v>2064.01001</v>
      </c>
      <c r="C8334">
        <f t="shared" si="277"/>
        <v>2.2009719791155791E-2</v>
      </c>
      <c r="D8334">
        <f t="shared" si="276"/>
        <v>1.7235091268738398</v>
      </c>
    </row>
    <row r="8335" spans="1:4" x14ac:dyDescent="0.3">
      <c r="A8335" s="1">
        <v>38026</v>
      </c>
      <c r="B8335">
        <v>2060.570068</v>
      </c>
      <c r="C8335">
        <f t="shared" si="277"/>
        <v>-1.6666304830566076E-3</v>
      </c>
      <c r="D8335">
        <f t="shared" si="276"/>
        <v>-0.17050153732908896</v>
      </c>
    </row>
    <row r="8336" spans="1:4" x14ac:dyDescent="0.3">
      <c r="A8336" s="1">
        <v>38027</v>
      </c>
      <c r="B8336">
        <v>2075.330078</v>
      </c>
      <c r="C8336">
        <f t="shared" si="277"/>
        <v>7.1630711467754685E-3</v>
      </c>
      <c r="D8336">
        <f t="shared" si="276"/>
        <v>0.5358382851074267</v>
      </c>
    </row>
    <row r="8337" spans="1:4" x14ac:dyDescent="0.3">
      <c r="A8337" s="1">
        <v>38028</v>
      </c>
      <c r="B8337">
        <v>2089.6599120000001</v>
      </c>
      <c r="C8337">
        <f t="shared" si="277"/>
        <v>6.9048457167882474E-3</v>
      </c>
      <c r="D8337">
        <f t="shared" si="276"/>
        <v>0.51518131253776178</v>
      </c>
    </row>
    <row r="8338" spans="1:4" x14ac:dyDescent="0.3">
      <c r="A8338" s="1">
        <v>38029</v>
      </c>
      <c r="B8338">
        <v>2073.610107</v>
      </c>
      <c r="C8338">
        <f t="shared" si="277"/>
        <v>-7.6805823320020249E-3</v>
      </c>
      <c r="D8338">
        <f t="shared" si="276"/>
        <v>-0.65159295572695475</v>
      </c>
    </row>
    <row r="8339" spans="1:4" x14ac:dyDescent="0.3">
      <c r="A8339" s="1">
        <v>38030</v>
      </c>
      <c r="B8339">
        <v>2053.5600589999999</v>
      </c>
      <c r="C8339">
        <f t="shared" si="277"/>
        <v>-9.6691504021493759E-3</v>
      </c>
      <c r="D8339">
        <f t="shared" si="276"/>
        <v>-0.81067022429797864</v>
      </c>
    </row>
    <row r="8340" spans="1:4" x14ac:dyDescent="0.3">
      <c r="A8340" s="1">
        <v>38034</v>
      </c>
      <c r="B8340">
        <v>2080.3500979999999</v>
      </c>
      <c r="C8340">
        <f t="shared" si="277"/>
        <v>1.3045656435802338E-2</v>
      </c>
      <c r="D8340">
        <f t="shared" si="276"/>
        <v>1.0064209188943309</v>
      </c>
    </row>
    <row r="8341" spans="1:4" x14ac:dyDescent="0.3">
      <c r="A8341" s="1">
        <v>38035</v>
      </c>
      <c r="B8341">
        <v>2076.469971</v>
      </c>
      <c r="C8341">
        <f t="shared" si="277"/>
        <v>-1.8651317409171494E-3</v>
      </c>
      <c r="D8341">
        <f t="shared" si="276"/>
        <v>-0.18638082171588274</v>
      </c>
    </row>
    <row r="8342" spans="1:4" x14ac:dyDescent="0.3">
      <c r="A8342" s="1">
        <v>38036</v>
      </c>
      <c r="B8342">
        <v>2045.959961</v>
      </c>
      <c r="C8342">
        <f t="shared" si="277"/>
        <v>-1.4693210316596466E-2</v>
      </c>
      <c r="D8342">
        <f t="shared" si="276"/>
        <v>-1.212574358395935</v>
      </c>
    </row>
    <row r="8343" spans="1:4" x14ac:dyDescent="0.3">
      <c r="A8343" s="1">
        <v>38037</v>
      </c>
      <c r="B8343">
        <v>2037.9300539999999</v>
      </c>
      <c r="C8343">
        <f t="shared" si="277"/>
        <v>-3.9247625335127921E-3</v>
      </c>
      <c r="D8343">
        <f t="shared" si="276"/>
        <v>-0.35114281587110924</v>
      </c>
    </row>
    <row r="8344" spans="1:4" x14ac:dyDescent="0.3">
      <c r="A8344" s="1">
        <v>38040</v>
      </c>
      <c r="B8344">
        <v>2007.5200199999999</v>
      </c>
      <c r="C8344">
        <f t="shared" si="277"/>
        <v>-1.49220204787264E-2</v>
      </c>
      <c r="D8344">
        <f t="shared" si="276"/>
        <v>-1.230878230493321</v>
      </c>
    </row>
    <row r="8345" spans="1:4" x14ac:dyDescent="0.3">
      <c r="A8345" s="1">
        <v>38041</v>
      </c>
      <c r="B8345">
        <v>2005.4399410000001</v>
      </c>
      <c r="C8345">
        <f t="shared" si="277"/>
        <v>-1.0361435897410585E-3</v>
      </c>
      <c r="D8345">
        <f t="shared" si="276"/>
        <v>-0.1200651784414416</v>
      </c>
    </row>
    <row r="8346" spans="1:4" x14ac:dyDescent="0.3">
      <c r="A8346" s="1">
        <v>38042</v>
      </c>
      <c r="B8346">
        <v>2022.9799800000001</v>
      </c>
      <c r="C8346">
        <f t="shared" si="277"/>
        <v>8.7462300123801011E-3</v>
      </c>
      <c r="D8346">
        <f t="shared" si="276"/>
        <v>0.66248448436764329</v>
      </c>
    </row>
    <row r="8347" spans="1:4" x14ac:dyDescent="0.3">
      <c r="A8347" s="1">
        <v>38043</v>
      </c>
      <c r="B8347">
        <v>2032.5699460000001</v>
      </c>
      <c r="C8347">
        <f t="shared" si="277"/>
        <v>4.7405145353934764E-3</v>
      </c>
      <c r="D8347">
        <f t="shared" si="276"/>
        <v>0.34204371780917631</v>
      </c>
    </row>
    <row r="8348" spans="1:4" x14ac:dyDescent="0.3">
      <c r="A8348" s="1">
        <v>38044</v>
      </c>
      <c r="B8348">
        <v>2029.8199460000001</v>
      </c>
      <c r="C8348">
        <f t="shared" si="277"/>
        <v>-1.3529669694328935E-3</v>
      </c>
      <c r="D8348">
        <f t="shared" si="276"/>
        <v>-0.14540974603126666</v>
      </c>
    </row>
    <row r="8349" spans="1:4" x14ac:dyDescent="0.3">
      <c r="A8349" s="1">
        <v>38047</v>
      </c>
      <c r="B8349">
        <v>2057.8000489999999</v>
      </c>
      <c r="C8349">
        <f t="shared" si="277"/>
        <v>1.3784524610243371E-2</v>
      </c>
      <c r="D8349">
        <f t="shared" si="276"/>
        <v>1.0655273346055261</v>
      </c>
    </row>
    <row r="8350" spans="1:4" x14ac:dyDescent="0.3">
      <c r="A8350" s="1">
        <v>38048</v>
      </c>
      <c r="B8350">
        <v>2039.650024</v>
      </c>
      <c r="C8350">
        <f t="shared" si="277"/>
        <v>-8.8201110738723252E-3</v>
      </c>
      <c r="D8350">
        <f t="shared" si="276"/>
        <v>-0.7427505693063936</v>
      </c>
    </row>
    <row r="8351" spans="1:4" x14ac:dyDescent="0.3">
      <c r="A8351" s="1">
        <v>38049</v>
      </c>
      <c r="B8351">
        <v>2033.3599850000001</v>
      </c>
      <c r="C8351">
        <f t="shared" si="277"/>
        <v>-3.083881512017661E-3</v>
      </c>
      <c r="D8351">
        <f t="shared" si="276"/>
        <v>-0.28387579187491985</v>
      </c>
    </row>
    <row r="8352" spans="1:4" x14ac:dyDescent="0.3">
      <c r="A8352" s="1">
        <v>38050</v>
      </c>
      <c r="B8352">
        <v>2055.110107</v>
      </c>
      <c r="C8352">
        <f t="shared" si="277"/>
        <v>1.0696641106567227E-2</v>
      </c>
      <c r="D8352">
        <f t="shared" si="276"/>
        <v>0.81850935176427186</v>
      </c>
    </row>
    <row r="8353" spans="1:4" x14ac:dyDescent="0.3">
      <c r="A8353" s="1">
        <v>38051</v>
      </c>
      <c r="B8353">
        <v>2047.630005</v>
      </c>
      <c r="C8353">
        <f t="shared" si="277"/>
        <v>-3.6397572930626379E-3</v>
      </c>
      <c r="D8353">
        <f t="shared" si="276"/>
        <v>-0.32834356858364833</v>
      </c>
    </row>
    <row r="8354" spans="1:4" x14ac:dyDescent="0.3">
      <c r="A8354" s="1">
        <v>38054</v>
      </c>
      <c r="B8354">
        <v>2008.780029</v>
      </c>
      <c r="C8354">
        <f t="shared" si="277"/>
        <v>-1.897314256244256E-2</v>
      </c>
      <c r="D8354">
        <f t="shared" si="276"/>
        <v>-1.5549513388770684</v>
      </c>
    </row>
    <row r="8355" spans="1:4" x14ac:dyDescent="0.3">
      <c r="A8355" s="1">
        <v>38055</v>
      </c>
      <c r="B8355">
        <v>1995.160034</v>
      </c>
      <c r="C8355">
        <f t="shared" si="277"/>
        <v>-6.7802321824058801E-3</v>
      </c>
      <c r="D8355">
        <f t="shared" si="276"/>
        <v>-0.57956864602120028</v>
      </c>
    </row>
    <row r="8356" spans="1:4" x14ac:dyDescent="0.3">
      <c r="A8356" s="1">
        <v>38056</v>
      </c>
      <c r="B8356">
        <v>1964.150024</v>
      </c>
      <c r="C8356">
        <f t="shared" si="277"/>
        <v>-1.5542617871023356E-2</v>
      </c>
      <c r="D8356">
        <f t="shared" si="276"/>
        <v>-1.2805234699653523</v>
      </c>
    </row>
    <row r="8357" spans="1:4" x14ac:dyDescent="0.3">
      <c r="A8357" s="1">
        <v>38057</v>
      </c>
      <c r="B8357">
        <v>1943.8900149999999</v>
      </c>
      <c r="C8357">
        <f t="shared" si="277"/>
        <v>-1.0314898939715657E-2</v>
      </c>
      <c r="D8357">
        <f t="shared" si="276"/>
        <v>-0.86232745196942839</v>
      </c>
    </row>
    <row r="8358" spans="1:4" x14ac:dyDescent="0.3">
      <c r="A8358" s="1">
        <v>38058</v>
      </c>
      <c r="B8358">
        <v>1984.7299800000001</v>
      </c>
      <c r="C8358">
        <f t="shared" si="277"/>
        <v>2.1009401090009778E-2</v>
      </c>
      <c r="D8358">
        <f t="shared" si="276"/>
        <v>1.6434877441172362</v>
      </c>
    </row>
    <row r="8359" spans="1:4" x14ac:dyDescent="0.3">
      <c r="A8359" s="1">
        <v>38061</v>
      </c>
      <c r="B8359">
        <v>1939.1999510000001</v>
      </c>
      <c r="C8359">
        <f t="shared" si="277"/>
        <v>-2.2940162872936504E-2</v>
      </c>
      <c r="D8359">
        <f t="shared" si="276"/>
        <v>-1.8722966512315962</v>
      </c>
    </row>
    <row r="8360" spans="1:4" x14ac:dyDescent="0.3">
      <c r="A8360" s="1">
        <v>38062</v>
      </c>
      <c r="B8360">
        <v>1943.089966</v>
      </c>
      <c r="C8360">
        <f t="shared" si="277"/>
        <v>2.0059896340209574E-3</v>
      </c>
      <c r="D8360">
        <f t="shared" si="276"/>
        <v>0.12329297013295738</v>
      </c>
    </row>
    <row r="8361" spans="1:4" x14ac:dyDescent="0.3">
      <c r="A8361" s="1">
        <v>38063</v>
      </c>
      <c r="B8361">
        <v>1976.76001</v>
      </c>
      <c r="C8361">
        <f t="shared" si="277"/>
        <v>1.7328093186190618E-2</v>
      </c>
      <c r="D8361">
        <f t="shared" si="276"/>
        <v>1.3489982494402546</v>
      </c>
    </row>
    <row r="8362" spans="1:4" x14ac:dyDescent="0.3">
      <c r="A8362" s="1">
        <v>38064</v>
      </c>
      <c r="B8362">
        <v>1962.4399410000001</v>
      </c>
      <c r="C8362">
        <f t="shared" si="277"/>
        <v>-7.2442122096550692E-3</v>
      </c>
      <c r="D8362">
        <f t="shared" si="276"/>
        <v>-0.61668514030386323</v>
      </c>
    </row>
    <row r="8363" spans="1:4" x14ac:dyDescent="0.3">
      <c r="A8363" s="1">
        <v>38065</v>
      </c>
      <c r="B8363">
        <v>1940.469971</v>
      </c>
      <c r="C8363">
        <f t="shared" si="277"/>
        <v>-1.1195231783146888E-2</v>
      </c>
      <c r="D8363">
        <f t="shared" si="276"/>
        <v>-0.93275045949364455</v>
      </c>
    </row>
    <row r="8364" spans="1:4" x14ac:dyDescent="0.3">
      <c r="A8364" s="1">
        <v>38068</v>
      </c>
      <c r="B8364">
        <v>1909.900024</v>
      </c>
      <c r="C8364">
        <f t="shared" si="277"/>
        <v>-1.5753888211032747E-2</v>
      </c>
      <c r="D8364">
        <f t="shared" si="276"/>
        <v>-1.2974242284172743</v>
      </c>
    </row>
    <row r="8365" spans="1:4" x14ac:dyDescent="0.3">
      <c r="A8365" s="1">
        <v>38069</v>
      </c>
      <c r="B8365">
        <v>1901.8000489999999</v>
      </c>
      <c r="C8365">
        <f t="shared" si="277"/>
        <v>-4.2410465983637718E-3</v>
      </c>
      <c r="D8365">
        <f t="shared" si="276"/>
        <v>-0.37644424049134173</v>
      </c>
    </row>
    <row r="8366" spans="1:4" x14ac:dyDescent="0.3">
      <c r="A8366" s="1">
        <v>38070</v>
      </c>
      <c r="B8366">
        <v>1909.4799800000001</v>
      </c>
      <c r="C8366">
        <f t="shared" si="277"/>
        <v>4.0382431391977128E-3</v>
      </c>
      <c r="D8366">
        <f t="shared" si="276"/>
        <v>0.28586489387075142</v>
      </c>
    </row>
    <row r="8367" spans="1:4" x14ac:dyDescent="0.3">
      <c r="A8367" s="1">
        <v>38071</v>
      </c>
      <c r="B8367">
        <v>1967.170044</v>
      </c>
      <c r="C8367">
        <f t="shared" si="277"/>
        <v>3.0212447684316593E-2</v>
      </c>
      <c r="D8367">
        <f t="shared" si="276"/>
        <v>2.3796936285080639</v>
      </c>
    </row>
    <row r="8368" spans="1:4" x14ac:dyDescent="0.3">
      <c r="A8368" s="1">
        <v>38072</v>
      </c>
      <c r="B8368">
        <v>1960.0200199999999</v>
      </c>
      <c r="C8368">
        <f t="shared" si="277"/>
        <v>-3.6346751120006535E-3</v>
      </c>
      <c r="D8368">
        <f t="shared" si="276"/>
        <v>-0.32793701499674294</v>
      </c>
    </row>
    <row r="8369" spans="1:4" x14ac:dyDescent="0.3">
      <c r="A8369" s="1">
        <v>38075</v>
      </c>
      <c r="B8369">
        <v>1992.5699460000001</v>
      </c>
      <c r="C8369">
        <f t="shared" si="277"/>
        <v>1.660693547405712E-2</v>
      </c>
      <c r="D8369">
        <f t="shared" si="276"/>
        <v>1.2913085978878063</v>
      </c>
    </row>
    <row r="8370" spans="1:4" x14ac:dyDescent="0.3">
      <c r="A8370" s="1">
        <v>38076</v>
      </c>
      <c r="B8370">
        <v>2000.630005</v>
      </c>
      <c r="C8370">
        <f t="shared" si="277"/>
        <v>4.0450569959564718E-3</v>
      </c>
      <c r="D8370">
        <f t="shared" si="276"/>
        <v>0.28640997439270571</v>
      </c>
    </row>
    <row r="8371" spans="1:4" x14ac:dyDescent="0.3">
      <c r="A8371" s="1">
        <v>38077</v>
      </c>
      <c r="B8371">
        <v>1994.219971</v>
      </c>
      <c r="C8371">
        <f t="shared" si="277"/>
        <v>-3.2040077295551689E-3</v>
      </c>
      <c r="D8371">
        <f t="shared" si="276"/>
        <v>-0.29348539531596246</v>
      </c>
    </row>
    <row r="8372" spans="1:4" x14ac:dyDescent="0.3">
      <c r="A8372" s="1">
        <v>38078</v>
      </c>
      <c r="B8372">
        <v>2015.01001</v>
      </c>
      <c r="C8372">
        <f t="shared" si="277"/>
        <v>1.0425148329837871E-2</v>
      </c>
      <c r="D8372">
        <f t="shared" si="276"/>
        <v>0.7967910460108919</v>
      </c>
    </row>
    <row r="8373" spans="1:4" x14ac:dyDescent="0.3">
      <c r="A8373" s="1">
        <v>38079</v>
      </c>
      <c r="B8373">
        <v>2057.169922</v>
      </c>
      <c r="C8373">
        <f t="shared" si="277"/>
        <v>2.0922929310907036E-2</v>
      </c>
      <c r="D8373">
        <f t="shared" si="276"/>
        <v>1.636570357363097</v>
      </c>
    </row>
    <row r="8374" spans="1:4" x14ac:dyDescent="0.3">
      <c r="A8374" s="1">
        <v>38082</v>
      </c>
      <c r="B8374">
        <v>2079.1201169999999</v>
      </c>
      <c r="C8374">
        <f t="shared" si="277"/>
        <v>1.0670093299176621E-2</v>
      </c>
      <c r="D8374">
        <f t="shared" si="276"/>
        <v>0.81638563633825967</v>
      </c>
    </row>
    <row r="8375" spans="1:4" x14ac:dyDescent="0.3">
      <c r="A8375" s="1">
        <v>38083</v>
      </c>
      <c r="B8375">
        <v>2059.8999020000001</v>
      </c>
      <c r="C8375">
        <f t="shared" si="277"/>
        <v>-9.2443985524670036E-3</v>
      </c>
      <c r="D8375">
        <f t="shared" si="276"/>
        <v>-0.77669182291343097</v>
      </c>
    </row>
    <row r="8376" spans="1:4" x14ac:dyDescent="0.3">
      <c r="A8376" s="1">
        <v>38084</v>
      </c>
      <c r="B8376">
        <v>2050.23999</v>
      </c>
      <c r="C8376">
        <f t="shared" si="277"/>
        <v>-4.6895055388958776E-3</v>
      </c>
      <c r="D8376">
        <f t="shared" si="276"/>
        <v>-0.41231911165972795</v>
      </c>
    </row>
    <row r="8377" spans="1:4" x14ac:dyDescent="0.3">
      <c r="A8377" s="1">
        <v>38085</v>
      </c>
      <c r="B8377">
        <v>2052.8798830000001</v>
      </c>
      <c r="C8377">
        <f t="shared" si="277"/>
        <v>1.2876019455654209E-3</v>
      </c>
      <c r="D8377">
        <f t="shared" si="276"/>
        <v>6.5824909084340411E-2</v>
      </c>
    </row>
    <row r="8378" spans="1:4" x14ac:dyDescent="0.3">
      <c r="A8378" s="1">
        <v>38089</v>
      </c>
      <c r="B8378">
        <v>2065.4799800000001</v>
      </c>
      <c r="C8378">
        <f t="shared" si="277"/>
        <v>6.1377663176214216E-3</v>
      </c>
      <c r="D8378">
        <f t="shared" si="276"/>
        <v>0.45381811485375251</v>
      </c>
    </row>
    <row r="8379" spans="1:4" x14ac:dyDescent="0.3">
      <c r="A8379" s="1">
        <v>38090</v>
      </c>
      <c r="B8379">
        <v>2030.079956</v>
      </c>
      <c r="C8379">
        <f t="shared" si="277"/>
        <v>-1.7138885074064008E-2</v>
      </c>
      <c r="D8379">
        <f t="shared" si="276"/>
        <v>-1.4082182823186447</v>
      </c>
    </row>
    <row r="8380" spans="1:4" x14ac:dyDescent="0.3">
      <c r="A8380" s="1">
        <v>38091</v>
      </c>
      <c r="B8380">
        <v>2024.849976</v>
      </c>
      <c r="C8380">
        <f t="shared" si="277"/>
        <v>-2.5762433565942114E-3</v>
      </c>
      <c r="D8380">
        <f t="shared" si="276"/>
        <v>-0.24326682686161183</v>
      </c>
    </row>
    <row r="8381" spans="1:4" x14ac:dyDescent="0.3">
      <c r="A8381" s="1">
        <v>38092</v>
      </c>
      <c r="B8381">
        <v>2002.170044</v>
      </c>
      <c r="C8381">
        <f t="shared" si="277"/>
        <v>-1.1200796241113722E-2</v>
      </c>
      <c r="D8381">
        <f t="shared" si="276"/>
        <v>-0.93319559324980339</v>
      </c>
    </row>
    <row r="8382" spans="1:4" x14ac:dyDescent="0.3">
      <c r="A8382" s="1">
        <v>38093</v>
      </c>
      <c r="B8382">
        <v>1995.73999</v>
      </c>
      <c r="C8382">
        <f t="shared" si="277"/>
        <v>-3.2115424058356992E-3</v>
      </c>
      <c r="D8382">
        <f t="shared" si="276"/>
        <v>-0.29408813843563086</v>
      </c>
    </row>
    <row r="8383" spans="1:4" x14ac:dyDescent="0.3">
      <c r="A8383" s="1">
        <v>38096</v>
      </c>
      <c r="B8383">
        <v>2020.4300539999999</v>
      </c>
      <c r="C8383">
        <f t="shared" si="277"/>
        <v>1.237138310787664E-2</v>
      </c>
      <c r="D8383">
        <f t="shared" si="276"/>
        <v>0.95248182528876657</v>
      </c>
    </row>
    <row r="8384" spans="1:4" x14ac:dyDescent="0.3">
      <c r="A8384" s="1">
        <v>38097</v>
      </c>
      <c r="B8384">
        <v>1978.630005</v>
      </c>
      <c r="C8384">
        <f t="shared" si="277"/>
        <v>-2.0688688983439535E-2</v>
      </c>
      <c r="D8384">
        <f t="shared" si="276"/>
        <v>-1.6921879981877916</v>
      </c>
    </row>
    <row r="8385" spans="1:4" x14ac:dyDescent="0.3">
      <c r="A8385" s="1">
        <v>38098</v>
      </c>
      <c r="B8385">
        <v>1995.630005</v>
      </c>
      <c r="C8385">
        <f t="shared" si="277"/>
        <v>8.5918033978262653E-3</v>
      </c>
      <c r="D8385">
        <f t="shared" si="276"/>
        <v>0.65013099020936982</v>
      </c>
    </row>
    <row r="8386" spans="1:4" x14ac:dyDescent="0.3">
      <c r="A8386" s="1">
        <v>38099</v>
      </c>
      <c r="B8386">
        <v>2032.910034</v>
      </c>
      <c r="C8386">
        <f t="shared" si="277"/>
        <v>1.8680832071373877E-2</v>
      </c>
      <c r="D8386">
        <f t="shared" si="276"/>
        <v>1.4572117977593824</v>
      </c>
    </row>
    <row r="8387" spans="1:4" x14ac:dyDescent="0.3">
      <c r="A8387" s="1">
        <v>38100</v>
      </c>
      <c r="B8387">
        <v>2049.7700199999999</v>
      </c>
      <c r="C8387">
        <f t="shared" si="277"/>
        <v>8.2935229390480418E-3</v>
      </c>
      <c r="D8387">
        <f t="shared" ref="D8387:D8450" si="278">(C8387-avrtn)/sdrtn</f>
        <v>0.62626978004368727</v>
      </c>
    </row>
    <row r="8388" spans="1:4" x14ac:dyDescent="0.3">
      <c r="A8388" s="1">
        <v>38103</v>
      </c>
      <c r="B8388">
        <v>2036.7700199999999</v>
      </c>
      <c r="C8388">
        <f t="shared" ref="C8388:C8451" si="279">(B8388-B8387)/B8387</f>
        <v>-6.3421749138471645E-3</v>
      </c>
      <c r="D8388">
        <f t="shared" si="278"/>
        <v>-0.54452586583875451</v>
      </c>
    </row>
    <row r="8389" spans="1:4" x14ac:dyDescent="0.3">
      <c r="A8389" s="1">
        <v>38104</v>
      </c>
      <c r="B8389">
        <v>2032.530029</v>
      </c>
      <c r="C8389">
        <f t="shared" si="279"/>
        <v>-2.0817230017947329E-3</v>
      </c>
      <c r="D8389">
        <f t="shared" si="278"/>
        <v>-0.20370723195750298</v>
      </c>
    </row>
    <row r="8390" spans="1:4" x14ac:dyDescent="0.3">
      <c r="A8390" s="1">
        <v>38105</v>
      </c>
      <c r="B8390">
        <v>1989.540039</v>
      </c>
      <c r="C8390">
        <f t="shared" si="279"/>
        <v>-2.1150974099581204E-2</v>
      </c>
      <c r="D8390">
        <f t="shared" si="278"/>
        <v>-1.7291689065513691</v>
      </c>
    </row>
    <row r="8391" spans="1:4" x14ac:dyDescent="0.3">
      <c r="A8391" s="1">
        <v>38106</v>
      </c>
      <c r="B8391">
        <v>1958.780029</v>
      </c>
      <c r="C8391">
        <f t="shared" si="279"/>
        <v>-1.5460865022581215E-2</v>
      </c>
      <c r="D8391">
        <f t="shared" si="278"/>
        <v>-1.2739835782597024</v>
      </c>
    </row>
    <row r="8392" spans="1:4" x14ac:dyDescent="0.3">
      <c r="A8392" s="1">
        <v>38107</v>
      </c>
      <c r="B8392">
        <v>1920.150024</v>
      </c>
      <c r="C8392">
        <f t="shared" si="279"/>
        <v>-1.9721461536301981E-2</v>
      </c>
      <c r="D8392">
        <f t="shared" si="278"/>
        <v>-1.614813779679815</v>
      </c>
    </row>
    <row r="8393" spans="1:4" x14ac:dyDescent="0.3">
      <c r="A8393" s="1">
        <v>38110</v>
      </c>
      <c r="B8393">
        <v>1938.719971</v>
      </c>
      <c r="C8393">
        <f t="shared" si="279"/>
        <v>9.6710917209039682E-3</v>
      </c>
      <c r="D8393">
        <f t="shared" si="278"/>
        <v>0.73646961799548305</v>
      </c>
    </row>
    <row r="8394" spans="1:4" x14ac:dyDescent="0.3">
      <c r="A8394" s="1">
        <v>38111</v>
      </c>
      <c r="B8394">
        <v>1950.4799800000001</v>
      </c>
      <c r="C8394">
        <f t="shared" si="279"/>
        <v>6.0658626185886039E-3</v>
      </c>
      <c r="D8394">
        <f t="shared" si="278"/>
        <v>0.44806611460090418</v>
      </c>
    </row>
    <row r="8395" spans="1:4" x14ac:dyDescent="0.3">
      <c r="A8395" s="1">
        <v>38112</v>
      </c>
      <c r="B8395">
        <v>1957.26001</v>
      </c>
      <c r="C8395">
        <f t="shared" si="279"/>
        <v>3.476082846028441E-3</v>
      </c>
      <c r="D8395">
        <f t="shared" si="278"/>
        <v>0.24089438203414762</v>
      </c>
    </row>
    <row r="8396" spans="1:4" x14ac:dyDescent="0.3">
      <c r="A8396" s="1">
        <v>38113</v>
      </c>
      <c r="B8396">
        <v>1937.73999</v>
      </c>
      <c r="C8396">
        <f t="shared" si="279"/>
        <v>-9.9731358635380962E-3</v>
      </c>
      <c r="D8396">
        <f t="shared" si="278"/>
        <v>-0.83498781121339005</v>
      </c>
    </row>
    <row r="8397" spans="1:4" x14ac:dyDescent="0.3">
      <c r="A8397" s="1">
        <v>38114</v>
      </c>
      <c r="B8397">
        <v>1917.959961</v>
      </c>
      <c r="C8397">
        <f t="shared" si="279"/>
        <v>-1.0207782830554069E-2</v>
      </c>
      <c r="D8397">
        <f t="shared" si="278"/>
        <v>-0.8537586037005741</v>
      </c>
    </row>
    <row r="8398" spans="1:4" x14ac:dyDescent="0.3">
      <c r="A8398" s="1">
        <v>38117</v>
      </c>
      <c r="B8398">
        <v>1896.0699460000001</v>
      </c>
      <c r="C8398">
        <f t="shared" si="279"/>
        <v>-1.1413176210720672E-2</v>
      </c>
      <c r="D8398">
        <f t="shared" si="278"/>
        <v>-0.9501851175067062</v>
      </c>
    </row>
    <row r="8399" spans="1:4" x14ac:dyDescent="0.3">
      <c r="A8399" s="1">
        <v>38118</v>
      </c>
      <c r="B8399">
        <v>1931.349976</v>
      </c>
      <c r="C8399">
        <f t="shared" si="279"/>
        <v>1.8606924324931995E-2</v>
      </c>
      <c r="D8399">
        <f t="shared" si="278"/>
        <v>1.4512994819545011</v>
      </c>
    </row>
    <row r="8400" spans="1:4" x14ac:dyDescent="0.3">
      <c r="A8400" s="1">
        <v>38119</v>
      </c>
      <c r="B8400">
        <v>1925.589966</v>
      </c>
      <c r="C8400">
        <f t="shared" si="279"/>
        <v>-2.982375059713137E-3</v>
      </c>
      <c r="D8400">
        <f t="shared" si="278"/>
        <v>-0.27575569308758385</v>
      </c>
    </row>
    <row r="8401" spans="1:4" x14ac:dyDescent="0.3">
      <c r="A8401" s="1">
        <v>38120</v>
      </c>
      <c r="B8401">
        <v>1926.030029</v>
      </c>
      <c r="C8401">
        <f t="shared" si="279"/>
        <v>2.2853411565814589E-4</v>
      </c>
      <c r="D8401">
        <f t="shared" si="278"/>
        <v>-1.8896162395303388E-2</v>
      </c>
    </row>
    <row r="8402" spans="1:4" x14ac:dyDescent="0.3">
      <c r="A8402" s="1">
        <v>38121</v>
      </c>
      <c r="B8402">
        <v>1904.25</v>
      </c>
      <c r="C8402">
        <f t="shared" si="279"/>
        <v>-1.1308249960831743E-2</v>
      </c>
      <c r="D8402">
        <f t="shared" si="278"/>
        <v>-0.94179144897490952</v>
      </c>
    </row>
    <row r="8403" spans="1:4" x14ac:dyDescent="0.3">
      <c r="A8403" s="1">
        <v>38124</v>
      </c>
      <c r="B8403">
        <v>1876.6400149999999</v>
      </c>
      <c r="C8403">
        <f t="shared" si="279"/>
        <v>-1.4499138768544074E-2</v>
      </c>
      <c r="D8403">
        <f t="shared" si="278"/>
        <v>-1.1970494325787175</v>
      </c>
    </row>
    <row r="8404" spans="1:4" x14ac:dyDescent="0.3">
      <c r="A8404" s="1">
        <v>38125</v>
      </c>
      <c r="B8404">
        <v>1897.8199460000001</v>
      </c>
      <c r="C8404">
        <f t="shared" si="279"/>
        <v>1.1286091541642911E-2</v>
      </c>
      <c r="D8404">
        <f t="shared" si="278"/>
        <v>0.86566296273565457</v>
      </c>
    </row>
    <row r="8405" spans="1:4" x14ac:dyDescent="0.3">
      <c r="A8405" s="1">
        <v>38126</v>
      </c>
      <c r="B8405">
        <v>1898.170044</v>
      </c>
      <c r="C8405">
        <f t="shared" si="279"/>
        <v>1.8447376988411576E-4</v>
      </c>
      <c r="D8405">
        <f t="shared" si="278"/>
        <v>-2.2420808880001399E-2</v>
      </c>
    </row>
    <row r="8406" spans="1:4" x14ac:dyDescent="0.3">
      <c r="A8406" s="1">
        <v>38127</v>
      </c>
      <c r="B8406">
        <v>1896.589966</v>
      </c>
      <c r="C8406">
        <f t="shared" si="279"/>
        <v>-8.3242173428797284E-4</v>
      </c>
      <c r="D8406">
        <f t="shared" si="278"/>
        <v>-0.1037682677144699</v>
      </c>
    </row>
    <row r="8407" spans="1:4" x14ac:dyDescent="0.3">
      <c r="A8407" s="1">
        <v>38128</v>
      </c>
      <c r="B8407">
        <v>1912.089966</v>
      </c>
      <c r="C8407">
        <f t="shared" si="279"/>
        <v>8.1725624820689364E-3</v>
      </c>
      <c r="D8407">
        <f t="shared" si="278"/>
        <v>0.61659344087772983</v>
      </c>
    </row>
    <row r="8408" spans="1:4" x14ac:dyDescent="0.3">
      <c r="A8408" s="1">
        <v>38131</v>
      </c>
      <c r="B8408">
        <v>1922.9799800000001</v>
      </c>
      <c r="C8408">
        <f t="shared" si="279"/>
        <v>5.695346031641727E-3</v>
      </c>
      <c r="D8408">
        <f t="shared" si="278"/>
        <v>0.4184263112184633</v>
      </c>
    </row>
    <row r="8409" spans="1:4" x14ac:dyDescent="0.3">
      <c r="A8409" s="1">
        <v>38132</v>
      </c>
      <c r="B8409">
        <v>1964.650024</v>
      </c>
      <c r="C8409">
        <f t="shared" si="279"/>
        <v>2.1669515248931483E-2</v>
      </c>
      <c r="D8409">
        <f t="shared" si="278"/>
        <v>1.6962941624253318</v>
      </c>
    </row>
    <row r="8410" spans="1:4" x14ac:dyDescent="0.3">
      <c r="A8410" s="1">
        <v>38133</v>
      </c>
      <c r="B8410">
        <v>1976.150024</v>
      </c>
      <c r="C8410">
        <f t="shared" si="279"/>
        <v>5.8534598322942831E-3</v>
      </c>
      <c r="D8410">
        <f t="shared" si="278"/>
        <v>0.43107476510283455</v>
      </c>
    </row>
    <row r="8411" spans="1:4" x14ac:dyDescent="0.3">
      <c r="A8411" s="1">
        <v>38134</v>
      </c>
      <c r="B8411">
        <v>1984.5</v>
      </c>
      <c r="C8411">
        <f t="shared" si="279"/>
        <v>4.2253755527621667E-3</v>
      </c>
      <c r="D8411">
        <f t="shared" si="278"/>
        <v>0.30083471746282525</v>
      </c>
    </row>
    <row r="8412" spans="1:4" x14ac:dyDescent="0.3">
      <c r="A8412" s="1">
        <v>38135</v>
      </c>
      <c r="B8412">
        <v>1986.73999</v>
      </c>
      <c r="C8412">
        <f t="shared" si="279"/>
        <v>1.1287427563618213E-3</v>
      </c>
      <c r="D8412">
        <f t="shared" si="278"/>
        <v>5.311682718094167E-2</v>
      </c>
    </row>
    <row r="8413" spans="1:4" x14ac:dyDescent="0.3">
      <c r="A8413" s="1">
        <v>38139</v>
      </c>
      <c r="B8413">
        <v>1990.7700199999999</v>
      </c>
      <c r="C8413">
        <f t="shared" si="279"/>
        <v>2.028463724636608E-3</v>
      </c>
      <c r="D8413">
        <f t="shared" si="278"/>
        <v>0.12509080496819663</v>
      </c>
    </row>
    <row r="8414" spans="1:4" x14ac:dyDescent="0.3">
      <c r="A8414" s="1">
        <v>38140</v>
      </c>
      <c r="B8414">
        <v>1988.9799800000001</v>
      </c>
      <c r="C8414">
        <f t="shared" si="279"/>
        <v>-8.9916965898444797E-4</v>
      </c>
      <c r="D8414">
        <f t="shared" si="278"/>
        <v>-0.10910782722108152</v>
      </c>
    </row>
    <row r="8415" spans="1:4" x14ac:dyDescent="0.3">
      <c r="A8415" s="1">
        <v>38141</v>
      </c>
      <c r="B8415">
        <v>1960.26001</v>
      </c>
      <c r="C8415">
        <f t="shared" si="279"/>
        <v>-1.4439547048633492E-2</v>
      </c>
      <c r="D8415">
        <f t="shared" si="278"/>
        <v>-1.1922823400284874</v>
      </c>
    </row>
    <row r="8416" spans="1:4" x14ac:dyDescent="0.3">
      <c r="A8416" s="1">
        <v>38142</v>
      </c>
      <c r="B8416">
        <v>1978.619995</v>
      </c>
      <c r="C8416">
        <f t="shared" si="279"/>
        <v>9.3660967965163208E-3</v>
      </c>
      <c r="D8416">
        <f t="shared" si="278"/>
        <v>0.71207127819109417</v>
      </c>
    </row>
    <row r="8417" spans="1:4" x14ac:dyDescent="0.3">
      <c r="A8417" s="1">
        <v>38145</v>
      </c>
      <c r="B8417">
        <v>2020.619995</v>
      </c>
      <c r="C8417">
        <f t="shared" si="279"/>
        <v>2.1226915782785263E-2</v>
      </c>
      <c r="D8417">
        <f t="shared" si="278"/>
        <v>1.6608880251135139</v>
      </c>
    </row>
    <row r="8418" spans="1:4" x14ac:dyDescent="0.3">
      <c r="A8418" s="1">
        <v>38146</v>
      </c>
      <c r="B8418">
        <v>2023.530029</v>
      </c>
      <c r="C8418">
        <f t="shared" si="279"/>
        <v>1.4401688626267384E-3</v>
      </c>
      <c r="D8418">
        <f t="shared" si="278"/>
        <v>7.802963509033424E-2</v>
      </c>
    </row>
    <row r="8419" spans="1:4" x14ac:dyDescent="0.3">
      <c r="A8419" s="1">
        <v>38147</v>
      </c>
      <c r="B8419">
        <v>1990.6099850000001</v>
      </c>
      <c r="C8419">
        <f t="shared" si="279"/>
        <v>-1.6268621432946356E-2</v>
      </c>
      <c r="D8419">
        <f t="shared" si="278"/>
        <v>-1.3386007695747075</v>
      </c>
    </row>
    <row r="8420" spans="1:4" x14ac:dyDescent="0.3">
      <c r="A8420" s="1">
        <v>38148</v>
      </c>
      <c r="B8420">
        <v>1999.869995</v>
      </c>
      <c r="C8420">
        <f t="shared" si="279"/>
        <v>4.6518454492731611E-3</v>
      </c>
      <c r="D8420">
        <f t="shared" si="278"/>
        <v>0.33495055552901182</v>
      </c>
    </row>
    <row r="8421" spans="1:4" x14ac:dyDescent="0.3">
      <c r="A8421" s="1">
        <v>38152</v>
      </c>
      <c r="B8421">
        <v>1969.98999</v>
      </c>
      <c r="C8421">
        <f t="shared" si="279"/>
        <v>-1.4940973700642967E-2</v>
      </c>
      <c r="D8421">
        <f t="shared" si="278"/>
        <v>-1.2323944103105322</v>
      </c>
    </row>
    <row r="8422" spans="1:4" x14ac:dyDescent="0.3">
      <c r="A8422" s="1">
        <v>38153</v>
      </c>
      <c r="B8422">
        <v>1995.599976</v>
      </c>
      <c r="C8422">
        <f t="shared" si="279"/>
        <v>1.3000058949538082E-2</v>
      </c>
      <c r="D8422">
        <f t="shared" si="278"/>
        <v>1.0027733074911742</v>
      </c>
    </row>
    <row r="8423" spans="1:4" x14ac:dyDescent="0.3">
      <c r="A8423" s="1">
        <v>38154</v>
      </c>
      <c r="B8423">
        <v>1998.2299800000001</v>
      </c>
      <c r="C8423">
        <f t="shared" si="279"/>
        <v>1.3179013988924297E-3</v>
      </c>
      <c r="D8423">
        <f t="shared" si="278"/>
        <v>6.8248740758404564E-2</v>
      </c>
    </row>
    <row r="8424" spans="1:4" x14ac:dyDescent="0.3">
      <c r="A8424" s="1">
        <v>38155</v>
      </c>
      <c r="B8424">
        <v>1983.670044</v>
      </c>
      <c r="C8424">
        <f t="shared" si="279"/>
        <v>-7.2864165515123076E-3</v>
      </c>
      <c r="D8424">
        <f t="shared" si="278"/>
        <v>-0.6200613141071516</v>
      </c>
    </row>
    <row r="8425" spans="1:4" x14ac:dyDescent="0.3">
      <c r="A8425" s="1">
        <v>38156</v>
      </c>
      <c r="B8425">
        <v>1986.7299800000001</v>
      </c>
      <c r="C8425">
        <f t="shared" si="279"/>
        <v>1.5425629929007019E-3</v>
      </c>
      <c r="D8425">
        <f t="shared" si="278"/>
        <v>8.6220744465071775E-2</v>
      </c>
    </row>
    <row r="8426" spans="1:4" x14ac:dyDescent="0.3">
      <c r="A8426" s="1">
        <v>38159</v>
      </c>
      <c r="B8426">
        <v>1974.380005</v>
      </c>
      <c r="C8426">
        <f t="shared" si="279"/>
        <v>-6.2162322632288887E-3</v>
      </c>
      <c r="D8426">
        <f t="shared" si="278"/>
        <v>-0.53445097166856625</v>
      </c>
    </row>
    <row r="8427" spans="1:4" x14ac:dyDescent="0.3">
      <c r="A8427" s="1">
        <v>38160</v>
      </c>
      <c r="B8427">
        <v>1994.150024</v>
      </c>
      <c r="C8427">
        <f t="shared" si="279"/>
        <v>1.00132795864695E-2</v>
      </c>
      <c r="D8427">
        <f t="shared" si="278"/>
        <v>0.76384324015581473</v>
      </c>
    </row>
    <row r="8428" spans="1:4" x14ac:dyDescent="0.3">
      <c r="A8428" s="1">
        <v>38161</v>
      </c>
      <c r="B8428">
        <v>2020.9799800000001</v>
      </c>
      <c r="C8428">
        <f t="shared" si="279"/>
        <v>1.3454331758942947E-2</v>
      </c>
      <c r="D8428">
        <f t="shared" si="278"/>
        <v>1.0391132642626095</v>
      </c>
    </row>
    <row r="8429" spans="1:4" x14ac:dyDescent="0.3">
      <c r="A8429" s="1">
        <v>38162</v>
      </c>
      <c r="B8429">
        <v>2015.5699460000001</v>
      </c>
      <c r="C8429">
        <f t="shared" si="279"/>
        <v>-2.6769359684602101E-3</v>
      </c>
      <c r="D8429">
        <f t="shared" si="278"/>
        <v>-0.25132182176039769</v>
      </c>
    </row>
    <row r="8430" spans="1:4" x14ac:dyDescent="0.3">
      <c r="A8430" s="1">
        <v>38163</v>
      </c>
      <c r="B8430">
        <v>2025.469971</v>
      </c>
      <c r="C8430">
        <f t="shared" si="279"/>
        <v>4.9117744683815174E-3</v>
      </c>
      <c r="D8430">
        <f t="shared" si="278"/>
        <v>0.35574380822316726</v>
      </c>
    </row>
    <row r="8431" spans="1:4" x14ac:dyDescent="0.3">
      <c r="A8431" s="1">
        <v>38166</v>
      </c>
      <c r="B8431">
        <v>2019.8199460000001</v>
      </c>
      <c r="C8431">
        <f t="shared" si="279"/>
        <v>-2.7894884056021952E-3</v>
      </c>
      <c r="D8431">
        <f t="shared" si="278"/>
        <v>-0.26032555391336948</v>
      </c>
    </row>
    <row r="8432" spans="1:4" x14ac:dyDescent="0.3">
      <c r="A8432" s="1">
        <v>38167</v>
      </c>
      <c r="B8432">
        <v>2034.9300539999999</v>
      </c>
      <c r="C8432">
        <f t="shared" si="279"/>
        <v>7.4809183016157094E-3</v>
      </c>
      <c r="D8432">
        <f t="shared" si="278"/>
        <v>0.56126475049933566</v>
      </c>
    </row>
    <row r="8433" spans="1:4" x14ac:dyDescent="0.3">
      <c r="A8433" s="1">
        <v>38168</v>
      </c>
      <c r="B8433">
        <v>2047.790039</v>
      </c>
      <c r="C8433">
        <f t="shared" si="279"/>
        <v>6.3196201632196502E-3</v>
      </c>
      <c r="D8433">
        <f t="shared" si="278"/>
        <v>0.46836567471412949</v>
      </c>
    </row>
    <row r="8434" spans="1:4" x14ac:dyDescent="0.3">
      <c r="A8434" s="1">
        <v>38169</v>
      </c>
      <c r="B8434">
        <v>2015.5500489999999</v>
      </c>
      <c r="C8434">
        <f t="shared" si="279"/>
        <v>-1.5743796671529777E-2</v>
      </c>
      <c r="D8434">
        <f t="shared" si="278"/>
        <v>-1.2966169467536952</v>
      </c>
    </row>
    <row r="8435" spans="1:4" x14ac:dyDescent="0.3">
      <c r="A8435" s="1">
        <v>38170</v>
      </c>
      <c r="B8435">
        <v>2006.660034</v>
      </c>
      <c r="C8435">
        <f t="shared" si="279"/>
        <v>-4.4107140898885953E-3</v>
      </c>
      <c r="D8435">
        <f t="shared" si="278"/>
        <v>-0.39001694213643368</v>
      </c>
    </row>
    <row r="8436" spans="1:4" x14ac:dyDescent="0.3">
      <c r="A8436" s="1">
        <v>38174</v>
      </c>
      <c r="B8436">
        <v>1963.4300539999999</v>
      </c>
      <c r="C8436">
        <f t="shared" si="279"/>
        <v>-2.1543250609236019E-2</v>
      </c>
      <c r="D8436">
        <f t="shared" si="278"/>
        <v>-1.7605494142731084</v>
      </c>
    </row>
    <row r="8437" spans="1:4" x14ac:dyDescent="0.3">
      <c r="A8437" s="1">
        <v>38175</v>
      </c>
      <c r="B8437">
        <v>1966.079956</v>
      </c>
      <c r="C8437">
        <f t="shared" si="279"/>
        <v>1.3496289285180266E-3</v>
      </c>
      <c r="D8437">
        <f t="shared" si="278"/>
        <v>7.0786812664070942E-2</v>
      </c>
    </row>
    <row r="8438" spans="1:4" x14ac:dyDescent="0.3">
      <c r="A8438" s="1">
        <v>38176</v>
      </c>
      <c r="B8438">
        <v>1935.3199460000001</v>
      </c>
      <c r="C8438">
        <f t="shared" si="279"/>
        <v>-1.5645350488482354E-2</v>
      </c>
      <c r="D8438">
        <f t="shared" si="278"/>
        <v>-1.288741656923025</v>
      </c>
    </row>
    <row r="8439" spans="1:4" x14ac:dyDescent="0.3">
      <c r="A8439" s="1">
        <v>38177</v>
      </c>
      <c r="B8439">
        <v>1946.329956</v>
      </c>
      <c r="C8439">
        <f t="shared" si="279"/>
        <v>5.6889869929547896E-3</v>
      </c>
      <c r="D8439">
        <f t="shared" si="278"/>
        <v>0.41791761427203161</v>
      </c>
    </row>
    <row r="8440" spans="1:4" x14ac:dyDescent="0.3">
      <c r="A8440" s="1">
        <v>38180</v>
      </c>
      <c r="B8440">
        <v>1936.920044</v>
      </c>
      <c r="C8440">
        <f t="shared" si="279"/>
        <v>-4.8346951507332583E-3</v>
      </c>
      <c r="D8440">
        <f t="shared" si="278"/>
        <v>-0.42393368358346722</v>
      </c>
    </row>
    <row r="8441" spans="1:4" x14ac:dyDescent="0.3">
      <c r="A8441" s="1">
        <v>38181</v>
      </c>
      <c r="B8441">
        <v>1931.660034</v>
      </c>
      <c r="C8441">
        <f t="shared" si="279"/>
        <v>-2.7156567542857054E-3</v>
      </c>
      <c r="D8441">
        <f t="shared" si="278"/>
        <v>-0.25441932540561457</v>
      </c>
    </row>
    <row r="8442" spans="1:4" x14ac:dyDescent="0.3">
      <c r="A8442" s="1">
        <v>38182</v>
      </c>
      <c r="B8442">
        <v>1914.880005</v>
      </c>
      <c r="C8442">
        <f t="shared" si="279"/>
        <v>-8.6868438051454829E-3</v>
      </c>
      <c r="D8442">
        <f t="shared" si="278"/>
        <v>-0.7320897358065297</v>
      </c>
    </row>
    <row r="8443" spans="1:4" x14ac:dyDescent="0.3">
      <c r="A8443" s="1">
        <v>38183</v>
      </c>
      <c r="B8443">
        <v>1912.709961</v>
      </c>
      <c r="C8443">
        <f t="shared" si="279"/>
        <v>-1.1332532557307483E-3</v>
      </c>
      <c r="D8443">
        <f t="shared" si="278"/>
        <v>-0.12783355240328423</v>
      </c>
    </row>
    <row r="8444" spans="1:4" x14ac:dyDescent="0.3">
      <c r="A8444" s="1">
        <v>38184</v>
      </c>
      <c r="B8444">
        <v>1883.150024</v>
      </c>
      <c r="C8444">
        <f t="shared" si="279"/>
        <v>-1.5454479561838801E-2</v>
      </c>
      <c r="D8444">
        <f t="shared" si="278"/>
        <v>-1.2734727676574809</v>
      </c>
    </row>
    <row r="8445" spans="1:4" x14ac:dyDescent="0.3">
      <c r="A8445" s="1">
        <v>38187</v>
      </c>
      <c r="B8445">
        <v>1883.829956</v>
      </c>
      <c r="C8445">
        <f t="shared" si="279"/>
        <v>3.6106098363621823E-4</v>
      </c>
      <c r="D8445">
        <f t="shared" si="278"/>
        <v>-8.2945579107949544E-3</v>
      </c>
    </row>
    <row r="8446" spans="1:4" x14ac:dyDescent="0.3">
      <c r="A8446" s="1">
        <v>38188</v>
      </c>
      <c r="B8446">
        <v>1917.0699460000001</v>
      </c>
      <c r="C8446">
        <f t="shared" si="279"/>
        <v>1.7644899367976731E-2</v>
      </c>
      <c r="D8446">
        <f t="shared" si="278"/>
        <v>1.3743414412683401</v>
      </c>
    </row>
    <row r="8447" spans="1:4" x14ac:dyDescent="0.3">
      <c r="A8447" s="1">
        <v>38189</v>
      </c>
      <c r="B8447">
        <v>1874.369995</v>
      </c>
      <c r="C8447">
        <f t="shared" si="279"/>
        <v>-2.2273548802480708E-2</v>
      </c>
      <c r="D8447">
        <f t="shared" si="278"/>
        <v>-1.818970266728569</v>
      </c>
    </row>
    <row r="8448" spans="1:4" x14ac:dyDescent="0.3">
      <c r="A8448" s="1">
        <v>38190</v>
      </c>
      <c r="B8448">
        <v>1889.0600589999999</v>
      </c>
      <c r="C8448">
        <f t="shared" si="279"/>
        <v>7.8373341651790003E-3</v>
      </c>
      <c r="D8448">
        <f t="shared" si="278"/>
        <v>0.58977655399361073</v>
      </c>
    </row>
    <row r="8449" spans="1:4" x14ac:dyDescent="0.3">
      <c r="A8449" s="1">
        <v>38191</v>
      </c>
      <c r="B8449">
        <v>1849.089966</v>
      </c>
      <c r="C8449">
        <f t="shared" si="279"/>
        <v>-2.1158720078576342E-2</v>
      </c>
      <c r="D8449">
        <f t="shared" si="278"/>
        <v>-1.7297885530193242</v>
      </c>
    </row>
    <row r="8450" spans="1:4" x14ac:dyDescent="0.3">
      <c r="A8450" s="1">
        <v>38194</v>
      </c>
      <c r="B8450">
        <v>1839.0200199999999</v>
      </c>
      <c r="C8450">
        <f t="shared" si="279"/>
        <v>-5.4458929447243959E-3</v>
      </c>
      <c r="D8450">
        <f t="shared" si="278"/>
        <v>-0.472826993842412</v>
      </c>
    </row>
    <row r="8451" spans="1:4" x14ac:dyDescent="0.3">
      <c r="A8451" s="1">
        <v>38195</v>
      </c>
      <c r="B8451">
        <v>1869.099976</v>
      </c>
      <c r="C8451">
        <f t="shared" si="279"/>
        <v>1.635651361750811E-2</v>
      </c>
      <c r="D8451">
        <f t="shared" ref="D8451:D8514" si="280">(C8451-avrtn)/sdrtn</f>
        <v>1.2712758791047125</v>
      </c>
    </row>
    <row r="8452" spans="1:4" x14ac:dyDescent="0.3">
      <c r="A8452" s="1">
        <v>38196</v>
      </c>
      <c r="B8452">
        <v>1858.26001</v>
      </c>
      <c r="C8452">
        <f t="shared" ref="C8452:C8515" si="281">(B8452-B8451)/B8451</f>
        <v>-5.7995645707503898E-3</v>
      </c>
      <c r="D8452">
        <f t="shared" si="280"/>
        <v>-0.5011192696180754</v>
      </c>
    </row>
    <row r="8453" spans="1:4" x14ac:dyDescent="0.3">
      <c r="A8453" s="1">
        <v>38197</v>
      </c>
      <c r="B8453">
        <v>1881.0600589999999</v>
      </c>
      <c r="C8453">
        <f t="shared" si="281"/>
        <v>1.2269568777945097E-2</v>
      </c>
      <c r="D8453">
        <f t="shared" si="280"/>
        <v>0.94433709755726947</v>
      </c>
    </row>
    <row r="8454" spans="1:4" x14ac:dyDescent="0.3">
      <c r="A8454" s="1">
        <v>38198</v>
      </c>
      <c r="B8454">
        <v>1887.3599850000001</v>
      </c>
      <c r="C8454">
        <f t="shared" si="281"/>
        <v>3.349136020329557E-3</v>
      </c>
      <c r="D8454">
        <f t="shared" si="280"/>
        <v>0.2307391579867033</v>
      </c>
    </row>
    <row r="8455" spans="1:4" x14ac:dyDescent="0.3">
      <c r="A8455" s="1">
        <v>38201</v>
      </c>
      <c r="B8455">
        <v>1892.089966</v>
      </c>
      <c r="C8455">
        <f t="shared" si="281"/>
        <v>2.5061361041836183E-3</v>
      </c>
      <c r="D8455">
        <f t="shared" si="280"/>
        <v>0.16330263113139618</v>
      </c>
    </row>
    <row r="8456" spans="1:4" x14ac:dyDescent="0.3">
      <c r="A8456" s="1">
        <v>38202</v>
      </c>
      <c r="B8456">
        <v>1859.420044</v>
      </c>
      <c r="C8456">
        <f t="shared" si="281"/>
        <v>-1.7266579595613184E-2</v>
      </c>
      <c r="D8456">
        <f t="shared" si="280"/>
        <v>-1.4184333189595686</v>
      </c>
    </row>
    <row r="8457" spans="1:4" x14ac:dyDescent="0.3">
      <c r="A8457" s="1">
        <v>38203</v>
      </c>
      <c r="B8457">
        <v>1855.0600589999999</v>
      </c>
      <c r="C8457">
        <f t="shared" si="281"/>
        <v>-2.3448090785451658E-3</v>
      </c>
      <c r="D8457">
        <f t="shared" si="280"/>
        <v>-0.22475303628112592</v>
      </c>
    </row>
    <row r="8458" spans="1:4" x14ac:dyDescent="0.3">
      <c r="A8458" s="1">
        <v>38204</v>
      </c>
      <c r="B8458">
        <v>1821.630005</v>
      </c>
      <c r="C8458">
        <f t="shared" si="281"/>
        <v>-1.8021008989876554E-2</v>
      </c>
      <c r="D8458">
        <f t="shared" si="280"/>
        <v>-1.4787845682684324</v>
      </c>
    </row>
    <row r="8459" spans="1:4" x14ac:dyDescent="0.3">
      <c r="A8459" s="1">
        <v>38205</v>
      </c>
      <c r="B8459">
        <v>1776.8900149999999</v>
      </c>
      <c r="C8459">
        <f t="shared" si="281"/>
        <v>-2.4560415604265386E-2</v>
      </c>
      <c r="D8459">
        <f t="shared" si="280"/>
        <v>-2.0019102072188653</v>
      </c>
    </row>
    <row r="8460" spans="1:4" x14ac:dyDescent="0.3">
      <c r="A8460" s="1">
        <v>38208</v>
      </c>
      <c r="B8460">
        <v>1774.6400149999999</v>
      </c>
      <c r="C8460">
        <f t="shared" si="281"/>
        <v>-1.266257326568409E-3</v>
      </c>
      <c r="D8460">
        <f t="shared" si="280"/>
        <v>-0.13847333115428984</v>
      </c>
    </row>
    <row r="8461" spans="1:4" x14ac:dyDescent="0.3">
      <c r="A8461" s="1">
        <v>38209</v>
      </c>
      <c r="B8461">
        <v>1808.6999510000001</v>
      </c>
      <c r="C8461">
        <f t="shared" si="281"/>
        <v>1.9192588757219086E-2</v>
      </c>
      <c r="D8461">
        <f t="shared" si="280"/>
        <v>1.4981502282709329</v>
      </c>
    </row>
    <row r="8462" spans="1:4" x14ac:dyDescent="0.3">
      <c r="A8462" s="1">
        <v>38210</v>
      </c>
      <c r="B8462">
        <v>1782.420044</v>
      </c>
      <c r="C8462">
        <f t="shared" si="281"/>
        <v>-1.4529721740452512E-2</v>
      </c>
      <c r="D8462">
        <f t="shared" si="280"/>
        <v>-1.1994959445734608</v>
      </c>
    </row>
    <row r="8463" spans="1:4" x14ac:dyDescent="0.3">
      <c r="A8463" s="1">
        <v>38211</v>
      </c>
      <c r="B8463">
        <v>1752.48999</v>
      </c>
      <c r="C8463">
        <f t="shared" si="281"/>
        <v>-1.6791807352453635E-2</v>
      </c>
      <c r="D8463">
        <f t="shared" si="280"/>
        <v>-1.3804534917819338</v>
      </c>
    </row>
    <row r="8464" spans="1:4" x14ac:dyDescent="0.3">
      <c r="A8464" s="1">
        <v>38212</v>
      </c>
      <c r="B8464">
        <v>1757.219971</v>
      </c>
      <c r="C8464">
        <f t="shared" si="281"/>
        <v>2.6990060011697712E-3</v>
      </c>
      <c r="D8464">
        <f t="shared" si="280"/>
        <v>0.17873142980453313</v>
      </c>
    </row>
    <row r="8465" spans="1:4" x14ac:dyDescent="0.3">
      <c r="A8465" s="1">
        <v>38215</v>
      </c>
      <c r="B8465">
        <v>1782.839966</v>
      </c>
      <c r="C8465">
        <f t="shared" si="281"/>
        <v>1.4579845109215422E-2</v>
      </c>
      <c r="D8465">
        <f t="shared" si="280"/>
        <v>1.1291497041458571</v>
      </c>
    </row>
    <row r="8466" spans="1:4" x14ac:dyDescent="0.3">
      <c r="A8466" s="1">
        <v>38216</v>
      </c>
      <c r="B8466">
        <v>1795.25</v>
      </c>
      <c r="C8466">
        <f t="shared" si="281"/>
        <v>6.9608233137398697E-3</v>
      </c>
      <c r="D8466">
        <f t="shared" si="280"/>
        <v>0.51965929011263756</v>
      </c>
    </row>
    <row r="8467" spans="1:4" x14ac:dyDescent="0.3">
      <c r="A8467" s="1">
        <v>38217</v>
      </c>
      <c r="B8467">
        <v>1831.369995</v>
      </c>
      <c r="C8467">
        <f t="shared" si="281"/>
        <v>2.0119757693914508E-2</v>
      </c>
      <c r="D8467">
        <f t="shared" si="280"/>
        <v>1.5723199306651181</v>
      </c>
    </row>
    <row r="8468" spans="1:4" x14ac:dyDescent="0.3">
      <c r="A8468" s="1">
        <v>38218</v>
      </c>
      <c r="B8468">
        <v>1819.8900149999999</v>
      </c>
      <c r="C8468">
        <f t="shared" si="281"/>
        <v>-6.2685203052046667E-3</v>
      </c>
      <c r="D8468">
        <f t="shared" si="280"/>
        <v>-0.53863380001691519</v>
      </c>
    </row>
    <row r="8469" spans="1:4" x14ac:dyDescent="0.3">
      <c r="A8469" s="1">
        <v>38219</v>
      </c>
      <c r="B8469">
        <v>1838.0200199999999</v>
      </c>
      <c r="C8469">
        <f t="shared" si="281"/>
        <v>9.9621432342437369E-3</v>
      </c>
      <c r="D8469">
        <f t="shared" si="280"/>
        <v>0.75975254225169053</v>
      </c>
    </row>
    <row r="8470" spans="1:4" x14ac:dyDescent="0.3">
      <c r="A8470" s="1">
        <v>38222</v>
      </c>
      <c r="B8470">
        <v>1838.6999510000001</v>
      </c>
      <c r="C8470">
        <f t="shared" si="281"/>
        <v>3.6992578568329426E-4</v>
      </c>
      <c r="D8470">
        <f t="shared" si="280"/>
        <v>-7.5854101993127008E-3</v>
      </c>
    </row>
    <row r="8471" spans="1:4" x14ac:dyDescent="0.3">
      <c r="A8471" s="1">
        <v>38223</v>
      </c>
      <c r="B8471">
        <v>1836.8900149999999</v>
      </c>
      <c r="C8471">
        <f t="shared" si="281"/>
        <v>-9.8435636495000211E-4</v>
      </c>
      <c r="D8471">
        <f t="shared" si="280"/>
        <v>-0.11592241340849786</v>
      </c>
    </row>
    <row r="8472" spans="1:4" x14ac:dyDescent="0.3">
      <c r="A8472" s="1">
        <v>38224</v>
      </c>
      <c r="B8472">
        <v>1860.719971</v>
      </c>
      <c r="C8472">
        <f t="shared" si="281"/>
        <v>1.297299011122342E-2</v>
      </c>
      <c r="D8472">
        <f t="shared" si="280"/>
        <v>1.0006079117337294</v>
      </c>
    </row>
    <row r="8473" spans="1:4" x14ac:dyDescent="0.3">
      <c r="A8473" s="1">
        <v>38225</v>
      </c>
      <c r="B8473">
        <v>1852.920044</v>
      </c>
      <c r="C8473">
        <f t="shared" si="281"/>
        <v>-4.1918865393851491E-3</v>
      </c>
      <c r="D8473">
        <f t="shared" si="280"/>
        <v>-0.37251163792042236</v>
      </c>
    </row>
    <row r="8474" spans="1:4" x14ac:dyDescent="0.3">
      <c r="A8474" s="1">
        <v>38226</v>
      </c>
      <c r="B8474">
        <v>1862.089966</v>
      </c>
      <c r="C8474">
        <f t="shared" si="281"/>
        <v>4.9489032350281178E-3</v>
      </c>
      <c r="D8474">
        <f t="shared" si="280"/>
        <v>0.35871395688049457</v>
      </c>
    </row>
    <row r="8475" spans="1:4" x14ac:dyDescent="0.3">
      <c r="A8475" s="1">
        <v>38229</v>
      </c>
      <c r="B8475">
        <v>1836.48999</v>
      </c>
      <c r="C8475">
        <f t="shared" si="281"/>
        <v>-1.3747980209029261E-2</v>
      </c>
      <c r="D8475">
        <f t="shared" si="280"/>
        <v>-1.1369598365999853</v>
      </c>
    </row>
    <row r="8476" spans="1:4" x14ac:dyDescent="0.3">
      <c r="A8476" s="1">
        <v>38230</v>
      </c>
      <c r="B8476">
        <v>1838.099976</v>
      </c>
      <c r="C8476">
        <f t="shared" si="281"/>
        <v>8.7666472932963562E-4</v>
      </c>
      <c r="D8476">
        <f t="shared" si="280"/>
        <v>3.2951621569407598E-2</v>
      </c>
    </row>
    <row r="8477" spans="1:4" x14ac:dyDescent="0.3">
      <c r="A8477" s="1">
        <v>38231</v>
      </c>
      <c r="B8477">
        <v>1850.410034</v>
      </c>
      <c r="C8477">
        <f t="shared" si="281"/>
        <v>6.6971645507491297E-3</v>
      </c>
      <c r="D8477">
        <f t="shared" si="280"/>
        <v>0.49856767324468992</v>
      </c>
    </row>
    <row r="8478" spans="1:4" x14ac:dyDescent="0.3">
      <c r="A8478" s="1">
        <v>38232</v>
      </c>
      <c r="B8478">
        <v>1873.4300539999999</v>
      </c>
      <c r="C8478">
        <f t="shared" si="281"/>
        <v>1.2440496742356042E-2</v>
      </c>
      <c r="D8478">
        <f t="shared" si="280"/>
        <v>0.95801063185015556</v>
      </c>
    </row>
    <row r="8479" spans="1:4" x14ac:dyDescent="0.3">
      <c r="A8479" s="1">
        <v>38233</v>
      </c>
      <c r="B8479">
        <v>1844.4799800000001</v>
      </c>
      <c r="C8479">
        <f t="shared" si="281"/>
        <v>-1.5452978315463632E-2</v>
      </c>
      <c r="D8479">
        <f t="shared" si="280"/>
        <v>-1.2733526741206291</v>
      </c>
    </row>
    <row r="8480" spans="1:4" x14ac:dyDescent="0.3">
      <c r="A8480" s="1">
        <v>38237</v>
      </c>
      <c r="B8480">
        <v>1858.5600589999999</v>
      </c>
      <c r="C8480">
        <f t="shared" si="281"/>
        <v>7.633630699531822E-3</v>
      </c>
      <c r="D8480">
        <f t="shared" si="280"/>
        <v>0.57348111437549221</v>
      </c>
    </row>
    <row r="8481" spans="1:4" x14ac:dyDescent="0.3">
      <c r="A8481" s="1">
        <v>38238</v>
      </c>
      <c r="B8481">
        <v>1850.6400149999999</v>
      </c>
      <c r="C8481">
        <f t="shared" si="281"/>
        <v>-4.2613871753282746E-3</v>
      </c>
      <c r="D8481">
        <f t="shared" si="280"/>
        <v>-0.37807140300754971</v>
      </c>
    </row>
    <row r="8482" spans="1:4" x14ac:dyDescent="0.3">
      <c r="A8482" s="1">
        <v>38239</v>
      </c>
      <c r="B8482">
        <v>1869.650024</v>
      </c>
      <c r="C8482">
        <f t="shared" si="281"/>
        <v>1.0272126856610784E-2</v>
      </c>
      <c r="D8482">
        <f t="shared" si="280"/>
        <v>0.78454995738078259</v>
      </c>
    </row>
    <row r="8483" spans="1:4" x14ac:dyDescent="0.3">
      <c r="A8483" s="1">
        <v>38240</v>
      </c>
      <c r="B8483">
        <v>1894.3100589999999</v>
      </c>
      <c r="C8483">
        <f t="shared" si="281"/>
        <v>1.3189652974325786E-2</v>
      </c>
      <c r="D8483">
        <f t="shared" si="280"/>
        <v>1.0179400498589022</v>
      </c>
    </row>
    <row r="8484" spans="1:4" x14ac:dyDescent="0.3">
      <c r="A8484" s="1">
        <v>38243</v>
      </c>
      <c r="B8484">
        <v>1910.380005</v>
      </c>
      <c r="C8484">
        <f t="shared" si="281"/>
        <v>8.4832712172173887E-3</v>
      </c>
      <c r="D8484">
        <f t="shared" si="280"/>
        <v>0.64144886204765295</v>
      </c>
    </row>
    <row r="8485" spans="1:4" x14ac:dyDescent="0.3">
      <c r="A8485" s="1">
        <v>38244</v>
      </c>
      <c r="B8485">
        <v>1915.400024</v>
      </c>
      <c r="C8485">
        <f t="shared" si="281"/>
        <v>2.6277593917761128E-3</v>
      </c>
      <c r="D8485">
        <f t="shared" si="280"/>
        <v>0.17303199402084882</v>
      </c>
    </row>
    <row r="8486" spans="1:4" x14ac:dyDescent="0.3">
      <c r="A8486" s="1">
        <v>38245</v>
      </c>
      <c r="B8486">
        <v>1896.5200199999999</v>
      </c>
      <c r="C8486">
        <f t="shared" si="281"/>
        <v>-9.8569509049980571E-3</v>
      </c>
      <c r="D8486">
        <f t="shared" si="280"/>
        <v>-0.82569349228559108</v>
      </c>
    </row>
    <row r="8487" spans="1:4" x14ac:dyDescent="0.3">
      <c r="A8487" s="1">
        <v>38246</v>
      </c>
      <c r="B8487">
        <v>1904.079956</v>
      </c>
      <c r="C8487">
        <f t="shared" si="281"/>
        <v>3.986214709191473E-3</v>
      </c>
      <c r="D8487">
        <f t="shared" si="280"/>
        <v>0.28170283341243474</v>
      </c>
    </row>
    <row r="8488" spans="1:4" x14ac:dyDescent="0.3">
      <c r="A8488" s="1">
        <v>38247</v>
      </c>
      <c r="B8488">
        <v>1910.089966</v>
      </c>
      <c r="C8488">
        <f t="shared" si="281"/>
        <v>3.1563853088530519E-3</v>
      </c>
      <c r="D8488">
        <f t="shared" si="280"/>
        <v>0.21531989366424445</v>
      </c>
    </row>
    <row r="8489" spans="1:4" x14ac:dyDescent="0.3">
      <c r="A8489" s="1">
        <v>38250</v>
      </c>
      <c r="B8489">
        <v>1908.0699460000001</v>
      </c>
      <c r="C8489">
        <f t="shared" si="281"/>
        <v>-1.0575522807599164E-3</v>
      </c>
      <c r="D8489">
        <f t="shared" si="280"/>
        <v>-0.12177778568988674</v>
      </c>
    </row>
    <row r="8490" spans="1:4" x14ac:dyDescent="0.3">
      <c r="A8490" s="1">
        <v>38251</v>
      </c>
      <c r="B8490">
        <v>1921.1800539999999</v>
      </c>
      <c r="C8490">
        <f t="shared" si="281"/>
        <v>6.8708739045354964E-3</v>
      </c>
      <c r="D8490">
        <f t="shared" si="280"/>
        <v>0.51246370725046841</v>
      </c>
    </row>
    <row r="8491" spans="1:4" x14ac:dyDescent="0.3">
      <c r="A8491" s="1">
        <v>38252</v>
      </c>
      <c r="B8491">
        <v>1885.709961</v>
      </c>
      <c r="C8491">
        <f t="shared" si="281"/>
        <v>-1.8462659408809326E-2</v>
      </c>
      <c r="D8491">
        <f t="shared" si="280"/>
        <v>-1.51411478570568</v>
      </c>
    </row>
    <row r="8492" spans="1:4" x14ac:dyDescent="0.3">
      <c r="A8492" s="1">
        <v>38253</v>
      </c>
      <c r="B8492">
        <v>1886.4300539999999</v>
      </c>
      <c r="C8492">
        <f t="shared" si="281"/>
        <v>3.818683757803548E-4</v>
      </c>
      <c r="D8492">
        <f t="shared" si="280"/>
        <v>-6.630052099771769E-3</v>
      </c>
    </row>
    <row r="8493" spans="1:4" x14ac:dyDescent="0.3">
      <c r="A8493" s="1">
        <v>38254</v>
      </c>
      <c r="B8493">
        <v>1879.4799800000001</v>
      </c>
      <c r="C8493">
        <f t="shared" si="281"/>
        <v>-3.6842468583782747E-3</v>
      </c>
      <c r="D8493">
        <f t="shared" si="280"/>
        <v>-0.3319025508667135</v>
      </c>
    </row>
    <row r="8494" spans="1:4" x14ac:dyDescent="0.3">
      <c r="A8494" s="1">
        <v>38257</v>
      </c>
      <c r="B8494">
        <v>1859.880005</v>
      </c>
      <c r="C8494">
        <f t="shared" si="281"/>
        <v>-1.0428403179905159E-2</v>
      </c>
      <c r="D8494">
        <f t="shared" si="280"/>
        <v>-0.87140732445236413</v>
      </c>
    </row>
    <row r="8495" spans="1:4" x14ac:dyDescent="0.3">
      <c r="A8495" s="1">
        <v>38258</v>
      </c>
      <c r="B8495">
        <v>1869.869995</v>
      </c>
      <c r="C8495">
        <f t="shared" si="281"/>
        <v>5.371308887209653E-3</v>
      </c>
      <c r="D8495">
        <f t="shared" si="280"/>
        <v>0.39250467211259693</v>
      </c>
    </row>
    <row r="8496" spans="1:4" x14ac:dyDescent="0.3">
      <c r="A8496" s="1">
        <v>38259</v>
      </c>
      <c r="B8496">
        <v>1893.9399410000001</v>
      </c>
      <c r="C8496">
        <f t="shared" si="281"/>
        <v>1.2872523792757086E-2</v>
      </c>
      <c r="D8496">
        <f t="shared" si="280"/>
        <v>0.9925710193763928</v>
      </c>
    </row>
    <row r="8497" spans="1:4" x14ac:dyDescent="0.3">
      <c r="A8497" s="1">
        <v>38260</v>
      </c>
      <c r="B8497">
        <v>1896.839966</v>
      </c>
      <c r="C8497">
        <f t="shared" si="281"/>
        <v>1.5312127577122119E-3</v>
      </c>
      <c r="D8497">
        <f t="shared" si="280"/>
        <v>8.5312772322438543E-2</v>
      </c>
    </row>
    <row r="8498" spans="1:4" x14ac:dyDescent="0.3">
      <c r="A8498" s="1">
        <v>38261</v>
      </c>
      <c r="B8498">
        <v>1942.1999510000001</v>
      </c>
      <c r="C8498">
        <f t="shared" si="281"/>
        <v>2.3913448584518094E-2</v>
      </c>
      <c r="D8498">
        <f t="shared" si="280"/>
        <v>1.8757996021632506</v>
      </c>
    </row>
    <row r="8499" spans="1:4" x14ac:dyDescent="0.3">
      <c r="A8499" s="1">
        <v>38264</v>
      </c>
      <c r="B8499">
        <v>1952.400024</v>
      </c>
      <c r="C8499">
        <f t="shared" si="281"/>
        <v>5.2518140548547332E-3</v>
      </c>
      <c r="D8499">
        <f t="shared" si="280"/>
        <v>0.38294557688989006</v>
      </c>
    </row>
    <row r="8500" spans="1:4" x14ac:dyDescent="0.3">
      <c r="A8500" s="1">
        <v>38265</v>
      </c>
      <c r="B8500">
        <v>1955.5</v>
      </c>
      <c r="C8500">
        <f t="shared" si="281"/>
        <v>1.5877770753397458E-3</v>
      </c>
      <c r="D8500">
        <f t="shared" si="280"/>
        <v>8.9837685138777365E-2</v>
      </c>
    </row>
    <row r="8501" spans="1:4" x14ac:dyDescent="0.3">
      <c r="A8501" s="1">
        <v>38266</v>
      </c>
      <c r="B8501">
        <v>1971.030029</v>
      </c>
      <c r="C8501">
        <f t="shared" si="281"/>
        <v>7.9417177192533939E-3</v>
      </c>
      <c r="D8501">
        <f t="shared" si="280"/>
        <v>0.59812680909182314</v>
      </c>
    </row>
    <row r="8502" spans="1:4" x14ac:dyDescent="0.3">
      <c r="A8502" s="1">
        <v>38267</v>
      </c>
      <c r="B8502">
        <v>1948.5200199999999</v>
      </c>
      <c r="C8502">
        <f t="shared" si="281"/>
        <v>-1.1420429252120787E-2</v>
      </c>
      <c r="D8502">
        <f t="shared" si="280"/>
        <v>-0.95076533099403093</v>
      </c>
    </row>
    <row r="8503" spans="1:4" x14ac:dyDescent="0.3">
      <c r="A8503" s="1">
        <v>38268</v>
      </c>
      <c r="B8503">
        <v>1919.969971</v>
      </c>
      <c r="C8503">
        <f t="shared" si="281"/>
        <v>-1.4652171241227455E-2</v>
      </c>
      <c r="D8503">
        <f t="shared" si="280"/>
        <v>-1.2092914011201004</v>
      </c>
    </row>
    <row r="8504" spans="1:4" x14ac:dyDescent="0.3">
      <c r="A8504" s="1">
        <v>38271</v>
      </c>
      <c r="B8504">
        <v>1928.76001</v>
      </c>
      <c r="C8504">
        <f t="shared" si="281"/>
        <v>4.578216916289457E-3</v>
      </c>
      <c r="D8504">
        <f t="shared" si="280"/>
        <v>0.32906057565265223</v>
      </c>
    </row>
    <row r="8505" spans="1:4" x14ac:dyDescent="0.3">
      <c r="A8505" s="1">
        <v>38272</v>
      </c>
      <c r="B8505">
        <v>1925.170044</v>
      </c>
      <c r="C8505">
        <f t="shared" si="281"/>
        <v>-1.8612818501976324E-3</v>
      </c>
      <c r="D8505">
        <f t="shared" si="280"/>
        <v>-0.18607284628916662</v>
      </c>
    </row>
    <row r="8506" spans="1:4" x14ac:dyDescent="0.3">
      <c r="A8506" s="1">
        <v>38273</v>
      </c>
      <c r="B8506">
        <v>1920.530029</v>
      </c>
      <c r="C8506">
        <f t="shared" si="281"/>
        <v>-2.4101845000451027E-3</v>
      </c>
      <c r="D8506">
        <f t="shared" si="280"/>
        <v>-0.22998280117578138</v>
      </c>
    </row>
    <row r="8507" spans="1:4" x14ac:dyDescent="0.3">
      <c r="A8507" s="1">
        <v>38274</v>
      </c>
      <c r="B8507">
        <v>1903.0200199999999</v>
      </c>
      <c r="C8507">
        <f t="shared" si="281"/>
        <v>-9.1172794674381427E-3</v>
      </c>
      <c r="D8507">
        <f t="shared" si="280"/>
        <v>-0.76652281882792317</v>
      </c>
    </row>
    <row r="8508" spans="1:4" x14ac:dyDescent="0.3">
      <c r="A8508" s="1">
        <v>38275</v>
      </c>
      <c r="B8508">
        <v>1911.5</v>
      </c>
      <c r="C8508">
        <f t="shared" si="281"/>
        <v>4.456064524218757E-3</v>
      </c>
      <c r="D8508">
        <f t="shared" si="280"/>
        <v>0.31928888658063376</v>
      </c>
    </row>
    <row r="8509" spans="1:4" x14ac:dyDescent="0.3">
      <c r="A8509" s="1">
        <v>38278</v>
      </c>
      <c r="B8509">
        <v>1936.5200199999999</v>
      </c>
      <c r="C8509">
        <f t="shared" si="281"/>
        <v>1.3089207428720865E-2</v>
      </c>
      <c r="D8509">
        <f t="shared" si="280"/>
        <v>1.0099048192450601</v>
      </c>
    </row>
    <row r="8510" spans="1:4" x14ac:dyDescent="0.3">
      <c r="A8510" s="1">
        <v>38279</v>
      </c>
      <c r="B8510">
        <v>1922.900024</v>
      </c>
      <c r="C8510">
        <f t="shared" si="281"/>
        <v>-7.0332327367314809E-3</v>
      </c>
      <c r="D8510">
        <f t="shared" si="280"/>
        <v>-0.5998076500227526</v>
      </c>
    </row>
    <row r="8511" spans="1:4" x14ac:dyDescent="0.3">
      <c r="A8511" s="1">
        <v>38280</v>
      </c>
      <c r="B8511">
        <v>1932.969971</v>
      </c>
      <c r="C8511">
        <f t="shared" si="281"/>
        <v>5.2368541652272381E-3</v>
      </c>
      <c r="D8511">
        <f t="shared" si="280"/>
        <v>0.38174884723512414</v>
      </c>
    </row>
    <row r="8512" spans="1:4" x14ac:dyDescent="0.3">
      <c r="A8512" s="1">
        <v>38281</v>
      </c>
      <c r="B8512">
        <v>1953.619995</v>
      </c>
      <c r="C8512">
        <f t="shared" si="281"/>
        <v>1.0683054734325218E-2</v>
      </c>
      <c r="D8512">
        <f t="shared" si="280"/>
        <v>0.81742249785240761</v>
      </c>
    </row>
    <row r="8513" spans="1:4" x14ac:dyDescent="0.3">
      <c r="A8513" s="1">
        <v>38282</v>
      </c>
      <c r="B8513">
        <v>1915.1400149999999</v>
      </c>
      <c r="C8513">
        <f t="shared" si="281"/>
        <v>-1.9696757864110653E-2</v>
      </c>
      <c r="D8513">
        <f t="shared" si="280"/>
        <v>-1.6128375874866159</v>
      </c>
    </row>
    <row r="8514" spans="1:4" x14ac:dyDescent="0.3">
      <c r="A8514" s="1">
        <v>38285</v>
      </c>
      <c r="B8514">
        <v>1914.040039</v>
      </c>
      <c r="C8514">
        <f t="shared" si="281"/>
        <v>-5.7435800588186744E-4</v>
      </c>
      <c r="D8514">
        <f t="shared" si="280"/>
        <v>-8.3124230606373375E-2</v>
      </c>
    </row>
    <row r="8515" spans="1:4" x14ac:dyDescent="0.3">
      <c r="A8515" s="1">
        <v>38286</v>
      </c>
      <c r="B8515">
        <v>1928.790039</v>
      </c>
      <c r="C8515">
        <f t="shared" si="281"/>
        <v>7.7062128792803166E-3</v>
      </c>
      <c r="D8515">
        <f t="shared" ref="D8515:D8578" si="282">(C8515-avrtn)/sdrtn</f>
        <v>0.57928739029566534</v>
      </c>
    </row>
    <row r="8516" spans="1:4" x14ac:dyDescent="0.3">
      <c r="A8516" s="1">
        <v>38287</v>
      </c>
      <c r="B8516">
        <v>1969.98999</v>
      </c>
      <c r="C8516">
        <f t="shared" ref="C8516:C8579" si="283">(B8516-B8515)/B8515</f>
        <v>2.1360516265088433E-2</v>
      </c>
      <c r="D8516">
        <f t="shared" si="282"/>
        <v>1.6715755143293016</v>
      </c>
    </row>
    <row r="8517" spans="1:4" x14ac:dyDescent="0.3">
      <c r="A8517" s="1">
        <v>38288</v>
      </c>
      <c r="B8517">
        <v>1975.73999</v>
      </c>
      <c r="C8517">
        <f t="shared" si="283"/>
        <v>2.9187965569307285E-3</v>
      </c>
      <c r="D8517">
        <f t="shared" si="282"/>
        <v>0.1963137704812441</v>
      </c>
    </row>
    <row r="8518" spans="1:4" x14ac:dyDescent="0.3">
      <c r="A8518" s="1">
        <v>38289</v>
      </c>
      <c r="B8518">
        <v>1974.98999</v>
      </c>
      <c r="C8518">
        <f t="shared" si="283"/>
        <v>-3.7960460576596416E-4</v>
      </c>
      <c r="D8518">
        <f t="shared" si="282"/>
        <v>-6.7544759427867543E-2</v>
      </c>
    </row>
    <row r="8519" spans="1:4" x14ac:dyDescent="0.3">
      <c r="A8519" s="1">
        <v>38292</v>
      </c>
      <c r="B8519">
        <v>1979.869995</v>
      </c>
      <c r="C8519">
        <f t="shared" si="283"/>
        <v>2.4709011309976222E-3</v>
      </c>
      <c r="D8519">
        <f t="shared" si="282"/>
        <v>0.16048397816359197</v>
      </c>
    </row>
    <row r="8520" spans="1:4" x14ac:dyDescent="0.3">
      <c r="A8520" s="1">
        <v>38293</v>
      </c>
      <c r="B8520">
        <v>1984.790039</v>
      </c>
      <c r="C8520">
        <f t="shared" si="283"/>
        <v>2.4850338721356105E-3</v>
      </c>
      <c r="D8520">
        <f t="shared" si="282"/>
        <v>0.16161453934045222</v>
      </c>
    </row>
    <row r="8521" spans="1:4" x14ac:dyDescent="0.3">
      <c r="A8521" s="1">
        <v>38294</v>
      </c>
      <c r="B8521">
        <v>2004.329956</v>
      </c>
      <c r="C8521">
        <f t="shared" si="283"/>
        <v>9.844828226689856E-3</v>
      </c>
      <c r="D8521">
        <f t="shared" si="282"/>
        <v>0.75036782404957358</v>
      </c>
    </row>
    <row r="8522" spans="1:4" x14ac:dyDescent="0.3">
      <c r="A8522" s="1">
        <v>38295</v>
      </c>
      <c r="B8522">
        <v>2023.630005</v>
      </c>
      <c r="C8522">
        <f t="shared" si="283"/>
        <v>9.6291775424624474E-3</v>
      </c>
      <c r="D8522">
        <f t="shared" si="282"/>
        <v>0.73311665607229304</v>
      </c>
    </row>
    <row r="8523" spans="1:4" x14ac:dyDescent="0.3">
      <c r="A8523" s="1">
        <v>38296</v>
      </c>
      <c r="B8523">
        <v>2038.9399410000001</v>
      </c>
      <c r="C8523">
        <f t="shared" si="283"/>
        <v>7.5655806457564888E-3</v>
      </c>
      <c r="D8523">
        <f t="shared" si="282"/>
        <v>0.56803738989695873</v>
      </c>
    </row>
    <row r="8524" spans="1:4" x14ac:dyDescent="0.3">
      <c r="A8524" s="1">
        <v>38299</v>
      </c>
      <c r="B8524">
        <v>2039.25</v>
      </c>
      <c r="C8524">
        <f t="shared" si="283"/>
        <v>1.5206872638329967E-4</v>
      </c>
      <c r="D8524">
        <f t="shared" si="282"/>
        <v>-2.5013079109731606E-2</v>
      </c>
    </row>
    <row r="8525" spans="1:4" x14ac:dyDescent="0.3">
      <c r="A8525" s="1">
        <v>38300</v>
      </c>
      <c r="B8525">
        <v>2043.329956</v>
      </c>
      <c r="C8525">
        <f t="shared" si="283"/>
        <v>2.0007139879857981E-3</v>
      </c>
      <c r="D8525">
        <f t="shared" si="282"/>
        <v>0.12287094014373076</v>
      </c>
    </row>
    <row r="8526" spans="1:4" x14ac:dyDescent="0.3">
      <c r="A8526" s="1">
        <v>38301</v>
      </c>
      <c r="B8526">
        <v>2034.5600589999999</v>
      </c>
      <c r="C8526">
        <f t="shared" si="283"/>
        <v>-4.2919632114472497E-3</v>
      </c>
      <c r="D8526">
        <f t="shared" si="282"/>
        <v>-0.38051736016765597</v>
      </c>
    </row>
    <row r="8527" spans="1:4" x14ac:dyDescent="0.3">
      <c r="A8527" s="1">
        <v>38302</v>
      </c>
      <c r="B8527">
        <v>2061.2700199999999</v>
      </c>
      <c r="C8527">
        <f t="shared" si="283"/>
        <v>1.3128126093819097E-2</v>
      </c>
      <c r="D8527">
        <f t="shared" si="282"/>
        <v>1.0130181524184114</v>
      </c>
    </row>
    <row r="8528" spans="1:4" x14ac:dyDescent="0.3">
      <c r="A8528" s="1">
        <v>38303</v>
      </c>
      <c r="B8528">
        <v>2085.3400879999999</v>
      </c>
      <c r="C8528">
        <f t="shared" si="283"/>
        <v>1.167729980373944E-2</v>
      </c>
      <c r="D8528">
        <f t="shared" si="282"/>
        <v>0.89695801504539097</v>
      </c>
    </row>
    <row r="8529" spans="1:4" x14ac:dyDescent="0.3">
      <c r="A8529" s="1">
        <v>38306</v>
      </c>
      <c r="B8529">
        <v>2094.0900879999999</v>
      </c>
      <c r="C8529">
        <f t="shared" si="283"/>
        <v>4.1959582757515185E-3</v>
      </c>
      <c r="D8529">
        <f t="shared" si="282"/>
        <v>0.29848145626653921</v>
      </c>
    </row>
    <row r="8530" spans="1:4" x14ac:dyDescent="0.3">
      <c r="A8530" s="1">
        <v>38307</v>
      </c>
      <c r="B8530">
        <v>2078.6201169999999</v>
      </c>
      <c r="C8530">
        <f t="shared" si="283"/>
        <v>-7.3874429226561469E-3</v>
      </c>
      <c r="D8530">
        <f t="shared" si="282"/>
        <v>-0.62814300837573822</v>
      </c>
    </row>
    <row r="8531" spans="1:4" x14ac:dyDescent="0.3">
      <c r="A8531" s="1">
        <v>38308</v>
      </c>
      <c r="B8531">
        <v>2099.679932</v>
      </c>
      <c r="C8531">
        <f t="shared" si="283"/>
        <v>1.0131632436231287E-2</v>
      </c>
      <c r="D8531">
        <f t="shared" si="282"/>
        <v>0.77331098146693156</v>
      </c>
    </row>
    <row r="8532" spans="1:4" x14ac:dyDescent="0.3">
      <c r="A8532" s="1">
        <v>38309</v>
      </c>
      <c r="B8532">
        <v>2104.280029</v>
      </c>
      <c r="C8532">
        <f t="shared" si="283"/>
        <v>2.1908562966634123E-3</v>
      </c>
      <c r="D8532">
        <f t="shared" si="282"/>
        <v>0.13808154296809477</v>
      </c>
    </row>
    <row r="8533" spans="1:4" x14ac:dyDescent="0.3">
      <c r="A8533" s="1">
        <v>38310</v>
      </c>
      <c r="B8533">
        <v>2070.6298830000001</v>
      </c>
      <c r="C8533">
        <f t="shared" si="283"/>
        <v>-1.599128706077738E-2</v>
      </c>
      <c r="D8533">
        <f t="shared" si="282"/>
        <v>-1.3164151602069418</v>
      </c>
    </row>
    <row r="8534" spans="1:4" x14ac:dyDescent="0.3">
      <c r="A8534" s="1">
        <v>38313</v>
      </c>
      <c r="B8534">
        <v>2085.1899410000001</v>
      </c>
      <c r="C8534">
        <f t="shared" si="283"/>
        <v>7.0317047578319072E-3</v>
      </c>
      <c r="D8534">
        <f t="shared" si="282"/>
        <v>0.52532951417376084</v>
      </c>
    </row>
    <row r="8535" spans="1:4" x14ac:dyDescent="0.3">
      <c r="A8535" s="1">
        <v>38314</v>
      </c>
      <c r="B8535">
        <v>2084.280029</v>
      </c>
      <c r="C8535">
        <f t="shared" si="283"/>
        <v>-4.363688804117805E-4</v>
      </c>
      <c r="D8535">
        <f t="shared" si="282"/>
        <v>-7.2085667983440779E-2</v>
      </c>
    </row>
    <row r="8536" spans="1:4" x14ac:dyDescent="0.3">
      <c r="A8536" s="1">
        <v>38315</v>
      </c>
      <c r="B8536">
        <v>2102.540039</v>
      </c>
      <c r="C8536">
        <f t="shared" si="283"/>
        <v>8.7608237597328938E-3</v>
      </c>
      <c r="D8536">
        <f t="shared" si="282"/>
        <v>0.66365192414601903</v>
      </c>
    </row>
    <row r="8537" spans="1:4" x14ac:dyDescent="0.3">
      <c r="A8537" s="1">
        <v>38317</v>
      </c>
      <c r="B8537">
        <v>2101.969971</v>
      </c>
      <c r="C8537">
        <f t="shared" si="283"/>
        <v>-2.7113300551989726E-4</v>
      </c>
      <c r="D8537">
        <f t="shared" si="282"/>
        <v>-5.8867477446067573E-2</v>
      </c>
    </row>
    <row r="8538" spans="1:4" x14ac:dyDescent="0.3">
      <c r="A8538" s="1">
        <v>38320</v>
      </c>
      <c r="B8538">
        <v>2106.8701169999999</v>
      </c>
      <c r="C8538">
        <f t="shared" si="283"/>
        <v>2.3312159867197027E-3</v>
      </c>
      <c r="D8538">
        <f t="shared" si="282"/>
        <v>0.1493097410101038</v>
      </c>
    </row>
    <row r="8539" spans="1:4" x14ac:dyDescent="0.3">
      <c r="A8539" s="1">
        <v>38321</v>
      </c>
      <c r="B8539">
        <v>2096.8100589999999</v>
      </c>
      <c r="C8539">
        <f t="shared" si="283"/>
        <v>-4.7748828552965925E-3</v>
      </c>
      <c r="D8539">
        <f t="shared" si="282"/>
        <v>-0.41914894589816237</v>
      </c>
    </row>
    <row r="8540" spans="1:4" x14ac:dyDescent="0.3">
      <c r="A8540" s="1">
        <v>38322</v>
      </c>
      <c r="B8540">
        <v>2138.2299800000001</v>
      </c>
      <c r="C8540">
        <f t="shared" si="283"/>
        <v>1.9753778279637757E-2</v>
      </c>
      <c r="D8540">
        <f t="shared" si="282"/>
        <v>1.5430430824393218</v>
      </c>
    </row>
    <row r="8541" spans="1:4" x14ac:dyDescent="0.3">
      <c r="A8541" s="1">
        <v>38323</v>
      </c>
      <c r="B8541">
        <v>2143.570068</v>
      </c>
      <c r="C8541">
        <f t="shared" si="283"/>
        <v>2.4974338822056565E-3</v>
      </c>
      <c r="D8541">
        <f t="shared" si="282"/>
        <v>0.16260648915690981</v>
      </c>
    </row>
    <row r="8542" spans="1:4" x14ac:dyDescent="0.3">
      <c r="A8542" s="1">
        <v>38324</v>
      </c>
      <c r="B8542">
        <v>2147.959961</v>
      </c>
      <c r="C8542">
        <f t="shared" si="283"/>
        <v>2.0479353885062873E-3</v>
      </c>
      <c r="D8542">
        <f t="shared" si="282"/>
        <v>0.12664845800981073</v>
      </c>
    </row>
    <row r="8543" spans="1:4" x14ac:dyDescent="0.3">
      <c r="A8543" s="1">
        <v>38327</v>
      </c>
      <c r="B8543">
        <v>2151.25</v>
      </c>
      <c r="C8543">
        <f t="shared" si="283"/>
        <v>1.5317040632676759E-3</v>
      </c>
      <c r="D8543">
        <f t="shared" si="282"/>
        <v>8.5352074746615145E-2</v>
      </c>
    </row>
    <row r="8544" spans="1:4" x14ac:dyDescent="0.3">
      <c r="A8544" s="1">
        <v>38328</v>
      </c>
      <c r="B8544">
        <v>2114.6599120000001</v>
      </c>
      <c r="C8544">
        <f t="shared" si="283"/>
        <v>-1.7008756769320128E-2</v>
      </c>
      <c r="D8544">
        <f t="shared" si="282"/>
        <v>-1.3978085530299207</v>
      </c>
    </row>
    <row r="8545" spans="1:4" x14ac:dyDescent="0.3">
      <c r="A8545" s="1">
        <v>38329</v>
      </c>
      <c r="B8545">
        <v>2126.110107</v>
      </c>
      <c r="C8545">
        <f t="shared" si="283"/>
        <v>5.4146744519172089E-3</v>
      </c>
      <c r="D8545">
        <f t="shared" si="282"/>
        <v>0.39597373896893384</v>
      </c>
    </row>
    <row r="8546" spans="1:4" x14ac:dyDescent="0.3">
      <c r="A8546" s="1">
        <v>38330</v>
      </c>
      <c r="B8546">
        <v>2129.01001</v>
      </c>
      <c r="C8546">
        <f t="shared" si="283"/>
        <v>1.3639477045202697E-3</v>
      </c>
      <c r="D8546">
        <f t="shared" si="282"/>
        <v>7.1932255865091652E-2</v>
      </c>
    </row>
    <row r="8547" spans="1:4" x14ac:dyDescent="0.3">
      <c r="A8547" s="1">
        <v>38331</v>
      </c>
      <c r="B8547">
        <v>2128.070068</v>
      </c>
      <c r="C8547">
        <f t="shared" si="283"/>
        <v>-4.4149252262086529E-4</v>
      </c>
      <c r="D8547">
        <f t="shared" si="282"/>
        <v>-7.2495538291624917E-2</v>
      </c>
    </row>
    <row r="8548" spans="1:4" x14ac:dyDescent="0.3">
      <c r="A8548" s="1">
        <v>38334</v>
      </c>
      <c r="B8548">
        <v>2148.5</v>
      </c>
      <c r="C8548">
        <f t="shared" si="283"/>
        <v>9.600215851539343E-3</v>
      </c>
      <c r="D8548">
        <f t="shared" si="282"/>
        <v>0.73079983988962927</v>
      </c>
    </row>
    <row r="8549" spans="1:4" x14ac:dyDescent="0.3">
      <c r="A8549" s="1">
        <v>38335</v>
      </c>
      <c r="B8549">
        <v>2159.8400879999999</v>
      </c>
      <c r="C8549">
        <f t="shared" si="283"/>
        <v>5.2781419595065967E-3</v>
      </c>
      <c r="D8549">
        <f t="shared" si="282"/>
        <v>0.3850517010010483</v>
      </c>
    </row>
    <row r="8550" spans="1:4" x14ac:dyDescent="0.3">
      <c r="A8550" s="1">
        <v>38336</v>
      </c>
      <c r="B8550">
        <v>2162.5500489999999</v>
      </c>
      <c r="C8550">
        <f t="shared" si="283"/>
        <v>1.2547044640279041E-3</v>
      </c>
      <c r="D8550">
        <f t="shared" si="282"/>
        <v>6.3193245836591444E-2</v>
      </c>
    </row>
    <row r="8551" spans="1:4" x14ac:dyDescent="0.3">
      <c r="A8551" s="1">
        <v>38337</v>
      </c>
      <c r="B8551">
        <v>2146.1499020000001</v>
      </c>
      <c r="C8551">
        <f t="shared" si="283"/>
        <v>-7.5837074881034737E-3</v>
      </c>
      <c r="D8551">
        <f t="shared" si="282"/>
        <v>-0.64384336656680907</v>
      </c>
    </row>
    <row r="8552" spans="1:4" x14ac:dyDescent="0.3">
      <c r="A8552" s="1">
        <v>38338</v>
      </c>
      <c r="B8552">
        <v>2135.1999510000001</v>
      </c>
      <c r="C8552">
        <f t="shared" si="283"/>
        <v>-5.1021370826873653E-3</v>
      </c>
      <c r="D8552">
        <f t="shared" si="282"/>
        <v>-0.44532793841200041</v>
      </c>
    </row>
    <row r="8553" spans="1:4" x14ac:dyDescent="0.3">
      <c r="A8553" s="1">
        <v>38341</v>
      </c>
      <c r="B8553">
        <v>2127.8500979999999</v>
      </c>
      <c r="C8553">
        <f t="shared" si="283"/>
        <v>-3.4422317200587865E-3</v>
      </c>
      <c r="D8553">
        <f t="shared" si="282"/>
        <v>-0.31254233497334966</v>
      </c>
    </row>
    <row r="8554" spans="1:4" x14ac:dyDescent="0.3">
      <c r="A8554" s="1">
        <v>38342</v>
      </c>
      <c r="B8554">
        <v>2150.9099120000001</v>
      </c>
      <c r="C8554">
        <f t="shared" si="283"/>
        <v>1.0837142156618304E-2</v>
      </c>
      <c r="D8554">
        <f t="shared" si="282"/>
        <v>0.82974885802458809</v>
      </c>
    </row>
    <row r="8555" spans="1:4" x14ac:dyDescent="0.3">
      <c r="A8555" s="1">
        <v>38343</v>
      </c>
      <c r="B8555">
        <v>2157.030029</v>
      </c>
      <c r="C8555">
        <f t="shared" si="283"/>
        <v>2.8453618470283644E-3</v>
      </c>
      <c r="D8555">
        <f t="shared" si="282"/>
        <v>0.19043929565438639</v>
      </c>
    </row>
    <row r="8556" spans="1:4" x14ac:dyDescent="0.3">
      <c r="A8556" s="1">
        <v>38344</v>
      </c>
      <c r="B8556">
        <v>2160.6201169999999</v>
      </c>
      <c r="C8556">
        <f t="shared" si="283"/>
        <v>1.6643662590382618E-3</v>
      </c>
      <c r="D8556">
        <f t="shared" si="282"/>
        <v>9.5964504898053457E-2</v>
      </c>
    </row>
    <row r="8557" spans="1:4" x14ac:dyDescent="0.3">
      <c r="A8557" s="1">
        <v>38348</v>
      </c>
      <c r="B8557">
        <v>2154.219971</v>
      </c>
      <c r="C8557">
        <f t="shared" si="283"/>
        <v>-2.9621801396936404E-3</v>
      </c>
      <c r="D8557">
        <f t="shared" si="282"/>
        <v>-0.27414018252803146</v>
      </c>
    </row>
    <row r="8558" spans="1:4" x14ac:dyDescent="0.3">
      <c r="A8558" s="1">
        <v>38349</v>
      </c>
      <c r="B8558">
        <v>2177.1899410000001</v>
      </c>
      <c r="C8558">
        <f t="shared" si="283"/>
        <v>1.0662778318472892E-2</v>
      </c>
      <c r="D8558">
        <f t="shared" si="282"/>
        <v>0.81580046796134165</v>
      </c>
    </row>
    <row r="8559" spans="1:4" x14ac:dyDescent="0.3">
      <c r="A8559" s="1">
        <v>38350</v>
      </c>
      <c r="B8559">
        <v>2177</v>
      </c>
      <c r="C8559">
        <f t="shared" si="283"/>
        <v>-8.7241354749622107E-5</v>
      </c>
      <c r="D8559">
        <f t="shared" si="282"/>
        <v>-4.4156901551431815E-2</v>
      </c>
    </row>
    <row r="8560" spans="1:4" x14ac:dyDescent="0.3">
      <c r="A8560" s="1">
        <v>38351</v>
      </c>
      <c r="B8560">
        <v>2178.3400879999999</v>
      </c>
      <c r="C8560">
        <f t="shared" si="283"/>
        <v>6.1556637574640481E-4</v>
      </c>
      <c r="D8560">
        <f t="shared" si="282"/>
        <v>1.2064826925594338E-2</v>
      </c>
    </row>
    <row r="8561" spans="1:4" x14ac:dyDescent="0.3">
      <c r="A8561" s="1">
        <v>38352</v>
      </c>
      <c r="B8561">
        <v>2175.4399410000001</v>
      </c>
      <c r="C8561">
        <f t="shared" si="283"/>
        <v>-1.3313563919500496E-3</v>
      </c>
      <c r="D8561">
        <f t="shared" si="282"/>
        <v>-0.14368098869586474</v>
      </c>
    </row>
    <row r="8562" spans="1:4" x14ac:dyDescent="0.3">
      <c r="A8562" s="1">
        <v>38355</v>
      </c>
      <c r="B8562">
        <v>2152.1499020000001</v>
      </c>
      <c r="C8562">
        <f t="shared" si="283"/>
        <v>-1.0705898407516633E-2</v>
      </c>
      <c r="D8562">
        <f t="shared" si="282"/>
        <v>-0.89360580159408798</v>
      </c>
    </row>
    <row r="8563" spans="1:4" x14ac:dyDescent="0.3">
      <c r="A8563" s="1">
        <v>38356</v>
      </c>
      <c r="B8563">
        <v>2107.860107</v>
      </c>
      <c r="C8563">
        <f t="shared" si="283"/>
        <v>-2.0579326262934326E-2</v>
      </c>
      <c r="D8563">
        <f t="shared" si="282"/>
        <v>-1.6834394302495688</v>
      </c>
    </row>
    <row r="8564" spans="1:4" x14ac:dyDescent="0.3">
      <c r="A8564" s="1">
        <v>38357</v>
      </c>
      <c r="B8564">
        <v>2091.23999</v>
      </c>
      <c r="C8564">
        <f t="shared" si="283"/>
        <v>-7.884829237389205E-3</v>
      </c>
      <c r="D8564">
        <f t="shared" si="282"/>
        <v>-0.6679318682896358</v>
      </c>
    </row>
    <row r="8565" spans="1:4" x14ac:dyDescent="0.3">
      <c r="A8565" s="1">
        <v>38358</v>
      </c>
      <c r="B8565">
        <v>2090</v>
      </c>
      <c r="C8565">
        <f t="shared" si="283"/>
        <v>-5.9294485851910008E-4</v>
      </c>
      <c r="D8565">
        <f t="shared" si="282"/>
        <v>-8.461110238775725E-2</v>
      </c>
    </row>
    <row r="8566" spans="1:4" x14ac:dyDescent="0.3">
      <c r="A8566" s="1">
        <v>38359</v>
      </c>
      <c r="B8566">
        <v>2088.610107</v>
      </c>
      <c r="C8566">
        <f t="shared" si="283"/>
        <v>-6.6502057416269341E-4</v>
      </c>
      <c r="D8566">
        <f t="shared" si="282"/>
        <v>-9.0376863262131069E-2</v>
      </c>
    </row>
    <row r="8567" spans="1:4" x14ac:dyDescent="0.3">
      <c r="A8567" s="1">
        <v>38362</v>
      </c>
      <c r="B8567">
        <v>2097.040039</v>
      </c>
      <c r="C8567">
        <f t="shared" si="283"/>
        <v>4.0361444061517262E-3</v>
      </c>
      <c r="D8567">
        <f t="shared" si="282"/>
        <v>0.28569700385711433</v>
      </c>
    </row>
    <row r="8568" spans="1:4" x14ac:dyDescent="0.3">
      <c r="A8568" s="1">
        <v>38363</v>
      </c>
      <c r="B8568">
        <v>2079.6201169999999</v>
      </c>
      <c r="C8568">
        <f t="shared" si="283"/>
        <v>-8.3069095849533474E-3</v>
      </c>
      <c r="D8568">
        <f t="shared" si="282"/>
        <v>-0.70169656049000739</v>
      </c>
    </row>
    <row r="8569" spans="1:4" x14ac:dyDescent="0.3">
      <c r="A8569" s="1">
        <v>38364</v>
      </c>
      <c r="B8569">
        <v>2092.530029</v>
      </c>
      <c r="C8569">
        <f t="shared" si="283"/>
        <v>6.2078222337181195E-3</v>
      </c>
      <c r="D8569">
        <f t="shared" si="282"/>
        <v>0.45942230006984003</v>
      </c>
    </row>
    <row r="8570" spans="1:4" x14ac:dyDescent="0.3">
      <c r="A8570" s="1">
        <v>38365</v>
      </c>
      <c r="B8570">
        <v>2070.5600589999999</v>
      </c>
      <c r="C8570">
        <f t="shared" si="283"/>
        <v>-1.0499237619304005E-2</v>
      </c>
      <c r="D8570">
        <f t="shared" si="282"/>
        <v>-0.87707378833131655</v>
      </c>
    </row>
    <row r="8571" spans="1:4" x14ac:dyDescent="0.3">
      <c r="A8571" s="1">
        <v>38366</v>
      </c>
      <c r="B8571">
        <v>2087.9099120000001</v>
      </c>
      <c r="C8571">
        <f t="shared" si="283"/>
        <v>8.379304393797431E-3</v>
      </c>
      <c r="D8571">
        <f t="shared" si="282"/>
        <v>0.63313194368818881</v>
      </c>
    </row>
    <row r="8572" spans="1:4" x14ac:dyDescent="0.3">
      <c r="A8572" s="1">
        <v>38370</v>
      </c>
      <c r="B8572">
        <v>2106.040039</v>
      </c>
      <c r="C8572">
        <f t="shared" si="283"/>
        <v>8.6833856651569469E-3</v>
      </c>
      <c r="D8572">
        <f t="shared" si="282"/>
        <v>0.65745719500729083</v>
      </c>
    </row>
    <row r="8573" spans="1:4" x14ac:dyDescent="0.3">
      <c r="A8573" s="1">
        <v>38371</v>
      </c>
      <c r="B8573">
        <v>2073.5900879999999</v>
      </c>
      <c r="C8573">
        <f t="shared" si="283"/>
        <v>-1.5408040872484123E-2</v>
      </c>
      <c r="D8573">
        <f t="shared" si="282"/>
        <v>-1.2697578634661379</v>
      </c>
    </row>
    <row r="8574" spans="1:4" x14ac:dyDescent="0.3">
      <c r="A8574" s="1">
        <v>38372</v>
      </c>
      <c r="B8574">
        <v>2045.880005</v>
      </c>
      <c r="C8574">
        <f t="shared" si="283"/>
        <v>-1.3363336929685372E-2</v>
      </c>
      <c r="D8574">
        <f t="shared" si="282"/>
        <v>-1.1061899559150898</v>
      </c>
    </row>
    <row r="8575" spans="1:4" x14ac:dyDescent="0.3">
      <c r="A8575" s="1">
        <v>38373</v>
      </c>
      <c r="B8575">
        <v>2034.2700199999999</v>
      </c>
      <c r="C8575">
        <f t="shared" si="283"/>
        <v>-5.6748122918382259E-3</v>
      </c>
      <c r="D8575">
        <f t="shared" si="282"/>
        <v>-0.49113960028953846</v>
      </c>
    </row>
    <row r="8576" spans="1:4" x14ac:dyDescent="0.3">
      <c r="A8576" s="1">
        <v>38376</v>
      </c>
      <c r="B8576">
        <v>2008.6999510000001</v>
      </c>
      <c r="C8576">
        <f t="shared" si="283"/>
        <v>-1.2569653363912759E-2</v>
      </c>
      <c r="D8576">
        <f t="shared" si="282"/>
        <v>-1.0426985342996042</v>
      </c>
    </row>
    <row r="8577" spans="1:4" x14ac:dyDescent="0.3">
      <c r="A8577" s="1">
        <v>38377</v>
      </c>
      <c r="B8577">
        <v>2019.9499510000001</v>
      </c>
      <c r="C8577">
        <f t="shared" si="283"/>
        <v>5.6006373646792602E-3</v>
      </c>
      <c r="D8577">
        <f t="shared" si="282"/>
        <v>0.41085000730583149</v>
      </c>
    </row>
    <row r="8578" spans="1:4" x14ac:dyDescent="0.3">
      <c r="A8578" s="1">
        <v>38378</v>
      </c>
      <c r="B8578">
        <v>2046.089966</v>
      </c>
      <c r="C8578">
        <f t="shared" si="283"/>
        <v>1.2940922118916376E-2</v>
      </c>
      <c r="D8578">
        <f t="shared" si="282"/>
        <v>0.9980426042135383</v>
      </c>
    </row>
    <row r="8579" spans="1:4" x14ac:dyDescent="0.3">
      <c r="A8579" s="1">
        <v>38379</v>
      </c>
      <c r="B8579">
        <v>2047.150024</v>
      </c>
      <c r="C8579">
        <f t="shared" si="283"/>
        <v>5.1808963321020769E-4</v>
      </c>
      <c r="D8579">
        <f t="shared" ref="D8579:D8642" si="284">(C8579-avrtn)/sdrtn</f>
        <v>4.2670883494589111E-3</v>
      </c>
    </row>
    <row r="8580" spans="1:4" x14ac:dyDescent="0.3">
      <c r="A8580" s="1">
        <v>38380</v>
      </c>
      <c r="B8580">
        <v>2035.829956</v>
      </c>
      <c r="C8580">
        <f t="shared" ref="C8580:C8643" si="285">(B8580-B8579)/B8579</f>
        <v>-5.5296719181730045E-3</v>
      </c>
      <c r="D8580">
        <f t="shared" si="284"/>
        <v>-0.47952896721710336</v>
      </c>
    </row>
    <row r="8581" spans="1:4" x14ac:dyDescent="0.3">
      <c r="A8581" s="1">
        <v>38383</v>
      </c>
      <c r="B8581">
        <v>2062.4099120000001</v>
      </c>
      <c r="C8581">
        <f t="shared" si="285"/>
        <v>1.3056078638426342E-2</v>
      </c>
      <c r="D8581">
        <f t="shared" si="284"/>
        <v>1.007254652247898</v>
      </c>
    </row>
    <row r="8582" spans="1:4" x14ac:dyDescent="0.3">
      <c r="A8582" s="1">
        <v>38384</v>
      </c>
      <c r="B8582">
        <v>2068.6999510000001</v>
      </c>
      <c r="C8582">
        <f t="shared" si="285"/>
        <v>3.0498490932388315E-3</v>
      </c>
      <c r="D8582">
        <f t="shared" si="284"/>
        <v>0.20679743449464302</v>
      </c>
    </row>
    <row r="8583" spans="1:4" x14ac:dyDescent="0.3">
      <c r="A8583" s="1">
        <v>38385</v>
      </c>
      <c r="B8583">
        <v>2075.0600589999999</v>
      </c>
      <c r="C8583">
        <f t="shared" si="285"/>
        <v>3.0744468268225208E-3</v>
      </c>
      <c r="D8583">
        <f t="shared" si="284"/>
        <v>0.20876515203485332</v>
      </c>
    </row>
    <row r="8584" spans="1:4" x14ac:dyDescent="0.3">
      <c r="A8584" s="1">
        <v>38386</v>
      </c>
      <c r="B8584">
        <v>2057.639893</v>
      </c>
      <c r="C8584">
        <f t="shared" si="285"/>
        <v>-8.3950177366889801E-3</v>
      </c>
      <c r="D8584">
        <f t="shared" si="284"/>
        <v>-0.70874485032597312</v>
      </c>
    </row>
    <row r="8585" spans="1:4" x14ac:dyDescent="0.3">
      <c r="A8585" s="1">
        <v>38387</v>
      </c>
      <c r="B8585">
        <v>2086.6599120000001</v>
      </c>
      <c r="C8585">
        <f t="shared" si="285"/>
        <v>1.4103546057172039E-2</v>
      </c>
      <c r="D8585">
        <f t="shared" si="284"/>
        <v>1.0910477385357913</v>
      </c>
    </row>
    <row r="8586" spans="1:4" x14ac:dyDescent="0.3">
      <c r="A8586" s="1">
        <v>38390</v>
      </c>
      <c r="B8586">
        <v>2082.030029</v>
      </c>
      <c r="C8586">
        <f t="shared" si="285"/>
        <v>-2.2188009523614518E-3</v>
      </c>
      <c r="D8586">
        <f t="shared" si="284"/>
        <v>-0.21467290433493971</v>
      </c>
    </row>
    <row r="8587" spans="1:4" x14ac:dyDescent="0.3">
      <c r="A8587" s="1">
        <v>38391</v>
      </c>
      <c r="B8587">
        <v>2086.679932</v>
      </c>
      <c r="C8587">
        <f t="shared" si="285"/>
        <v>2.2333505930427649E-3</v>
      </c>
      <c r="D8587">
        <f t="shared" si="284"/>
        <v>0.14148091194085216</v>
      </c>
    </row>
    <row r="8588" spans="1:4" x14ac:dyDescent="0.3">
      <c r="A8588" s="1">
        <v>38392</v>
      </c>
      <c r="B8588">
        <v>2052.5500489999999</v>
      </c>
      <c r="C8588">
        <f t="shared" si="285"/>
        <v>-1.6356069983041396E-2</v>
      </c>
      <c r="D8588">
        <f t="shared" si="284"/>
        <v>-1.3455962939917241</v>
      </c>
    </row>
    <row r="8589" spans="1:4" x14ac:dyDescent="0.3">
      <c r="A8589" s="1">
        <v>38393</v>
      </c>
      <c r="B8589">
        <v>2053.1000979999999</v>
      </c>
      <c r="C8589">
        <f t="shared" si="285"/>
        <v>2.6798323396203064E-4</v>
      </c>
      <c r="D8589">
        <f t="shared" si="284"/>
        <v>-1.574039514673635E-2</v>
      </c>
    </row>
    <row r="8590" spans="1:4" x14ac:dyDescent="0.3">
      <c r="A8590" s="1">
        <v>38394</v>
      </c>
      <c r="B8590">
        <v>2076.6599120000001</v>
      </c>
      <c r="C8590">
        <f t="shared" si="285"/>
        <v>1.1475238846342984E-2</v>
      </c>
      <c r="D8590">
        <f t="shared" si="284"/>
        <v>0.88079396933329601</v>
      </c>
    </row>
    <row r="8591" spans="1:4" x14ac:dyDescent="0.3">
      <c r="A8591" s="1">
        <v>38397</v>
      </c>
      <c r="B8591">
        <v>2082.9099120000001</v>
      </c>
      <c r="C8591">
        <f t="shared" si="285"/>
        <v>3.0096406079225166E-3</v>
      </c>
      <c r="D8591">
        <f t="shared" si="284"/>
        <v>0.2035809210076174</v>
      </c>
    </row>
    <row r="8592" spans="1:4" x14ac:dyDescent="0.3">
      <c r="A8592" s="1">
        <v>38398</v>
      </c>
      <c r="B8592">
        <v>2089.209961</v>
      </c>
      <c r="C8592">
        <f t="shared" si="285"/>
        <v>3.0246382542539574E-3</v>
      </c>
      <c r="D8592">
        <f t="shared" si="284"/>
        <v>0.20478067104344244</v>
      </c>
    </row>
    <row r="8593" spans="1:4" x14ac:dyDescent="0.3">
      <c r="A8593" s="1">
        <v>38399</v>
      </c>
      <c r="B8593">
        <v>2087.429932</v>
      </c>
      <c r="C8593">
        <f t="shared" si="285"/>
        <v>-8.5201058449290682E-4</v>
      </c>
      <c r="D8593">
        <f t="shared" si="284"/>
        <v>-0.10533529518103125</v>
      </c>
    </row>
    <row r="8594" spans="1:4" x14ac:dyDescent="0.3">
      <c r="A8594" s="1">
        <v>38400</v>
      </c>
      <c r="B8594">
        <v>2061.3400879999999</v>
      </c>
      <c r="C8594">
        <f t="shared" si="285"/>
        <v>-1.2498548382413483E-2</v>
      </c>
      <c r="D8594">
        <f t="shared" si="284"/>
        <v>-1.0370104281650931</v>
      </c>
    </row>
    <row r="8595" spans="1:4" x14ac:dyDescent="0.3">
      <c r="A8595" s="1">
        <v>38401</v>
      </c>
      <c r="B8595">
        <v>2058.6201169999999</v>
      </c>
      <c r="C8595">
        <f t="shared" si="285"/>
        <v>-1.3195158896070463E-3</v>
      </c>
      <c r="D8595">
        <f t="shared" si="284"/>
        <v>-0.14273379719686102</v>
      </c>
    </row>
    <row r="8596" spans="1:4" x14ac:dyDescent="0.3">
      <c r="A8596" s="1">
        <v>38405</v>
      </c>
      <c r="B8596">
        <v>2030.3199460000001</v>
      </c>
      <c r="C8596">
        <f t="shared" si="285"/>
        <v>-1.3747155566147548E-2</v>
      </c>
      <c r="D8596">
        <f t="shared" si="284"/>
        <v>-1.1368938685604002</v>
      </c>
    </row>
    <row r="8597" spans="1:4" x14ac:dyDescent="0.3">
      <c r="A8597" s="1">
        <v>38406</v>
      </c>
      <c r="B8597">
        <v>2031.25</v>
      </c>
      <c r="C8597">
        <f t="shared" si="285"/>
        <v>4.5808248194195071E-4</v>
      </c>
      <c r="D8597">
        <f t="shared" si="284"/>
        <v>-5.3323700112123732E-4</v>
      </c>
    </row>
    <row r="8598" spans="1:4" x14ac:dyDescent="0.3">
      <c r="A8598" s="1">
        <v>38407</v>
      </c>
      <c r="B8598">
        <v>2051.6999510000001</v>
      </c>
      <c r="C8598">
        <f t="shared" si="285"/>
        <v>1.0067668184615412E-2</v>
      </c>
      <c r="D8598">
        <f t="shared" si="284"/>
        <v>0.76819410436023572</v>
      </c>
    </row>
    <row r="8599" spans="1:4" x14ac:dyDescent="0.3">
      <c r="A8599" s="1">
        <v>38408</v>
      </c>
      <c r="B8599">
        <v>2065.3999020000001</v>
      </c>
      <c r="C8599">
        <f t="shared" si="285"/>
        <v>6.6773657587322595E-3</v>
      </c>
      <c r="D8599">
        <f t="shared" si="284"/>
        <v>0.49698385129645956</v>
      </c>
    </row>
    <row r="8600" spans="1:4" x14ac:dyDescent="0.3">
      <c r="A8600" s="1">
        <v>38411</v>
      </c>
      <c r="B8600">
        <v>2051.719971</v>
      </c>
      <c r="C8600">
        <f t="shared" si="285"/>
        <v>-6.6233812574278527E-3</v>
      </c>
      <c r="D8600">
        <f t="shared" si="284"/>
        <v>-0.56702121699781549</v>
      </c>
    </row>
    <row r="8601" spans="1:4" x14ac:dyDescent="0.3">
      <c r="A8601" s="1">
        <v>38412</v>
      </c>
      <c r="B8601">
        <v>2071.25</v>
      </c>
      <c r="C8601">
        <f t="shared" si="285"/>
        <v>9.5188569961041792E-3</v>
      </c>
      <c r="D8601">
        <f t="shared" si="284"/>
        <v>0.72429146600442873</v>
      </c>
    </row>
    <row r="8602" spans="1:4" x14ac:dyDescent="0.3">
      <c r="A8602" s="1">
        <v>38413</v>
      </c>
      <c r="B8602">
        <v>2067.5</v>
      </c>
      <c r="C8602">
        <f t="shared" si="285"/>
        <v>-1.8105009052504525E-3</v>
      </c>
      <c r="D8602">
        <f t="shared" si="284"/>
        <v>-0.18201057950588556</v>
      </c>
    </row>
    <row r="8603" spans="1:4" x14ac:dyDescent="0.3">
      <c r="A8603" s="1">
        <v>38414</v>
      </c>
      <c r="B8603">
        <v>2058.3999020000001</v>
      </c>
      <c r="C8603">
        <f t="shared" si="285"/>
        <v>-4.4014984280531504E-3</v>
      </c>
      <c r="D8603">
        <f t="shared" si="284"/>
        <v>-0.38927972708462599</v>
      </c>
    </row>
    <row r="8604" spans="1:4" x14ac:dyDescent="0.3">
      <c r="A8604" s="1">
        <v>38415</v>
      </c>
      <c r="B8604">
        <v>2070.610107</v>
      </c>
      <c r="C8604">
        <f t="shared" si="285"/>
        <v>5.9318915571925923E-3</v>
      </c>
      <c r="D8604">
        <f t="shared" si="284"/>
        <v>0.43734898058151944</v>
      </c>
    </row>
    <row r="8605" spans="1:4" x14ac:dyDescent="0.3">
      <c r="A8605" s="1">
        <v>38418</v>
      </c>
      <c r="B8605">
        <v>2090.209961</v>
      </c>
      <c r="C8605">
        <f t="shared" si="285"/>
        <v>9.4657385925722478E-3</v>
      </c>
      <c r="D8605">
        <f t="shared" si="284"/>
        <v>0.72004221214605468</v>
      </c>
    </row>
    <row r="8606" spans="1:4" x14ac:dyDescent="0.3">
      <c r="A8606" s="1">
        <v>38419</v>
      </c>
      <c r="B8606">
        <v>2073.5500489999999</v>
      </c>
      <c r="C8606">
        <f t="shared" si="285"/>
        <v>-7.970449050979371E-3</v>
      </c>
      <c r="D8606">
        <f t="shared" si="284"/>
        <v>-0.67478110130607183</v>
      </c>
    </row>
    <row r="8607" spans="1:4" x14ac:dyDescent="0.3">
      <c r="A8607" s="1">
        <v>38420</v>
      </c>
      <c r="B8607">
        <v>2061.290039</v>
      </c>
      <c r="C8607">
        <f t="shared" si="285"/>
        <v>-5.9125700900793474E-3</v>
      </c>
      <c r="D8607">
        <f t="shared" si="284"/>
        <v>-0.51015924648291999</v>
      </c>
    </row>
    <row r="8608" spans="1:4" x14ac:dyDescent="0.3">
      <c r="A8608" s="1">
        <v>38421</v>
      </c>
      <c r="B8608">
        <v>2059.719971</v>
      </c>
      <c r="C8608">
        <f t="shared" si="285"/>
        <v>-7.6169193577517306E-4</v>
      </c>
      <c r="D8608">
        <f t="shared" si="284"/>
        <v>-9.8110174676115255E-2</v>
      </c>
    </row>
    <row r="8609" spans="1:4" x14ac:dyDescent="0.3">
      <c r="A8609" s="1">
        <v>38422</v>
      </c>
      <c r="B8609">
        <v>2041.599976</v>
      </c>
      <c r="C8609">
        <f t="shared" si="285"/>
        <v>-8.7973099523828511E-3</v>
      </c>
      <c r="D8609">
        <f t="shared" si="284"/>
        <v>-0.74092657334600742</v>
      </c>
    </row>
    <row r="8610" spans="1:4" x14ac:dyDescent="0.3">
      <c r="A8610" s="1">
        <v>38425</v>
      </c>
      <c r="B8610">
        <v>2051.040039</v>
      </c>
      <c r="C8610">
        <f t="shared" si="285"/>
        <v>4.6238553639168E-3</v>
      </c>
      <c r="D8610">
        <f t="shared" si="284"/>
        <v>0.33271146379642164</v>
      </c>
    </row>
    <row r="8611" spans="1:4" x14ac:dyDescent="0.3">
      <c r="A8611" s="1">
        <v>38426</v>
      </c>
      <c r="B8611">
        <v>2034.9799800000001</v>
      </c>
      <c r="C8611">
        <f t="shared" si="285"/>
        <v>-7.8302025775323792E-3</v>
      </c>
      <c r="D8611">
        <f t="shared" si="284"/>
        <v>-0.66356196012725721</v>
      </c>
    </row>
    <row r="8612" spans="1:4" x14ac:dyDescent="0.3">
      <c r="A8612" s="1">
        <v>38427</v>
      </c>
      <c r="B8612">
        <v>2015.75</v>
      </c>
      <c r="C8612">
        <f t="shared" si="285"/>
        <v>-9.4497145863813702E-3</v>
      </c>
      <c r="D8612">
        <f t="shared" si="284"/>
        <v>-0.79311626136200419</v>
      </c>
    </row>
    <row r="8613" spans="1:4" x14ac:dyDescent="0.3">
      <c r="A8613" s="1">
        <v>38428</v>
      </c>
      <c r="B8613">
        <v>2016.420044</v>
      </c>
      <c r="C8613">
        <f t="shared" si="285"/>
        <v>3.3240431601139111E-4</v>
      </c>
      <c r="D8613">
        <f t="shared" si="284"/>
        <v>-1.0586973483859747E-2</v>
      </c>
    </row>
    <row r="8614" spans="1:4" x14ac:dyDescent="0.3">
      <c r="A8614" s="1">
        <v>38429</v>
      </c>
      <c r="B8614">
        <v>2007.790039</v>
      </c>
      <c r="C8614">
        <f t="shared" si="285"/>
        <v>-4.2798647165203357E-3</v>
      </c>
      <c r="D8614">
        <f t="shared" si="284"/>
        <v>-0.37954953032281125</v>
      </c>
    </row>
    <row r="8615" spans="1:4" x14ac:dyDescent="0.3">
      <c r="A8615" s="1">
        <v>38432</v>
      </c>
      <c r="B8615">
        <v>2007.51001</v>
      </c>
      <c r="C8615">
        <f t="shared" si="285"/>
        <v>-1.3947125673533298E-4</v>
      </c>
      <c r="D8615">
        <f t="shared" si="284"/>
        <v>-4.8335078939648411E-2</v>
      </c>
    </row>
    <row r="8616" spans="1:4" x14ac:dyDescent="0.3">
      <c r="A8616" s="1">
        <v>38433</v>
      </c>
      <c r="B8616">
        <v>1989.339966</v>
      </c>
      <c r="C8616">
        <f t="shared" si="285"/>
        <v>-9.0510353171289852E-3</v>
      </c>
      <c r="D8616">
        <f t="shared" si="284"/>
        <v>-0.76122355920076423</v>
      </c>
    </row>
    <row r="8617" spans="1:4" x14ac:dyDescent="0.3">
      <c r="A8617" s="1">
        <v>38434</v>
      </c>
      <c r="B8617">
        <v>1990.219971</v>
      </c>
      <c r="C8617">
        <f t="shared" si="285"/>
        <v>4.4236028785438013E-4</v>
      </c>
      <c r="D8617">
        <f t="shared" si="284"/>
        <v>-1.7909478780784966E-3</v>
      </c>
    </row>
    <row r="8618" spans="1:4" x14ac:dyDescent="0.3">
      <c r="A8618" s="1">
        <v>38435</v>
      </c>
      <c r="B8618">
        <v>1991.0600589999999</v>
      </c>
      <c r="C8618">
        <f t="shared" si="285"/>
        <v>4.2210811480191069E-4</v>
      </c>
      <c r="D8618">
        <f t="shared" si="284"/>
        <v>-3.4110384448428582E-3</v>
      </c>
    </row>
    <row r="8619" spans="1:4" x14ac:dyDescent="0.3">
      <c r="A8619" s="1">
        <v>38439</v>
      </c>
      <c r="B8619">
        <v>1992.5200199999999</v>
      </c>
      <c r="C8619">
        <f t="shared" si="285"/>
        <v>7.3325814226481915E-4</v>
      </c>
      <c r="D8619">
        <f t="shared" si="284"/>
        <v>2.1479684295631837E-2</v>
      </c>
    </row>
    <row r="8620" spans="1:4" x14ac:dyDescent="0.3">
      <c r="A8620" s="1">
        <v>38440</v>
      </c>
      <c r="B8620">
        <v>1973.880005</v>
      </c>
      <c r="C8620">
        <f t="shared" si="285"/>
        <v>-9.3549950880794409E-3</v>
      </c>
      <c r="D8620">
        <f t="shared" si="284"/>
        <v>-0.78553909098675423</v>
      </c>
    </row>
    <row r="8621" spans="1:4" x14ac:dyDescent="0.3">
      <c r="A8621" s="1">
        <v>38441</v>
      </c>
      <c r="B8621">
        <v>2005.670044</v>
      </c>
      <c r="C8621">
        <f t="shared" si="285"/>
        <v>1.6105355401277284E-2</v>
      </c>
      <c r="D8621">
        <f t="shared" si="284"/>
        <v>1.2511842545750027</v>
      </c>
    </row>
    <row r="8622" spans="1:4" x14ac:dyDescent="0.3">
      <c r="A8622" s="1">
        <v>38442</v>
      </c>
      <c r="B8622">
        <v>1999.2299800000001</v>
      </c>
      <c r="C8622">
        <f t="shared" si="285"/>
        <v>-3.210928945798172E-3</v>
      </c>
      <c r="D8622">
        <f t="shared" si="284"/>
        <v>-0.29403906415519143</v>
      </c>
    </row>
    <row r="8623" spans="1:4" x14ac:dyDescent="0.3">
      <c r="A8623" s="1">
        <v>38443</v>
      </c>
      <c r="B8623">
        <v>1984.8100589999999</v>
      </c>
      <c r="C8623">
        <f t="shared" si="285"/>
        <v>-7.2127374760557351E-3</v>
      </c>
      <c r="D8623">
        <f t="shared" si="284"/>
        <v>-0.61416729104079437</v>
      </c>
    </row>
    <row r="8624" spans="1:4" x14ac:dyDescent="0.3">
      <c r="A8624" s="1">
        <v>38446</v>
      </c>
      <c r="B8624">
        <v>1991.0699460000001</v>
      </c>
      <c r="C8624">
        <f t="shared" si="285"/>
        <v>3.153897256624173E-3</v>
      </c>
      <c r="D8624">
        <f t="shared" si="284"/>
        <v>0.21512085971686601</v>
      </c>
    </row>
    <row r="8625" spans="1:4" x14ac:dyDescent="0.3">
      <c r="A8625" s="1">
        <v>38447</v>
      </c>
      <c r="B8625">
        <v>1999.3199460000001</v>
      </c>
      <c r="C8625">
        <f t="shared" si="285"/>
        <v>4.1435008431391388E-3</v>
      </c>
      <c r="D8625">
        <f t="shared" si="284"/>
        <v>0.29428507736380066</v>
      </c>
    </row>
    <row r="8626" spans="1:4" x14ac:dyDescent="0.3">
      <c r="A8626" s="1">
        <v>38448</v>
      </c>
      <c r="B8626">
        <v>1999.1400149999999</v>
      </c>
      <c r="C8626">
        <f t="shared" si="285"/>
        <v>-8.9996101104332287E-5</v>
      </c>
      <c r="D8626">
        <f t="shared" si="284"/>
        <v>-4.4377269932223927E-2</v>
      </c>
    </row>
    <row r="8627" spans="1:4" x14ac:dyDescent="0.3">
      <c r="A8627" s="1">
        <v>38449</v>
      </c>
      <c r="B8627">
        <v>2018.790039</v>
      </c>
      <c r="C8627">
        <f t="shared" si="285"/>
        <v>9.8292384988352254E-3</v>
      </c>
      <c r="D8627">
        <f t="shared" si="284"/>
        <v>0.74912070992654711</v>
      </c>
    </row>
    <row r="8628" spans="1:4" x14ac:dyDescent="0.3">
      <c r="A8628" s="1">
        <v>38450</v>
      </c>
      <c r="B8628">
        <v>1999.349976</v>
      </c>
      <c r="C8628">
        <f t="shared" si="285"/>
        <v>-9.6295615811684762E-3</v>
      </c>
      <c r="D8628">
        <f t="shared" si="284"/>
        <v>-0.80750328140971128</v>
      </c>
    </row>
    <row r="8629" spans="1:4" x14ac:dyDescent="0.3">
      <c r="A8629" s="1">
        <v>38453</v>
      </c>
      <c r="B8629">
        <v>1992.119995</v>
      </c>
      <c r="C8629">
        <f t="shared" si="285"/>
        <v>-3.6161657972780814E-3</v>
      </c>
      <c r="D8629">
        <f t="shared" si="284"/>
        <v>-0.32645634592969408</v>
      </c>
    </row>
    <row r="8630" spans="1:4" x14ac:dyDescent="0.3">
      <c r="A8630" s="1">
        <v>38454</v>
      </c>
      <c r="B8630">
        <v>2005.400024</v>
      </c>
      <c r="C8630">
        <f t="shared" si="285"/>
        <v>6.6662796585202754E-3</v>
      </c>
      <c r="D8630">
        <f t="shared" si="284"/>
        <v>0.49609700886581726</v>
      </c>
    </row>
    <row r="8631" spans="1:4" x14ac:dyDescent="0.3">
      <c r="A8631" s="1">
        <v>38455</v>
      </c>
      <c r="B8631">
        <v>1974.369995</v>
      </c>
      <c r="C8631">
        <f t="shared" si="285"/>
        <v>-1.5473236575567137E-2</v>
      </c>
      <c r="D8631">
        <f t="shared" si="284"/>
        <v>-1.2749732516264463</v>
      </c>
    </row>
    <row r="8632" spans="1:4" x14ac:dyDescent="0.3">
      <c r="A8632" s="1">
        <v>38456</v>
      </c>
      <c r="B8632">
        <v>1946.709961</v>
      </c>
      <c r="C8632">
        <f t="shared" si="285"/>
        <v>-1.4009549410722277E-2</v>
      </c>
      <c r="D8632">
        <f t="shared" si="284"/>
        <v>-1.1578842971564425</v>
      </c>
    </row>
    <row r="8633" spans="1:4" x14ac:dyDescent="0.3">
      <c r="A8633" s="1">
        <v>38457</v>
      </c>
      <c r="B8633">
        <v>1908.150024</v>
      </c>
      <c r="C8633">
        <f t="shared" si="285"/>
        <v>-1.9807746286042656E-2</v>
      </c>
      <c r="D8633">
        <f t="shared" si="284"/>
        <v>-1.6217162048540581</v>
      </c>
    </row>
    <row r="8634" spans="1:4" x14ac:dyDescent="0.3">
      <c r="A8634" s="1">
        <v>38460</v>
      </c>
      <c r="B8634">
        <v>1912.920044</v>
      </c>
      <c r="C8634">
        <f t="shared" si="285"/>
        <v>2.4998139244841325E-3</v>
      </c>
      <c r="D8634">
        <f t="shared" si="284"/>
        <v>0.16279688275239557</v>
      </c>
    </row>
    <row r="8635" spans="1:4" x14ac:dyDescent="0.3">
      <c r="A8635" s="1">
        <v>38461</v>
      </c>
      <c r="B8635">
        <v>1932.3599850000001</v>
      </c>
      <c r="C8635">
        <f t="shared" si="285"/>
        <v>1.0162443046678689E-2</v>
      </c>
      <c r="D8635">
        <f t="shared" si="284"/>
        <v>0.77577570360873649</v>
      </c>
    </row>
    <row r="8636" spans="1:4" x14ac:dyDescent="0.3">
      <c r="A8636" s="1">
        <v>38462</v>
      </c>
      <c r="B8636">
        <v>1913.76001</v>
      </c>
      <c r="C8636">
        <f t="shared" si="285"/>
        <v>-9.6255227516523455E-3</v>
      </c>
      <c r="D8636">
        <f t="shared" si="284"/>
        <v>-0.80718019165618693</v>
      </c>
    </row>
    <row r="8637" spans="1:4" x14ac:dyDescent="0.3">
      <c r="A8637" s="1">
        <v>38463</v>
      </c>
      <c r="B8637">
        <v>1962.410034</v>
      </c>
      <c r="C8637">
        <f t="shared" si="285"/>
        <v>2.5421172846014289E-2</v>
      </c>
      <c r="D8637">
        <f t="shared" si="284"/>
        <v>1.9964113432837376</v>
      </c>
    </row>
    <row r="8638" spans="1:4" x14ac:dyDescent="0.3">
      <c r="A8638" s="1">
        <v>38464</v>
      </c>
      <c r="B8638">
        <v>1932.1899410000001</v>
      </c>
      <c r="C8638">
        <f t="shared" si="285"/>
        <v>-1.5399479454557205E-2</v>
      </c>
      <c r="D8638">
        <f t="shared" si="284"/>
        <v>-1.2690729852367455</v>
      </c>
    </row>
    <row r="8639" spans="1:4" x14ac:dyDescent="0.3">
      <c r="A8639" s="1">
        <v>38467</v>
      </c>
      <c r="B8639">
        <v>1950.780029</v>
      </c>
      <c r="C8639">
        <f t="shared" si="285"/>
        <v>9.6212528621169979E-3</v>
      </c>
      <c r="D8639">
        <f t="shared" si="284"/>
        <v>0.73248271423113731</v>
      </c>
    </row>
    <row r="8640" spans="1:4" x14ac:dyDescent="0.3">
      <c r="A8640" s="1">
        <v>38468</v>
      </c>
      <c r="B8640">
        <v>1927.4399410000001</v>
      </c>
      <c r="C8640">
        <f t="shared" si="285"/>
        <v>-1.1964489923533005E-2</v>
      </c>
      <c r="D8640">
        <f t="shared" si="284"/>
        <v>-0.99428794751615979</v>
      </c>
    </row>
    <row r="8641" spans="1:4" x14ac:dyDescent="0.3">
      <c r="A8641" s="1">
        <v>38469</v>
      </c>
      <c r="B8641">
        <v>1930.4300539999999</v>
      </c>
      <c r="C8641">
        <f t="shared" si="285"/>
        <v>1.5513391293782665E-3</v>
      </c>
      <c r="D8641">
        <f t="shared" si="284"/>
        <v>8.6922799295588105E-2</v>
      </c>
    </row>
    <row r="8642" spans="1:4" x14ac:dyDescent="0.3">
      <c r="A8642" s="1">
        <v>38470</v>
      </c>
      <c r="B8642">
        <v>1904.1800539999999</v>
      </c>
      <c r="C8642">
        <f t="shared" si="285"/>
        <v>-1.3598006281350612E-2</v>
      </c>
      <c r="D8642">
        <f t="shared" si="284"/>
        <v>-1.1249625390821689</v>
      </c>
    </row>
    <row r="8643" spans="1:4" x14ac:dyDescent="0.3">
      <c r="A8643" s="1">
        <v>38471</v>
      </c>
      <c r="B8643">
        <v>1921.650024</v>
      </c>
      <c r="C8643">
        <f t="shared" si="285"/>
        <v>9.1745368108976655E-3</v>
      </c>
      <c r="D8643">
        <f t="shared" ref="D8643:D8706" si="286">(C8643-avrtn)/sdrtn</f>
        <v>0.69674726704096934</v>
      </c>
    </row>
    <row r="8644" spans="1:4" x14ac:dyDescent="0.3">
      <c r="A8644" s="1">
        <v>38474</v>
      </c>
      <c r="B8644">
        <v>1928.650024</v>
      </c>
      <c r="C8644">
        <f t="shared" ref="C8644:C8707" si="287">(B8644-B8643)/B8643</f>
        <v>3.642702840046383E-3</v>
      </c>
      <c r="D8644">
        <f t="shared" si="286"/>
        <v>0.25422329641007368</v>
      </c>
    </row>
    <row r="8645" spans="1:4" x14ac:dyDescent="0.3">
      <c r="A8645" s="1">
        <v>38475</v>
      </c>
      <c r="B8645">
        <v>1933.0699460000001</v>
      </c>
      <c r="C8645">
        <f t="shared" si="287"/>
        <v>2.2917180125988697E-3</v>
      </c>
      <c r="D8645">
        <f t="shared" si="286"/>
        <v>0.14615006549707724</v>
      </c>
    </row>
    <row r="8646" spans="1:4" x14ac:dyDescent="0.3">
      <c r="A8646" s="1">
        <v>38476</v>
      </c>
      <c r="B8646">
        <v>1962.2299800000001</v>
      </c>
      <c r="C8646">
        <f t="shared" si="287"/>
        <v>1.5084831286286004E-2</v>
      </c>
      <c r="D8646">
        <f t="shared" si="286"/>
        <v>1.1695465217959358</v>
      </c>
    </row>
    <row r="8647" spans="1:4" x14ac:dyDescent="0.3">
      <c r="A8647" s="1">
        <v>38477</v>
      </c>
      <c r="B8647">
        <v>1961.8000489999999</v>
      </c>
      <c r="C8647">
        <f t="shared" si="287"/>
        <v>-2.1910326739586568E-4</v>
      </c>
      <c r="D8647">
        <f t="shared" si="286"/>
        <v>-5.4705312343706604E-2</v>
      </c>
    </row>
    <row r="8648" spans="1:4" x14ac:dyDescent="0.3">
      <c r="A8648" s="1">
        <v>38478</v>
      </c>
      <c r="B8648">
        <v>1967.349976</v>
      </c>
      <c r="C8648">
        <f t="shared" si="287"/>
        <v>2.8289972787129978E-3</v>
      </c>
      <c r="D8648">
        <f t="shared" si="286"/>
        <v>0.18913019748066406</v>
      </c>
    </row>
    <row r="8649" spans="1:4" x14ac:dyDescent="0.3">
      <c r="A8649" s="1">
        <v>38481</v>
      </c>
      <c r="B8649">
        <v>1979.670044</v>
      </c>
      <c r="C8649">
        <f t="shared" si="287"/>
        <v>6.2622655604210563E-3</v>
      </c>
      <c r="D8649">
        <f t="shared" si="286"/>
        <v>0.46377754233377788</v>
      </c>
    </row>
    <row r="8650" spans="1:4" x14ac:dyDescent="0.3">
      <c r="A8650" s="1">
        <v>38482</v>
      </c>
      <c r="B8650">
        <v>1962.7700199999999</v>
      </c>
      <c r="C8650">
        <f t="shared" si="287"/>
        <v>-8.5367882649034169E-3</v>
      </c>
      <c r="D8650">
        <f t="shared" si="286"/>
        <v>-0.7200859096192328</v>
      </c>
    </row>
    <row r="8651" spans="1:4" x14ac:dyDescent="0.3">
      <c r="A8651" s="1">
        <v>38483</v>
      </c>
      <c r="B8651">
        <v>1971.5500489999999</v>
      </c>
      <c r="C8651">
        <f t="shared" si="287"/>
        <v>4.473284649008453E-3</v>
      </c>
      <c r="D8651">
        <f t="shared" si="286"/>
        <v>0.32066642575423315</v>
      </c>
    </row>
    <row r="8652" spans="1:4" x14ac:dyDescent="0.3">
      <c r="A8652" s="1">
        <v>38484</v>
      </c>
      <c r="B8652">
        <v>1963.880005</v>
      </c>
      <c r="C8652">
        <f t="shared" si="287"/>
        <v>-3.8903623085248707E-3</v>
      </c>
      <c r="D8652">
        <f t="shared" si="286"/>
        <v>-0.34839093932664589</v>
      </c>
    </row>
    <row r="8653" spans="1:4" x14ac:dyDescent="0.3">
      <c r="A8653" s="1">
        <v>38485</v>
      </c>
      <c r="B8653">
        <v>1976.780029</v>
      </c>
      <c r="C8653">
        <f t="shared" si="287"/>
        <v>6.5686416518101016E-3</v>
      </c>
      <c r="D8653">
        <f t="shared" si="286"/>
        <v>0.48828636981888596</v>
      </c>
    </row>
    <row r="8654" spans="1:4" x14ac:dyDescent="0.3">
      <c r="A8654" s="1">
        <v>38488</v>
      </c>
      <c r="B8654">
        <v>1994.4300539999999</v>
      </c>
      <c r="C8654">
        <f t="shared" si="287"/>
        <v>8.9286742789123526E-3</v>
      </c>
      <c r="D8654">
        <f t="shared" si="286"/>
        <v>0.67707927547491675</v>
      </c>
    </row>
    <row r="8655" spans="1:4" x14ac:dyDescent="0.3">
      <c r="A8655" s="1">
        <v>38489</v>
      </c>
      <c r="B8655">
        <v>2004.150024</v>
      </c>
      <c r="C8655">
        <f t="shared" si="287"/>
        <v>4.8735577266828048E-3</v>
      </c>
      <c r="D8655">
        <f t="shared" si="286"/>
        <v>0.35268662603545109</v>
      </c>
    </row>
    <row r="8656" spans="1:4" x14ac:dyDescent="0.3">
      <c r="A8656" s="1">
        <v>38490</v>
      </c>
      <c r="B8656">
        <v>2030.650024</v>
      </c>
      <c r="C8656">
        <f t="shared" si="287"/>
        <v>1.3222563023056402E-2</v>
      </c>
      <c r="D8656">
        <f t="shared" si="286"/>
        <v>1.0205727184304225</v>
      </c>
    </row>
    <row r="8657" spans="1:4" x14ac:dyDescent="0.3">
      <c r="A8657" s="1">
        <v>38491</v>
      </c>
      <c r="B8657">
        <v>2042.579956</v>
      </c>
      <c r="C8657">
        <f t="shared" si="287"/>
        <v>5.8749325875959053E-3</v>
      </c>
      <c r="D8657">
        <f t="shared" si="286"/>
        <v>0.43279249723046698</v>
      </c>
    </row>
    <row r="8658" spans="1:4" x14ac:dyDescent="0.3">
      <c r="A8658" s="1">
        <v>38492</v>
      </c>
      <c r="B8658">
        <v>2046.420044</v>
      </c>
      <c r="C8658">
        <f t="shared" si="287"/>
        <v>1.8800184485898888E-3</v>
      </c>
      <c r="D8658">
        <f t="shared" si="286"/>
        <v>0.11321579329508154</v>
      </c>
    </row>
    <row r="8659" spans="1:4" x14ac:dyDescent="0.3">
      <c r="A8659" s="1">
        <v>38495</v>
      </c>
      <c r="B8659">
        <v>2056.6499020000001</v>
      </c>
      <c r="C8659">
        <f t="shared" si="287"/>
        <v>4.998904320739809E-3</v>
      </c>
      <c r="D8659">
        <f t="shared" si="286"/>
        <v>0.36271383813173685</v>
      </c>
    </row>
    <row r="8660" spans="1:4" x14ac:dyDescent="0.3">
      <c r="A8660" s="1">
        <v>38496</v>
      </c>
      <c r="B8660">
        <v>2061.6201169999999</v>
      </c>
      <c r="C8660">
        <f t="shared" si="287"/>
        <v>2.4166558416998992E-3</v>
      </c>
      <c r="D8660">
        <f t="shared" si="286"/>
        <v>0.15614457807773655</v>
      </c>
    </row>
    <row r="8661" spans="1:4" x14ac:dyDescent="0.3">
      <c r="A8661" s="1">
        <v>38497</v>
      </c>
      <c r="B8661">
        <v>2050.1201169999999</v>
      </c>
      <c r="C8661">
        <f t="shared" si="287"/>
        <v>-5.5781372645579402E-3</v>
      </c>
      <c r="D8661">
        <f t="shared" si="286"/>
        <v>-0.4834059956372031</v>
      </c>
    </row>
    <row r="8662" spans="1:4" x14ac:dyDescent="0.3">
      <c r="A8662" s="1">
        <v>38498</v>
      </c>
      <c r="B8662">
        <v>2071.23999</v>
      </c>
      <c r="C8662">
        <f t="shared" si="287"/>
        <v>1.0301773454574661E-2</v>
      </c>
      <c r="D8662">
        <f t="shared" si="286"/>
        <v>0.78692156331035357</v>
      </c>
    </row>
    <row r="8663" spans="1:4" x14ac:dyDescent="0.3">
      <c r="A8663" s="1">
        <v>38499</v>
      </c>
      <c r="B8663">
        <v>2075.7299800000001</v>
      </c>
      <c r="C8663">
        <f t="shared" si="287"/>
        <v>2.1677787323911386E-3</v>
      </c>
      <c r="D8663">
        <f t="shared" si="286"/>
        <v>0.13623543272182417</v>
      </c>
    </row>
    <row r="8664" spans="1:4" x14ac:dyDescent="0.3">
      <c r="A8664" s="1">
        <v>38503</v>
      </c>
      <c r="B8664">
        <v>2068.219971</v>
      </c>
      <c r="C8664">
        <f t="shared" si="287"/>
        <v>-3.6180086390620431E-3</v>
      </c>
      <c r="D8664">
        <f t="shared" si="286"/>
        <v>-0.32660376569460031</v>
      </c>
    </row>
    <row r="8665" spans="1:4" x14ac:dyDescent="0.3">
      <c r="A8665" s="1">
        <v>38504</v>
      </c>
      <c r="B8665">
        <v>2087.860107</v>
      </c>
      <c r="C8665">
        <f t="shared" si="287"/>
        <v>9.4961543140422485E-3</v>
      </c>
      <c r="D8665">
        <f t="shared" si="286"/>
        <v>0.72247534479346076</v>
      </c>
    </row>
    <row r="8666" spans="1:4" x14ac:dyDescent="0.3">
      <c r="A8666" s="1">
        <v>38505</v>
      </c>
      <c r="B8666">
        <v>2097.8000489999999</v>
      </c>
      <c r="C8666">
        <f t="shared" si="287"/>
        <v>4.7608275892978558E-3</v>
      </c>
      <c r="D8666">
        <f t="shared" si="286"/>
        <v>0.34366867859374989</v>
      </c>
    </row>
    <row r="8667" spans="1:4" x14ac:dyDescent="0.3">
      <c r="A8667" s="1">
        <v>38506</v>
      </c>
      <c r="B8667">
        <v>2071.429932</v>
      </c>
      <c r="C8667">
        <f t="shared" si="287"/>
        <v>-1.2570367234270161E-2</v>
      </c>
      <c r="D8667">
        <f t="shared" si="286"/>
        <v>-1.0427556409927439</v>
      </c>
    </row>
    <row r="8668" spans="1:4" x14ac:dyDescent="0.3">
      <c r="A8668" s="1">
        <v>38509</v>
      </c>
      <c r="B8668">
        <v>2075.76001</v>
      </c>
      <c r="C8668">
        <f t="shared" si="287"/>
        <v>2.0903811097386215E-3</v>
      </c>
      <c r="D8668">
        <f t="shared" si="286"/>
        <v>0.13004394117054885</v>
      </c>
    </row>
    <row r="8669" spans="1:4" x14ac:dyDescent="0.3">
      <c r="A8669" s="1">
        <v>38510</v>
      </c>
      <c r="B8669">
        <v>2067.1599120000001</v>
      </c>
      <c r="C8669">
        <f t="shared" si="287"/>
        <v>-4.1431080464836055E-3</v>
      </c>
      <c r="D8669">
        <f t="shared" si="286"/>
        <v>-0.36860955906666015</v>
      </c>
    </row>
    <row r="8670" spans="1:4" x14ac:dyDescent="0.3">
      <c r="A8670" s="1">
        <v>38511</v>
      </c>
      <c r="B8670">
        <v>2060.179932</v>
      </c>
      <c r="C8670">
        <f t="shared" si="287"/>
        <v>-3.3766037931951091E-3</v>
      </c>
      <c r="D8670">
        <f t="shared" si="286"/>
        <v>-0.30729237068790322</v>
      </c>
    </row>
    <row r="8671" spans="1:4" x14ac:dyDescent="0.3">
      <c r="A8671" s="1">
        <v>38512</v>
      </c>
      <c r="B8671">
        <v>2076.9099120000001</v>
      </c>
      <c r="C8671">
        <f t="shared" si="287"/>
        <v>8.1206402121191366E-3</v>
      </c>
      <c r="D8671">
        <f t="shared" si="286"/>
        <v>0.61243987278739564</v>
      </c>
    </row>
    <row r="8672" spans="1:4" x14ac:dyDescent="0.3">
      <c r="A8672" s="1">
        <v>38513</v>
      </c>
      <c r="B8672">
        <v>2063</v>
      </c>
      <c r="C8672">
        <f t="shared" si="287"/>
        <v>-6.6974074896706814E-3</v>
      </c>
      <c r="D8672">
        <f t="shared" si="286"/>
        <v>-0.57294301117955593</v>
      </c>
    </row>
    <row r="8673" spans="1:4" x14ac:dyDescent="0.3">
      <c r="A8673" s="1">
        <v>38516</v>
      </c>
      <c r="B8673">
        <v>2068.959961</v>
      </c>
      <c r="C8673">
        <f t="shared" si="287"/>
        <v>2.8889777023751919E-3</v>
      </c>
      <c r="D8673">
        <f t="shared" si="286"/>
        <v>0.19392838473266377</v>
      </c>
    </row>
    <row r="8674" spans="1:4" x14ac:dyDescent="0.3">
      <c r="A8674" s="1">
        <v>38517</v>
      </c>
      <c r="B8674">
        <v>2069.040039</v>
      </c>
      <c r="C8674">
        <f t="shared" si="287"/>
        <v>3.8704470608147104E-5</v>
      </c>
      <c r="D8674">
        <f t="shared" si="286"/>
        <v>-3.4081753415138673E-2</v>
      </c>
    </row>
    <row r="8675" spans="1:4" x14ac:dyDescent="0.3">
      <c r="A8675" s="1">
        <v>38518</v>
      </c>
      <c r="B8675">
        <v>2074.919922</v>
      </c>
      <c r="C8675">
        <f t="shared" si="287"/>
        <v>2.8418410901520806E-3</v>
      </c>
      <c r="D8675">
        <f t="shared" si="286"/>
        <v>0.19015764958172249</v>
      </c>
    </row>
    <row r="8676" spans="1:4" x14ac:dyDescent="0.3">
      <c r="A8676" s="1">
        <v>38519</v>
      </c>
      <c r="B8676">
        <v>2089.1499020000001</v>
      </c>
      <c r="C8676">
        <f t="shared" si="287"/>
        <v>6.8580863526935031E-3</v>
      </c>
      <c r="D8676">
        <f t="shared" si="286"/>
        <v>0.51144075568583625</v>
      </c>
    </row>
    <row r="8677" spans="1:4" x14ac:dyDescent="0.3">
      <c r="A8677" s="1">
        <v>38520</v>
      </c>
      <c r="B8677">
        <v>2090.110107</v>
      </c>
      <c r="C8677">
        <f t="shared" si="287"/>
        <v>4.596151760487026E-4</v>
      </c>
      <c r="D8677">
        <f t="shared" si="286"/>
        <v>-4.1062777505691177E-4</v>
      </c>
    </row>
    <row r="8678" spans="1:4" x14ac:dyDescent="0.3">
      <c r="A8678" s="1">
        <v>38523</v>
      </c>
      <c r="B8678">
        <v>2088.1298830000001</v>
      </c>
      <c r="C8678">
        <f t="shared" si="287"/>
        <v>-9.4742568507177091E-4</v>
      </c>
      <c r="D8678">
        <f t="shared" si="286"/>
        <v>-0.11296811087810243</v>
      </c>
    </row>
    <row r="8679" spans="1:4" x14ac:dyDescent="0.3">
      <c r="A8679" s="1">
        <v>38524</v>
      </c>
      <c r="B8679">
        <v>2091.070068</v>
      </c>
      <c r="C8679">
        <f t="shared" si="287"/>
        <v>1.4080469916822355E-3</v>
      </c>
      <c r="D8679">
        <f t="shared" si="286"/>
        <v>7.5460017500696572E-2</v>
      </c>
    </row>
    <row r="8680" spans="1:4" x14ac:dyDescent="0.3">
      <c r="A8680" s="1">
        <v>38525</v>
      </c>
      <c r="B8680">
        <v>2092.030029</v>
      </c>
      <c r="C8680">
        <f t="shared" si="287"/>
        <v>4.590764387528028E-4</v>
      </c>
      <c r="D8680">
        <f t="shared" si="286"/>
        <v>-4.537245434278983E-4</v>
      </c>
    </row>
    <row r="8681" spans="1:4" x14ac:dyDescent="0.3">
      <c r="A8681" s="1">
        <v>38526</v>
      </c>
      <c r="B8681">
        <v>2070.6599120000001</v>
      </c>
      <c r="C8681">
        <f t="shared" si="287"/>
        <v>-1.0215014461439137E-2</v>
      </c>
      <c r="D8681">
        <f t="shared" si="286"/>
        <v>-0.85433710443473565</v>
      </c>
    </row>
    <row r="8682" spans="1:4" x14ac:dyDescent="0.3">
      <c r="A8682" s="1">
        <v>38527</v>
      </c>
      <c r="B8682">
        <v>2053.2700199999999</v>
      </c>
      <c r="C8682">
        <f t="shared" si="287"/>
        <v>-8.3982366680406106E-3</v>
      </c>
      <c r="D8682">
        <f t="shared" si="286"/>
        <v>-0.7090023515977788</v>
      </c>
    </row>
    <row r="8683" spans="1:4" x14ac:dyDescent="0.3">
      <c r="A8683" s="1">
        <v>38530</v>
      </c>
      <c r="B8683">
        <v>2045.1999510000001</v>
      </c>
      <c r="C8683">
        <f t="shared" si="287"/>
        <v>-3.9303495991237797E-3</v>
      </c>
      <c r="D8683">
        <f t="shared" si="286"/>
        <v>-0.35158975814583721</v>
      </c>
    </row>
    <row r="8684" spans="1:4" x14ac:dyDescent="0.3">
      <c r="A8684" s="1">
        <v>38531</v>
      </c>
      <c r="B8684">
        <v>2069.889893</v>
      </c>
      <c r="C8684">
        <f t="shared" si="287"/>
        <v>1.2072140911174886E-2</v>
      </c>
      <c r="D8684">
        <f t="shared" si="286"/>
        <v>0.92854368004389154</v>
      </c>
    </row>
    <row r="8685" spans="1:4" x14ac:dyDescent="0.3">
      <c r="A8685" s="1">
        <v>38532</v>
      </c>
      <c r="B8685">
        <v>2068.889893</v>
      </c>
      <c r="C8685">
        <f t="shared" si="287"/>
        <v>-4.8311748532220113E-4</v>
      </c>
      <c r="D8685">
        <f t="shared" si="286"/>
        <v>-7.582536414486242E-2</v>
      </c>
    </row>
    <row r="8686" spans="1:4" x14ac:dyDescent="0.3">
      <c r="A8686" s="1">
        <v>38533</v>
      </c>
      <c r="B8686">
        <v>2056.959961</v>
      </c>
      <c r="C8686">
        <f t="shared" si="287"/>
        <v>-5.7663445697929208E-3</v>
      </c>
      <c r="D8686">
        <f t="shared" si="286"/>
        <v>-0.49846180614293811</v>
      </c>
    </row>
    <row r="8687" spans="1:4" x14ac:dyDescent="0.3">
      <c r="A8687" s="1">
        <v>38534</v>
      </c>
      <c r="B8687">
        <v>2057.3701169999999</v>
      </c>
      <c r="C8687">
        <f t="shared" si="287"/>
        <v>1.9939911703508134E-4</v>
      </c>
      <c r="D8687">
        <f t="shared" si="286"/>
        <v>-2.1226842481318359E-2</v>
      </c>
    </row>
    <row r="8688" spans="1:4" x14ac:dyDescent="0.3">
      <c r="A8688" s="1">
        <v>38538</v>
      </c>
      <c r="B8688">
        <v>2078.75</v>
      </c>
      <c r="C8688">
        <f t="shared" si="287"/>
        <v>1.0391850656009146E-2</v>
      </c>
      <c r="D8688">
        <f t="shared" si="286"/>
        <v>0.79412736902544678</v>
      </c>
    </row>
    <row r="8689" spans="1:4" x14ac:dyDescent="0.3">
      <c r="A8689" s="1">
        <v>38539</v>
      </c>
      <c r="B8689">
        <v>2068.6499020000001</v>
      </c>
      <c r="C8689">
        <f t="shared" si="287"/>
        <v>-4.8587362597714437E-3</v>
      </c>
      <c r="D8689">
        <f t="shared" si="286"/>
        <v>-0.42585687344889095</v>
      </c>
    </row>
    <row r="8690" spans="1:4" x14ac:dyDescent="0.3">
      <c r="A8690" s="1">
        <v>38540</v>
      </c>
      <c r="B8690">
        <v>2075.6599120000001</v>
      </c>
      <c r="C8690">
        <f t="shared" si="287"/>
        <v>3.3886884354972723E-3</v>
      </c>
      <c r="D8690">
        <f t="shared" si="286"/>
        <v>0.23390318855961756</v>
      </c>
    </row>
    <row r="8691" spans="1:4" x14ac:dyDescent="0.3">
      <c r="A8691" s="1">
        <v>38541</v>
      </c>
      <c r="B8691">
        <v>2112.8798830000001</v>
      </c>
      <c r="C8691">
        <f t="shared" si="287"/>
        <v>1.7931632626722902E-2</v>
      </c>
      <c r="D8691">
        <f t="shared" si="286"/>
        <v>1.3972789229138287</v>
      </c>
    </row>
    <row r="8692" spans="1:4" x14ac:dyDescent="0.3">
      <c r="A8692" s="1">
        <v>38544</v>
      </c>
      <c r="B8692">
        <v>2135.429932</v>
      </c>
      <c r="C8692">
        <f t="shared" si="287"/>
        <v>1.0672660183588839E-2</v>
      </c>
      <c r="D8692">
        <f t="shared" si="286"/>
        <v>0.81659097653614532</v>
      </c>
    </row>
    <row r="8693" spans="1:4" x14ac:dyDescent="0.3">
      <c r="A8693" s="1">
        <v>38545</v>
      </c>
      <c r="B8693">
        <v>2143.1499020000001</v>
      </c>
      <c r="C8693">
        <f t="shared" si="287"/>
        <v>3.6151830056862307E-3</v>
      </c>
      <c r="D8693">
        <f t="shared" si="286"/>
        <v>0.25202182282349656</v>
      </c>
    </row>
    <row r="8694" spans="1:4" x14ac:dyDescent="0.3">
      <c r="A8694" s="1">
        <v>38546</v>
      </c>
      <c r="B8694">
        <v>2144.110107</v>
      </c>
      <c r="C8694">
        <f t="shared" si="287"/>
        <v>4.4803445578108696E-4</v>
      </c>
      <c r="D8694">
        <f t="shared" si="286"/>
        <v>-1.3370377762598809E-3</v>
      </c>
    </row>
    <row r="8695" spans="1:4" x14ac:dyDescent="0.3">
      <c r="A8695" s="1">
        <v>38547</v>
      </c>
      <c r="B8695">
        <v>2152.820068</v>
      </c>
      <c r="C8695">
        <f t="shared" si="287"/>
        <v>4.0622731880998594E-3</v>
      </c>
      <c r="D8695">
        <f t="shared" si="286"/>
        <v>0.2877871989707716</v>
      </c>
    </row>
    <row r="8696" spans="1:4" x14ac:dyDescent="0.3">
      <c r="A8696" s="1">
        <v>38548</v>
      </c>
      <c r="B8696">
        <v>2156.780029</v>
      </c>
      <c r="C8696">
        <f t="shared" si="287"/>
        <v>1.8394296201813469E-3</v>
      </c>
      <c r="D8696">
        <f t="shared" si="286"/>
        <v>0.10996885392465788</v>
      </c>
    </row>
    <row r="8697" spans="1:4" x14ac:dyDescent="0.3">
      <c r="A8697" s="1">
        <v>38551</v>
      </c>
      <c r="B8697">
        <v>2144.8701169999999</v>
      </c>
      <c r="C8697">
        <f t="shared" si="287"/>
        <v>-5.522080063733786E-3</v>
      </c>
      <c r="D8697">
        <f t="shared" si="286"/>
        <v>-0.47892165007985787</v>
      </c>
    </row>
    <row r="8698" spans="1:4" x14ac:dyDescent="0.3">
      <c r="A8698" s="1">
        <v>38552</v>
      </c>
      <c r="B8698">
        <v>2173.179932</v>
      </c>
      <c r="C8698">
        <f t="shared" si="287"/>
        <v>1.3198848161303407E-2</v>
      </c>
      <c r="D8698">
        <f t="shared" si="286"/>
        <v>1.0186756270062771</v>
      </c>
    </row>
    <row r="8699" spans="1:4" x14ac:dyDescent="0.3">
      <c r="A8699" s="1">
        <v>38553</v>
      </c>
      <c r="B8699">
        <v>2188.570068</v>
      </c>
      <c r="C8699">
        <f t="shared" si="287"/>
        <v>7.0818507816038422E-3</v>
      </c>
      <c r="D8699">
        <f t="shared" si="286"/>
        <v>0.52934098987383382</v>
      </c>
    </row>
    <row r="8700" spans="1:4" x14ac:dyDescent="0.3">
      <c r="A8700" s="1">
        <v>38554</v>
      </c>
      <c r="B8700">
        <v>2178.6000979999999</v>
      </c>
      <c r="C8700">
        <f t="shared" si="287"/>
        <v>-4.5554721531538842E-3</v>
      </c>
      <c r="D8700">
        <f t="shared" si="286"/>
        <v>-0.40159699194894394</v>
      </c>
    </row>
    <row r="8701" spans="1:4" x14ac:dyDescent="0.3">
      <c r="A8701" s="1">
        <v>38555</v>
      </c>
      <c r="B8701">
        <v>2179.73999</v>
      </c>
      <c r="C8701">
        <f t="shared" si="287"/>
        <v>5.2322222928686635E-4</v>
      </c>
      <c r="D8701">
        <f t="shared" si="286"/>
        <v>4.6776749302304271E-3</v>
      </c>
    </row>
    <row r="8702" spans="1:4" x14ac:dyDescent="0.3">
      <c r="A8702" s="1">
        <v>38558</v>
      </c>
      <c r="B8702">
        <v>2166.73999</v>
      </c>
      <c r="C8702">
        <f t="shared" si="287"/>
        <v>-5.9640140840834877E-3</v>
      </c>
      <c r="D8702">
        <f t="shared" si="286"/>
        <v>-0.51427455446428394</v>
      </c>
    </row>
    <row r="8703" spans="1:4" x14ac:dyDescent="0.3">
      <c r="A8703" s="1">
        <v>38559</v>
      </c>
      <c r="B8703">
        <v>2175.98999</v>
      </c>
      <c r="C8703">
        <f t="shared" si="287"/>
        <v>4.269086296782661E-3</v>
      </c>
      <c r="D8703">
        <f t="shared" si="286"/>
        <v>0.3043313972448114</v>
      </c>
    </row>
    <row r="8704" spans="1:4" x14ac:dyDescent="0.3">
      <c r="A8704" s="1">
        <v>38560</v>
      </c>
      <c r="B8704">
        <v>2186.219971</v>
      </c>
      <c r="C8704">
        <f t="shared" si="287"/>
        <v>4.7012996599308582E-3</v>
      </c>
      <c r="D8704">
        <f t="shared" si="286"/>
        <v>0.33890668902469828</v>
      </c>
    </row>
    <row r="8705" spans="1:4" x14ac:dyDescent="0.3">
      <c r="A8705" s="1">
        <v>38561</v>
      </c>
      <c r="B8705">
        <v>2198.4399410000001</v>
      </c>
      <c r="C8705">
        <f t="shared" si="287"/>
        <v>5.5895427551192669E-3</v>
      </c>
      <c r="D8705">
        <f t="shared" si="286"/>
        <v>0.40996248416233916</v>
      </c>
    </row>
    <row r="8706" spans="1:4" x14ac:dyDescent="0.3">
      <c r="A8706" s="1">
        <v>38562</v>
      </c>
      <c r="B8706">
        <v>2184.830078</v>
      </c>
      <c r="C8706">
        <f t="shared" si="287"/>
        <v>-6.1906912925760622E-3</v>
      </c>
      <c r="D8706">
        <f t="shared" si="286"/>
        <v>-0.53240779904143898</v>
      </c>
    </row>
    <row r="8707" spans="1:4" x14ac:dyDescent="0.3">
      <c r="A8707" s="1">
        <v>38565</v>
      </c>
      <c r="B8707">
        <v>2195.3798830000001</v>
      </c>
      <c r="C8707">
        <f t="shared" si="287"/>
        <v>4.8286615541550167E-3</v>
      </c>
      <c r="D8707">
        <f t="shared" ref="D8707:D8770" si="288">(C8707-avrtn)/sdrtn</f>
        <v>0.34909511684739258</v>
      </c>
    </row>
    <row r="8708" spans="1:4" x14ac:dyDescent="0.3">
      <c r="A8708" s="1">
        <v>38566</v>
      </c>
      <c r="B8708">
        <v>2218.1499020000001</v>
      </c>
      <c r="C8708">
        <f t="shared" ref="C8708:C8771" si="289">(B8708-B8707)/B8707</f>
        <v>1.0371789946842675E-2</v>
      </c>
      <c r="D8708">
        <f t="shared" si="288"/>
        <v>0.79252259478225817</v>
      </c>
    </row>
    <row r="8709" spans="1:4" x14ac:dyDescent="0.3">
      <c r="A8709" s="1">
        <v>38567</v>
      </c>
      <c r="B8709">
        <v>2216.8100589999999</v>
      </c>
      <c r="C8709">
        <f t="shared" si="289"/>
        <v>-6.0403627310856144E-4</v>
      </c>
      <c r="D8709">
        <f t="shared" si="288"/>
        <v>-8.549836994674484E-2</v>
      </c>
    </row>
    <row r="8710" spans="1:4" x14ac:dyDescent="0.3">
      <c r="A8710" s="1">
        <v>38568</v>
      </c>
      <c r="B8710">
        <v>2191.320068</v>
      </c>
      <c r="C8710">
        <f t="shared" si="289"/>
        <v>-1.1498500242054305E-2</v>
      </c>
      <c r="D8710">
        <f t="shared" si="288"/>
        <v>-0.95701068915888354</v>
      </c>
    </row>
    <row r="8711" spans="1:4" x14ac:dyDescent="0.3">
      <c r="A8711" s="1">
        <v>38569</v>
      </c>
      <c r="B8711">
        <v>2177.9099120000001</v>
      </c>
      <c r="C8711">
        <f t="shared" si="289"/>
        <v>-6.1196701457853463E-3</v>
      </c>
      <c r="D8711">
        <f t="shared" si="288"/>
        <v>-0.52672639933888232</v>
      </c>
    </row>
    <row r="8712" spans="1:4" x14ac:dyDescent="0.3">
      <c r="A8712" s="1">
        <v>38572</v>
      </c>
      <c r="B8712">
        <v>2164.389893</v>
      </c>
      <c r="C8712">
        <f t="shared" si="289"/>
        <v>-6.2077953387816931E-3</v>
      </c>
      <c r="D8712">
        <f t="shared" si="288"/>
        <v>-0.5337760524056312</v>
      </c>
    </row>
    <row r="8713" spans="1:4" x14ac:dyDescent="0.3">
      <c r="A8713" s="1">
        <v>38573</v>
      </c>
      <c r="B8713">
        <v>2174.1899410000001</v>
      </c>
      <c r="C8713">
        <f t="shared" si="289"/>
        <v>4.5278570333815828E-3</v>
      </c>
      <c r="D8713">
        <f t="shared" si="288"/>
        <v>0.32503199210109818</v>
      </c>
    </row>
    <row r="8714" spans="1:4" x14ac:dyDescent="0.3">
      <c r="A8714" s="1">
        <v>38574</v>
      </c>
      <c r="B8714">
        <v>2157.8100589999999</v>
      </c>
      <c r="C8714">
        <f t="shared" si="289"/>
        <v>-7.533786120115335E-3</v>
      </c>
      <c r="D8714">
        <f t="shared" si="288"/>
        <v>-0.63984986240564967</v>
      </c>
    </row>
    <row r="8715" spans="1:4" x14ac:dyDescent="0.3">
      <c r="A8715" s="1">
        <v>38575</v>
      </c>
      <c r="B8715">
        <v>2174.5500489999999</v>
      </c>
      <c r="C8715">
        <f t="shared" si="289"/>
        <v>7.7578607672993682E-3</v>
      </c>
      <c r="D8715">
        <f t="shared" si="288"/>
        <v>0.58341900895980492</v>
      </c>
    </row>
    <row r="8716" spans="1:4" x14ac:dyDescent="0.3">
      <c r="A8716" s="1">
        <v>38576</v>
      </c>
      <c r="B8716">
        <v>2156.8999020000001</v>
      </c>
      <c r="C8716">
        <f t="shared" si="289"/>
        <v>-8.116689247100347E-3</v>
      </c>
      <c r="D8716">
        <f t="shared" si="288"/>
        <v>-0.68647971565247035</v>
      </c>
    </row>
    <row r="8717" spans="1:4" x14ac:dyDescent="0.3">
      <c r="A8717" s="1">
        <v>38579</v>
      </c>
      <c r="B8717">
        <v>2167.040039</v>
      </c>
      <c r="C8717">
        <f t="shared" si="289"/>
        <v>4.7012552555625586E-3</v>
      </c>
      <c r="D8717">
        <f t="shared" si="288"/>
        <v>0.33890313685782614</v>
      </c>
    </row>
    <row r="8718" spans="1:4" x14ac:dyDescent="0.3">
      <c r="A8718" s="1">
        <v>38580</v>
      </c>
      <c r="B8718">
        <v>2137.0600589999999</v>
      </c>
      <c r="C8718">
        <f t="shared" si="289"/>
        <v>-1.3834529801228131E-2</v>
      </c>
      <c r="D8718">
        <f t="shared" si="288"/>
        <v>-1.1438834480818454</v>
      </c>
    </row>
    <row r="8719" spans="1:4" x14ac:dyDescent="0.3">
      <c r="A8719" s="1">
        <v>38581</v>
      </c>
      <c r="B8719">
        <v>2145.1499020000001</v>
      </c>
      <c r="C8719">
        <f t="shared" si="289"/>
        <v>3.7855010044901133E-3</v>
      </c>
      <c r="D8719">
        <f t="shared" si="288"/>
        <v>0.26564656237601131</v>
      </c>
    </row>
    <row r="8720" spans="1:4" x14ac:dyDescent="0.3">
      <c r="A8720" s="1">
        <v>38582</v>
      </c>
      <c r="B8720">
        <v>2136.080078</v>
      </c>
      <c r="C8720">
        <f t="shared" si="289"/>
        <v>-4.228060701745846E-3</v>
      </c>
      <c r="D8720">
        <f t="shared" si="288"/>
        <v>-0.37540542216023365</v>
      </c>
    </row>
    <row r="8721" spans="1:4" x14ac:dyDescent="0.3">
      <c r="A8721" s="1">
        <v>38583</v>
      </c>
      <c r="B8721">
        <v>2135.5600589999999</v>
      </c>
      <c r="C8721">
        <f t="shared" si="289"/>
        <v>-2.4344546131760118E-4</v>
      </c>
      <c r="D8721">
        <f t="shared" si="288"/>
        <v>-5.6652587761745941E-2</v>
      </c>
    </row>
    <row r="8722" spans="1:4" x14ac:dyDescent="0.3">
      <c r="A8722" s="1">
        <v>38586</v>
      </c>
      <c r="B8722">
        <v>2141.4099120000001</v>
      </c>
      <c r="C8722">
        <f t="shared" si="289"/>
        <v>2.7392594159770089E-3</v>
      </c>
      <c r="D8722">
        <f t="shared" si="288"/>
        <v>0.18195153746608142</v>
      </c>
    </row>
    <row r="8723" spans="1:4" x14ac:dyDescent="0.3">
      <c r="A8723" s="1">
        <v>38587</v>
      </c>
      <c r="B8723">
        <v>2137.25</v>
      </c>
      <c r="C8723">
        <f t="shared" si="289"/>
        <v>-1.9426042518477316E-3</v>
      </c>
      <c r="D8723">
        <f t="shared" si="288"/>
        <v>-0.19257830402146087</v>
      </c>
    </row>
    <row r="8724" spans="1:4" x14ac:dyDescent="0.3">
      <c r="A8724" s="1">
        <v>38588</v>
      </c>
      <c r="B8724">
        <v>2128.9099120000001</v>
      </c>
      <c r="C8724">
        <f t="shared" si="289"/>
        <v>-3.9022519592934487E-3</v>
      </c>
      <c r="D8724">
        <f t="shared" si="288"/>
        <v>-0.34934206249759603</v>
      </c>
    </row>
    <row r="8725" spans="1:4" x14ac:dyDescent="0.3">
      <c r="A8725" s="1">
        <v>38589</v>
      </c>
      <c r="B8725">
        <v>2134.3701169999999</v>
      </c>
      <c r="C8725">
        <f t="shared" si="289"/>
        <v>2.5647891295082006E-3</v>
      </c>
      <c r="D8725">
        <f t="shared" si="288"/>
        <v>0.16799463197468151</v>
      </c>
    </row>
    <row r="8726" spans="1:4" x14ac:dyDescent="0.3">
      <c r="A8726" s="1">
        <v>38590</v>
      </c>
      <c r="B8726">
        <v>2120.7700199999999</v>
      </c>
      <c r="C8726">
        <f t="shared" si="289"/>
        <v>-6.3719487504425203E-3</v>
      </c>
      <c r="D8726">
        <f t="shared" si="288"/>
        <v>-0.54690765033563538</v>
      </c>
    </row>
    <row r="8727" spans="1:4" x14ac:dyDescent="0.3">
      <c r="A8727" s="1">
        <v>38593</v>
      </c>
      <c r="B8727">
        <v>2137.6499020000001</v>
      </c>
      <c r="C8727">
        <f t="shared" si="289"/>
        <v>7.9593175312805391E-3</v>
      </c>
      <c r="D8727">
        <f t="shared" si="288"/>
        <v>0.59953472168313526</v>
      </c>
    </row>
    <row r="8728" spans="1:4" x14ac:dyDescent="0.3">
      <c r="A8728" s="1">
        <v>38594</v>
      </c>
      <c r="B8728">
        <v>2129.76001</v>
      </c>
      <c r="C8728">
        <f t="shared" si="289"/>
        <v>-3.6909187012421013E-3</v>
      </c>
      <c r="D8728">
        <f t="shared" si="288"/>
        <v>-0.33243627086103789</v>
      </c>
    </row>
    <row r="8729" spans="1:4" x14ac:dyDescent="0.3">
      <c r="A8729" s="1">
        <v>38595</v>
      </c>
      <c r="B8729">
        <v>2152.0900879999999</v>
      </c>
      <c r="C8729">
        <f t="shared" si="289"/>
        <v>1.0484786029952717E-2</v>
      </c>
      <c r="D8729">
        <f t="shared" si="288"/>
        <v>0.80156181678839145</v>
      </c>
    </row>
    <row r="8730" spans="1:4" x14ac:dyDescent="0.3">
      <c r="A8730" s="1">
        <v>38596</v>
      </c>
      <c r="B8730">
        <v>2147.8999020000001</v>
      </c>
      <c r="C8730">
        <f t="shared" si="289"/>
        <v>-1.9470309460390082E-3</v>
      </c>
      <c r="D8730">
        <f t="shared" si="288"/>
        <v>-0.1929324213540877</v>
      </c>
    </row>
    <row r="8731" spans="1:4" x14ac:dyDescent="0.3">
      <c r="A8731" s="1">
        <v>38597</v>
      </c>
      <c r="B8731">
        <v>2141.070068</v>
      </c>
      <c r="C8731">
        <f t="shared" si="289"/>
        <v>-3.1797729464210938E-3</v>
      </c>
      <c r="D8731">
        <f t="shared" si="288"/>
        <v>-0.2915467123192601</v>
      </c>
    </row>
    <row r="8732" spans="1:4" x14ac:dyDescent="0.3">
      <c r="A8732" s="1">
        <v>38601</v>
      </c>
      <c r="B8732">
        <v>2166.860107</v>
      </c>
      <c r="C8732">
        <f t="shared" si="289"/>
        <v>1.2045397012200901E-2</v>
      </c>
      <c r="D8732">
        <f t="shared" si="288"/>
        <v>0.92640427809754244</v>
      </c>
    </row>
    <row r="8733" spans="1:4" x14ac:dyDescent="0.3">
      <c r="A8733" s="1">
        <v>38602</v>
      </c>
      <c r="B8733">
        <v>2172.030029</v>
      </c>
      <c r="C8733">
        <f t="shared" si="289"/>
        <v>2.3859048322033842E-3</v>
      </c>
      <c r="D8733">
        <f t="shared" si="288"/>
        <v>0.15368462376692196</v>
      </c>
    </row>
    <row r="8734" spans="1:4" x14ac:dyDescent="0.3">
      <c r="A8734" s="1">
        <v>38603</v>
      </c>
      <c r="B8734">
        <v>2166.030029</v>
      </c>
      <c r="C8734">
        <f t="shared" si="289"/>
        <v>-2.7623927477477797E-3</v>
      </c>
      <c r="D8734">
        <f t="shared" si="288"/>
        <v>-0.25815801270302713</v>
      </c>
    </row>
    <row r="8735" spans="1:4" x14ac:dyDescent="0.3">
      <c r="A8735" s="1">
        <v>38604</v>
      </c>
      <c r="B8735">
        <v>2175.51001</v>
      </c>
      <c r="C8735">
        <f t="shared" si="289"/>
        <v>4.3766618528260264E-3</v>
      </c>
      <c r="D8735">
        <f t="shared" si="288"/>
        <v>0.31293699937495101</v>
      </c>
    </row>
    <row r="8736" spans="1:4" x14ac:dyDescent="0.3">
      <c r="A8736" s="1">
        <v>38607</v>
      </c>
      <c r="B8736">
        <v>2182.830078</v>
      </c>
      <c r="C8736">
        <f t="shared" si="289"/>
        <v>3.3647595121844521E-3</v>
      </c>
      <c r="D8736">
        <f t="shared" si="288"/>
        <v>0.23198897309091254</v>
      </c>
    </row>
    <row r="8737" spans="1:4" x14ac:dyDescent="0.3">
      <c r="A8737" s="1">
        <v>38608</v>
      </c>
      <c r="B8737">
        <v>2171.75</v>
      </c>
      <c r="C8737">
        <f t="shared" si="289"/>
        <v>-5.0760148999559268E-3</v>
      </c>
      <c r="D8737">
        <f t="shared" si="288"/>
        <v>-0.44323827120854259</v>
      </c>
    </row>
    <row r="8738" spans="1:4" x14ac:dyDescent="0.3">
      <c r="A8738" s="1">
        <v>38609</v>
      </c>
      <c r="B8738">
        <v>2149.330078</v>
      </c>
      <c r="C8738">
        <f t="shared" si="289"/>
        <v>-1.0323435938759085E-2</v>
      </c>
      <c r="D8738">
        <f t="shared" si="288"/>
        <v>-0.86301037678855286</v>
      </c>
    </row>
    <row r="8739" spans="1:4" x14ac:dyDescent="0.3">
      <c r="A8739" s="1">
        <v>38610</v>
      </c>
      <c r="B8739">
        <v>2146.1499020000001</v>
      </c>
      <c r="C8739">
        <f t="shared" si="289"/>
        <v>-1.479612662825187E-3</v>
      </c>
      <c r="D8739">
        <f t="shared" si="288"/>
        <v>-0.15554088073244718</v>
      </c>
    </row>
    <row r="8740" spans="1:4" x14ac:dyDescent="0.3">
      <c r="A8740" s="1">
        <v>38611</v>
      </c>
      <c r="B8740">
        <v>2160.3500979999999</v>
      </c>
      <c r="C8740">
        <f t="shared" si="289"/>
        <v>6.6165909411857E-3</v>
      </c>
      <c r="D8740">
        <f t="shared" si="288"/>
        <v>0.49212211580027782</v>
      </c>
    </row>
    <row r="8741" spans="1:4" x14ac:dyDescent="0.3">
      <c r="A8741" s="1">
        <v>38614</v>
      </c>
      <c r="B8741">
        <v>2145.26001</v>
      </c>
      <c r="C8741">
        <f t="shared" si="289"/>
        <v>-6.9850197030425594E-3</v>
      </c>
      <c r="D8741">
        <f t="shared" si="288"/>
        <v>-0.59595080558081803</v>
      </c>
    </row>
    <row r="8742" spans="1:4" x14ac:dyDescent="0.3">
      <c r="A8742" s="1">
        <v>38615</v>
      </c>
      <c r="B8742">
        <v>2131.330078</v>
      </c>
      <c r="C8742">
        <f t="shared" si="289"/>
        <v>-6.4933536890943158E-3</v>
      </c>
      <c r="D8742">
        <f t="shared" si="288"/>
        <v>-0.55661954620768828</v>
      </c>
    </row>
    <row r="8743" spans="1:4" x14ac:dyDescent="0.3">
      <c r="A8743" s="1">
        <v>38616</v>
      </c>
      <c r="B8743">
        <v>2106.639893</v>
      </c>
      <c r="C8743">
        <f t="shared" si="289"/>
        <v>-1.1584402272954705E-2</v>
      </c>
      <c r="D8743">
        <f t="shared" si="288"/>
        <v>-0.96388249839965379</v>
      </c>
    </row>
    <row r="8744" spans="1:4" x14ac:dyDescent="0.3">
      <c r="A8744" s="1">
        <v>38617</v>
      </c>
      <c r="B8744">
        <v>2110.780029</v>
      </c>
      <c r="C8744">
        <f t="shared" si="289"/>
        <v>1.9652794071530403E-3</v>
      </c>
      <c r="D8744">
        <f t="shared" si="288"/>
        <v>0.12003631938497716</v>
      </c>
    </row>
    <row r="8745" spans="1:4" x14ac:dyDescent="0.3">
      <c r="A8745" s="1">
        <v>38618</v>
      </c>
      <c r="B8745">
        <v>2116.8400879999999</v>
      </c>
      <c r="C8745">
        <f t="shared" si="289"/>
        <v>2.8710045181121573E-3</v>
      </c>
      <c r="D8745">
        <f t="shared" si="288"/>
        <v>0.19249060389779629</v>
      </c>
    </row>
    <row r="8746" spans="1:4" x14ac:dyDescent="0.3">
      <c r="A8746" s="1">
        <v>38621</v>
      </c>
      <c r="B8746">
        <v>2121.459961</v>
      </c>
      <c r="C8746">
        <f t="shared" si="289"/>
        <v>2.1824383552585566E-3</v>
      </c>
      <c r="D8746">
        <f t="shared" si="288"/>
        <v>0.1374081422704882</v>
      </c>
    </row>
    <row r="8747" spans="1:4" x14ac:dyDescent="0.3">
      <c r="A8747" s="1">
        <v>38622</v>
      </c>
      <c r="B8747">
        <v>2116.419922</v>
      </c>
      <c r="C8747">
        <f t="shared" si="289"/>
        <v>-2.3757408071110792E-3</v>
      </c>
      <c r="D8747">
        <f t="shared" si="288"/>
        <v>-0.22722744737437112</v>
      </c>
    </row>
    <row r="8748" spans="1:4" x14ac:dyDescent="0.3">
      <c r="A8748" s="1">
        <v>38623</v>
      </c>
      <c r="B8748">
        <v>2115.3999020000001</v>
      </c>
      <c r="C8748">
        <f t="shared" si="289"/>
        <v>-4.8195539523934386E-4</v>
      </c>
      <c r="D8748">
        <f t="shared" si="288"/>
        <v>-7.5732401716776809E-2</v>
      </c>
    </row>
    <row r="8749" spans="1:4" x14ac:dyDescent="0.3">
      <c r="A8749" s="1">
        <v>38624</v>
      </c>
      <c r="B8749">
        <v>2141.219971</v>
      </c>
      <c r="C8749">
        <f t="shared" si="289"/>
        <v>1.2205762596277115E-2</v>
      </c>
      <c r="D8749">
        <f t="shared" si="288"/>
        <v>0.93923286539641759</v>
      </c>
    </row>
    <row r="8750" spans="1:4" x14ac:dyDescent="0.3">
      <c r="A8750" s="1">
        <v>38625</v>
      </c>
      <c r="B8750">
        <v>2151.6899410000001</v>
      </c>
      <c r="C8750">
        <f t="shared" si="289"/>
        <v>4.8897218136399042E-3</v>
      </c>
      <c r="D8750">
        <f t="shared" si="288"/>
        <v>0.35397968652489631</v>
      </c>
    </row>
    <row r="8751" spans="1:4" x14ac:dyDescent="0.3">
      <c r="A8751" s="1">
        <v>38628</v>
      </c>
      <c r="B8751">
        <v>2155.429932</v>
      </c>
      <c r="C8751">
        <f t="shared" si="289"/>
        <v>1.7381644672567246E-3</v>
      </c>
      <c r="D8751">
        <f t="shared" si="288"/>
        <v>0.10186805809548505</v>
      </c>
    </row>
    <row r="8752" spans="1:4" x14ac:dyDescent="0.3">
      <c r="A8752" s="1">
        <v>38629</v>
      </c>
      <c r="B8752">
        <v>2139.360107</v>
      </c>
      <c r="C8752">
        <f t="shared" si="289"/>
        <v>-7.4555079529256708E-3</v>
      </c>
      <c r="D8752">
        <f t="shared" si="288"/>
        <v>-0.63358793091222332</v>
      </c>
    </row>
    <row r="8753" spans="1:4" x14ac:dyDescent="0.3">
      <c r="A8753" s="1">
        <v>38630</v>
      </c>
      <c r="B8753">
        <v>2103.0200199999999</v>
      </c>
      <c r="C8753">
        <f t="shared" si="289"/>
        <v>-1.6986428269413382E-2</v>
      </c>
      <c r="D8753">
        <f t="shared" si="288"/>
        <v>-1.3960223648527212</v>
      </c>
    </row>
    <row r="8754" spans="1:4" x14ac:dyDescent="0.3">
      <c r="A8754" s="1">
        <v>38631</v>
      </c>
      <c r="B8754">
        <v>2084.080078</v>
      </c>
      <c r="C8754">
        <f t="shared" si="289"/>
        <v>-9.0060683302482184E-3</v>
      </c>
      <c r="D8754">
        <f t="shared" si="288"/>
        <v>-0.75762638515565783</v>
      </c>
    </row>
    <row r="8755" spans="1:4" x14ac:dyDescent="0.3">
      <c r="A8755" s="1">
        <v>38632</v>
      </c>
      <c r="B8755">
        <v>2090.3500979999999</v>
      </c>
      <c r="C8755">
        <f t="shared" si="289"/>
        <v>3.008531229767809E-3</v>
      </c>
      <c r="D8755">
        <f t="shared" si="288"/>
        <v>0.20349217531703101</v>
      </c>
    </row>
    <row r="8756" spans="1:4" x14ac:dyDescent="0.3">
      <c r="A8756" s="1">
        <v>38635</v>
      </c>
      <c r="B8756">
        <v>2078.919922</v>
      </c>
      <c r="C8756">
        <f t="shared" si="289"/>
        <v>-5.4680677705308709E-3</v>
      </c>
      <c r="D8756">
        <f t="shared" si="288"/>
        <v>-0.47460088872350142</v>
      </c>
    </row>
    <row r="8757" spans="1:4" x14ac:dyDescent="0.3">
      <c r="A8757" s="1">
        <v>38636</v>
      </c>
      <c r="B8757">
        <v>2061.0900879999999</v>
      </c>
      <c r="C8757">
        <f t="shared" si="289"/>
        <v>-8.5764890755614769E-3</v>
      </c>
      <c r="D8757">
        <f t="shared" si="288"/>
        <v>-0.72326181122116862</v>
      </c>
    </row>
    <row r="8758" spans="1:4" x14ac:dyDescent="0.3">
      <c r="A8758" s="1">
        <v>38637</v>
      </c>
      <c r="B8758">
        <v>2037.469971</v>
      </c>
      <c r="C8758">
        <f t="shared" si="289"/>
        <v>-1.1460011931317356E-2</v>
      </c>
      <c r="D8758">
        <f t="shared" si="288"/>
        <v>-0.95393178256480704</v>
      </c>
    </row>
    <row r="8759" spans="1:4" x14ac:dyDescent="0.3">
      <c r="A8759" s="1">
        <v>38638</v>
      </c>
      <c r="B8759">
        <v>2047.219971</v>
      </c>
      <c r="C8759">
        <f t="shared" si="289"/>
        <v>4.7853466008211413E-3</v>
      </c>
      <c r="D8759">
        <f t="shared" si="288"/>
        <v>0.3456300986928349</v>
      </c>
    </row>
    <row r="8760" spans="1:4" x14ac:dyDescent="0.3">
      <c r="A8760" s="1">
        <v>38639</v>
      </c>
      <c r="B8760">
        <v>2064.830078</v>
      </c>
      <c r="C8760">
        <f t="shared" si="289"/>
        <v>8.6019613180102032E-3</v>
      </c>
      <c r="D8760">
        <f t="shared" si="288"/>
        <v>0.65094358205446745</v>
      </c>
    </row>
    <row r="8761" spans="1:4" x14ac:dyDescent="0.3">
      <c r="A8761" s="1">
        <v>38642</v>
      </c>
      <c r="B8761">
        <v>2070.3000489999999</v>
      </c>
      <c r="C8761">
        <f t="shared" si="289"/>
        <v>2.6491143548713781E-3</v>
      </c>
      <c r="D8761">
        <f t="shared" si="288"/>
        <v>0.1747403032563371</v>
      </c>
    </row>
    <row r="8762" spans="1:4" x14ac:dyDescent="0.3">
      <c r="A8762" s="1">
        <v>38643</v>
      </c>
      <c r="B8762">
        <v>2056</v>
      </c>
      <c r="C8762">
        <f t="shared" si="289"/>
        <v>-6.9072350198258366E-3</v>
      </c>
      <c r="D8762">
        <f t="shared" si="288"/>
        <v>-0.58972835077600883</v>
      </c>
    </row>
    <row r="8763" spans="1:4" x14ac:dyDescent="0.3">
      <c r="A8763" s="1">
        <v>38644</v>
      </c>
      <c r="B8763">
        <v>2091.23999</v>
      </c>
      <c r="C8763">
        <f t="shared" si="289"/>
        <v>1.7140072957198459E-2</v>
      </c>
      <c r="D8763">
        <f t="shared" si="288"/>
        <v>1.3339574042646833</v>
      </c>
    </row>
    <row r="8764" spans="1:4" x14ac:dyDescent="0.3">
      <c r="A8764" s="1">
        <v>38645</v>
      </c>
      <c r="B8764">
        <v>2068.110107</v>
      </c>
      <c r="C8764">
        <f t="shared" si="289"/>
        <v>-1.1060367586027305E-2</v>
      </c>
      <c r="D8764">
        <f t="shared" si="288"/>
        <v>-0.92196187828897014</v>
      </c>
    </row>
    <row r="8765" spans="1:4" x14ac:dyDescent="0.3">
      <c r="A8765" s="1">
        <v>38646</v>
      </c>
      <c r="B8765">
        <v>2082.209961</v>
      </c>
      <c r="C8765">
        <f t="shared" si="289"/>
        <v>6.8177482196309629E-3</v>
      </c>
      <c r="D8765">
        <f t="shared" si="288"/>
        <v>0.50821387091222736</v>
      </c>
    </row>
    <row r="8766" spans="1:4" x14ac:dyDescent="0.3">
      <c r="A8766" s="1">
        <v>38649</v>
      </c>
      <c r="B8766">
        <v>2115.830078</v>
      </c>
      <c r="C8766">
        <f t="shared" si="289"/>
        <v>1.6146362580963532E-2</v>
      </c>
      <c r="D8766">
        <f t="shared" si="288"/>
        <v>1.2544646603273719</v>
      </c>
    </row>
    <row r="8767" spans="1:4" x14ac:dyDescent="0.3">
      <c r="A8767" s="1">
        <v>38650</v>
      </c>
      <c r="B8767">
        <v>2109.4499510000001</v>
      </c>
      <c r="C8767">
        <f t="shared" si="289"/>
        <v>-3.0154250411407102E-3</v>
      </c>
      <c r="D8767">
        <f t="shared" si="288"/>
        <v>-0.27839955569945402</v>
      </c>
    </row>
    <row r="8768" spans="1:4" x14ac:dyDescent="0.3">
      <c r="A8768" s="1">
        <v>38651</v>
      </c>
      <c r="B8768">
        <v>2100.0500489999999</v>
      </c>
      <c r="C8768">
        <f t="shared" si="289"/>
        <v>-4.4560915017414935E-3</v>
      </c>
      <c r="D8768">
        <f t="shared" si="288"/>
        <v>-0.39364694849163306</v>
      </c>
    </row>
    <row r="8769" spans="1:4" x14ac:dyDescent="0.3">
      <c r="A8769" s="1">
        <v>38652</v>
      </c>
      <c r="B8769">
        <v>2063.8100589999999</v>
      </c>
      <c r="C8769">
        <f t="shared" si="289"/>
        <v>-1.7256726818133103E-2</v>
      </c>
      <c r="D8769">
        <f t="shared" si="288"/>
        <v>-1.4176451372760253</v>
      </c>
    </row>
    <row r="8770" spans="1:4" x14ac:dyDescent="0.3">
      <c r="A8770" s="1">
        <v>38653</v>
      </c>
      <c r="B8770">
        <v>2089.8798830000001</v>
      </c>
      <c r="C8770">
        <f t="shared" si="289"/>
        <v>1.2631891140520967E-2</v>
      </c>
      <c r="D8770">
        <f t="shared" si="288"/>
        <v>0.97332139668488171</v>
      </c>
    </row>
    <row r="8771" spans="1:4" x14ac:dyDescent="0.3">
      <c r="A8771" s="1">
        <v>38656</v>
      </c>
      <c r="B8771">
        <v>2120.3000489999999</v>
      </c>
      <c r="C8771">
        <f t="shared" si="289"/>
        <v>1.4555939911882429E-2</v>
      </c>
      <c r="D8771">
        <f t="shared" ref="D8771:D8834" si="290">(C8771-avrtn)/sdrtn</f>
        <v>1.1272373866579763</v>
      </c>
    </row>
    <row r="8772" spans="1:4" x14ac:dyDescent="0.3">
      <c r="A8772" s="1">
        <v>38657</v>
      </c>
      <c r="B8772">
        <v>2114.0500489999999</v>
      </c>
      <c r="C8772">
        <f t="shared" ref="C8772:C8835" si="291">(B8772-B8771)/B8771</f>
        <v>-2.9476960126222211E-3</v>
      </c>
      <c r="D8772">
        <f t="shared" si="290"/>
        <v>-0.2729815119214043</v>
      </c>
    </row>
    <row r="8773" spans="1:4" x14ac:dyDescent="0.3">
      <c r="A8773" s="1">
        <v>38658</v>
      </c>
      <c r="B8773">
        <v>2144.3100589999999</v>
      </c>
      <c r="C8773">
        <f t="shared" si="291"/>
        <v>1.4313762351233704E-2</v>
      </c>
      <c r="D8773">
        <f t="shared" si="290"/>
        <v>1.1078641776461582</v>
      </c>
    </row>
    <row r="8774" spans="1:4" x14ac:dyDescent="0.3">
      <c r="A8774" s="1">
        <v>38659</v>
      </c>
      <c r="B8774">
        <v>2160.219971</v>
      </c>
      <c r="C8774">
        <f t="shared" si="291"/>
        <v>7.419594910364629E-3</v>
      </c>
      <c r="D8774">
        <f t="shared" si="290"/>
        <v>0.55635913136254078</v>
      </c>
    </row>
    <row r="8775" spans="1:4" x14ac:dyDescent="0.3">
      <c r="A8775" s="1">
        <v>38660</v>
      </c>
      <c r="B8775">
        <v>2169.429932</v>
      </c>
      <c r="C8775">
        <f t="shared" si="291"/>
        <v>4.263436651655704E-3</v>
      </c>
      <c r="D8775">
        <f t="shared" si="290"/>
        <v>0.30387944886613438</v>
      </c>
    </row>
    <row r="8776" spans="1:4" x14ac:dyDescent="0.3">
      <c r="A8776" s="1">
        <v>38663</v>
      </c>
      <c r="B8776">
        <v>2178.23999</v>
      </c>
      <c r="C8776">
        <f t="shared" si="291"/>
        <v>4.0610014041237196E-3</v>
      </c>
      <c r="D8776">
        <f t="shared" si="290"/>
        <v>0.28768546148228741</v>
      </c>
    </row>
    <row r="8777" spans="1:4" x14ac:dyDescent="0.3">
      <c r="A8777" s="1">
        <v>38664</v>
      </c>
      <c r="B8777">
        <v>2172.070068</v>
      </c>
      <c r="C8777">
        <f t="shared" si="291"/>
        <v>-2.8325262727363857E-3</v>
      </c>
      <c r="D8777">
        <f t="shared" si="290"/>
        <v>-0.26376840631133763</v>
      </c>
    </row>
    <row r="8778" spans="1:4" x14ac:dyDescent="0.3">
      <c r="A8778" s="1">
        <v>38665</v>
      </c>
      <c r="B8778">
        <v>2175.8100589999999</v>
      </c>
      <c r="C8778">
        <f t="shared" si="291"/>
        <v>1.7218555953140266E-3</v>
      </c>
      <c r="D8778">
        <f t="shared" si="290"/>
        <v>0.10056341540255134</v>
      </c>
    </row>
    <row r="8779" spans="1:4" x14ac:dyDescent="0.3">
      <c r="A8779" s="1">
        <v>38666</v>
      </c>
      <c r="B8779">
        <v>2196.679932</v>
      </c>
      <c r="C8779">
        <f t="shared" si="291"/>
        <v>9.5917715398337062E-3</v>
      </c>
      <c r="D8779">
        <f t="shared" si="290"/>
        <v>0.73012432967639562</v>
      </c>
    </row>
    <row r="8780" spans="1:4" x14ac:dyDescent="0.3">
      <c r="A8780" s="1">
        <v>38667</v>
      </c>
      <c r="B8780">
        <v>2202.469971</v>
      </c>
      <c r="C8780">
        <f t="shared" si="291"/>
        <v>2.6358136730135059E-3</v>
      </c>
      <c r="D8780">
        <f t="shared" si="290"/>
        <v>0.17367630340043794</v>
      </c>
    </row>
    <row r="8781" spans="1:4" x14ac:dyDescent="0.3">
      <c r="A8781" s="1">
        <v>38670</v>
      </c>
      <c r="B8781">
        <v>2200.9499510000001</v>
      </c>
      <c r="C8781">
        <f t="shared" si="291"/>
        <v>-6.9014334815642822E-4</v>
      </c>
      <c r="D8781">
        <f t="shared" si="290"/>
        <v>-9.2386581876165913E-2</v>
      </c>
    </row>
    <row r="8782" spans="1:4" x14ac:dyDescent="0.3">
      <c r="A8782" s="1">
        <v>38671</v>
      </c>
      <c r="B8782">
        <v>2186.73999</v>
      </c>
      <c r="C8782">
        <f t="shared" si="291"/>
        <v>-6.4562853842013695E-3</v>
      </c>
      <c r="D8782">
        <f t="shared" si="290"/>
        <v>-0.55365423424203308</v>
      </c>
    </row>
    <row r="8783" spans="1:4" x14ac:dyDescent="0.3">
      <c r="A8783" s="1">
        <v>38672</v>
      </c>
      <c r="B8783">
        <v>2187.929932</v>
      </c>
      <c r="C8783">
        <f t="shared" si="291"/>
        <v>5.4416254581779227E-4</v>
      </c>
      <c r="D8783">
        <f t="shared" si="290"/>
        <v>6.352814145608416E-3</v>
      </c>
    </row>
    <row r="8784" spans="1:4" x14ac:dyDescent="0.3">
      <c r="A8784" s="1">
        <v>38673</v>
      </c>
      <c r="B8784">
        <v>2220.459961</v>
      </c>
      <c r="C8784">
        <f t="shared" si="291"/>
        <v>1.4867948248353692E-2</v>
      </c>
      <c r="D8784">
        <f t="shared" si="290"/>
        <v>1.1521967705897318</v>
      </c>
    </row>
    <row r="8785" spans="1:4" x14ac:dyDescent="0.3">
      <c r="A8785" s="1">
        <v>38674</v>
      </c>
      <c r="B8785">
        <v>2227.070068</v>
      </c>
      <c r="C8785">
        <f t="shared" si="291"/>
        <v>2.976908890995297E-3</v>
      </c>
      <c r="D8785">
        <f t="shared" si="290"/>
        <v>0.20096251824706407</v>
      </c>
    </row>
    <row r="8786" spans="1:4" x14ac:dyDescent="0.3">
      <c r="A8786" s="1">
        <v>38677</v>
      </c>
      <c r="B8786">
        <v>2241.669922</v>
      </c>
      <c r="C8786">
        <f t="shared" si="291"/>
        <v>6.5556329860386097E-3</v>
      </c>
      <c r="D8786">
        <f t="shared" si="290"/>
        <v>0.48724573004911986</v>
      </c>
    </row>
    <row r="8787" spans="1:4" x14ac:dyDescent="0.3">
      <c r="A8787" s="1">
        <v>38678</v>
      </c>
      <c r="B8787">
        <v>2253.5600589999999</v>
      </c>
      <c r="C8787">
        <f t="shared" si="291"/>
        <v>5.3041426319319941E-3</v>
      </c>
      <c r="D8787">
        <f t="shared" si="290"/>
        <v>0.38713164787967624</v>
      </c>
    </row>
    <row r="8788" spans="1:4" x14ac:dyDescent="0.3">
      <c r="A8788" s="1">
        <v>38679</v>
      </c>
      <c r="B8788">
        <v>2259.9799800000001</v>
      </c>
      <c r="C8788">
        <f t="shared" si="291"/>
        <v>2.8487907275251186E-3</v>
      </c>
      <c r="D8788">
        <f t="shared" si="290"/>
        <v>0.1907135919944859</v>
      </c>
    </row>
    <row r="8789" spans="1:4" x14ac:dyDescent="0.3">
      <c r="A8789" s="1">
        <v>38681</v>
      </c>
      <c r="B8789">
        <v>2263.01001</v>
      </c>
      <c r="C8789">
        <f t="shared" si="291"/>
        <v>1.3407331156977315E-3</v>
      </c>
      <c r="D8789">
        <f t="shared" si="290"/>
        <v>7.0075184218248224E-2</v>
      </c>
    </row>
    <row r="8790" spans="1:4" x14ac:dyDescent="0.3">
      <c r="A8790" s="1">
        <v>38684</v>
      </c>
      <c r="B8790">
        <v>2239.3701169999999</v>
      </c>
      <c r="C8790">
        <f t="shared" si="291"/>
        <v>-1.0446216718237155E-2</v>
      </c>
      <c r="D8790">
        <f t="shared" si="290"/>
        <v>-0.87283233426921647</v>
      </c>
    </row>
    <row r="8791" spans="1:4" x14ac:dyDescent="0.3">
      <c r="A8791" s="1">
        <v>38685</v>
      </c>
      <c r="B8791">
        <v>2232.709961</v>
      </c>
      <c r="C8791">
        <f t="shared" si="291"/>
        <v>-2.9741202445454956E-3</v>
      </c>
      <c r="D8791">
        <f t="shared" si="290"/>
        <v>-0.27509534181817535</v>
      </c>
    </row>
    <row r="8792" spans="1:4" x14ac:dyDescent="0.3">
      <c r="A8792" s="1">
        <v>38686</v>
      </c>
      <c r="B8792">
        <v>2232.820068</v>
      </c>
      <c r="C8792">
        <f t="shared" si="291"/>
        <v>4.931540680306521E-5</v>
      </c>
      <c r="D8792">
        <f t="shared" si="290"/>
        <v>-3.3232922151975569E-2</v>
      </c>
    </row>
    <row r="8793" spans="1:4" x14ac:dyDescent="0.3">
      <c r="A8793" s="1">
        <v>38687</v>
      </c>
      <c r="B8793">
        <v>2267.169922</v>
      </c>
      <c r="C8793">
        <f t="shared" si="291"/>
        <v>1.5384067212710151E-2</v>
      </c>
      <c r="D8793">
        <f t="shared" si="290"/>
        <v>1.1934841654443857</v>
      </c>
    </row>
    <row r="8794" spans="1:4" x14ac:dyDescent="0.3">
      <c r="A8794" s="1">
        <v>38688</v>
      </c>
      <c r="B8794">
        <v>2273.3701169999999</v>
      </c>
      <c r="C8794">
        <f t="shared" si="291"/>
        <v>2.7347729607008673E-3</v>
      </c>
      <c r="D8794">
        <f t="shared" si="290"/>
        <v>0.18159263949240442</v>
      </c>
    </row>
    <row r="8795" spans="1:4" x14ac:dyDescent="0.3">
      <c r="A8795" s="1">
        <v>38691</v>
      </c>
      <c r="B8795">
        <v>2257.639893</v>
      </c>
      <c r="C8795">
        <f t="shared" si="291"/>
        <v>-6.919341414040373E-3</v>
      </c>
      <c r="D8795">
        <f t="shared" si="290"/>
        <v>-0.59069681253138129</v>
      </c>
    </row>
    <row r="8796" spans="1:4" x14ac:dyDescent="0.3">
      <c r="A8796" s="1">
        <v>38692</v>
      </c>
      <c r="B8796">
        <v>2260.76001</v>
      </c>
      <c r="C8796">
        <f t="shared" si="291"/>
        <v>1.3820259863736987E-3</v>
      </c>
      <c r="D8796">
        <f t="shared" si="290"/>
        <v>7.3378444075026805E-2</v>
      </c>
    </row>
    <row r="8797" spans="1:4" x14ac:dyDescent="0.3">
      <c r="A8797" s="1">
        <v>38693</v>
      </c>
      <c r="B8797">
        <v>2252.01001</v>
      </c>
      <c r="C8797">
        <f t="shared" si="291"/>
        <v>-3.8703798551355303E-3</v>
      </c>
      <c r="D8797">
        <f t="shared" si="290"/>
        <v>-0.34679242522383796</v>
      </c>
    </row>
    <row r="8798" spans="1:4" x14ac:dyDescent="0.3">
      <c r="A8798" s="1">
        <v>38694</v>
      </c>
      <c r="B8798">
        <v>2246.459961</v>
      </c>
      <c r="C8798">
        <f t="shared" si="291"/>
        <v>-2.4644868252605787E-3</v>
      </c>
      <c r="D8798">
        <f t="shared" si="290"/>
        <v>-0.23432676390052393</v>
      </c>
    </row>
    <row r="8799" spans="1:4" x14ac:dyDescent="0.3">
      <c r="A8799" s="1">
        <v>38695</v>
      </c>
      <c r="B8799">
        <v>2256.7299800000001</v>
      </c>
      <c r="C8799">
        <f t="shared" si="291"/>
        <v>4.5716456906841115E-3</v>
      </c>
      <c r="D8799">
        <f t="shared" si="290"/>
        <v>0.32853490462526574</v>
      </c>
    </row>
    <row r="8800" spans="1:4" x14ac:dyDescent="0.3">
      <c r="A8800" s="1">
        <v>38698</v>
      </c>
      <c r="B8800">
        <v>2260.9499510000001</v>
      </c>
      <c r="C8800">
        <f t="shared" si="291"/>
        <v>1.8699494566913081E-3</v>
      </c>
      <c r="D8800">
        <f t="shared" si="290"/>
        <v>0.11241031534713718</v>
      </c>
    </row>
    <row r="8801" spans="1:4" x14ac:dyDescent="0.3">
      <c r="A8801" s="1">
        <v>38699</v>
      </c>
      <c r="B8801">
        <v>2265</v>
      </c>
      <c r="C8801">
        <f t="shared" si="291"/>
        <v>1.7913041366566474E-3</v>
      </c>
      <c r="D8801">
        <f t="shared" si="290"/>
        <v>0.10611901313585265</v>
      </c>
    </row>
    <row r="8802" spans="1:4" x14ac:dyDescent="0.3">
      <c r="A8802" s="1">
        <v>38700</v>
      </c>
      <c r="B8802">
        <v>2262.5900879999999</v>
      </c>
      <c r="C8802">
        <f t="shared" si="291"/>
        <v>-1.0639788079470538E-3</v>
      </c>
      <c r="D8802">
        <f t="shared" si="290"/>
        <v>-0.12229188143882004</v>
      </c>
    </row>
    <row r="8803" spans="1:4" x14ac:dyDescent="0.3">
      <c r="A8803" s="1">
        <v>38701</v>
      </c>
      <c r="B8803">
        <v>2260.6298830000001</v>
      </c>
      <c r="C8803">
        <f t="shared" si="291"/>
        <v>-8.6635445386069421E-4</v>
      </c>
      <c r="D8803">
        <f t="shared" si="290"/>
        <v>-0.10648274574811098</v>
      </c>
    </row>
    <row r="8804" spans="1:4" x14ac:dyDescent="0.3">
      <c r="A8804" s="1">
        <v>38702</v>
      </c>
      <c r="B8804">
        <v>2252.4799800000001</v>
      </c>
      <c r="C8804">
        <f t="shared" si="291"/>
        <v>-3.6051469819484796E-3</v>
      </c>
      <c r="D8804">
        <f t="shared" si="290"/>
        <v>-0.3255748860129653</v>
      </c>
    </row>
    <row r="8805" spans="1:4" x14ac:dyDescent="0.3">
      <c r="A8805" s="1">
        <v>38705</v>
      </c>
      <c r="B8805">
        <v>2222.73999</v>
      </c>
      <c r="C8805">
        <f t="shared" si="291"/>
        <v>-1.3203220567580819E-2</v>
      </c>
      <c r="D8805">
        <f t="shared" si="290"/>
        <v>-1.0933813053491406</v>
      </c>
    </row>
    <row r="8806" spans="1:4" x14ac:dyDescent="0.3">
      <c r="A8806" s="1">
        <v>38706</v>
      </c>
      <c r="B8806">
        <v>2222.419922</v>
      </c>
      <c r="C8806">
        <f t="shared" si="291"/>
        <v>-1.4399704933548796E-4</v>
      </c>
      <c r="D8806">
        <f t="shared" si="290"/>
        <v>-4.8697123737490439E-2</v>
      </c>
    </row>
    <row r="8807" spans="1:4" x14ac:dyDescent="0.3">
      <c r="A8807" s="1">
        <v>38707</v>
      </c>
      <c r="B8807">
        <v>2231.6599120000001</v>
      </c>
      <c r="C8807">
        <f t="shared" si="291"/>
        <v>4.1576256172527392E-3</v>
      </c>
      <c r="D8807">
        <f t="shared" si="290"/>
        <v>0.29541500121147052</v>
      </c>
    </row>
    <row r="8808" spans="1:4" x14ac:dyDescent="0.3">
      <c r="A8808" s="1">
        <v>38708</v>
      </c>
      <c r="B8808">
        <v>2246.48999</v>
      </c>
      <c r="C8808">
        <f t="shared" si="291"/>
        <v>6.6453127200323866E-3</v>
      </c>
      <c r="D8808">
        <f t="shared" si="290"/>
        <v>0.49441974000335237</v>
      </c>
    </row>
    <row r="8809" spans="1:4" x14ac:dyDescent="0.3">
      <c r="A8809" s="1">
        <v>38709</v>
      </c>
      <c r="B8809">
        <v>2249.419922</v>
      </c>
      <c r="C8809">
        <f t="shared" si="291"/>
        <v>1.3042265992914608E-3</v>
      </c>
      <c r="D8809">
        <f t="shared" si="290"/>
        <v>6.7154813021438997E-2</v>
      </c>
    </row>
    <row r="8810" spans="1:4" x14ac:dyDescent="0.3">
      <c r="A8810" s="1">
        <v>38713</v>
      </c>
      <c r="B8810">
        <v>2226.889893</v>
      </c>
      <c r="C8810">
        <f t="shared" si="291"/>
        <v>-1.0015928453220134E-2</v>
      </c>
      <c r="D8810">
        <f t="shared" si="290"/>
        <v>-0.83841104242377285</v>
      </c>
    </row>
    <row r="8811" spans="1:4" x14ac:dyDescent="0.3">
      <c r="A8811" s="1">
        <v>38714</v>
      </c>
      <c r="B8811">
        <v>2228.9399410000001</v>
      </c>
      <c r="C8811">
        <f t="shared" si="291"/>
        <v>9.20587949338751E-4</v>
      </c>
      <c r="D8811">
        <f t="shared" si="290"/>
        <v>3.6465298556776944E-2</v>
      </c>
    </row>
    <row r="8812" spans="1:4" x14ac:dyDescent="0.3">
      <c r="A8812" s="1">
        <v>38715</v>
      </c>
      <c r="B8812">
        <v>2218.1599120000001</v>
      </c>
      <c r="C8812">
        <f t="shared" si="291"/>
        <v>-4.8363927630834325E-3</v>
      </c>
      <c r="D8812">
        <f t="shared" si="290"/>
        <v>-0.42406948559085744</v>
      </c>
    </row>
    <row r="8813" spans="1:4" x14ac:dyDescent="0.3">
      <c r="A8813" s="1">
        <v>38716</v>
      </c>
      <c r="B8813">
        <v>2205.320068</v>
      </c>
      <c r="C8813">
        <f t="shared" si="291"/>
        <v>-5.7885114281156858E-3</v>
      </c>
      <c r="D8813">
        <f t="shared" si="290"/>
        <v>-0.50023506365809323</v>
      </c>
    </row>
    <row r="8814" spans="1:4" x14ac:dyDescent="0.3">
      <c r="A8814" s="1">
        <v>38720</v>
      </c>
      <c r="B8814">
        <v>2243.73999</v>
      </c>
      <c r="C8814">
        <f t="shared" si="291"/>
        <v>1.7421472083570613E-2</v>
      </c>
      <c r="D8814">
        <f t="shared" si="290"/>
        <v>1.3564681772543339</v>
      </c>
    </row>
    <row r="8815" spans="1:4" x14ac:dyDescent="0.3">
      <c r="A8815" s="1">
        <v>38721</v>
      </c>
      <c r="B8815">
        <v>2263.459961</v>
      </c>
      <c r="C8815">
        <f t="shared" si="291"/>
        <v>8.788884223612731E-3</v>
      </c>
      <c r="D8815">
        <f t="shared" si="290"/>
        <v>0.6658966458710891</v>
      </c>
    </row>
    <row r="8816" spans="1:4" x14ac:dyDescent="0.3">
      <c r="A8816" s="1">
        <v>38722</v>
      </c>
      <c r="B8816">
        <v>2276.8701169999999</v>
      </c>
      <c r="C8816">
        <f t="shared" si="291"/>
        <v>5.9246270007247172E-3</v>
      </c>
      <c r="D8816">
        <f t="shared" si="290"/>
        <v>0.43676784593612411</v>
      </c>
    </row>
    <row r="8817" spans="1:4" x14ac:dyDescent="0.3">
      <c r="A8817" s="1">
        <v>38723</v>
      </c>
      <c r="B8817">
        <v>2305.6201169999999</v>
      </c>
      <c r="C8817">
        <f t="shared" si="291"/>
        <v>1.2626982885559124E-2</v>
      </c>
      <c r="D8817">
        <f t="shared" si="290"/>
        <v>0.97292875647079935</v>
      </c>
    </row>
    <row r="8818" spans="1:4" x14ac:dyDescent="0.3">
      <c r="A8818" s="1">
        <v>38726</v>
      </c>
      <c r="B8818">
        <v>2318.6899410000001</v>
      </c>
      <c r="C8818">
        <f t="shared" si="291"/>
        <v>5.6686805877657741E-3</v>
      </c>
      <c r="D8818">
        <f t="shared" si="290"/>
        <v>0.41629318535734744</v>
      </c>
    </row>
    <row r="8819" spans="1:4" x14ac:dyDescent="0.3">
      <c r="A8819" s="1">
        <v>38727</v>
      </c>
      <c r="B8819">
        <v>2320.320068</v>
      </c>
      <c r="C8819">
        <f t="shared" si="291"/>
        <v>7.0303794016411876E-4</v>
      </c>
      <c r="D8819">
        <f t="shared" si="290"/>
        <v>1.9062192393789364E-2</v>
      </c>
    </row>
    <row r="8820" spans="1:4" x14ac:dyDescent="0.3">
      <c r="A8820" s="1">
        <v>38728</v>
      </c>
      <c r="B8820">
        <v>2331.360107</v>
      </c>
      <c r="C8820">
        <f t="shared" si="291"/>
        <v>4.7579810872885051E-3</v>
      </c>
      <c r="D8820">
        <f t="shared" si="290"/>
        <v>0.34344097013788805</v>
      </c>
    </row>
    <row r="8821" spans="1:4" x14ac:dyDescent="0.3">
      <c r="A8821" s="1">
        <v>38729</v>
      </c>
      <c r="B8821">
        <v>2316.6899410000001</v>
      </c>
      <c r="C8821">
        <f t="shared" si="291"/>
        <v>-6.2925353985221477E-3</v>
      </c>
      <c r="D8821">
        <f t="shared" si="290"/>
        <v>-0.5405549087316599</v>
      </c>
    </row>
    <row r="8822" spans="1:4" x14ac:dyDescent="0.3">
      <c r="A8822" s="1">
        <v>38730</v>
      </c>
      <c r="B8822">
        <v>2317.040039</v>
      </c>
      <c r="C8822">
        <f t="shared" si="291"/>
        <v>1.5111992062639555E-4</v>
      </c>
      <c r="D8822">
        <f t="shared" si="290"/>
        <v>-2.5088979668771355E-2</v>
      </c>
    </row>
    <row r="8823" spans="1:4" x14ac:dyDescent="0.3">
      <c r="A8823" s="1">
        <v>38734</v>
      </c>
      <c r="B8823">
        <v>2302.6899410000001</v>
      </c>
      <c r="C8823">
        <f t="shared" si="291"/>
        <v>-6.1932887470486607E-3</v>
      </c>
      <c r="D8823">
        <f t="shared" si="290"/>
        <v>-0.53261558471845027</v>
      </c>
    </row>
    <row r="8824" spans="1:4" x14ac:dyDescent="0.3">
      <c r="A8824" s="1">
        <v>38735</v>
      </c>
      <c r="B8824">
        <v>2279.639893</v>
      </c>
      <c r="C8824">
        <f t="shared" si="291"/>
        <v>-1.0010052847145373E-2</v>
      </c>
      <c r="D8824">
        <f t="shared" si="290"/>
        <v>-0.83794101809842847</v>
      </c>
    </row>
    <row r="8825" spans="1:4" x14ac:dyDescent="0.3">
      <c r="A8825" s="1">
        <v>38736</v>
      </c>
      <c r="B8825">
        <v>2301.8100589999999</v>
      </c>
      <c r="C8825">
        <f t="shared" si="291"/>
        <v>9.7252930465363992E-3</v>
      </c>
      <c r="D8825">
        <f t="shared" si="290"/>
        <v>0.74080550116889476</v>
      </c>
    </row>
    <row r="8826" spans="1:4" x14ac:dyDescent="0.3">
      <c r="A8826" s="1">
        <v>38737</v>
      </c>
      <c r="B8826">
        <v>2247.6999510000001</v>
      </c>
      <c r="C8826">
        <f t="shared" si="291"/>
        <v>-2.3507633824272837E-2</v>
      </c>
      <c r="D8826">
        <f t="shared" si="290"/>
        <v>-1.917691993884008</v>
      </c>
    </row>
    <row r="8827" spans="1:4" x14ac:dyDescent="0.3">
      <c r="A8827" s="1">
        <v>38740</v>
      </c>
      <c r="B8827">
        <v>2248.469971</v>
      </c>
      <c r="C8827">
        <f t="shared" si="291"/>
        <v>3.4258131280260517E-4</v>
      </c>
      <c r="D8827">
        <f t="shared" si="290"/>
        <v>-9.7728555886234802E-3</v>
      </c>
    </row>
    <row r="8828" spans="1:4" x14ac:dyDescent="0.3">
      <c r="A8828" s="1">
        <v>38741</v>
      </c>
      <c r="B8828">
        <v>2265.25</v>
      </c>
      <c r="C8828">
        <f t="shared" si="291"/>
        <v>7.4628655114024707E-3</v>
      </c>
      <c r="D8828">
        <f t="shared" si="290"/>
        <v>0.55982060151579349</v>
      </c>
    </row>
    <row r="8829" spans="1:4" x14ac:dyDescent="0.3">
      <c r="A8829" s="1">
        <v>38742</v>
      </c>
      <c r="B8829">
        <v>2260.6499020000001</v>
      </c>
      <c r="C8829">
        <f t="shared" si="291"/>
        <v>-2.0307242026265928E-3</v>
      </c>
      <c r="D8829">
        <f t="shared" si="290"/>
        <v>-0.19962753773236702</v>
      </c>
    </row>
    <row r="8830" spans="1:4" x14ac:dyDescent="0.3">
      <c r="A8830" s="1">
        <v>38743</v>
      </c>
      <c r="B8830">
        <v>2283</v>
      </c>
      <c r="C8830">
        <f t="shared" si="291"/>
        <v>9.8865808368764786E-3</v>
      </c>
      <c r="D8830">
        <f t="shared" si="290"/>
        <v>0.75370786117674438</v>
      </c>
    </row>
    <row r="8831" spans="1:4" x14ac:dyDescent="0.3">
      <c r="A8831" s="1">
        <v>38744</v>
      </c>
      <c r="B8831">
        <v>2304.2299800000001</v>
      </c>
      <c r="C8831">
        <f t="shared" si="291"/>
        <v>9.2991590013140907E-3</v>
      </c>
      <c r="D8831">
        <f t="shared" si="290"/>
        <v>0.70671652982477429</v>
      </c>
    </row>
    <row r="8832" spans="1:4" x14ac:dyDescent="0.3">
      <c r="A8832" s="1">
        <v>38747</v>
      </c>
      <c r="B8832">
        <v>2306.780029</v>
      </c>
      <c r="C8832">
        <f t="shared" si="291"/>
        <v>1.1066816342698328E-3</v>
      </c>
      <c r="D8832">
        <f t="shared" si="290"/>
        <v>5.1352028129458681E-2</v>
      </c>
    </row>
    <row r="8833" spans="1:4" x14ac:dyDescent="0.3">
      <c r="A8833" s="1">
        <v>38748</v>
      </c>
      <c r="B8833">
        <v>2305.820068</v>
      </c>
      <c r="C8833">
        <f t="shared" si="291"/>
        <v>-4.1614761179294965E-4</v>
      </c>
      <c r="D8833">
        <f t="shared" si="290"/>
        <v>-7.0468049644287725E-2</v>
      </c>
    </row>
    <row r="8834" spans="1:4" x14ac:dyDescent="0.3">
      <c r="A8834" s="1">
        <v>38749</v>
      </c>
      <c r="B8834">
        <v>2310.5600589999999</v>
      </c>
      <c r="C8834">
        <f t="shared" si="291"/>
        <v>2.0556638680446762E-3</v>
      </c>
      <c r="D8834">
        <f t="shared" si="290"/>
        <v>0.12726670459318407</v>
      </c>
    </row>
    <row r="8835" spans="1:4" x14ac:dyDescent="0.3">
      <c r="A8835" s="1">
        <v>38750</v>
      </c>
      <c r="B8835">
        <v>2281.570068</v>
      </c>
      <c r="C8835">
        <f t="shared" si="291"/>
        <v>-1.2546737699840037E-2</v>
      </c>
      <c r="D8835">
        <f t="shared" ref="D8835:D8898" si="292">(C8835-avrtn)/sdrtn</f>
        <v>-1.0408653754035602</v>
      </c>
    </row>
    <row r="8836" spans="1:4" x14ac:dyDescent="0.3">
      <c r="A8836" s="1">
        <v>38751</v>
      </c>
      <c r="B8836">
        <v>2262.580078</v>
      </c>
      <c r="C8836">
        <f t="shared" ref="C8836:C8899" si="293">(B8836-B8835)/B8835</f>
        <v>-8.3232114000541986E-3</v>
      </c>
      <c r="D8836">
        <f t="shared" si="292"/>
        <v>-0.70300063866461115</v>
      </c>
    </row>
    <row r="8837" spans="1:4" x14ac:dyDescent="0.3">
      <c r="A8837" s="1">
        <v>38754</v>
      </c>
      <c r="B8837">
        <v>2258.8000489999999</v>
      </c>
      <c r="C8837">
        <f t="shared" si="293"/>
        <v>-1.6706719186449113E-3</v>
      </c>
      <c r="D8837">
        <f t="shared" si="292"/>
        <v>-0.17082483555767083</v>
      </c>
    </row>
    <row r="8838" spans="1:4" x14ac:dyDescent="0.3">
      <c r="A8838" s="1">
        <v>38755</v>
      </c>
      <c r="B8838">
        <v>2244.959961</v>
      </c>
      <c r="C8838">
        <f t="shared" si="293"/>
        <v>-6.1271859836053702E-3</v>
      </c>
      <c r="D8838">
        <f t="shared" si="292"/>
        <v>-0.52732763545917449</v>
      </c>
    </row>
    <row r="8839" spans="1:4" x14ac:dyDescent="0.3">
      <c r="A8839" s="1">
        <v>38756</v>
      </c>
      <c r="B8839">
        <v>2266.9799800000001</v>
      </c>
      <c r="C8839">
        <f t="shared" si="293"/>
        <v>9.8086466496228285E-3</v>
      </c>
      <c r="D8839">
        <f t="shared" si="292"/>
        <v>0.74747344666374527</v>
      </c>
    </row>
    <row r="8840" spans="1:4" x14ac:dyDescent="0.3">
      <c r="A8840" s="1">
        <v>38757</v>
      </c>
      <c r="B8840">
        <v>2255.8701169999999</v>
      </c>
      <c r="C8840">
        <f t="shared" si="293"/>
        <v>-4.9007327360694785E-3</v>
      </c>
      <c r="D8840">
        <f t="shared" si="292"/>
        <v>-0.42921641886219136</v>
      </c>
    </row>
    <row r="8841" spans="1:4" x14ac:dyDescent="0.3">
      <c r="A8841" s="1">
        <v>38758</v>
      </c>
      <c r="B8841">
        <v>2261.8798830000001</v>
      </c>
      <c r="C8841">
        <f t="shared" si="293"/>
        <v>2.664056744540017E-3</v>
      </c>
      <c r="D8841">
        <f t="shared" si="292"/>
        <v>0.17593563298635476</v>
      </c>
    </row>
    <row r="8842" spans="1:4" x14ac:dyDescent="0.3">
      <c r="A8842" s="1">
        <v>38761</v>
      </c>
      <c r="B8842">
        <v>2239.8100589999999</v>
      </c>
      <c r="C8842">
        <f t="shared" si="293"/>
        <v>-9.7572926687549272E-3</v>
      </c>
      <c r="D8842">
        <f t="shared" si="292"/>
        <v>-0.81772124318325679</v>
      </c>
    </row>
    <row r="8843" spans="1:4" x14ac:dyDescent="0.3">
      <c r="A8843" s="1">
        <v>38762</v>
      </c>
      <c r="B8843">
        <v>2262.169922</v>
      </c>
      <c r="C8843">
        <f t="shared" si="293"/>
        <v>9.9829281997166584E-3</v>
      </c>
      <c r="D8843">
        <f t="shared" si="292"/>
        <v>0.76141525402123544</v>
      </c>
    </row>
    <row r="8844" spans="1:4" x14ac:dyDescent="0.3">
      <c r="A8844" s="1">
        <v>38763</v>
      </c>
      <c r="B8844">
        <v>2276.429932</v>
      </c>
      <c r="C8844">
        <f t="shared" si="293"/>
        <v>6.3036865008763762E-3</v>
      </c>
      <c r="D8844">
        <f t="shared" si="292"/>
        <v>0.46709104724627859</v>
      </c>
    </row>
    <row r="8845" spans="1:4" x14ac:dyDescent="0.3">
      <c r="A8845" s="1">
        <v>38764</v>
      </c>
      <c r="B8845">
        <v>2294.6298830000001</v>
      </c>
      <c r="C8845">
        <f t="shared" si="293"/>
        <v>7.9949533012905645E-3</v>
      </c>
      <c r="D8845">
        <f t="shared" si="292"/>
        <v>0.60238543674877543</v>
      </c>
    </row>
    <row r="8846" spans="1:4" x14ac:dyDescent="0.3">
      <c r="A8846" s="1">
        <v>38765</v>
      </c>
      <c r="B8846">
        <v>2282.360107</v>
      </c>
      <c r="C8846">
        <f t="shared" si="293"/>
        <v>-5.3471699688485636E-3</v>
      </c>
      <c r="D8846">
        <f t="shared" si="292"/>
        <v>-0.46492956172364786</v>
      </c>
    </row>
    <row r="8847" spans="1:4" x14ac:dyDescent="0.3">
      <c r="A8847" s="1">
        <v>38769</v>
      </c>
      <c r="B8847">
        <v>2262.959961</v>
      </c>
      <c r="C8847">
        <f t="shared" si="293"/>
        <v>-8.500037281803029E-3</v>
      </c>
      <c r="D8847">
        <f t="shared" si="292"/>
        <v>-0.71714598209214719</v>
      </c>
    </row>
    <row r="8848" spans="1:4" x14ac:dyDescent="0.3">
      <c r="A8848" s="1">
        <v>38770</v>
      </c>
      <c r="B8848">
        <v>2283.169922</v>
      </c>
      <c r="C8848">
        <f t="shared" si="293"/>
        <v>8.9307638439476665E-3</v>
      </c>
      <c r="D8848">
        <f t="shared" si="292"/>
        <v>0.67724643208539903</v>
      </c>
    </row>
    <row r="8849" spans="1:4" x14ac:dyDescent="0.3">
      <c r="A8849" s="1">
        <v>38771</v>
      </c>
      <c r="B8849">
        <v>2279.320068</v>
      </c>
      <c r="C8849">
        <f t="shared" si="293"/>
        <v>-1.686188120693038E-3</v>
      </c>
      <c r="D8849">
        <f t="shared" si="292"/>
        <v>-0.17206606791851689</v>
      </c>
    </row>
    <row r="8850" spans="1:4" x14ac:dyDescent="0.3">
      <c r="A8850" s="1">
        <v>38772</v>
      </c>
      <c r="B8850">
        <v>2287.040039</v>
      </c>
      <c r="C8850">
        <f t="shared" si="293"/>
        <v>3.386962238600352E-3</v>
      </c>
      <c r="D8850">
        <f t="shared" si="292"/>
        <v>0.23376509990602798</v>
      </c>
    </row>
    <row r="8851" spans="1:4" x14ac:dyDescent="0.3">
      <c r="A8851" s="1">
        <v>38775</v>
      </c>
      <c r="B8851">
        <v>2307.179932</v>
      </c>
      <c r="C8851">
        <f t="shared" si="293"/>
        <v>8.8060955018549325E-3</v>
      </c>
      <c r="D8851">
        <f t="shared" si="292"/>
        <v>0.66727347735726616</v>
      </c>
    </row>
    <row r="8852" spans="1:4" x14ac:dyDescent="0.3">
      <c r="A8852" s="1">
        <v>38776</v>
      </c>
      <c r="B8852">
        <v>2281.389893</v>
      </c>
      <c r="C8852">
        <f t="shared" si="293"/>
        <v>-1.1178165448779562E-2</v>
      </c>
      <c r="D8852">
        <f t="shared" si="292"/>
        <v>-0.93138522292144488</v>
      </c>
    </row>
    <row r="8853" spans="1:4" x14ac:dyDescent="0.3">
      <c r="A8853" s="1">
        <v>38777</v>
      </c>
      <c r="B8853">
        <v>2314.639893</v>
      </c>
      <c r="C8853">
        <f t="shared" si="293"/>
        <v>1.4574448717433675E-2</v>
      </c>
      <c r="D8853">
        <f t="shared" si="292"/>
        <v>1.1287180149934128</v>
      </c>
    </row>
    <row r="8854" spans="1:4" x14ac:dyDescent="0.3">
      <c r="A8854" s="1">
        <v>38778</v>
      </c>
      <c r="B8854">
        <v>2311.110107</v>
      </c>
      <c r="C8854">
        <f t="shared" si="293"/>
        <v>-1.5249827891910693E-3</v>
      </c>
      <c r="D8854">
        <f t="shared" si="292"/>
        <v>-0.1591703042786434</v>
      </c>
    </row>
    <row r="8855" spans="1:4" x14ac:dyDescent="0.3">
      <c r="A8855" s="1">
        <v>38779</v>
      </c>
      <c r="B8855">
        <v>2302.6000979999999</v>
      </c>
      <c r="C8855">
        <f t="shared" si="293"/>
        <v>-3.6822170325094259E-3</v>
      </c>
      <c r="D8855">
        <f t="shared" si="292"/>
        <v>-0.33174017314389947</v>
      </c>
    </row>
    <row r="8856" spans="1:4" x14ac:dyDescent="0.3">
      <c r="A8856" s="1">
        <v>38782</v>
      </c>
      <c r="B8856">
        <v>2286.030029</v>
      </c>
      <c r="C8856">
        <f t="shared" si="293"/>
        <v>-7.1962426364840177E-3</v>
      </c>
      <c r="D8856">
        <f t="shared" si="292"/>
        <v>-0.61284777170224258</v>
      </c>
    </row>
    <row r="8857" spans="1:4" x14ac:dyDescent="0.3">
      <c r="A8857" s="1">
        <v>38783</v>
      </c>
      <c r="B8857">
        <v>2268.3798830000001</v>
      </c>
      <c r="C8857">
        <f t="shared" si="293"/>
        <v>-7.7208723315506152E-3</v>
      </c>
      <c r="D8857">
        <f t="shared" si="292"/>
        <v>-0.65481599001737389</v>
      </c>
    </row>
    <row r="8858" spans="1:4" x14ac:dyDescent="0.3">
      <c r="A8858" s="1">
        <v>38784</v>
      </c>
      <c r="B8858">
        <v>2267.459961</v>
      </c>
      <c r="C8858">
        <f t="shared" si="293"/>
        <v>-4.0554142050643565E-4</v>
      </c>
      <c r="D8858">
        <f t="shared" si="292"/>
        <v>-6.9619597954285767E-2</v>
      </c>
    </row>
    <row r="8859" spans="1:4" x14ac:dyDescent="0.3">
      <c r="A8859" s="1">
        <v>38785</v>
      </c>
      <c r="B8859">
        <v>2249.719971</v>
      </c>
      <c r="C8859">
        <f t="shared" si="293"/>
        <v>-7.8237280062825477E-3</v>
      </c>
      <c r="D8859">
        <f t="shared" si="292"/>
        <v>-0.66304402105086679</v>
      </c>
    </row>
    <row r="8860" spans="1:4" x14ac:dyDescent="0.3">
      <c r="A8860" s="1">
        <v>38786</v>
      </c>
      <c r="B8860">
        <v>2262.040039</v>
      </c>
      <c r="C8860">
        <f t="shared" si="293"/>
        <v>5.4762673394074569E-3</v>
      </c>
      <c r="D8860">
        <f t="shared" si="292"/>
        <v>0.40090091669668698</v>
      </c>
    </row>
    <row r="8861" spans="1:4" x14ac:dyDescent="0.3">
      <c r="A8861" s="1">
        <v>38789</v>
      </c>
      <c r="B8861">
        <v>2267.030029</v>
      </c>
      <c r="C8861">
        <f t="shared" si="293"/>
        <v>2.2059689103496169E-3</v>
      </c>
      <c r="D8861">
        <f t="shared" si="292"/>
        <v>0.13929048991955231</v>
      </c>
    </row>
    <row r="8862" spans="1:4" x14ac:dyDescent="0.3">
      <c r="A8862" s="1">
        <v>38790</v>
      </c>
      <c r="B8862">
        <v>2295.8999020000001</v>
      </c>
      <c r="C8862">
        <f t="shared" si="293"/>
        <v>1.2734667221296033E-2</v>
      </c>
      <c r="D8862">
        <f t="shared" si="292"/>
        <v>0.98154306052911766</v>
      </c>
    </row>
    <row r="8863" spans="1:4" x14ac:dyDescent="0.3">
      <c r="A8863" s="1">
        <v>38791</v>
      </c>
      <c r="B8863">
        <v>2311.8400879999999</v>
      </c>
      <c r="C8863">
        <f t="shared" si="293"/>
        <v>6.9428924083815794E-3</v>
      </c>
      <c r="D8863">
        <f t="shared" si="292"/>
        <v>0.51822489141629768</v>
      </c>
    </row>
    <row r="8864" spans="1:4" x14ac:dyDescent="0.3">
      <c r="A8864" s="1">
        <v>38792</v>
      </c>
      <c r="B8864">
        <v>2299.5600589999999</v>
      </c>
      <c r="C8864">
        <f t="shared" si="293"/>
        <v>-5.3117986247152634E-3</v>
      </c>
      <c r="D8864">
        <f t="shared" si="292"/>
        <v>-0.46209999964081999</v>
      </c>
    </row>
    <row r="8865" spans="1:4" x14ac:dyDescent="0.3">
      <c r="A8865" s="1">
        <v>38793</v>
      </c>
      <c r="B8865">
        <v>2306.4799800000001</v>
      </c>
      <c r="C8865">
        <f t="shared" si="293"/>
        <v>3.009236907258424E-3</v>
      </c>
      <c r="D8865">
        <f t="shared" si="292"/>
        <v>0.20354862661451703</v>
      </c>
    </row>
    <row r="8866" spans="1:4" x14ac:dyDescent="0.3">
      <c r="A8866" s="1">
        <v>38796</v>
      </c>
      <c r="B8866">
        <v>2314.110107</v>
      </c>
      <c r="C8866">
        <f t="shared" si="293"/>
        <v>3.3081262643345822E-3</v>
      </c>
      <c r="D8866">
        <f t="shared" si="292"/>
        <v>0.22745854614022959</v>
      </c>
    </row>
    <row r="8867" spans="1:4" x14ac:dyDescent="0.3">
      <c r="A8867" s="1">
        <v>38797</v>
      </c>
      <c r="B8867">
        <v>2294.2299800000001</v>
      </c>
      <c r="C8867">
        <f t="shared" si="293"/>
        <v>-8.5908302028775939E-3</v>
      </c>
      <c r="D8867">
        <f t="shared" si="292"/>
        <v>-0.72440904243539017</v>
      </c>
    </row>
    <row r="8868" spans="1:4" x14ac:dyDescent="0.3">
      <c r="A8868" s="1">
        <v>38798</v>
      </c>
      <c r="B8868">
        <v>2303.3500979999999</v>
      </c>
      <c r="C8868">
        <f t="shared" si="293"/>
        <v>3.9752414010385392E-3</v>
      </c>
      <c r="D8868">
        <f t="shared" si="292"/>
        <v>0.2808250138827128</v>
      </c>
    </row>
    <row r="8869" spans="1:4" x14ac:dyDescent="0.3">
      <c r="A8869" s="1">
        <v>38799</v>
      </c>
      <c r="B8869">
        <v>2300.1499020000001</v>
      </c>
      <c r="C8869">
        <f t="shared" si="293"/>
        <v>-1.3893658644330751E-3</v>
      </c>
      <c r="D8869">
        <f t="shared" si="292"/>
        <v>-0.14832150795813062</v>
      </c>
    </row>
    <row r="8870" spans="1:4" x14ac:dyDescent="0.3">
      <c r="A8870" s="1">
        <v>38800</v>
      </c>
      <c r="B8870">
        <v>2312.820068</v>
      </c>
      <c r="C8870">
        <f t="shared" si="293"/>
        <v>5.5084088167397533E-3</v>
      </c>
      <c r="D8870">
        <f t="shared" si="292"/>
        <v>0.40347210271672618</v>
      </c>
    </row>
    <row r="8871" spans="1:4" x14ac:dyDescent="0.3">
      <c r="A8871" s="1">
        <v>38803</v>
      </c>
      <c r="B8871">
        <v>2315.580078</v>
      </c>
      <c r="C8871">
        <f t="shared" si="293"/>
        <v>1.1933526685396979E-3</v>
      </c>
      <c r="D8871">
        <f t="shared" si="292"/>
        <v>5.8285354477625437E-2</v>
      </c>
    </row>
    <row r="8872" spans="1:4" x14ac:dyDescent="0.3">
      <c r="A8872" s="1">
        <v>38804</v>
      </c>
      <c r="B8872">
        <v>2304.459961</v>
      </c>
      <c r="C8872">
        <f t="shared" si="293"/>
        <v>-4.8023029329240657E-3</v>
      </c>
      <c r="D8872">
        <f t="shared" si="292"/>
        <v>-0.42134243935632731</v>
      </c>
    </row>
    <row r="8873" spans="1:4" x14ac:dyDescent="0.3">
      <c r="A8873" s="1">
        <v>38805</v>
      </c>
      <c r="B8873">
        <v>2337.780029</v>
      </c>
      <c r="C8873">
        <f t="shared" si="293"/>
        <v>1.4458948544951522E-2</v>
      </c>
      <c r="D8873">
        <f t="shared" si="292"/>
        <v>1.1194784761343877</v>
      </c>
    </row>
    <row r="8874" spans="1:4" x14ac:dyDescent="0.3">
      <c r="A8874" s="1">
        <v>38806</v>
      </c>
      <c r="B8874">
        <v>2340.820068</v>
      </c>
      <c r="C8874">
        <f t="shared" si="293"/>
        <v>1.3003956583974988E-3</v>
      </c>
      <c r="D8874">
        <f t="shared" si="292"/>
        <v>6.6848353502845126E-2</v>
      </c>
    </row>
    <row r="8875" spans="1:4" x14ac:dyDescent="0.3">
      <c r="A8875" s="1">
        <v>38807</v>
      </c>
      <c r="B8875">
        <v>2339.790039</v>
      </c>
      <c r="C8875">
        <f t="shared" si="293"/>
        <v>-4.4002912230672707E-4</v>
      </c>
      <c r="D8875">
        <f t="shared" si="292"/>
        <v>-7.2378472284031908E-2</v>
      </c>
    </row>
    <row r="8876" spans="1:4" x14ac:dyDescent="0.3">
      <c r="A8876" s="1">
        <v>38810</v>
      </c>
      <c r="B8876">
        <v>2336.73999</v>
      </c>
      <c r="C8876">
        <f t="shared" si="293"/>
        <v>-1.3035567077221602E-3</v>
      </c>
      <c r="D8876">
        <f t="shared" si="292"/>
        <v>-0.14145712827061818</v>
      </c>
    </row>
    <row r="8877" spans="1:4" x14ac:dyDescent="0.3">
      <c r="A8877" s="1">
        <v>38811</v>
      </c>
      <c r="B8877">
        <v>2345.360107</v>
      </c>
      <c r="C8877">
        <f t="shared" si="293"/>
        <v>3.6889500059439375E-3</v>
      </c>
      <c r="D8877">
        <f t="shared" si="292"/>
        <v>0.25792287951239556</v>
      </c>
    </row>
    <row r="8878" spans="1:4" x14ac:dyDescent="0.3">
      <c r="A8878" s="1">
        <v>38812</v>
      </c>
      <c r="B8878">
        <v>2359.75</v>
      </c>
      <c r="C8878">
        <f t="shared" si="293"/>
        <v>6.1354727391549468E-3</v>
      </c>
      <c r="D8878">
        <f t="shared" si="292"/>
        <v>0.4536346380076855</v>
      </c>
    </row>
    <row r="8879" spans="1:4" x14ac:dyDescent="0.3">
      <c r="A8879" s="1">
        <v>38813</v>
      </c>
      <c r="B8879">
        <v>2361.169922</v>
      </c>
      <c r="C8879">
        <f t="shared" si="293"/>
        <v>6.0172560652613303E-4</v>
      </c>
      <c r="D8879">
        <f t="shared" si="292"/>
        <v>1.0957622301555701E-2</v>
      </c>
    </row>
    <row r="8880" spans="1:4" x14ac:dyDescent="0.3">
      <c r="A8880" s="1">
        <v>38814</v>
      </c>
      <c r="B8880">
        <v>2339.0200199999999</v>
      </c>
      <c r="C8880">
        <f t="shared" si="293"/>
        <v>-9.3809013038918896E-3</v>
      </c>
      <c r="D8880">
        <f t="shared" si="292"/>
        <v>-0.78761148172475415</v>
      </c>
    </row>
    <row r="8881" spans="1:4" x14ac:dyDescent="0.3">
      <c r="A8881" s="1">
        <v>38817</v>
      </c>
      <c r="B8881">
        <v>2333.2700199999999</v>
      </c>
      <c r="C8881">
        <f t="shared" si="293"/>
        <v>-2.4582944783858671E-3</v>
      </c>
      <c r="D8881">
        <f t="shared" si="292"/>
        <v>-0.2338314016136295</v>
      </c>
    </row>
    <row r="8882" spans="1:4" x14ac:dyDescent="0.3">
      <c r="A8882" s="1">
        <v>38818</v>
      </c>
      <c r="B8882">
        <v>2310.3500979999999</v>
      </c>
      <c r="C8882">
        <f t="shared" si="293"/>
        <v>-9.8230902568233591E-3</v>
      </c>
      <c r="D8882">
        <f t="shared" si="292"/>
        <v>-0.82298477966743255</v>
      </c>
    </row>
    <row r="8883" spans="1:4" x14ac:dyDescent="0.3">
      <c r="A8883" s="1">
        <v>38819</v>
      </c>
      <c r="B8883">
        <v>2314.679932</v>
      </c>
      <c r="C8883">
        <f t="shared" si="293"/>
        <v>1.8741029784829256E-3</v>
      </c>
      <c r="D8883">
        <f t="shared" si="292"/>
        <v>0.11274258001108292</v>
      </c>
    </row>
    <row r="8884" spans="1:4" x14ac:dyDescent="0.3">
      <c r="A8884" s="1">
        <v>38820</v>
      </c>
      <c r="B8884">
        <v>2326.110107</v>
      </c>
      <c r="C8884">
        <f t="shared" si="293"/>
        <v>4.9381233413656961E-3</v>
      </c>
      <c r="D8884">
        <f t="shared" si="292"/>
        <v>0.35785160971468843</v>
      </c>
    </row>
    <row r="8885" spans="1:4" x14ac:dyDescent="0.3">
      <c r="A8885" s="1">
        <v>38824</v>
      </c>
      <c r="B8885">
        <v>2311.1599120000001</v>
      </c>
      <c r="C8885">
        <f t="shared" si="293"/>
        <v>-6.4271226693053077E-3</v>
      </c>
      <c r="D8885">
        <f t="shared" si="292"/>
        <v>-0.55132133696814833</v>
      </c>
    </row>
    <row r="8886" spans="1:4" x14ac:dyDescent="0.3">
      <c r="A8886" s="1">
        <v>38825</v>
      </c>
      <c r="B8886">
        <v>2356.139893</v>
      </c>
      <c r="C8886">
        <f t="shared" si="293"/>
        <v>1.9462080822038742E-2</v>
      </c>
      <c r="D8886">
        <f t="shared" si="292"/>
        <v>1.5197084852985132</v>
      </c>
    </row>
    <row r="8887" spans="1:4" x14ac:dyDescent="0.3">
      <c r="A8887" s="1">
        <v>38826</v>
      </c>
      <c r="B8887">
        <v>2370.8798830000001</v>
      </c>
      <c r="C8887">
        <f t="shared" si="293"/>
        <v>6.2559910147067122E-3</v>
      </c>
      <c r="D8887">
        <f t="shared" si="292"/>
        <v>0.46327560447771648</v>
      </c>
    </row>
    <row r="8888" spans="1:4" x14ac:dyDescent="0.3">
      <c r="A8888" s="1">
        <v>38827</v>
      </c>
      <c r="B8888">
        <v>2362.5500489999999</v>
      </c>
      <c r="C8888">
        <f t="shared" si="293"/>
        <v>-3.5133935125637567E-3</v>
      </c>
      <c r="D8888">
        <f t="shared" si="292"/>
        <v>-0.31823498575470799</v>
      </c>
    </row>
    <row r="8889" spans="1:4" x14ac:dyDescent="0.3">
      <c r="A8889" s="1">
        <v>38828</v>
      </c>
      <c r="B8889">
        <v>2342.860107</v>
      </c>
      <c r="C8889">
        <f t="shared" si="293"/>
        <v>-8.3341904262871237E-3</v>
      </c>
      <c r="D8889">
        <f t="shared" si="292"/>
        <v>-0.7038789156172196</v>
      </c>
    </row>
    <row r="8890" spans="1:4" x14ac:dyDescent="0.3">
      <c r="A8890" s="1">
        <v>38831</v>
      </c>
      <c r="B8890">
        <v>2333.3798830000001</v>
      </c>
      <c r="C8890">
        <f t="shared" si="293"/>
        <v>-4.0464319536940695E-3</v>
      </c>
      <c r="D8890">
        <f t="shared" si="292"/>
        <v>-0.36087586917796621</v>
      </c>
    </row>
    <row r="8891" spans="1:4" x14ac:dyDescent="0.3">
      <c r="A8891" s="1">
        <v>38832</v>
      </c>
      <c r="B8891">
        <v>2330.3000489999999</v>
      </c>
      <c r="C8891">
        <f t="shared" si="293"/>
        <v>-1.3199025252760863E-3</v>
      </c>
      <c r="D8891">
        <f t="shared" si="292"/>
        <v>-0.14276472646052885</v>
      </c>
    </row>
    <row r="8892" spans="1:4" x14ac:dyDescent="0.3">
      <c r="A8892" s="1">
        <v>38833</v>
      </c>
      <c r="B8892">
        <v>2333.6298830000001</v>
      </c>
      <c r="C8892">
        <f t="shared" si="293"/>
        <v>1.4289292923583159E-3</v>
      </c>
      <c r="D8892">
        <f t="shared" si="292"/>
        <v>7.713051568624954E-2</v>
      </c>
    </row>
    <row r="8893" spans="1:4" x14ac:dyDescent="0.3">
      <c r="A8893" s="1">
        <v>38834</v>
      </c>
      <c r="B8893">
        <v>2344.9499510000001</v>
      </c>
      <c r="C8893">
        <f t="shared" si="293"/>
        <v>4.8508412077100539E-3</v>
      </c>
      <c r="D8893">
        <f t="shared" si="292"/>
        <v>0.35086939792851518</v>
      </c>
    </row>
    <row r="8894" spans="1:4" x14ac:dyDescent="0.3">
      <c r="A8894" s="1">
        <v>38835</v>
      </c>
      <c r="B8894">
        <v>2322.570068</v>
      </c>
      <c r="C8894">
        <f t="shared" si="293"/>
        <v>-9.5438638212539239E-3</v>
      </c>
      <c r="D8894">
        <f t="shared" si="292"/>
        <v>-0.80064781300784138</v>
      </c>
    </row>
    <row r="8895" spans="1:4" x14ac:dyDescent="0.3">
      <c r="A8895" s="1">
        <v>38838</v>
      </c>
      <c r="B8895">
        <v>2304.790039</v>
      </c>
      <c r="C8895">
        <f t="shared" si="293"/>
        <v>-7.6553251266648177E-3</v>
      </c>
      <c r="D8895">
        <f t="shared" si="292"/>
        <v>-0.64957248315822713</v>
      </c>
    </row>
    <row r="8896" spans="1:4" x14ac:dyDescent="0.3">
      <c r="A8896" s="1">
        <v>38839</v>
      </c>
      <c r="B8896">
        <v>2309.8400879999999</v>
      </c>
      <c r="C8896">
        <f t="shared" si="293"/>
        <v>2.1911102159184333E-3</v>
      </c>
      <c r="D8896">
        <f t="shared" si="292"/>
        <v>0.13810185546437423</v>
      </c>
    </row>
    <row r="8897" spans="1:4" x14ac:dyDescent="0.3">
      <c r="A8897" s="1">
        <v>38840</v>
      </c>
      <c r="B8897">
        <v>2303.969971</v>
      </c>
      <c r="C8897">
        <f t="shared" si="293"/>
        <v>-2.5413521180518784E-3</v>
      </c>
      <c r="D8897">
        <f t="shared" si="292"/>
        <v>-0.24047567125185534</v>
      </c>
    </row>
    <row r="8898" spans="1:4" x14ac:dyDescent="0.3">
      <c r="A8898" s="1">
        <v>38841</v>
      </c>
      <c r="B8898">
        <v>2323.8999020000001</v>
      </c>
      <c r="C8898">
        <f t="shared" si="293"/>
        <v>8.6502564056205426E-3</v>
      </c>
      <c r="D8898">
        <f t="shared" si="292"/>
        <v>0.65480699047270774</v>
      </c>
    </row>
    <row r="8899" spans="1:4" x14ac:dyDescent="0.3">
      <c r="A8899" s="1">
        <v>38842</v>
      </c>
      <c r="B8899">
        <v>2342.570068</v>
      </c>
      <c r="C8899">
        <f t="shared" si="293"/>
        <v>8.0339802862988714E-3</v>
      </c>
      <c r="D8899">
        <f t="shared" ref="D8899:D8962" si="294">(C8899-avrtn)/sdrtn</f>
        <v>0.60550743506951865</v>
      </c>
    </row>
    <row r="8900" spans="1:4" x14ac:dyDescent="0.3">
      <c r="A8900" s="1">
        <v>38845</v>
      </c>
      <c r="B8900">
        <v>2344.98999</v>
      </c>
      <c r="C8900">
        <f t="shared" ref="C8900:C8963" si="295">(B8900-B8899)/B8899</f>
        <v>1.0330201145556694E-3</v>
      </c>
      <c r="D8900">
        <f t="shared" si="294"/>
        <v>4.545940945030455E-2</v>
      </c>
    </row>
    <row r="8901" spans="1:4" x14ac:dyDescent="0.3">
      <c r="A8901" s="1">
        <v>38846</v>
      </c>
      <c r="B8901">
        <v>2338.25</v>
      </c>
      <c r="C8901">
        <f t="shared" si="295"/>
        <v>-2.8742084310560464E-3</v>
      </c>
      <c r="D8901">
        <f t="shared" si="294"/>
        <v>-0.26710280757885135</v>
      </c>
    </row>
    <row r="8902" spans="1:4" x14ac:dyDescent="0.3">
      <c r="A8902" s="1">
        <v>38847</v>
      </c>
      <c r="B8902">
        <v>2320.73999</v>
      </c>
      <c r="C8902">
        <f t="shared" si="295"/>
        <v>-7.4885106382978576E-3</v>
      </c>
      <c r="D8902">
        <f t="shared" si="294"/>
        <v>-0.63622801003414509</v>
      </c>
    </row>
    <row r="8903" spans="1:4" x14ac:dyDescent="0.3">
      <c r="A8903" s="1">
        <v>38848</v>
      </c>
      <c r="B8903">
        <v>2272.6999510000001</v>
      </c>
      <c r="C8903">
        <f t="shared" si="295"/>
        <v>-2.070031076596391E-2</v>
      </c>
      <c r="D8903">
        <f t="shared" si="294"/>
        <v>-1.6931176930006864</v>
      </c>
    </row>
    <row r="8904" spans="1:4" x14ac:dyDescent="0.3">
      <c r="A8904" s="1">
        <v>38849</v>
      </c>
      <c r="B8904">
        <v>2243.780029</v>
      </c>
      <c r="C8904">
        <f t="shared" si="295"/>
        <v>-1.2724918653373106E-2</v>
      </c>
      <c r="D8904">
        <f t="shared" si="294"/>
        <v>-1.0551191190017468</v>
      </c>
    </row>
    <row r="8905" spans="1:4" x14ac:dyDescent="0.3">
      <c r="A8905" s="1">
        <v>38852</v>
      </c>
      <c r="B8905">
        <v>2238.5200199999999</v>
      </c>
      <c r="C8905">
        <f t="shared" si="295"/>
        <v>-2.344262330538856E-3</v>
      </c>
      <c r="D8905">
        <f t="shared" si="294"/>
        <v>-0.22470929868886236</v>
      </c>
    </row>
    <row r="8906" spans="1:4" x14ac:dyDescent="0.3">
      <c r="A8906" s="1">
        <v>38853</v>
      </c>
      <c r="B8906">
        <v>2229.1298830000001</v>
      </c>
      <c r="C8906">
        <f t="shared" si="295"/>
        <v>-4.19479697125955E-3</v>
      </c>
      <c r="D8906">
        <f t="shared" si="294"/>
        <v>-0.37274446050260701</v>
      </c>
    </row>
    <row r="8907" spans="1:4" x14ac:dyDescent="0.3">
      <c r="A8907" s="1">
        <v>38854</v>
      </c>
      <c r="B8907">
        <v>2195.8000489999999</v>
      </c>
      <c r="C8907">
        <f t="shared" si="295"/>
        <v>-1.4951947956995792E-2</v>
      </c>
      <c r="D8907">
        <f t="shared" si="294"/>
        <v>-1.2332723056923465</v>
      </c>
    </row>
    <row r="8908" spans="1:4" x14ac:dyDescent="0.3">
      <c r="A8908" s="1">
        <v>38855</v>
      </c>
      <c r="B8908">
        <v>2180.320068</v>
      </c>
      <c r="C8908">
        <f t="shared" si="295"/>
        <v>-7.0498135779939377E-3</v>
      </c>
      <c r="D8908">
        <f t="shared" si="294"/>
        <v>-0.60113404914292246</v>
      </c>
    </row>
    <row r="8909" spans="1:4" x14ac:dyDescent="0.3">
      <c r="A8909" s="1">
        <v>38856</v>
      </c>
      <c r="B8909">
        <v>2193.8798830000001</v>
      </c>
      <c r="C8909">
        <f t="shared" si="295"/>
        <v>6.2191855218937846E-3</v>
      </c>
      <c r="D8909">
        <f t="shared" si="294"/>
        <v>0.46033131639777308</v>
      </c>
    </row>
    <row r="8910" spans="1:4" x14ac:dyDescent="0.3">
      <c r="A8910" s="1">
        <v>38859</v>
      </c>
      <c r="B8910">
        <v>2172.860107</v>
      </c>
      <c r="C8910">
        <f t="shared" si="295"/>
        <v>-9.5810970157841104E-3</v>
      </c>
      <c r="D8910">
        <f t="shared" si="294"/>
        <v>-0.80362631546644558</v>
      </c>
    </row>
    <row r="8911" spans="1:4" x14ac:dyDescent="0.3">
      <c r="A8911" s="1">
        <v>38860</v>
      </c>
      <c r="B8911">
        <v>2158.76001</v>
      </c>
      <c r="C8911">
        <f t="shared" si="295"/>
        <v>-6.4891876631061945E-3</v>
      </c>
      <c r="D8911">
        <f t="shared" si="294"/>
        <v>-0.5562862812594398</v>
      </c>
    </row>
    <row r="8912" spans="1:4" x14ac:dyDescent="0.3">
      <c r="A8912" s="1">
        <v>38861</v>
      </c>
      <c r="B8912">
        <v>2169.169922</v>
      </c>
      <c r="C8912">
        <f t="shared" si="295"/>
        <v>4.822171965284866E-3</v>
      </c>
      <c r="D8912">
        <f t="shared" si="294"/>
        <v>0.34857597642312943</v>
      </c>
    </row>
    <row r="8913" spans="1:4" x14ac:dyDescent="0.3">
      <c r="A8913" s="1">
        <v>38862</v>
      </c>
      <c r="B8913">
        <v>2198.23999</v>
      </c>
      <c r="C8913">
        <f t="shared" si="295"/>
        <v>1.3401471090469966E-2</v>
      </c>
      <c r="D8913">
        <f t="shared" si="294"/>
        <v>1.0348846281491386</v>
      </c>
    </row>
    <row r="8914" spans="1:4" x14ac:dyDescent="0.3">
      <c r="A8914" s="1">
        <v>38863</v>
      </c>
      <c r="B8914">
        <v>2210.3701169999999</v>
      </c>
      <c r="C8914">
        <f t="shared" si="295"/>
        <v>5.5181086028736571E-3</v>
      </c>
      <c r="D8914">
        <f t="shared" si="294"/>
        <v>0.40424804572167955</v>
      </c>
    </row>
    <row r="8915" spans="1:4" x14ac:dyDescent="0.3">
      <c r="A8915" s="1">
        <v>38867</v>
      </c>
      <c r="B8915">
        <v>2164.73999</v>
      </c>
      <c r="C8915">
        <f t="shared" si="295"/>
        <v>-2.0643659018486405E-2</v>
      </c>
      <c r="D8915">
        <f t="shared" si="294"/>
        <v>-1.6885857861558635</v>
      </c>
    </row>
    <row r="8916" spans="1:4" x14ac:dyDescent="0.3">
      <c r="A8916" s="1">
        <v>38868</v>
      </c>
      <c r="B8916">
        <v>2178.8798830000001</v>
      </c>
      <c r="C8916">
        <f t="shared" si="295"/>
        <v>6.5319128695913399E-3</v>
      </c>
      <c r="D8916">
        <f t="shared" si="294"/>
        <v>0.48534821827103997</v>
      </c>
    </row>
    <row r="8917" spans="1:4" x14ac:dyDescent="0.3">
      <c r="A8917" s="1">
        <v>38869</v>
      </c>
      <c r="B8917">
        <v>2219.860107</v>
      </c>
      <c r="C8917">
        <f t="shared" si="295"/>
        <v>1.8807931689917717E-2</v>
      </c>
      <c r="D8917">
        <f t="shared" si="294"/>
        <v>1.4673792446061351</v>
      </c>
    </row>
    <row r="8918" spans="1:4" x14ac:dyDescent="0.3">
      <c r="A8918" s="1">
        <v>38870</v>
      </c>
      <c r="B8918">
        <v>2219.4099120000001</v>
      </c>
      <c r="C8918">
        <f t="shared" si="295"/>
        <v>-2.0280332016430719E-4</v>
      </c>
      <c r="D8918">
        <f t="shared" si="294"/>
        <v>-5.340138359096544E-2</v>
      </c>
    </row>
    <row r="8919" spans="1:4" x14ac:dyDescent="0.3">
      <c r="A8919" s="1">
        <v>38873</v>
      </c>
      <c r="B8919">
        <v>2169.6201169999999</v>
      </c>
      <c r="C8919">
        <f t="shared" si="295"/>
        <v>-2.2433798610520101E-2</v>
      </c>
      <c r="D8919">
        <f t="shared" si="294"/>
        <v>-1.8317895924205725</v>
      </c>
    </row>
    <row r="8920" spans="1:4" x14ac:dyDescent="0.3">
      <c r="A8920" s="1">
        <v>38874</v>
      </c>
      <c r="B8920">
        <v>2162.780029</v>
      </c>
      <c r="C8920">
        <f t="shared" si="295"/>
        <v>-3.1526661955263956E-3</v>
      </c>
      <c r="D8920">
        <f t="shared" si="294"/>
        <v>-0.28937828371130997</v>
      </c>
    </row>
    <row r="8921" spans="1:4" x14ac:dyDescent="0.3">
      <c r="A8921" s="1">
        <v>38875</v>
      </c>
      <c r="B8921">
        <v>2151.8000489999999</v>
      </c>
      <c r="C8921">
        <f t="shared" si="295"/>
        <v>-5.0767899891681813E-3</v>
      </c>
      <c r="D8921">
        <f t="shared" si="294"/>
        <v>-0.44330027515833703</v>
      </c>
    </row>
    <row r="8922" spans="1:4" x14ac:dyDescent="0.3">
      <c r="A8922" s="1">
        <v>38876</v>
      </c>
      <c r="B8922">
        <v>2145.320068</v>
      </c>
      <c r="C8922">
        <f t="shared" si="295"/>
        <v>-3.0114233908542644E-3</v>
      </c>
      <c r="D8922">
        <f t="shared" si="294"/>
        <v>-0.27807944013142266</v>
      </c>
    </row>
    <row r="8923" spans="1:4" x14ac:dyDescent="0.3">
      <c r="A8923" s="1">
        <v>38877</v>
      </c>
      <c r="B8923">
        <v>2135.0600589999999</v>
      </c>
      <c r="C8923">
        <f t="shared" si="295"/>
        <v>-4.782507353117289E-3</v>
      </c>
      <c r="D8923">
        <f t="shared" si="294"/>
        <v>-0.41975887437169573</v>
      </c>
    </row>
    <row r="8924" spans="1:4" x14ac:dyDescent="0.3">
      <c r="A8924" s="1">
        <v>38880</v>
      </c>
      <c r="B8924">
        <v>2091.320068</v>
      </c>
      <c r="C8924">
        <f t="shared" si="295"/>
        <v>-2.0486538922228941E-2</v>
      </c>
      <c r="D8924">
        <f t="shared" si="294"/>
        <v>-1.6760168245369627</v>
      </c>
    </row>
    <row r="8925" spans="1:4" x14ac:dyDescent="0.3">
      <c r="A8925" s="1">
        <v>38881</v>
      </c>
      <c r="B8925">
        <v>2072.469971</v>
      </c>
      <c r="C8925">
        <f t="shared" si="295"/>
        <v>-9.0134921423228095E-3</v>
      </c>
      <c r="D8925">
        <f t="shared" si="294"/>
        <v>-0.7582202595947275</v>
      </c>
    </row>
    <row r="8926" spans="1:4" x14ac:dyDescent="0.3">
      <c r="A8926" s="1">
        <v>38882</v>
      </c>
      <c r="B8926">
        <v>2086</v>
      </c>
      <c r="C8926">
        <f t="shared" si="295"/>
        <v>6.5284559917997542E-3</v>
      </c>
      <c r="D8926">
        <f t="shared" si="294"/>
        <v>0.48507168226247949</v>
      </c>
    </row>
    <row r="8927" spans="1:4" x14ac:dyDescent="0.3">
      <c r="A8927" s="1">
        <v>38883</v>
      </c>
      <c r="B8927">
        <v>2144.1499020000001</v>
      </c>
      <c r="C8927">
        <f t="shared" si="295"/>
        <v>2.7876271332694203E-2</v>
      </c>
      <c r="D8927">
        <f t="shared" si="294"/>
        <v>2.1928091267928309</v>
      </c>
    </row>
    <row r="8928" spans="1:4" x14ac:dyDescent="0.3">
      <c r="A8928" s="1">
        <v>38884</v>
      </c>
      <c r="B8928">
        <v>2129.9499510000001</v>
      </c>
      <c r="C8928">
        <f t="shared" si="295"/>
        <v>-6.6226484383180287E-3</v>
      </c>
      <c r="D8928">
        <f t="shared" si="294"/>
        <v>-0.56696259448239972</v>
      </c>
    </row>
    <row r="8929" spans="1:4" x14ac:dyDescent="0.3">
      <c r="A8929" s="1">
        <v>38887</v>
      </c>
      <c r="B8929">
        <v>2110.419922</v>
      </c>
      <c r="C8929">
        <f t="shared" si="295"/>
        <v>-9.1692431509157145E-3</v>
      </c>
      <c r="D8929">
        <f t="shared" si="294"/>
        <v>-0.77067969983018569</v>
      </c>
    </row>
    <row r="8930" spans="1:4" x14ac:dyDescent="0.3">
      <c r="A8930" s="1">
        <v>38888</v>
      </c>
      <c r="B8930">
        <v>2107.0600589999999</v>
      </c>
      <c r="C8930">
        <f t="shared" si="295"/>
        <v>-1.5920352935334602E-3</v>
      </c>
      <c r="D8930">
        <f t="shared" si="294"/>
        <v>-0.16453422890448932</v>
      </c>
    </row>
    <row r="8931" spans="1:4" x14ac:dyDescent="0.3">
      <c r="A8931" s="1">
        <v>38889</v>
      </c>
      <c r="B8931">
        <v>2141.1999510000001</v>
      </c>
      <c r="C8931">
        <f t="shared" si="295"/>
        <v>1.620261931034029E-2</v>
      </c>
      <c r="D8931">
        <f t="shared" si="294"/>
        <v>1.2589649673484591</v>
      </c>
    </row>
    <row r="8932" spans="1:4" x14ac:dyDescent="0.3">
      <c r="A8932" s="1">
        <v>38890</v>
      </c>
      <c r="B8932">
        <v>2122.9799800000001</v>
      </c>
      <c r="C8932">
        <f t="shared" si="295"/>
        <v>-8.5092338020513938E-3</v>
      </c>
      <c r="D8932">
        <f t="shared" si="294"/>
        <v>-0.71788166589569913</v>
      </c>
    </row>
    <row r="8933" spans="1:4" x14ac:dyDescent="0.3">
      <c r="A8933" s="1">
        <v>38891</v>
      </c>
      <c r="B8933">
        <v>2121.469971</v>
      </c>
      <c r="C8933">
        <f t="shared" si="295"/>
        <v>-7.1126860084666543E-4</v>
      </c>
      <c r="D8933">
        <f t="shared" si="294"/>
        <v>-9.4076515223826776E-2</v>
      </c>
    </row>
    <row r="8934" spans="1:4" x14ac:dyDescent="0.3">
      <c r="A8934" s="1">
        <v>38894</v>
      </c>
      <c r="B8934">
        <v>2133.669922</v>
      </c>
      <c r="C8934">
        <f t="shared" si="295"/>
        <v>5.7507064284531674E-3</v>
      </c>
      <c r="D8934">
        <f t="shared" si="294"/>
        <v>0.42285491532006658</v>
      </c>
    </row>
    <row r="8935" spans="1:4" x14ac:dyDescent="0.3">
      <c r="A8935" s="1">
        <v>38895</v>
      </c>
      <c r="B8935">
        <v>2100.25</v>
      </c>
      <c r="C8935">
        <f t="shared" si="295"/>
        <v>-1.5663117174503641E-2</v>
      </c>
      <c r="D8935">
        <f t="shared" si="294"/>
        <v>-1.2901629187476784</v>
      </c>
    </row>
    <row r="8936" spans="1:4" x14ac:dyDescent="0.3">
      <c r="A8936" s="1">
        <v>38896</v>
      </c>
      <c r="B8936">
        <v>2111.8400879999999</v>
      </c>
      <c r="C8936">
        <f t="shared" si="295"/>
        <v>5.5184325675514453E-3</v>
      </c>
      <c r="D8936">
        <f t="shared" si="294"/>
        <v>0.40427396156375189</v>
      </c>
    </row>
    <row r="8937" spans="1:4" x14ac:dyDescent="0.3">
      <c r="A8937" s="1">
        <v>38897</v>
      </c>
      <c r="B8937">
        <v>2174.3798830000001</v>
      </c>
      <c r="C8937">
        <f t="shared" si="295"/>
        <v>2.9613887602270073E-2</v>
      </c>
      <c r="D8937">
        <f t="shared" si="294"/>
        <v>2.3318112832381064</v>
      </c>
    </row>
    <row r="8938" spans="1:4" x14ac:dyDescent="0.3">
      <c r="A8938" s="1">
        <v>38898</v>
      </c>
      <c r="B8938">
        <v>2172.0900879999999</v>
      </c>
      <c r="C8938">
        <f t="shared" si="295"/>
        <v>-1.0530795551883516E-3</v>
      </c>
      <c r="D8938">
        <f t="shared" si="294"/>
        <v>-0.12141998603611902</v>
      </c>
    </row>
    <row r="8939" spans="1:4" x14ac:dyDescent="0.3">
      <c r="A8939" s="1">
        <v>38901</v>
      </c>
      <c r="B8939">
        <v>2190.429932</v>
      </c>
      <c r="C8939">
        <f t="shared" si="295"/>
        <v>8.4434085406130191E-3</v>
      </c>
      <c r="D8939">
        <f t="shared" si="294"/>
        <v>0.6382600118356091</v>
      </c>
    </row>
    <row r="8940" spans="1:4" x14ac:dyDescent="0.3">
      <c r="A8940" s="1">
        <v>38903</v>
      </c>
      <c r="B8940">
        <v>2153.3400879999999</v>
      </c>
      <c r="C8940">
        <f t="shared" si="295"/>
        <v>-1.6932677671243623E-2</v>
      </c>
      <c r="D8940">
        <f t="shared" si="294"/>
        <v>-1.3917225380229208</v>
      </c>
    </row>
    <row r="8941" spans="1:4" x14ac:dyDescent="0.3">
      <c r="A8941" s="1">
        <v>38904</v>
      </c>
      <c r="B8941">
        <v>2155.0900879999999</v>
      </c>
      <c r="C8941">
        <f t="shared" si="295"/>
        <v>8.1269094916882451E-4</v>
      </c>
      <c r="D8941">
        <f t="shared" si="294"/>
        <v>2.7833982218298588E-2</v>
      </c>
    </row>
    <row r="8942" spans="1:4" x14ac:dyDescent="0.3">
      <c r="A8942" s="1">
        <v>38905</v>
      </c>
      <c r="B8942">
        <v>2130.0600589999999</v>
      </c>
      <c r="C8942">
        <f t="shared" si="295"/>
        <v>-1.1614377115542659E-2</v>
      </c>
      <c r="D8942">
        <f t="shared" si="294"/>
        <v>-0.96628036254940097</v>
      </c>
    </row>
    <row r="8943" spans="1:4" x14ac:dyDescent="0.3">
      <c r="A8943" s="1">
        <v>38908</v>
      </c>
      <c r="B8943">
        <v>2116.929932</v>
      </c>
      <c r="C8943">
        <f t="shared" si="295"/>
        <v>-6.1642050629145675E-3</v>
      </c>
      <c r="D8943">
        <f t="shared" si="294"/>
        <v>-0.53028900958054659</v>
      </c>
    </row>
    <row r="8944" spans="1:4" x14ac:dyDescent="0.3">
      <c r="A8944" s="1">
        <v>38909</v>
      </c>
      <c r="B8944">
        <v>2128.860107</v>
      </c>
      <c r="C8944">
        <f t="shared" si="295"/>
        <v>5.6356022084910282E-3</v>
      </c>
      <c r="D8944">
        <f t="shared" si="294"/>
        <v>0.41364705103447608</v>
      </c>
    </row>
    <row r="8945" spans="1:4" x14ac:dyDescent="0.3">
      <c r="A8945" s="1">
        <v>38910</v>
      </c>
      <c r="B8945">
        <v>2090.23999</v>
      </c>
      <c r="C8945">
        <f t="shared" si="295"/>
        <v>-1.8141218802029971E-2</v>
      </c>
      <c r="D8945">
        <f t="shared" si="294"/>
        <v>-1.4884008589350046</v>
      </c>
    </row>
    <row r="8946" spans="1:4" x14ac:dyDescent="0.3">
      <c r="A8946" s="1">
        <v>38911</v>
      </c>
      <c r="B8946">
        <v>2054.110107</v>
      </c>
      <c r="C8946">
        <f t="shared" si="295"/>
        <v>-1.7285040556515266E-2</v>
      </c>
      <c r="D8946">
        <f t="shared" si="294"/>
        <v>-1.4199101199198103</v>
      </c>
    </row>
    <row r="8947" spans="1:4" x14ac:dyDescent="0.3">
      <c r="A8947" s="1">
        <v>38912</v>
      </c>
      <c r="B8947">
        <v>2037.349976</v>
      </c>
      <c r="C8947">
        <f t="shared" si="295"/>
        <v>-8.1593148015214941E-3</v>
      </c>
      <c r="D8947">
        <f t="shared" si="294"/>
        <v>-0.68988958472883499</v>
      </c>
    </row>
    <row r="8948" spans="1:4" x14ac:dyDescent="0.3">
      <c r="A8948" s="1">
        <v>38915</v>
      </c>
      <c r="B8948">
        <v>2037.719971</v>
      </c>
      <c r="C8948">
        <f t="shared" si="295"/>
        <v>1.8160600994358427E-4</v>
      </c>
      <c r="D8948">
        <f t="shared" si="294"/>
        <v>-2.2650217882944582E-2</v>
      </c>
    </row>
    <row r="8949" spans="1:4" x14ac:dyDescent="0.3">
      <c r="A8949" s="1">
        <v>38916</v>
      </c>
      <c r="B8949">
        <v>2043.219971</v>
      </c>
      <c r="C8949">
        <f t="shared" si="295"/>
        <v>2.6990951054481275E-3</v>
      </c>
      <c r="D8949">
        <f t="shared" si="294"/>
        <v>0.17873855778040265</v>
      </c>
    </row>
    <row r="8950" spans="1:4" x14ac:dyDescent="0.3">
      <c r="A8950" s="1">
        <v>38917</v>
      </c>
      <c r="B8950">
        <v>2080.709961</v>
      </c>
      <c r="C8950">
        <f t="shared" si="295"/>
        <v>1.8348484515669426E-2</v>
      </c>
      <c r="D8950">
        <f t="shared" si="294"/>
        <v>1.4306253599243413</v>
      </c>
    </row>
    <row r="8951" spans="1:4" x14ac:dyDescent="0.3">
      <c r="A8951" s="1">
        <v>38918</v>
      </c>
      <c r="B8951">
        <v>2039.420044</v>
      </c>
      <c r="C8951">
        <f t="shared" si="295"/>
        <v>-1.9844148283000438E-2</v>
      </c>
      <c r="D8951">
        <f t="shared" si="294"/>
        <v>-1.6246282149247748</v>
      </c>
    </row>
    <row r="8952" spans="1:4" x14ac:dyDescent="0.3">
      <c r="A8952" s="1">
        <v>38919</v>
      </c>
      <c r="B8952">
        <v>2020.3900149999999</v>
      </c>
      <c r="C8952">
        <f t="shared" si="295"/>
        <v>-9.3310983463100721E-3</v>
      </c>
      <c r="D8952">
        <f t="shared" si="294"/>
        <v>-0.78362744990919397</v>
      </c>
    </row>
    <row r="8953" spans="1:4" x14ac:dyDescent="0.3">
      <c r="A8953" s="1">
        <v>38922</v>
      </c>
      <c r="B8953">
        <v>2061.8400879999999</v>
      </c>
      <c r="C8953">
        <f t="shared" si="295"/>
        <v>2.0515876980316584E-2</v>
      </c>
      <c r="D8953">
        <f t="shared" si="294"/>
        <v>1.6040078447250457</v>
      </c>
    </row>
    <row r="8954" spans="1:4" x14ac:dyDescent="0.3">
      <c r="A8954" s="1">
        <v>38923</v>
      </c>
      <c r="B8954">
        <v>2073.8999020000001</v>
      </c>
      <c r="C8954">
        <f t="shared" si="295"/>
        <v>5.8490539931728147E-3</v>
      </c>
      <c r="D8954">
        <f t="shared" si="294"/>
        <v>0.43072231609003581</v>
      </c>
    </row>
    <row r="8955" spans="1:4" x14ac:dyDescent="0.3">
      <c r="A8955" s="1">
        <v>38924</v>
      </c>
      <c r="B8955">
        <v>2070.459961</v>
      </c>
      <c r="C8955">
        <f t="shared" si="295"/>
        <v>-1.658682271349126E-3</v>
      </c>
      <c r="D8955">
        <f t="shared" si="294"/>
        <v>-0.16986571307573226</v>
      </c>
    </row>
    <row r="8956" spans="1:4" x14ac:dyDescent="0.3">
      <c r="A8956" s="1">
        <v>38925</v>
      </c>
      <c r="B8956">
        <v>2054.469971</v>
      </c>
      <c r="C8956">
        <f t="shared" si="295"/>
        <v>-7.7229167920142335E-3</v>
      </c>
      <c r="D8956">
        <f t="shared" si="294"/>
        <v>-0.65497953844759171</v>
      </c>
    </row>
    <row r="8957" spans="1:4" x14ac:dyDescent="0.3">
      <c r="A8957" s="1">
        <v>38926</v>
      </c>
      <c r="B8957">
        <v>2094.139893</v>
      </c>
      <c r="C8957">
        <f t="shared" si="295"/>
        <v>1.9309078526317407E-2</v>
      </c>
      <c r="D8957">
        <f t="shared" si="294"/>
        <v>1.5074689307900058</v>
      </c>
    </row>
    <row r="8958" spans="1:4" x14ac:dyDescent="0.3">
      <c r="A8958" s="1">
        <v>38929</v>
      </c>
      <c r="B8958">
        <v>2091.469971</v>
      </c>
      <c r="C8958">
        <f t="shared" si="295"/>
        <v>-1.2749492089447734E-3</v>
      </c>
      <c r="D8958">
        <f t="shared" si="294"/>
        <v>-0.13916864600316511</v>
      </c>
    </row>
    <row r="8959" spans="1:4" x14ac:dyDescent="0.3">
      <c r="A8959" s="1">
        <v>38930</v>
      </c>
      <c r="B8959">
        <v>2061.98999</v>
      </c>
      <c r="C8959">
        <f t="shared" si="295"/>
        <v>-1.4095340315072567E-2</v>
      </c>
      <c r="D8959">
        <f t="shared" si="294"/>
        <v>-1.1647472167301591</v>
      </c>
    </row>
    <row r="8960" spans="1:4" x14ac:dyDescent="0.3">
      <c r="A8960" s="1">
        <v>38931</v>
      </c>
      <c r="B8960">
        <v>2078.8100589999999</v>
      </c>
      <c r="C8960">
        <f t="shared" si="295"/>
        <v>8.1572020628479756E-3</v>
      </c>
      <c r="D8960">
        <f t="shared" si="294"/>
        <v>0.61536467050247423</v>
      </c>
    </row>
    <row r="8961" spans="1:4" x14ac:dyDescent="0.3">
      <c r="A8961" s="1">
        <v>38932</v>
      </c>
      <c r="B8961">
        <v>2092.3400879999999</v>
      </c>
      <c r="C8961">
        <f t="shared" si="295"/>
        <v>6.5085450887747576E-3</v>
      </c>
      <c r="D8961">
        <f t="shared" si="294"/>
        <v>0.48347889189460225</v>
      </c>
    </row>
    <row r="8962" spans="1:4" x14ac:dyDescent="0.3">
      <c r="A8962" s="1">
        <v>38933</v>
      </c>
      <c r="B8962">
        <v>2085.0500489999999</v>
      </c>
      <c r="C8962">
        <f t="shared" si="295"/>
        <v>-3.4841558701713213E-3</v>
      </c>
      <c r="D8962">
        <f t="shared" si="294"/>
        <v>-0.31589609458921708</v>
      </c>
    </row>
    <row r="8963" spans="1:4" x14ac:dyDescent="0.3">
      <c r="A8963" s="1">
        <v>38936</v>
      </c>
      <c r="B8963">
        <v>2072.5</v>
      </c>
      <c r="C8963">
        <f t="shared" si="295"/>
        <v>-6.0190636699675431E-3</v>
      </c>
      <c r="D8963">
        <f t="shared" ref="D8963:D9026" si="296">(C8963-avrtn)/sdrtn</f>
        <v>-0.51867829496975859</v>
      </c>
    </row>
    <row r="8964" spans="1:4" x14ac:dyDescent="0.3">
      <c r="A8964" s="1">
        <v>38937</v>
      </c>
      <c r="B8964">
        <v>2060.8500979999999</v>
      </c>
      <c r="C8964">
        <f t="shared" ref="C8964:C9027" si="297">(B8964-B8963)/B8963</f>
        <v>-5.6211831121834067E-3</v>
      </c>
      <c r="D8964">
        <f t="shared" si="296"/>
        <v>-0.48684948644165732</v>
      </c>
    </row>
    <row r="8965" spans="1:4" x14ac:dyDescent="0.3">
      <c r="A8965" s="1">
        <v>38938</v>
      </c>
      <c r="B8965">
        <v>2060.280029</v>
      </c>
      <c r="C8965">
        <f t="shared" si="297"/>
        <v>-2.766183724634376E-4</v>
      </c>
      <c r="D8965">
        <f t="shared" si="296"/>
        <v>-5.9306284245587156E-2</v>
      </c>
    </row>
    <row r="8966" spans="1:4" x14ac:dyDescent="0.3">
      <c r="A8966" s="1">
        <v>38939</v>
      </c>
      <c r="B8966">
        <v>2071.73999</v>
      </c>
      <c r="C8966">
        <f t="shared" si="297"/>
        <v>5.5623317406820437E-3</v>
      </c>
      <c r="D8966">
        <f t="shared" si="296"/>
        <v>0.40778571489972126</v>
      </c>
    </row>
    <row r="8967" spans="1:4" x14ac:dyDescent="0.3">
      <c r="A8967" s="1">
        <v>38940</v>
      </c>
      <c r="B8967">
        <v>2057.709961</v>
      </c>
      <c r="C8967">
        <f t="shared" si="297"/>
        <v>-6.7720993308624661E-3</v>
      </c>
      <c r="D8967">
        <f t="shared" si="296"/>
        <v>-0.57891805134021246</v>
      </c>
    </row>
    <row r="8968" spans="1:4" x14ac:dyDescent="0.3">
      <c r="A8968" s="1">
        <v>38943</v>
      </c>
      <c r="B8968">
        <v>2069.040039</v>
      </c>
      <c r="C8968">
        <f t="shared" si="297"/>
        <v>5.5061588925262323E-3</v>
      </c>
      <c r="D8968">
        <f t="shared" si="296"/>
        <v>0.40329211803138815</v>
      </c>
    </row>
    <row r="8969" spans="1:4" x14ac:dyDescent="0.3">
      <c r="A8969" s="1">
        <v>38944</v>
      </c>
      <c r="B8969">
        <v>2115.01001</v>
      </c>
      <c r="C8969">
        <f t="shared" si="297"/>
        <v>2.2218019049171232E-2</v>
      </c>
      <c r="D8969">
        <f t="shared" si="296"/>
        <v>1.7401722109834081</v>
      </c>
    </row>
    <row r="8970" spans="1:4" x14ac:dyDescent="0.3">
      <c r="A8970" s="1">
        <v>38945</v>
      </c>
      <c r="B8970">
        <v>2149.540039</v>
      </c>
      <c r="C8970">
        <f t="shared" si="297"/>
        <v>1.6326177576814406E-2</v>
      </c>
      <c r="D8970">
        <f t="shared" si="296"/>
        <v>1.2688491205917609</v>
      </c>
    </row>
    <row r="8971" spans="1:4" x14ac:dyDescent="0.3">
      <c r="A8971" s="1">
        <v>38946</v>
      </c>
      <c r="B8971">
        <v>2157.610107</v>
      </c>
      <c r="C8971">
        <f t="shared" si="297"/>
        <v>3.7543231824396792E-3</v>
      </c>
      <c r="D8971">
        <f t="shared" si="296"/>
        <v>0.2631524648159469</v>
      </c>
    </row>
    <row r="8972" spans="1:4" x14ac:dyDescent="0.3">
      <c r="A8972" s="1">
        <v>38947</v>
      </c>
      <c r="B8972">
        <v>2163.9499510000001</v>
      </c>
      <c r="C8972">
        <f t="shared" si="297"/>
        <v>2.9383640628265211E-3</v>
      </c>
      <c r="D8972">
        <f t="shared" si="296"/>
        <v>0.19787909049084249</v>
      </c>
    </row>
    <row r="8973" spans="1:4" x14ac:dyDescent="0.3">
      <c r="A8973" s="1">
        <v>38950</v>
      </c>
      <c r="B8973">
        <v>2147.75</v>
      </c>
      <c r="C8973">
        <f t="shared" si="297"/>
        <v>-7.4862872833605818E-3</v>
      </c>
      <c r="D8973">
        <f t="shared" si="296"/>
        <v>-0.63605015078165328</v>
      </c>
    </row>
    <row r="8974" spans="1:4" x14ac:dyDescent="0.3">
      <c r="A8974" s="1">
        <v>38951</v>
      </c>
      <c r="B8974">
        <v>2150.0200199999999</v>
      </c>
      <c r="C8974">
        <f t="shared" si="297"/>
        <v>1.0569293446629875E-3</v>
      </c>
      <c r="D8974">
        <f t="shared" si="296"/>
        <v>4.7372049543548345E-2</v>
      </c>
    </row>
    <row r="8975" spans="1:4" x14ac:dyDescent="0.3">
      <c r="A8975" s="1">
        <v>38952</v>
      </c>
      <c r="B8975">
        <v>2134.6599120000001</v>
      </c>
      <c r="C8975">
        <f t="shared" si="297"/>
        <v>-7.1441697552192349E-3</v>
      </c>
      <c r="D8975">
        <f t="shared" si="296"/>
        <v>-0.60868215532602721</v>
      </c>
    </row>
    <row r="8976" spans="1:4" x14ac:dyDescent="0.3">
      <c r="A8976" s="1">
        <v>38953</v>
      </c>
      <c r="B8976">
        <v>2137.110107</v>
      </c>
      <c r="C8976">
        <f t="shared" si="297"/>
        <v>1.1478151560471586E-3</v>
      </c>
      <c r="D8976">
        <f t="shared" si="296"/>
        <v>5.4642540729592536E-2</v>
      </c>
    </row>
    <row r="8977" spans="1:4" x14ac:dyDescent="0.3">
      <c r="A8977" s="1">
        <v>38954</v>
      </c>
      <c r="B8977">
        <v>2140.290039</v>
      </c>
      <c r="C8977">
        <f t="shared" si="297"/>
        <v>1.4879588981327146E-3</v>
      </c>
      <c r="D8977">
        <f t="shared" si="296"/>
        <v>8.1852641417012109E-2</v>
      </c>
    </row>
    <row r="8978" spans="1:4" x14ac:dyDescent="0.3">
      <c r="A8978" s="1">
        <v>38957</v>
      </c>
      <c r="B8978">
        <v>2160.6999510000001</v>
      </c>
      <c r="C8978">
        <f t="shared" si="297"/>
        <v>9.536049613881362E-3</v>
      </c>
      <c r="D8978">
        <f t="shared" si="296"/>
        <v>0.72566680473013667</v>
      </c>
    </row>
    <row r="8979" spans="1:4" x14ac:dyDescent="0.3">
      <c r="A8979" s="1">
        <v>38958</v>
      </c>
      <c r="B8979">
        <v>2172.3000489999999</v>
      </c>
      <c r="C8979">
        <f t="shared" si="297"/>
        <v>5.368676013821916E-3</v>
      </c>
      <c r="D8979">
        <f t="shared" si="296"/>
        <v>0.39229405306801807</v>
      </c>
    </row>
    <row r="8980" spans="1:4" x14ac:dyDescent="0.3">
      <c r="A8980" s="1">
        <v>38959</v>
      </c>
      <c r="B8980">
        <v>2185.7299800000001</v>
      </c>
      <c r="C8980">
        <f t="shared" si="297"/>
        <v>6.1823554283776221E-3</v>
      </c>
      <c r="D8980">
        <f t="shared" si="296"/>
        <v>0.45738506036272952</v>
      </c>
    </row>
    <row r="8981" spans="1:4" x14ac:dyDescent="0.3">
      <c r="A8981" s="1">
        <v>38960</v>
      </c>
      <c r="B8981">
        <v>2183.75</v>
      </c>
      <c r="C8981">
        <f t="shared" si="297"/>
        <v>-9.0586669813627607E-4</v>
      </c>
      <c r="D8981">
        <f t="shared" si="296"/>
        <v>-0.10964356281483824</v>
      </c>
    </row>
    <row r="8982" spans="1:4" x14ac:dyDescent="0.3">
      <c r="A8982" s="1">
        <v>38961</v>
      </c>
      <c r="B8982">
        <v>2193.1599120000001</v>
      </c>
      <c r="C8982">
        <f t="shared" si="297"/>
        <v>4.3090610188895604E-3</v>
      </c>
      <c r="D8982">
        <f t="shared" si="296"/>
        <v>0.30752921063632382</v>
      </c>
    </row>
    <row r="8983" spans="1:4" x14ac:dyDescent="0.3">
      <c r="A8983" s="1">
        <v>38965</v>
      </c>
      <c r="B8983">
        <v>2205.6999510000001</v>
      </c>
      <c r="C8983">
        <f t="shared" si="297"/>
        <v>5.7177951007523148E-3</v>
      </c>
      <c r="D8983">
        <f t="shared" si="296"/>
        <v>0.42022214443618655</v>
      </c>
    </row>
    <row r="8984" spans="1:4" x14ac:dyDescent="0.3">
      <c r="A8984" s="1">
        <v>38966</v>
      </c>
      <c r="B8984">
        <v>2167.8400879999999</v>
      </c>
      <c r="C8984">
        <f t="shared" si="297"/>
        <v>-1.7164557211344893E-2</v>
      </c>
      <c r="D8984">
        <f t="shared" si="296"/>
        <v>-1.4102719477366563</v>
      </c>
    </row>
    <row r="8985" spans="1:4" x14ac:dyDescent="0.3">
      <c r="A8985" s="1">
        <v>38967</v>
      </c>
      <c r="B8985">
        <v>2155.290039</v>
      </c>
      <c r="C8985">
        <f t="shared" si="297"/>
        <v>-5.7891950008076174E-3</v>
      </c>
      <c r="D8985">
        <f t="shared" si="296"/>
        <v>-0.50028974666258008</v>
      </c>
    </row>
    <row r="8986" spans="1:4" x14ac:dyDescent="0.3">
      <c r="A8986" s="1">
        <v>38968</v>
      </c>
      <c r="B8986">
        <v>2165.790039</v>
      </c>
      <c r="C8986">
        <f t="shared" si="297"/>
        <v>4.8717341100280561E-3</v>
      </c>
      <c r="D8986">
        <f t="shared" si="296"/>
        <v>0.35254074420182768</v>
      </c>
    </row>
    <row r="8987" spans="1:4" x14ac:dyDescent="0.3">
      <c r="A8987" s="1">
        <v>38971</v>
      </c>
      <c r="B8987">
        <v>2173.25</v>
      </c>
      <c r="C8987">
        <f t="shared" si="297"/>
        <v>3.4444525395658731E-3</v>
      </c>
      <c r="D8987">
        <f t="shared" si="296"/>
        <v>0.23836408758173955</v>
      </c>
    </row>
    <row r="8988" spans="1:4" x14ac:dyDescent="0.3">
      <c r="A8988" s="1">
        <v>38972</v>
      </c>
      <c r="B8988">
        <v>2215.820068</v>
      </c>
      <c r="C8988">
        <f t="shared" si="297"/>
        <v>1.9588205682733228E-2</v>
      </c>
      <c r="D8988">
        <f t="shared" si="296"/>
        <v>1.5297979555255461</v>
      </c>
    </row>
    <row r="8989" spans="1:4" x14ac:dyDescent="0.3">
      <c r="A8989" s="1">
        <v>38973</v>
      </c>
      <c r="B8989">
        <v>2227.669922</v>
      </c>
      <c r="C8989">
        <f t="shared" si="297"/>
        <v>5.3478412670464404E-3</v>
      </c>
      <c r="D8989">
        <f t="shared" si="296"/>
        <v>0.39062735899897066</v>
      </c>
    </row>
    <row r="8990" spans="1:4" x14ac:dyDescent="0.3">
      <c r="A8990" s="1">
        <v>38974</v>
      </c>
      <c r="B8990">
        <v>2228.7299800000001</v>
      </c>
      <c r="C8990">
        <f t="shared" si="297"/>
        <v>4.7585954702315472E-4</v>
      </c>
      <c r="D8990">
        <f t="shared" si="296"/>
        <v>8.888551056466811E-4</v>
      </c>
    </row>
    <row r="8991" spans="1:4" x14ac:dyDescent="0.3">
      <c r="A8991" s="1">
        <v>38975</v>
      </c>
      <c r="B8991">
        <v>2235.5900879999999</v>
      </c>
      <c r="C8991">
        <f t="shared" si="297"/>
        <v>3.0780346033662878E-3</v>
      </c>
      <c r="D8991">
        <f t="shared" si="296"/>
        <v>0.20905215940532937</v>
      </c>
    </row>
    <row r="8992" spans="1:4" x14ac:dyDescent="0.3">
      <c r="A8992" s="1">
        <v>38978</v>
      </c>
      <c r="B8992">
        <v>2235.75</v>
      </c>
      <c r="C8992">
        <f t="shared" si="297"/>
        <v>7.1530107803947587E-5</v>
      </c>
      <c r="D8992">
        <f t="shared" si="296"/>
        <v>-3.1455837419301323E-2</v>
      </c>
    </row>
    <row r="8993" spans="1:4" x14ac:dyDescent="0.3">
      <c r="A8993" s="1">
        <v>38979</v>
      </c>
      <c r="B8993">
        <v>2222.3701169999999</v>
      </c>
      <c r="C8993">
        <f t="shared" si="297"/>
        <v>-5.9845166051660801E-3</v>
      </c>
      <c r="D8993">
        <f t="shared" si="296"/>
        <v>-0.51591467184402084</v>
      </c>
    </row>
    <row r="8994" spans="1:4" x14ac:dyDescent="0.3">
      <c r="A8994" s="1">
        <v>38980</v>
      </c>
      <c r="B8994">
        <v>2252.889893</v>
      </c>
      <c r="C8994">
        <f t="shared" si="297"/>
        <v>1.3732985233440347E-2</v>
      </c>
      <c r="D8994">
        <f t="shared" si="296"/>
        <v>1.0614043963924678</v>
      </c>
    </row>
    <row r="8995" spans="1:4" x14ac:dyDescent="0.3">
      <c r="A8995" s="1">
        <v>38981</v>
      </c>
      <c r="B8995">
        <v>2237.75</v>
      </c>
      <c r="C8995">
        <f t="shared" si="297"/>
        <v>-6.7202099166237548E-3</v>
      </c>
      <c r="D8995">
        <f t="shared" si="296"/>
        <v>-0.57476711157166183</v>
      </c>
    </row>
    <row r="8996" spans="1:4" x14ac:dyDescent="0.3">
      <c r="A8996" s="1">
        <v>38982</v>
      </c>
      <c r="B8996">
        <v>2218.929932</v>
      </c>
      <c r="C8996">
        <f t="shared" si="297"/>
        <v>-8.4102638811305967E-3</v>
      </c>
      <c r="D8996">
        <f t="shared" si="296"/>
        <v>-0.70996447918878192</v>
      </c>
    </row>
    <row r="8997" spans="1:4" x14ac:dyDescent="0.3">
      <c r="A8997" s="1">
        <v>38985</v>
      </c>
      <c r="B8997">
        <v>2249.070068</v>
      </c>
      <c r="C8997">
        <f t="shared" si="297"/>
        <v>1.3583185104377593E-2</v>
      </c>
      <c r="D8997">
        <f t="shared" si="296"/>
        <v>1.0494210020492589</v>
      </c>
    </row>
    <row r="8998" spans="1:4" x14ac:dyDescent="0.3">
      <c r="A8998" s="1">
        <v>38986</v>
      </c>
      <c r="B8998">
        <v>2261.3400879999999</v>
      </c>
      <c r="C8998">
        <f t="shared" si="297"/>
        <v>5.4555970374507391E-3</v>
      </c>
      <c r="D8998">
        <f t="shared" si="296"/>
        <v>0.39924737753693906</v>
      </c>
    </row>
    <row r="8999" spans="1:4" x14ac:dyDescent="0.3">
      <c r="A8999" s="1">
        <v>38987</v>
      </c>
      <c r="B8999">
        <v>2263.389893</v>
      </c>
      <c r="C8999">
        <f t="shared" si="297"/>
        <v>9.0645587140013848E-4</v>
      </c>
      <c r="D8999">
        <f t="shared" si="296"/>
        <v>3.5334790433139654E-2</v>
      </c>
    </row>
    <row r="9000" spans="1:4" x14ac:dyDescent="0.3">
      <c r="A9000" s="1">
        <v>38988</v>
      </c>
      <c r="B9000">
        <v>2270.0200199999999</v>
      </c>
      <c r="C9000">
        <f t="shared" si="297"/>
        <v>2.9292907158881185E-3</v>
      </c>
      <c r="D9000">
        <f t="shared" si="296"/>
        <v>0.19715326004559583</v>
      </c>
    </row>
    <row r="9001" spans="1:4" x14ac:dyDescent="0.3">
      <c r="A9001" s="1">
        <v>38989</v>
      </c>
      <c r="B9001">
        <v>2258.429932</v>
      </c>
      <c r="C9001">
        <f t="shared" si="297"/>
        <v>-5.1057206094596132E-3</v>
      </c>
      <c r="D9001">
        <f t="shared" si="296"/>
        <v>-0.44561460581823015</v>
      </c>
    </row>
    <row r="9002" spans="1:4" x14ac:dyDescent="0.3">
      <c r="A9002" s="1">
        <v>38992</v>
      </c>
      <c r="B9002">
        <v>2237.6000979999999</v>
      </c>
      <c r="C9002">
        <f t="shared" si="297"/>
        <v>-9.2231482167586323E-3</v>
      </c>
      <c r="D9002">
        <f t="shared" si="296"/>
        <v>-0.77499188343866388</v>
      </c>
    </row>
    <row r="9003" spans="1:4" x14ac:dyDescent="0.3">
      <c r="A9003" s="1">
        <v>38993</v>
      </c>
      <c r="B9003">
        <v>2243.6499020000001</v>
      </c>
      <c r="C9003">
        <f t="shared" si="297"/>
        <v>2.7037020624943778E-3</v>
      </c>
      <c r="D9003">
        <f t="shared" si="296"/>
        <v>0.1791070954001821</v>
      </c>
    </row>
    <row r="9004" spans="1:4" x14ac:dyDescent="0.3">
      <c r="A9004" s="1">
        <v>38994</v>
      </c>
      <c r="B9004">
        <v>2290.9499510000001</v>
      </c>
      <c r="C9004">
        <f t="shared" si="297"/>
        <v>2.1081742279772105E-2</v>
      </c>
      <c r="D9004">
        <f t="shared" si="296"/>
        <v>1.6492747418294726</v>
      </c>
    </row>
    <row r="9005" spans="1:4" x14ac:dyDescent="0.3">
      <c r="A9005" s="1">
        <v>38995</v>
      </c>
      <c r="B9005">
        <v>2306.3400879999999</v>
      </c>
      <c r="C9005">
        <f t="shared" si="297"/>
        <v>6.7177971274676122E-3</v>
      </c>
      <c r="D9005">
        <f t="shared" si="296"/>
        <v>0.50021819454050609</v>
      </c>
    </row>
    <row r="9006" spans="1:4" x14ac:dyDescent="0.3">
      <c r="A9006" s="1">
        <v>38996</v>
      </c>
      <c r="B9006">
        <v>2299.98999</v>
      </c>
      <c r="C9006">
        <f t="shared" si="297"/>
        <v>-2.7533224753104536E-3</v>
      </c>
      <c r="D9006">
        <f t="shared" si="296"/>
        <v>-0.25743242820522416</v>
      </c>
    </row>
    <row r="9007" spans="1:4" x14ac:dyDescent="0.3">
      <c r="A9007" s="1">
        <v>38999</v>
      </c>
      <c r="B9007">
        <v>2311.7700199999999</v>
      </c>
      <c r="C9007">
        <f t="shared" si="297"/>
        <v>5.1217744647662124E-3</v>
      </c>
      <c r="D9007">
        <f t="shared" si="296"/>
        <v>0.37254294440879793</v>
      </c>
    </row>
    <row r="9008" spans="1:4" x14ac:dyDescent="0.3">
      <c r="A9008" s="1">
        <v>39000</v>
      </c>
      <c r="B9008">
        <v>2315.429932</v>
      </c>
      <c r="C9008">
        <f t="shared" si="297"/>
        <v>1.5831644014485822E-3</v>
      </c>
      <c r="D9008">
        <f t="shared" si="296"/>
        <v>8.9468690194912659E-2</v>
      </c>
    </row>
    <row r="9009" spans="1:4" x14ac:dyDescent="0.3">
      <c r="A9009" s="1">
        <v>39001</v>
      </c>
      <c r="B9009">
        <v>2308.2700199999999</v>
      </c>
      <c r="C9009">
        <f t="shared" si="297"/>
        <v>-3.0922602757473884E-3</v>
      </c>
      <c r="D9009">
        <f t="shared" si="296"/>
        <v>-0.28454605851961573</v>
      </c>
    </row>
    <row r="9010" spans="1:4" x14ac:dyDescent="0.3">
      <c r="A9010" s="1">
        <v>39002</v>
      </c>
      <c r="B9010">
        <v>2346.179932</v>
      </c>
      <c r="C9010">
        <f t="shared" si="297"/>
        <v>1.6423517037231234E-2</v>
      </c>
      <c r="D9010">
        <f t="shared" si="296"/>
        <v>1.2766358771628543</v>
      </c>
    </row>
    <row r="9011" spans="1:4" x14ac:dyDescent="0.3">
      <c r="A9011" s="1">
        <v>39003</v>
      </c>
      <c r="B9011">
        <v>2357.290039</v>
      </c>
      <c r="C9011">
        <f t="shared" si="297"/>
        <v>4.7354027917752943E-3</v>
      </c>
      <c r="D9011">
        <f t="shared" si="296"/>
        <v>0.3416347993393371</v>
      </c>
    </row>
    <row r="9012" spans="1:4" x14ac:dyDescent="0.3">
      <c r="A9012" s="1">
        <v>39006</v>
      </c>
      <c r="B9012">
        <v>2363.8400879999999</v>
      </c>
      <c r="C9012">
        <f t="shared" si="297"/>
        <v>2.7786351664976193E-3</v>
      </c>
      <c r="D9012">
        <f t="shared" si="296"/>
        <v>0.18510143559367664</v>
      </c>
    </row>
    <row r="9013" spans="1:4" x14ac:dyDescent="0.3">
      <c r="A9013" s="1">
        <v>39007</v>
      </c>
      <c r="B9013">
        <v>2344.9499510000001</v>
      </c>
      <c r="C9013">
        <f t="shared" si="297"/>
        <v>-7.9912922603755532E-3</v>
      </c>
      <c r="D9013">
        <f t="shared" si="296"/>
        <v>-0.67644847234997729</v>
      </c>
    </row>
    <row r="9014" spans="1:4" x14ac:dyDescent="0.3">
      <c r="A9014" s="1">
        <v>39008</v>
      </c>
      <c r="B9014">
        <v>2337.1499020000001</v>
      </c>
      <c r="C9014">
        <f t="shared" si="297"/>
        <v>-3.3263179014433237E-3</v>
      </c>
      <c r="D9014">
        <f t="shared" si="296"/>
        <v>-0.30326970612458282</v>
      </c>
    </row>
    <row r="9015" spans="1:4" x14ac:dyDescent="0.3">
      <c r="A9015" s="1">
        <v>39009</v>
      </c>
      <c r="B9015">
        <v>2340.9399410000001</v>
      </c>
      <c r="C9015">
        <f t="shared" si="297"/>
        <v>1.6216499407062759E-3</v>
      </c>
      <c r="D9015">
        <f t="shared" si="296"/>
        <v>9.2547375082045122E-2</v>
      </c>
    </row>
    <row r="9016" spans="1:4" x14ac:dyDescent="0.3">
      <c r="A9016" s="1">
        <v>39010</v>
      </c>
      <c r="B9016">
        <v>2342.3000489999999</v>
      </c>
      <c r="C9016">
        <f t="shared" si="297"/>
        <v>5.8100935277256415E-4</v>
      </c>
      <c r="D9016">
        <f t="shared" si="296"/>
        <v>9.3004071870146296E-3</v>
      </c>
    </row>
    <row r="9017" spans="1:4" x14ac:dyDescent="0.3">
      <c r="A9017" s="1">
        <v>39013</v>
      </c>
      <c r="B9017">
        <v>2355.5600589999999</v>
      </c>
      <c r="C9017">
        <f t="shared" si="297"/>
        <v>5.6611064861912426E-3</v>
      </c>
      <c r="D9017">
        <f t="shared" si="296"/>
        <v>0.41568728837627666</v>
      </c>
    </row>
    <row r="9018" spans="1:4" x14ac:dyDescent="0.3">
      <c r="A9018" s="1">
        <v>39014</v>
      </c>
      <c r="B9018">
        <v>2344.8400879999999</v>
      </c>
      <c r="C9018">
        <f t="shared" si="297"/>
        <v>-4.5509223842719214E-3</v>
      </c>
      <c r="D9018">
        <f t="shared" si="296"/>
        <v>-0.40123302914714831</v>
      </c>
    </row>
    <row r="9019" spans="1:4" x14ac:dyDescent="0.3">
      <c r="A9019" s="1">
        <v>39015</v>
      </c>
      <c r="B9019">
        <v>2356.5900879999999</v>
      </c>
      <c r="C9019">
        <f t="shared" si="297"/>
        <v>5.0110026948669258E-3</v>
      </c>
      <c r="D9019">
        <f t="shared" si="296"/>
        <v>0.36368165831309451</v>
      </c>
    </row>
    <row r="9020" spans="1:4" x14ac:dyDescent="0.3">
      <c r="A9020" s="1">
        <v>39016</v>
      </c>
      <c r="B9020">
        <v>2379.1000979999999</v>
      </c>
      <c r="C9020">
        <f t="shared" si="297"/>
        <v>9.5519412199106084E-3</v>
      </c>
      <c r="D9020">
        <f t="shared" si="296"/>
        <v>0.72693806786580195</v>
      </c>
    </row>
    <row r="9021" spans="1:4" x14ac:dyDescent="0.3">
      <c r="A9021" s="1">
        <v>39017</v>
      </c>
      <c r="B9021">
        <v>2350.6201169999999</v>
      </c>
      <c r="C9021">
        <f t="shared" si="297"/>
        <v>-1.1970904891282953E-2</v>
      </c>
      <c r="D9021">
        <f t="shared" si="296"/>
        <v>-0.99480111855765063</v>
      </c>
    </row>
    <row r="9022" spans="1:4" x14ac:dyDescent="0.3">
      <c r="A9022" s="1">
        <v>39020</v>
      </c>
      <c r="B9022">
        <v>2363.7700199999999</v>
      </c>
      <c r="C9022">
        <f t="shared" si="297"/>
        <v>5.5942272019617852E-3</v>
      </c>
      <c r="D9022">
        <f t="shared" si="296"/>
        <v>0.41033722064718009</v>
      </c>
    </row>
    <row r="9023" spans="1:4" x14ac:dyDescent="0.3">
      <c r="A9023" s="1">
        <v>39021</v>
      </c>
      <c r="B9023">
        <v>2366.709961</v>
      </c>
      <c r="C9023">
        <f t="shared" si="297"/>
        <v>1.2437508620234087E-3</v>
      </c>
      <c r="D9023">
        <f t="shared" si="296"/>
        <v>6.2317002717712386E-2</v>
      </c>
    </row>
    <row r="9024" spans="1:4" x14ac:dyDescent="0.3">
      <c r="A9024" s="1">
        <v>39022</v>
      </c>
      <c r="B9024">
        <v>2334.3500979999999</v>
      </c>
      <c r="C9024">
        <f t="shared" si="297"/>
        <v>-1.3672931425161704E-2</v>
      </c>
      <c r="D9024">
        <f t="shared" si="296"/>
        <v>-1.130956242493024</v>
      </c>
    </row>
    <row r="9025" spans="1:4" x14ac:dyDescent="0.3">
      <c r="A9025" s="1">
        <v>39023</v>
      </c>
      <c r="B9025">
        <v>2334.0200199999999</v>
      </c>
      <c r="C9025">
        <f t="shared" si="297"/>
        <v>-1.414003838938977E-4</v>
      </c>
      <c r="D9025">
        <f t="shared" si="296"/>
        <v>-4.8489401179715313E-2</v>
      </c>
    </row>
    <row r="9026" spans="1:4" x14ac:dyDescent="0.3">
      <c r="A9026" s="1">
        <v>39024</v>
      </c>
      <c r="B9026">
        <v>2330.790039</v>
      </c>
      <c r="C9026">
        <f t="shared" si="297"/>
        <v>-1.3838703063052359E-3</v>
      </c>
      <c r="D9026">
        <f t="shared" si="296"/>
        <v>-0.14788188590577353</v>
      </c>
    </row>
    <row r="9027" spans="1:4" x14ac:dyDescent="0.3">
      <c r="A9027" s="1">
        <v>39027</v>
      </c>
      <c r="B9027">
        <v>2365.9499510000001</v>
      </c>
      <c r="C9027">
        <f t="shared" si="297"/>
        <v>1.5084976086084979E-2</v>
      </c>
      <c r="D9027">
        <f t="shared" ref="D9027:D9090" si="298">(C9027-avrtn)/sdrtn</f>
        <v>1.1695581051844335</v>
      </c>
    </row>
    <row r="9028" spans="1:4" x14ac:dyDescent="0.3">
      <c r="A9028" s="1">
        <v>39028</v>
      </c>
      <c r="B9028">
        <v>2375.8798830000001</v>
      </c>
      <c r="C9028">
        <f t="shared" ref="C9028:C9091" si="299">(B9028-B9027)/B9027</f>
        <v>4.1970169300508623E-3</v>
      </c>
      <c r="D9028">
        <f t="shared" si="298"/>
        <v>0.29856614425727424</v>
      </c>
    </row>
    <row r="9029" spans="1:4" x14ac:dyDescent="0.3">
      <c r="A9029" s="1">
        <v>39029</v>
      </c>
      <c r="B9029">
        <v>2384.9399410000001</v>
      </c>
      <c r="C9029">
        <f t="shared" si="299"/>
        <v>3.8133485050431005E-3</v>
      </c>
      <c r="D9029">
        <f t="shared" si="298"/>
        <v>0.26787424791064379</v>
      </c>
    </row>
    <row r="9030" spans="1:4" x14ac:dyDescent="0.3">
      <c r="A9030" s="1">
        <v>39030</v>
      </c>
      <c r="B9030">
        <v>2376.01001</v>
      </c>
      <c r="C9030">
        <f t="shared" si="299"/>
        <v>-3.7443001588777216E-3</v>
      </c>
      <c r="D9030">
        <f t="shared" si="298"/>
        <v>-0.33670656796602211</v>
      </c>
    </row>
    <row r="9031" spans="1:4" x14ac:dyDescent="0.3">
      <c r="A9031" s="1">
        <v>39031</v>
      </c>
      <c r="B9031">
        <v>2389.719971</v>
      </c>
      <c r="C9031">
        <f t="shared" si="299"/>
        <v>5.7701612965847821E-3</v>
      </c>
      <c r="D9031">
        <f t="shared" si="298"/>
        <v>0.42441122477170001</v>
      </c>
    </row>
    <row r="9032" spans="1:4" x14ac:dyDescent="0.3">
      <c r="A9032" s="1">
        <v>39034</v>
      </c>
      <c r="B9032">
        <v>2406.3798830000001</v>
      </c>
      <c r="C9032">
        <f t="shared" si="299"/>
        <v>6.9714913053300492E-3</v>
      </c>
      <c r="D9032">
        <f t="shared" si="298"/>
        <v>0.52051268557280839</v>
      </c>
    </row>
    <row r="9033" spans="1:4" x14ac:dyDescent="0.3">
      <c r="A9033" s="1">
        <v>39035</v>
      </c>
      <c r="B9033">
        <v>2430.6599120000001</v>
      </c>
      <c r="C9033">
        <f t="shared" si="299"/>
        <v>1.0089857038586295E-2</v>
      </c>
      <c r="D9033">
        <f t="shared" si="298"/>
        <v>0.76996912143679364</v>
      </c>
    </row>
    <row r="9034" spans="1:4" x14ac:dyDescent="0.3">
      <c r="A9034" s="1">
        <v>39036</v>
      </c>
      <c r="B9034">
        <v>2442.75</v>
      </c>
      <c r="C9034">
        <f t="shared" si="299"/>
        <v>4.9739940747415938E-3</v>
      </c>
      <c r="D9034">
        <f t="shared" si="298"/>
        <v>0.36072112088342323</v>
      </c>
    </row>
    <row r="9035" spans="1:4" x14ac:dyDescent="0.3">
      <c r="A9035" s="1">
        <v>39037</v>
      </c>
      <c r="B9035">
        <v>2449.0600589999999</v>
      </c>
      <c r="C9035">
        <f t="shared" si="299"/>
        <v>2.5831783850168498E-3</v>
      </c>
      <c r="D9035">
        <f t="shared" si="298"/>
        <v>0.16946569679830295</v>
      </c>
    </row>
    <row r="9036" spans="1:4" x14ac:dyDescent="0.3">
      <c r="A9036" s="1">
        <v>39038</v>
      </c>
      <c r="B9036">
        <v>2445.860107</v>
      </c>
      <c r="C9036">
        <f t="shared" si="299"/>
        <v>-1.3066041350192708E-3</v>
      </c>
      <c r="D9036">
        <f t="shared" si="298"/>
        <v>-0.1417009099232911</v>
      </c>
    </row>
    <row r="9037" spans="1:4" x14ac:dyDescent="0.3">
      <c r="A9037" s="1">
        <v>39041</v>
      </c>
      <c r="B9037">
        <v>2452.719971</v>
      </c>
      <c r="C9037">
        <f t="shared" si="299"/>
        <v>2.804683710391788E-3</v>
      </c>
      <c r="D9037">
        <f t="shared" si="298"/>
        <v>0.18718521199295762</v>
      </c>
    </row>
    <row r="9038" spans="1:4" x14ac:dyDescent="0.3">
      <c r="A9038" s="1">
        <v>39042</v>
      </c>
      <c r="B9038">
        <v>2454.8400879999999</v>
      </c>
      <c r="C9038">
        <f t="shared" si="299"/>
        <v>8.6439423377612172E-4</v>
      </c>
      <c r="D9038">
        <f t="shared" si="298"/>
        <v>3.197003238170569E-2</v>
      </c>
    </row>
    <row r="9039" spans="1:4" x14ac:dyDescent="0.3">
      <c r="A9039" s="1">
        <v>39043</v>
      </c>
      <c r="B9039">
        <v>2465.9799800000001</v>
      </c>
      <c r="C9039">
        <f t="shared" si="299"/>
        <v>4.5379298042488806E-3</v>
      </c>
      <c r="D9039">
        <f t="shared" si="298"/>
        <v>0.3258377723510007</v>
      </c>
    </row>
    <row r="9040" spans="1:4" x14ac:dyDescent="0.3">
      <c r="A9040" s="1">
        <v>39045</v>
      </c>
      <c r="B9040">
        <v>2460.26001</v>
      </c>
      <c r="C9040">
        <f t="shared" si="299"/>
        <v>-2.3195524888243832E-3</v>
      </c>
      <c r="D9040">
        <f t="shared" si="298"/>
        <v>-0.22273261295918081</v>
      </c>
    </row>
    <row r="9041" spans="1:4" x14ac:dyDescent="0.3">
      <c r="A9041" s="1">
        <v>39048</v>
      </c>
      <c r="B9041">
        <v>2405.919922</v>
      </c>
      <c r="C9041">
        <f t="shared" si="299"/>
        <v>-2.2087132164538951E-2</v>
      </c>
      <c r="D9041">
        <f t="shared" si="298"/>
        <v>-1.804057702243024</v>
      </c>
    </row>
    <row r="9042" spans="1:4" x14ac:dyDescent="0.3">
      <c r="A9042" s="1">
        <v>39049</v>
      </c>
      <c r="B9042">
        <v>2412.610107</v>
      </c>
      <c r="C9042">
        <f t="shared" si="299"/>
        <v>2.780718069136105E-3</v>
      </c>
      <c r="D9042">
        <f t="shared" si="298"/>
        <v>0.18526805923980866</v>
      </c>
    </row>
    <row r="9043" spans="1:4" x14ac:dyDescent="0.3">
      <c r="A9043" s="1">
        <v>39050</v>
      </c>
      <c r="B9043">
        <v>2432.2299800000001</v>
      </c>
      <c r="C9043">
        <f t="shared" si="299"/>
        <v>8.1322186884132536E-3</v>
      </c>
      <c r="D9043">
        <f t="shared" si="298"/>
        <v>0.61336610327994601</v>
      </c>
    </row>
    <row r="9044" spans="1:4" x14ac:dyDescent="0.3">
      <c r="A9044" s="1">
        <v>39051</v>
      </c>
      <c r="B9044">
        <v>2431.7700199999999</v>
      </c>
      <c r="C9044">
        <f t="shared" si="299"/>
        <v>-1.8911040640989769E-4</v>
      </c>
      <c r="D9044">
        <f t="shared" si="298"/>
        <v>-5.2306006796210475E-2</v>
      </c>
    </row>
    <row r="9045" spans="1:4" x14ac:dyDescent="0.3">
      <c r="A9045" s="1">
        <v>39052</v>
      </c>
      <c r="B9045">
        <v>2413.209961</v>
      </c>
      <c r="C9045">
        <f t="shared" si="299"/>
        <v>-7.6323249515181995E-3</v>
      </c>
      <c r="D9045">
        <f t="shared" si="298"/>
        <v>-0.64773256372378307</v>
      </c>
    </row>
    <row r="9046" spans="1:4" x14ac:dyDescent="0.3">
      <c r="A9046" s="1">
        <v>39055</v>
      </c>
      <c r="B9046">
        <v>2448.389893</v>
      </c>
      <c r="C9046">
        <f t="shared" si="299"/>
        <v>1.4578065136703622E-2</v>
      </c>
      <c r="D9046">
        <f t="shared" si="298"/>
        <v>1.1290073136642036</v>
      </c>
    </row>
    <row r="9047" spans="1:4" x14ac:dyDescent="0.3">
      <c r="A9047" s="1">
        <v>39056</v>
      </c>
      <c r="B9047">
        <v>2452.3798830000001</v>
      </c>
      <c r="C9047">
        <f t="shared" si="299"/>
        <v>1.6296383232946284E-3</v>
      </c>
      <c r="D9047">
        <f t="shared" si="298"/>
        <v>9.3186412840687835E-2</v>
      </c>
    </row>
    <row r="9048" spans="1:4" x14ac:dyDescent="0.3">
      <c r="A9048" s="1">
        <v>39057</v>
      </c>
      <c r="B9048">
        <v>2445.860107</v>
      </c>
      <c r="C9048">
        <f t="shared" si="299"/>
        <v>-2.6585505961761687E-3</v>
      </c>
      <c r="D9048">
        <f t="shared" si="298"/>
        <v>-0.24985106757877693</v>
      </c>
    </row>
    <row r="9049" spans="1:4" x14ac:dyDescent="0.3">
      <c r="A9049" s="1">
        <v>39058</v>
      </c>
      <c r="B9049">
        <v>2427.6899410000001</v>
      </c>
      <c r="C9049">
        <f t="shared" si="299"/>
        <v>-7.4289473662035085E-3</v>
      </c>
      <c r="D9049">
        <f t="shared" si="298"/>
        <v>-0.63146319319223554</v>
      </c>
    </row>
    <row r="9050" spans="1:4" x14ac:dyDescent="0.3">
      <c r="A9050" s="1">
        <v>39059</v>
      </c>
      <c r="B9050">
        <v>2437.360107</v>
      </c>
      <c r="C9050">
        <f t="shared" si="299"/>
        <v>3.9832788515063011E-3</v>
      </c>
      <c r="D9050">
        <f t="shared" si="298"/>
        <v>0.28146797686993996</v>
      </c>
    </row>
    <row r="9051" spans="1:4" x14ac:dyDescent="0.3">
      <c r="A9051" s="1">
        <v>39062</v>
      </c>
      <c r="B9051">
        <v>2442.860107</v>
      </c>
      <c r="C9051">
        <f t="shared" si="299"/>
        <v>2.256539763740377E-3</v>
      </c>
      <c r="D9051">
        <f t="shared" si="298"/>
        <v>0.14333595024222145</v>
      </c>
    </row>
    <row r="9052" spans="1:4" x14ac:dyDescent="0.3">
      <c r="A9052" s="1">
        <v>39063</v>
      </c>
      <c r="B9052">
        <v>2431.6000979999999</v>
      </c>
      <c r="C9052">
        <f t="shared" si="299"/>
        <v>-4.609354816403362E-3</v>
      </c>
      <c r="D9052">
        <f t="shared" si="298"/>
        <v>-0.40590738344206695</v>
      </c>
    </row>
    <row r="9053" spans="1:4" x14ac:dyDescent="0.3">
      <c r="A9053" s="1">
        <v>39064</v>
      </c>
      <c r="B9053">
        <v>2432.4099120000001</v>
      </c>
      <c r="C9053">
        <f t="shared" si="299"/>
        <v>3.3303749274655098E-4</v>
      </c>
      <c r="D9053">
        <f t="shared" si="298"/>
        <v>-1.053632194868525E-2</v>
      </c>
    </row>
    <row r="9054" spans="1:4" x14ac:dyDescent="0.3">
      <c r="A9054" s="1">
        <v>39065</v>
      </c>
      <c r="B9054">
        <v>2453.8500979999999</v>
      </c>
      <c r="C9054">
        <f t="shared" si="299"/>
        <v>8.8143802959473432E-3</v>
      </c>
      <c r="D9054">
        <f t="shared" si="298"/>
        <v>0.66793622681738218</v>
      </c>
    </row>
    <row r="9055" spans="1:4" x14ac:dyDescent="0.3">
      <c r="A9055" s="1">
        <v>39066</v>
      </c>
      <c r="B9055">
        <v>2457.1999510000001</v>
      </c>
      <c r="C9055">
        <f t="shared" si="299"/>
        <v>1.3651416615588906E-3</v>
      </c>
      <c r="D9055">
        <f t="shared" si="298"/>
        <v>7.2027767518600641E-2</v>
      </c>
    </row>
    <row r="9056" spans="1:4" x14ac:dyDescent="0.3">
      <c r="A9056" s="1">
        <v>39069</v>
      </c>
      <c r="B9056">
        <v>2435.570068</v>
      </c>
      <c r="C9056">
        <f t="shared" si="299"/>
        <v>-8.802654823103594E-3</v>
      </c>
      <c r="D9056">
        <f t="shared" si="298"/>
        <v>-0.74135414102542718</v>
      </c>
    </row>
    <row r="9057" spans="1:4" x14ac:dyDescent="0.3">
      <c r="A9057" s="1">
        <v>39070</v>
      </c>
      <c r="B9057">
        <v>2429.5500489999999</v>
      </c>
      <c r="C9057">
        <f t="shared" si="299"/>
        <v>-2.4717084016981144E-3</v>
      </c>
      <c r="D9057">
        <f t="shared" si="298"/>
        <v>-0.23490446032022705</v>
      </c>
    </row>
    <row r="9058" spans="1:4" x14ac:dyDescent="0.3">
      <c r="A9058" s="1">
        <v>39071</v>
      </c>
      <c r="B9058">
        <v>2427.610107</v>
      </c>
      <c r="C9058">
        <f t="shared" si="299"/>
        <v>-7.9847789132742974E-4</v>
      </c>
      <c r="D9058">
        <f t="shared" si="298"/>
        <v>-0.10105289985554271</v>
      </c>
    </row>
    <row r="9059" spans="1:4" x14ac:dyDescent="0.3">
      <c r="A9059" s="1">
        <v>39072</v>
      </c>
      <c r="B9059">
        <v>2415.8500979999999</v>
      </c>
      <c r="C9059">
        <f t="shared" si="299"/>
        <v>-4.8442741962929558E-3</v>
      </c>
      <c r="D9059">
        <f t="shared" si="298"/>
        <v>-0.42469996783897229</v>
      </c>
    </row>
    <row r="9060" spans="1:4" x14ac:dyDescent="0.3">
      <c r="A9060" s="1">
        <v>39073</v>
      </c>
      <c r="B9060">
        <v>2401.179932</v>
      </c>
      <c r="C9060">
        <f t="shared" si="299"/>
        <v>-6.0724653454884521E-3</v>
      </c>
      <c r="D9060">
        <f t="shared" si="298"/>
        <v>-0.52295020942242942</v>
      </c>
    </row>
    <row r="9061" spans="1:4" x14ac:dyDescent="0.3">
      <c r="A9061" s="1">
        <v>39077</v>
      </c>
      <c r="B9061">
        <v>2413.51001</v>
      </c>
      <c r="C9061">
        <f t="shared" si="299"/>
        <v>5.1350079332580217E-3</v>
      </c>
      <c r="D9061">
        <f t="shared" si="298"/>
        <v>0.37360156747179507</v>
      </c>
    </row>
    <row r="9062" spans="1:4" x14ac:dyDescent="0.3">
      <c r="A9062" s="1">
        <v>39078</v>
      </c>
      <c r="B9062">
        <v>2431.219971</v>
      </c>
      <c r="C9062">
        <f t="shared" si="299"/>
        <v>7.3378444367835959E-3</v>
      </c>
      <c r="D9062">
        <f t="shared" si="298"/>
        <v>0.54981942963601416</v>
      </c>
    </row>
    <row r="9063" spans="1:4" x14ac:dyDescent="0.3">
      <c r="A9063" s="1">
        <v>39079</v>
      </c>
      <c r="B9063">
        <v>2425.570068</v>
      </c>
      <c r="C9063">
        <f t="shared" si="299"/>
        <v>-2.3238962608867096E-3</v>
      </c>
      <c r="D9063">
        <f t="shared" si="298"/>
        <v>-0.22308009686246946</v>
      </c>
    </row>
    <row r="9064" spans="1:4" x14ac:dyDescent="0.3">
      <c r="A9064" s="1">
        <v>39080</v>
      </c>
      <c r="B9064">
        <v>2415.290039</v>
      </c>
      <c r="C9064">
        <f t="shared" si="299"/>
        <v>-4.2381909043247698E-3</v>
      </c>
      <c r="D9064">
        <f t="shared" si="298"/>
        <v>-0.37621579671090566</v>
      </c>
    </row>
    <row r="9065" spans="1:4" x14ac:dyDescent="0.3">
      <c r="A9065" s="1">
        <v>39085</v>
      </c>
      <c r="B9065">
        <v>2423.1599120000001</v>
      </c>
      <c r="C9065">
        <f t="shared" si="299"/>
        <v>3.258355258757434E-3</v>
      </c>
      <c r="D9065">
        <f t="shared" si="298"/>
        <v>0.22347707035365555</v>
      </c>
    </row>
    <row r="9066" spans="1:4" x14ac:dyDescent="0.3">
      <c r="A9066" s="1">
        <v>39086</v>
      </c>
      <c r="B9066">
        <v>2453.429932</v>
      </c>
      <c r="C9066">
        <f t="shared" si="299"/>
        <v>1.2491961364207287E-2</v>
      </c>
      <c r="D9066">
        <f t="shared" si="298"/>
        <v>0.96212758997446568</v>
      </c>
    </row>
    <row r="9067" spans="1:4" x14ac:dyDescent="0.3">
      <c r="A9067" s="1">
        <v>39087</v>
      </c>
      <c r="B9067">
        <v>2434.25</v>
      </c>
      <c r="C9067">
        <f t="shared" si="299"/>
        <v>-7.817599251495562E-3</v>
      </c>
      <c r="D9067">
        <f t="shared" si="298"/>
        <v>-0.66255374586949822</v>
      </c>
    </row>
    <row r="9068" spans="1:4" x14ac:dyDescent="0.3">
      <c r="A9068" s="1">
        <v>39090</v>
      </c>
      <c r="B9068">
        <v>2438.1999510000001</v>
      </c>
      <c r="C9068">
        <f t="shared" si="299"/>
        <v>1.622656259628245E-3</v>
      </c>
      <c r="D9068">
        <f t="shared" si="298"/>
        <v>9.2627876457794522E-2</v>
      </c>
    </row>
    <row r="9069" spans="1:4" x14ac:dyDescent="0.3">
      <c r="A9069" s="1">
        <v>39091</v>
      </c>
      <c r="B9069">
        <v>2443.830078</v>
      </c>
      <c r="C9069">
        <f t="shared" si="299"/>
        <v>2.3091326032103191E-3</v>
      </c>
      <c r="D9069">
        <f t="shared" si="298"/>
        <v>0.14754316113676871</v>
      </c>
    </row>
    <row r="9070" spans="1:4" x14ac:dyDescent="0.3">
      <c r="A9070" s="1">
        <v>39092</v>
      </c>
      <c r="B9070">
        <v>2459.330078</v>
      </c>
      <c r="C9070">
        <f t="shared" si="299"/>
        <v>6.3425031631843265E-3</v>
      </c>
      <c r="D9070">
        <f t="shared" si="298"/>
        <v>0.47019622061584548</v>
      </c>
    </row>
    <row r="9071" spans="1:4" x14ac:dyDescent="0.3">
      <c r="A9071" s="1">
        <v>39093</v>
      </c>
      <c r="B9071">
        <v>2484.8500979999999</v>
      </c>
      <c r="C9071">
        <f t="shared" si="299"/>
        <v>1.0376817747357266E-2</v>
      </c>
      <c r="D9071">
        <f t="shared" si="298"/>
        <v>0.7929247981489862</v>
      </c>
    </row>
    <row r="9072" spans="1:4" x14ac:dyDescent="0.3">
      <c r="A9072" s="1">
        <v>39094</v>
      </c>
      <c r="B9072">
        <v>2502.820068</v>
      </c>
      <c r="C9072">
        <f t="shared" si="299"/>
        <v>7.2318125002645952E-3</v>
      </c>
      <c r="D9072">
        <f t="shared" si="298"/>
        <v>0.54133731072042224</v>
      </c>
    </row>
    <row r="9073" spans="1:4" x14ac:dyDescent="0.3">
      <c r="A9073" s="1">
        <v>39098</v>
      </c>
      <c r="B9073">
        <v>2497.780029</v>
      </c>
      <c r="C9073">
        <f t="shared" si="299"/>
        <v>-2.0137440419468375E-3</v>
      </c>
      <c r="D9073">
        <f t="shared" si="298"/>
        <v>-0.19826919470082452</v>
      </c>
    </row>
    <row r="9074" spans="1:4" x14ac:dyDescent="0.3">
      <c r="A9074" s="1">
        <v>39099</v>
      </c>
      <c r="B9074">
        <v>2479.419922</v>
      </c>
      <c r="C9074">
        <f t="shared" si="299"/>
        <v>-7.3505700209119456E-3</v>
      </c>
      <c r="D9074">
        <f t="shared" si="298"/>
        <v>-0.62519332785848014</v>
      </c>
    </row>
    <row r="9075" spans="1:4" x14ac:dyDescent="0.3">
      <c r="A9075" s="1">
        <v>39100</v>
      </c>
      <c r="B9075">
        <v>2443.209961</v>
      </c>
      <c r="C9075">
        <f t="shared" si="299"/>
        <v>-1.4604206685082858E-2</v>
      </c>
      <c r="D9075">
        <f t="shared" si="298"/>
        <v>-1.205454433859966</v>
      </c>
    </row>
    <row r="9076" spans="1:4" x14ac:dyDescent="0.3">
      <c r="A9076" s="1">
        <v>39101</v>
      </c>
      <c r="B9076">
        <v>2451.3100589999999</v>
      </c>
      <c r="C9076">
        <f t="shared" si="299"/>
        <v>3.3153507595739084E-3</v>
      </c>
      <c r="D9076">
        <f t="shared" si="298"/>
        <v>0.22803647605207375</v>
      </c>
    </row>
    <row r="9077" spans="1:4" x14ac:dyDescent="0.3">
      <c r="A9077" s="1">
        <v>39104</v>
      </c>
      <c r="B9077">
        <v>2431.070068</v>
      </c>
      <c r="C9077">
        <f t="shared" si="299"/>
        <v>-8.2568057540043406E-3</v>
      </c>
      <c r="D9077">
        <f t="shared" si="298"/>
        <v>-0.6976884600422707</v>
      </c>
    </row>
    <row r="9078" spans="1:4" x14ac:dyDescent="0.3">
      <c r="A9078" s="1">
        <v>39105</v>
      </c>
      <c r="B9078">
        <v>2431.4099120000001</v>
      </c>
      <c r="C9078">
        <f t="shared" si="299"/>
        <v>1.3979193955510649E-4</v>
      </c>
      <c r="D9078">
        <f t="shared" si="298"/>
        <v>-2.5995171573537978E-2</v>
      </c>
    </row>
    <row r="9079" spans="1:4" x14ac:dyDescent="0.3">
      <c r="A9079" s="1">
        <v>39106</v>
      </c>
      <c r="B9079">
        <v>2466.280029</v>
      </c>
      <c r="C9079">
        <f t="shared" si="299"/>
        <v>1.434152128273463E-2</v>
      </c>
      <c r="D9079">
        <f t="shared" si="298"/>
        <v>1.1100847780208238</v>
      </c>
    </row>
    <row r="9080" spans="1:4" x14ac:dyDescent="0.3">
      <c r="A9080" s="1">
        <v>39107</v>
      </c>
      <c r="B9080">
        <v>2434.23999</v>
      </c>
      <c r="C9080">
        <f t="shared" si="299"/>
        <v>-1.2991241312119459E-2</v>
      </c>
      <c r="D9080">
        <f t="shared" si="298"/>
        <v>-1.0764238365761387</v>
      </c>
    </row>
    <row r="9081" spans="1:4" x14ac:dyDescent="0.3">
      <c r="A9081" s="1">
        <v>39108</v>
      </c>
      <c r="B9081">
        <v>2435.48999</v>
      </c>
      <c r="C9081">
        <f t="shared" si="299"/>
        <v>5.1350729802117823E-4</v>
      </c>
      <c r="D9081">
        <f t="shared" si="298"/>
        <v>3.9005203770114409E-3</v>
      </c>
    </row>
    <row r="9082" spans="1:4" x14ac:dyDescent="0.3">
      <c r="A9082" s="1">
        <v>39111</v>
      </c>
      <c r="B9082">
        <v>2441.0900879999999</v>
      </c>
      <c r="C9082">
        <f t="shared" si="299"/>
        <v>2.2993722096964517E-3</v>
      </c>
      <c r="D9082">
        <f t="shared" si="298"/>
        <v>0.14676236979063725</v>
      </c>
    </row>
    <row r="9083" spans="1:4" x14ac:dyDescent="0.3">
      <c r="A9083" s="1">
        <v>39112</v>
      </c>
      <c r="B9083">
        <v>2448.639893</v>
      </c>
      <c r="C9083">
        <f t="shared" si="299"/>
        <v>3.0928006455450841E-3</v>
      </c>
      <c r="D9083">
        <f t="shared" si="298"/>
        <v>0.21023338206130482</v>
      </c>
    </row>
    <row r="9084" spans="1:4" x14ac:dyDescent="0.3">
      <c r="A9084" s="1">
        <v>39113</v>
      </c>
      <c r="B9084">
        <v>2463.929932</v>
      </c>
      <c r="C9084">
        <f t="shared" si="299"/>
        <v>6.2442987405825047E-3</v>
      </c>
      <c r="D9084">
        <f t="shared" si="298"/>
        <v>0.46234027062669836</v>
      </c>
    </row>
    <row r="9085" spans="1:4" x14ac:dyDescent="0.3">
      <c r="A9085" s="1">
        <v>39114</v>
      </c>
      <c r="B9085">
        <v>2468.3798830000001</v>
      </c>
      <c r="C9085">
        <f t="shared" si="299"/>
        <v>1.8060379648815661E-3</v>
      </c>
      <c r="D9085">
        <f t="shared" si="298"/>
        <v>0.10729765880798246</v>
      </c>
    </row>
    <row r="9086" spans="1:4" x14ac:dyDescent="0.3">
      <c r="A9086" s="1">
        <v>39115</v>
      </c>
      <c r="B9086">
        <v>2475.8798830000001</v>
      </c>
      <c r="C9086">
        <f t="shared" si="299"/>
        <v>3.0384302074625198E-3</v>
      </c>
      <c r="D9086">
        <f t="shared" si="298"/>
        <v>0.20588397058727698</v>
      </c>
    </row>
    <row r="9087" spans="1:4" x14ac:dyDescent="0.3">
      <c r="A9087" s="1">
        <v>39118</v>
      </c>
      <c r="B9087">
        <v>2470.6000979999999</v>
      </c>
      <c r="C9087">
        <f t="shared" si="299"/>
        <v>-2.1324883473760083E-3</v>
      </c>
      <c r="D9087">
        <f t="shared" si="298"/>
        <v>-0.20776825085565667</v>
      </c>
    </row>
    <row r="9088" spans="1:4" x14ac:dyDescent="0.3">
      <c r="A9088" s="1">
        <v>39119</v>
      </c>
      <c r="B9088">
        <v>2471.48999</v>
      </c>
      <c r="C9088">
        <f t="shared" si="299"/>
        <v>3.6019265146169574E-4</v>
      </c>
      <c r="D9088">
        <f t="shared" si="298"/>
        <v>-8.3640209141535166E-3</v>
      </c>
    </row>
    <row r="9089" spans="1:4" x14ac:dyDescent="0.3">
      <c r="A9089" s="1">
        <v>39120</v>
      </c>
      <c r="B9089">
        <v>2490.5</v>
      </c>
      <c r="C9089">
        <f t="shared" si="299"/>
        <v>7.6917204103262278E-3</v>
      </c>
      <c r="D9089">
        <f t="shared" si="298"/>
        <v>0.57812805237272669</v>
      </c>
    </row>
    <row r="9090" spans="1:4" x14ac:dyDescent="0.3">
      <c r="A9090" s="1">
        <v>39121</v>
      </c>
      <c r="B9090">
        <v>2488.669922</v>
      </c>
      <c r="C9090">
        <f t="shared" si="299"/>
        <v>-7.3482352941174774E-4</v>
      </c>
      <c r="D9090">
        <f t="shared" si="298"/>
        <v>-9.5960812650588354E-2</v>
      </c>
    </row>
    <row r="9091" spans="1:4" x14ac:dyDescent="0.3">
      <c r="A9091" s="1">
        <v>39122</v>
      </c>
      <c r="B9091">
        <v>2459.820068</v>
      </c>
      <c r="C9091">
        <f t="shared" si="299"/>
        <v>-1.1592479076861704E-2</v>
      </c>
      <c r="D9091">
        <f t="shared" ref="D9091:D9154" si="300">(C9091-avrtn)/sdrtn</f>
        <v>-0.9645286095001977</v>
      </c>
    </row>
    <row r="9092" spans="1:4" x14ac:dyDescent="0.3">
      <c r="A9092" s="1">
        <v>39125</v>
      </c>
      <c r="B9092">
        <v>2450.3798830000001</v>
      </c>
      <c r="C9092">
        <f t="shared" ref="C9092:C9155" si="301">(B9092-B9091)/B9091</f>
        <v>-3.8377542824404379E-3</v>
      </c>
      <c r="D9092">
        <f t="shared" si="300"/>
        <v>-0.34418251356538715</v>
      </c>
    </row>
    <row r="9093" spans="1:4" x14ac:dyDescent="0.3">
      <c r="A9093" s="1">
        <v>39126</v>
      </c>
      <c r="B9093">
        <v>2459.8798830000001</v>
      </c>
      <c r="C9093">
        <f t="shared" si="301"/>
        <v>3.8769498827133488E-3</v>
      </c>
      <c r="D9093">
        <f t="shared" si="300"/>
        <v>0.27296209659383597</v>
      </c>
    </row>
    <row r="9094" spans="1:4" x14ac:dyDescent="0.3">
      <c r="A9094" s="1">
        <v>39127</v>
      </c>
      <c r="B9094">
        <v>2488.3798830000001</v>
      </c>
      <c r="C9094">
        <f t="shared" si="301"/>
        <v>1.1585931572090506E-2</v>
      </c>
      <c r="D9094">
        <f t="shared" si="300"/>
        <v>0.88964893222188979</v>
      </c>
    </row>
    <row r="9095" spans="1:4" x14ac:dyDescent="0.3">
      <c r="A9095" s="1">
        <v>39128</v>
      </c>
      <c r="B9095">
        <v>2497.1000979999999</v>
      </c>
      <c r="C9095">
        <f t="shared" si="301"/>
        <v>3.5043744966651563E-3</v>
      </c>
      <c r="D9095">
        <f t="shared" si="300"/>
        <v>0.2431575977491223</v>
      </c>
    </row>
    <row r="9096" spans="1:4" x14ac:dyDescent="0.3">
      <c r="A9096" s="1">
        <v>39129</v>
      </c>
      <c r="B9096">
        <v>2496.3100589999999</v>
      </c>
      <c r="C9096">
        <f t="shared" si="301"/>
        <v>-3.1638259140382238E-4</v>
      </c>
      <c r="D9096">
        <f t="shared" si="300"/>
        <v>-6.2487258249372638E-2</v>
      </c>
    </row>
    <row r="9097" spans="1:4" x14ac:dyDescent="0.3">
      <c r="A9097" s="1">
        <v>39133</v>
      </c>
      <c r="B9097">
        <v>2513.040039</v>
      </c>
      <c r="C9097">
        <f t="shared" si="301"/>
        <v>6.7018838223573693E-3</v>
      </c>
      <c r="D9097">
        <f t="shared" si="300"/>
        <v>0.49894519556758826</v>
      </c>
    </row>
    <row r="9098" spans="1:4" x14ac:dyDescent="0.3">
      <c r="A9098" s="1">
        <v>39134</v>
      </c>
      <c r="B9098">
        <v>2518.419922</v>
      </c>
      <c r="C9098">
        <f t="shared" si="301"/>
        <v>2.1407868225373958E-3</v>
      </c>
      <c r="D9098">
        <f t="shared" si="300"/>
        <v>0.13407619092492126</v>
      </c>
    </row>
    <row r="9099" spans="1:4" x14ac:dyDescent="0.3">
      <c r="A9099" s="1">
        <v>39135</v>
      </c>
      <c r="B9099">
        <v>2524.9399410000001</v>
      </c>
      <c r="C9099">
        <f t="shared" si="301"/>
        <v>2.5889324266551157E-3</v>
      </c>
      <c r="D9099">
        <f t="shared" si="300"/>
        <v>0.16992599646860362</v>
      </c>
    </row>
    <row r="9100" spans="1:4" x14ac:dyDescent="0.3">
      <c r="A9100" s="1">
        <v>39136</v>
      </c>
      <c r="B9100">
        <v>2515.1000979999999</v>
      </c>
      <c r="C9100">
        <f t="shared" si="301"/>
        <v>-3.8970602192237255E-3</v>
      </c>
      <c r="D9100">
        <f t="shared" si="300"/>
        <v>-0.34892674464058088</v>
      </c>
    </row>
    <row r="9101" spans="1:4" x14ac:dyDescent="0.3">
      <c r="A9101" s="1">
        <v>39139</v>
      </c>
      <c r="B9101">
        <v>2504.5200199999999</v>
      </c>
      <c r="C9101">
        <f t="shared" si="301"/>
        <v>-4.2066230319871582E-3</v>
      </c>
      <c r="D9101">
        <f t="shared" si="300"/>
        <v>-0.37369049673176341</v>
      </c>
    </row>
    <row r="9102" spans="1:4" x14ac:dyDescent="0.3">
      <c r="A9102" s="1">
        <v>39140</v>
      </c>
      <c r="B9102">
        <v>2407.860107</v>
      </c>
      <c r="C9102">
        <f t="shared" si="301"/>
        <v>-3.8594186601870313E-2</v>
      </c>
      <c r="D9102">
        <f t="shared" si="300"/>
        <v>-3.1245541798161032</v>
      </c>
    </row>
    <row r="9103" spans="1:4" x14ac:dyDescent="0.3">
      <c r="A9103" s="1">
        <v>39141</v>
      </c>
      <c r="B9103">
        <v>2416.1499020000001</v>
      </c>
      <c r="C9103">
        <f t="shared" si="301"/>
        <v>3.4428059071623385E-3</v>
      </c>
      <c r="D9103">
        <f t="shared" si="300"/>
        <v>0.23823236376044968</v>
      </c>
    </row>
    <row r="9104" spans="1:4" x14ac:dyDescent="0.3">
      <c r="A9104" s="1">
        <v>39142</v>
      </c>
      <c r="B9104">
        <v>2404.209961</v>
      </c>
      <c r="C9104">
        <f t="shared" si="301"/>
        <v>-4.9417219478463011E-3</v>
      </c>
      <c r="D9104">
        <f t="shared" si="300"/>
        <v>-0.4324953872556912</v>
      </c>
    </row>
    <row r="9105" spans="1:4" x14ac:dyDescent="0.3">
      <c r="A9105" s="1">
        <v>39143</v>
      </c>
      <c r="B9105">
        <v>2368</v>
      </c>
      <c r="C9105">
        <f t="shared" si="301"/>
        <v>-1.5061064377646517E-2</v>
      </c>
      <c r="D9105">
        <f t="shared" si="300"/>
        <v>-1.2420011706550016</v>
      </c>
    </row>
    <row r="9106" spans="1:4" x14ac:dyDescent="0.3">
      <c r="A9106" s="1">
        <v>39146</v>
      </c>
      <c r="B9106">
        <v>2340.679932</v>
      </c>
      <c r="C9106">
        <f t="shared" si="301"/>
        <v>-1.1537190878378374E-2</v>
      </c>
      <c r="D9106">
        <f t="shared" si="300"/>
        <v>-0.96010578096796195</v>
      </c>
    </row>
    <row r="9107" spans="1:4" x14ac:dyDescent="0.3">
      <c r="A9107" s="1">
        <v>39147</v>
      </c>
      <c r="B9107">
        <v>2385.139893</v>
      </c>
      <c r="C9107">
        <f t="shared" si="301"/>
        <v>1.8994464126503231E-2</v>
      </c>
      <c r="D9107">
        <f t="shared" si="300"/>
        <v>1.4823010725070138</v>
      </c>
    </row>
    <row r="9108" spans="1:4" x14ac:dyDescent="0.3">
      <c r="A9108" s="1">
        <v>39148</v>
      </c>
      <c r="B9108">
        <v>2374.639893</v>
      </c>
      <c r="C9108">
        <f t="shared" si="301"/>
        <v>-4.4022575073335542E-3</v>
      </c>
      <c r="D9108">
        <f t="shared" si="300"/>
        <v>-0.38934045030570563</v>
      </c>
    </row>
    <row r="9109" spans="1:4" x14ac:dyDescent="0.3">
      <c r="A9109" s="1">
        <v>39149</v>
      </c>
      <c r="B9109">
        <v>2387.7299800000001</v>
      </c>
      <c r="C9109">
        <f t="shared" si="301"/>
        <v>5.5124513988782887E-3</v>
      </c>
      <c r="D9109">
        <f t="shared" si="300"/>
        <v>0.4037954926646119</v>
      </c>
    </row>
    <row r="9110" spans="1:4" x14ac:dyDescent="0.3">
      <c r="A9110" s="1">
        <v>39150</v>
      </c>
      <c r="B9110">
        <v>2387.5500489999999</v>
      </c>
      <c r="C9110">
        <f t="shared" si="301"/>
        <v>-7.5356510789433646E-5</v>
      </c>
      <c r="D9110">
        <f t="shared" si="300"/>
        <v>-4.3206162905387112E-2</v>
      </c>
    </row>
    <row r="9111" spans="1:4" x14ac:dyDescent="0.3">
      <c r="A9111" s="1">
        <v>39153</v>
      </c>
      <c r="B9111">
        <v>2402.290039</v>
      </c>
      <c r="C9111">
        <f t="shared" si="301"/>
        <v>6.1736883824377725E-3</v>
      </c>
      <c r="D9111">
        <f t="shared" si="300"/>
        <v>0.45669173232664739</v>
      </c>
    </row>
    <row r="9112" spans="1:4" x14ac:dyDescent="0.3">
      <c r="A9112" s="1">
        <v>39154</v>
      </c>
      <c r="B9112">
        <v>2350.570068</v>
      </c>
      <c r="C9112">
        <f t="shared" si="301"/>
        <v>-2.1529444888149073E-2</v>
      </c>
      <c r="D9112">
        <f t="shared" si="300"/>
        <v>-1.759445013355617</v>
      </c>
    </row>
    <row r="9113" spans="1:4" x14ac:dyDescent="0.3">
      <c r="A9113" s="1">
        <v>39155</v>
      </c>
      <c r="B9113">
        <v>2371.73999</v>
      </c>
      <c r="C9113">
        <f t="shared" si="301"/>
        <v>9.0062926811676058E-3</v>
      </c>
      <c r="D9113">
        <f t="shared" si="300"/>
        <v>0.6832884284865598</v>
      </c>
    </row>
    <row r="9114" spans="1:4" x14ac:dyDescent="0.3">
      <c r="A9114" s="1">
        <v>39156</v>
      </c>
      <c r="B9114">
        <v>2378.6999510000001</v>
      </c>
      <c r="C9114">
        <f t="shared" si="301"/>
        <v>2.934537946547851E-3</v>
      </c>
      <c r="D9114">
        <f t="shared" si="300"/>
        <v>0.19757301692163304</v>
      </c>
    </row>
    <row r="9115" spans="1:4" x14ac:dyDescent="0.3">
      <c r="A9115" s="1">
        <v>39157</v>
      </c>
      <c r="B9115">
        <v>2372.6599120000001</v>
      </c>
      <c r="C9115">
        <f t="shared" si="301"/>
        <v>-2.5392185329893165E-3</v>
      </c>
      <c r="D9115">
        <f t="shared" si="300"/>
        <v>-0.2403049932202046</v>
      </c>
    </row>
    <row r="9116" spans="1:4" x14ac:dyDescent="0.3">
      <c r="A9116" s="1">
        <v>39160</v>
      </c>
      <c r="B9116">
        <v>2394.4099120000001</v>
      </c>
      <c r="C9116">
        <f t="shared" si="301"/>
        <v>9.1669269118582388E-3</v>
      </c>
      <c r="D9116">
        <f t="shared" si="300"/>
        <v>0.69613850640990704</v>
      </c>
    </row>
    <row r="9117" spans="1:4" x14ac:dyDescent="0.3">
      <c r="A9117" s="1">
        <v>39161</v>
      </c>
      <c r="B9117">
        <v>2408.209961</v>
      </c>
      <c r="C9117">
        <f t="shared" si="301"/>
        <v>5.7634446511596066E-3</v>
      </c>
      <c r="D9117">
        <f t="shared" si="300"/>
        <v>0.423873920756697</v>
      </c>
    </row>
    <row r="9118" spans="1:4" x14ac:dyDescent="0.3">
      <c r="A9118" s="1">
        <v>39162</v>
      </c>
      <c r="B9118">
        <v>2455.919922</v>
      </c>
      <c r="C9118">
        <f t="shared" si="301"/>
        <v>1.9811379311872226E-2</v>
      </c>
      <c r="D9118">
        <f t="shared" si="300"/>
        <v>1.5476509281612194</v>
      </c>
    </row>
    <row r="9119" spans="1:4" x14ac:dyDescent="0.3">
      <c r="A9119" s="1">
        <v>39163</v>
      </c>
      <c r="B9119">
        <v>2451.73999</v>
      </c>
      <c r="C9119">
        <f t="shared" si="301"/>
        <v>-1.7019822033106208E-3</v>
      </c>
      <c r="D9119">
        <f t="shared" si="300"/>
        <v>-0.17332952958226774</v>
      </c>
    </row>
    <row r="9120" spans="1:4" x14ac:dyDescent="0.3">
      <c r="A9120" s="1">
        <v>39164</v>
      </c>
      <c r="B9120">
        <v>2448.929932</v>
      </c>
      <c r="C9120">
        <f t="shared" si="301"/>
        <v>-1.1461484543473252E-3</v>
      </c>
      <c r="D9120">
        <f t="shared" si="300"/>
        <v>-0.12886511526723682</v>
      </c>
    </row>
    <row r="9121" spans="1:4" x14ac:dyDescent="0.3">
      <c r="A9121" s="1">
        <v>39167</v>
      </c>
      <c r="B9121">
        <v>2455.6298830000001</v>
      </c>
      <c r="C9121">
        <f t="shared" si="301"/>
        <v>2.7358688023092267E-3</v>
      </c>
      <c r="D9121">
        <f t="shared" si="300"/>
        <v>0.18168030231494556</v>
      </c>
    </row>
    <row r="9122" spans="1:4" x14ac:dyDescent="0.3">
      <c r="A9122" s="1">
        <v>39168</v>
      </c>
      <c r="B9122">
        <v>2437.429932</v>
      </c>
      <c r="C9122">
        <f t="shared" si="301"/>
        <v>-7.4115204111156576E-3</v>
      </c>
      <c r="D9122">
        <f t="shared" si="300"/>
        <v>-0.63006910844527508</v>
      </c>
    </row>
    <row r="9123" spans="1:4" x14ac:dyDescent="0.3">
      <c r="A9123" s="1">
        <v>39169</v>
      </c>
      <c r="B9123">
        <v>2417.1000979999999</v>
      </c>
      <c r="C9123">
        <f t="shared" si="301"/>
        <v>-8.3406844779815893E-3</v>
      </c>
      <c r="D9123">
        <f t="shared" si="300"/>
        <v>-0.70439841304907669</v>
      </c>
    </row>
    <row r="9124" spans="1:4" x14ac:dyDescent="0.3">
      <c r="A9124" s="1">
        <v>39170</v>
      </c>
      <c r="B9124">
        <v>2417.8798830000001</v>
      </c>
      <c r="C9124">
        <f t="shared" si="301"/>
        <v>3.2261179445791183E-4</v>
      </c>
      <c r="D9124">
        <f t="shared" si="300"/>
        <v>-1.1370334941048856E-2</v>
      </c>
    </row>
    <row r="9125" spans="1:4" x14ac:dyDescent="0.3">
      <c r="A9125" s="1">
        <v>39171</v>
      </c>
      <c r="B9125">
        <v>2421.639893</v>
      </c>
      <c r="C9125">
        <f t="shared" si="301"/>
        <v>1.5550855220048023E-3</v>
      </c>
      <c r="D9125">
        <f t="shared" si="300"/>
        <v>8.7222495300452452E-2</v>
      </c>
    </row>
    <row r="9126" spans="1:4" x14ac:dyDescent="0.3">
      <c r="A9126" s="1">
        <v>39174</v>
      </c>
      <c r="B9126">
        <v>2422.26001</v>
      </c>
      <c r="C9126">
        <f t="shared" si="301"/>
        <v>2.5607316834862551E-4</v>
      </c>
      <c r="D9126">
        <f t="shared" si="300"/>
        <v>-1.6693151421326324E-2</v>
      </c>
    </row>
    <row r="9127" spans="1:4" x14ac:dyDescent="0.3">
      <c r="A9127" s="1">
        <v>39175</v>
      </c>
      <c r="B9127">
        <v>2450.330078</v>
      </c>
      <c r="C9127">
        <f t="shared" si="301"/>
        <v>1.1588379399451834E-2</v>
      </c>
      <c r="D9127">
        <f t="shared" si="300"/>
        <v>0.88984474834526972</v>
      </c>
    </row>
    <row r="9128" spans="1:4" x14ac:dyDescent="0.3">
      <c r="A9128" s="1">
        <v>39176</v>
      </c>
      <c r="B9128">
        <v>2458.6899410000001</v>
      </c>
      <c r="C9128">
        <f t="shared" si="301"/>
        <v>3.411729331920698E-3</v>
      </c>
      <c r="D9128">
        <f t="shared" si="300"/>
        <v>0.23574636552875938</v>
      </c>
    </row>
    <row r="9129" spans="1:4" x14ac:dyDescent="0.3">
      <c r="A9129" s="1">
        <v>39177</v>
      </c>
      <c r="B9129">
        <v>2471.3400879999999</v>
      </c>
      <c r="C9129">
        <f t="shared" si="301"/>
        <v>5.1450761598897492E-3</v>
      </c>
      <c r="D9129">
        <f t="shared" si="300"/>
        <v>0.37440698420153801</v>
      </c>
    </row>
    <row r="9130" spans="1:4" x14ac:dyDescent="0.3">
      <c r="A9130" s="1">
        <v>39181</v>
      </c>
      <c r="B9130">
        <v>2469.179932</v>
      </c>
      <c r="C9130">
        <f t="shared" si="301"/>
        <v>-8.7408285508292025E-4</v>
      </c>
      <c r="D9130">
        <f t="shared" si="300"/>
        <v>-0.10710098606651335</v>
      </c>
    </row>
    <row r="9131" spans="1:4" x14ac:dyDescent="0.3">
      <c r="A9131" s="1">
        <v>39182</v>
      </c>
      <c r="B9131">
        <v>2477.610107</v>
      </c>
      <c r="C9131">
        <f t="shared" si="301"/>
        <v>3.4141598555645328E-3</v>
      </c>
      <c r="D9131">
        <f t="shared" si="300"/>
        <v>0.23594079742589322</v>
      </c>
    </row>
    <row r="9132" spans="1:4" x14ac:dyDescent="0.3">
      <c r="A9132" s="1">
        <v>39183</v>
      </c>
      <c r="B9132">
        <v>2459.3100589999999</v>
      </c>
      <c r="C9132">
        <f t="shared" si="301"/>
        <v>-7.3861694171721672E-3</v>
      </c>
      <c r="D9132">
        <f t="shared" si="300"/>
        <v>-0.6280411331737058</v>
      </c>
    </row>
    <row r="9133" spans="1:4" x14ac:dyDescent="0.3">
      <c r="A9133" s="1">
        <v>39184</v>
      </c>
      <c r="B9133">
        <v>2480.320068</v>
      </c>
      <c r="C9133">
        <f t="shared" si="301"/>
        <v>8.54305008151072E-3</v>
      </c>
      <c r="D9133">
        <f t="shared" si="300"/>
        <v>0.64623092537896076</v>
      </c>
    </row>
    <row r="9134" spans="1:4" x14ac:dyDescent="0.3">
      <c r="A9134" s="1">
        <v>39185</v>
      </c>
      <c r="B9134">
        <v>2491.9399410000001</v>
      </c>
      <c r="C9134">
        <f t="shared" si="301"/>
        <v>4.6848280388948971E-3</v>
      </c>
      <c r="D9134">
        <f t="shared" si="300"/>
        <v>0.33758902707353178</v>
      </c>
    </row>
    <row r="9135" spans="1:4" x14ac:dyDescent="0.3">
      <c r="A9135" s="1">
        <v>39188</v>
      </c>
      <c r="B9135">
        <v>2518.330078</v>
      </c>
      <c r="C9135">
        <f t="shared" si="301"/>
        <v>1.0590197847789891E-2</v>
      </c>
      <c r="D9135">
        <f t="shared" si="300"/>
        <v>0.80999432875938038</v>
      </c>
    </row>
    <row r="9136" spans="1:4" x14ac:dyDescent="0.3">
      <c r="A9136" s="1">
        <v>39189</v>
      </c>
      <c r="B9136">
        <v>2516.9499510000001</v>
      </c>
      <c r="C9136">
        <f t="shared" si="301"/>
        <v>-5.4803260782080145E-4</v>
      </c>
      <c r="D9136">
        <f t="shared" si="300"/>
        <v>-8.1018307012171734E-2</v>
      </c>
    </row>
    <row r="9137" spans="1:4" x14ac:dyDescent="0.3">
      <c r="A9137" s="1">
        <v>39190</v>
      </c>
      <c r="B9137">
        <v>2510.5</v>
      </c>
      <c r="C9137">
        <f t="shared" si="301"/>
        <v>-2.5626059816713674E-3</v>
      </c>
      <c r="D9137">
        <f t="shared" si="300"/>
        <v>-0.24217589294500505</v>
      </c>
    </row>
    <row r="9138" spans="1:4" x14ac:dyDescent="0.3">
      <c r="A9138" s="1">
        <v>39191</v>
      </c>
      <c r="B9138">
        <v>2505.3500979999999</v>
      </c>
      <c r="C9138">
        <f t="shared" si="301"/>
        <v>-2.0513451503684967E-3</v>
      </c>
      <c r="D9138">
        <f t="shared" si="300"/>
        <v>-0.20127712875787557</v>
      </c>
    </row>
    <row r="9139" spans="1:4" x14ac:dyDescent="0.3">
      <c r="A9139" s="1">
        <v>39192</v>
      </c>
      <c r="B9139">
        <v>2526.389893</v>
      </c>
      <c r="C9139">
        <f t="shared" si="301"/>
        <v>8.3979460662188619E-3</v>
      </c>
      <c r="D9139">
        <f t="shared" si="300"/>
        <v>0.63462320082688817</v>
      </c>
    </row>
    <row r="9140" spans="1:4" x14ac:dyDescent="0.3">
      <c r="A9140" s="1">
        <v>39195</v>
      </c>
      <c r="B9140">
        <v>2523.669922</v>
      </c>
      <c r="C9140">
        <f t="shared" si="301"/>
        <v>-1.0766236072810265E-3</v>
      </c>
      <c r="D9140">
        <f t="shared" si="300"/>
        <v>-0.12330341338981232</v>
      </c>
    </row>
    <row r="9141" spans="1:4" x14ac:dyDescent="0.3">
      <c r="A9141" s="1">
        <v>39196</v>
      </c>
      <c r="B9141">
        <v>2524.540039</v>
      </c>
      <c r="C9141">
        <f t="shared" si="301"/>
        <v>3.4478241089087104E-4</v>
      </c>
      <c r="D9141">
        <f t="shared" si="300"/>
        <v>-9.5967767925316302E-3</v>
      </c>
    </row>
    <row r="9142" spans="1:4" x14ac:dyDescent="0.3">
      <c r="A9142" s="1">
        <v>39197</v>
      </c>
      <c r="B9142">
        <v>2547.889893</v>
      </c>
      <c r="C9142">
        <f t="shared" si="301"/>
        <v>9.2491517818228796E-3</v>
      </c>
      <c r="D9142">
        <f t="shared" si="300"/>
        <v>0.70271615789639263</v>
      </c>
    </row>
    <row r="9143" spans="1:4" x14ac:dyDescent="0.3">
      <c r="A9143" s="1">
        <v>39198</v>
      </c>
      <c r="B9143">
        <v>2554.459961</v>
      </c>
      <c r="C9143">
        <f t="shared" si="301"/>
        <v>2.578631053896956E-3</v>
      </c>
      <c r="D9143">
        <f t="shared" si="300"/>
        <v>0.16910192900744875</v>
      </c>
    </row>
    <row r="9144" spans="1:4" x14ac:dyDescent="0.3">
      <c r="A9144" s="1">
        <v>39199</v>
      </c>
      <c r="B9144">
        <v>2557.209961</v>
      </c>
      <c r="C9144">
        <f t="shared" si="301"/>
        <v>1.0765484846055099E-3</v>
      </c>
      <c r="D9144">
        <f t="shared" si="300"/>
        <v>4.8941500064564644E-2</v>
      </c>
    </row>
    <row r="9145" spans="1:4" x14ac:dyDescent="0.3">
      <c r="A9145" s="1">
        <v>39202</v>
      </c>
      <c r="B9145">
        <v>2525.0900879999999</v>
      </c>
      <c r="C9145">
        <f t="shared" si="301"/>
        <v>-1.2560514580288739E-2</v>
      </c>
      <c r="D9145">
        <f t="shared" si="300"/>
        <v>-1.0419674691885854</v>
      </c>
    </row>
    <row r="9146" spans="1:4" x14ac:dyDescent="0.3">
      <c r="A9146" s="1">
        <v>39203</v>
      </c>
      <c r="B9146">
        <v>2531.530029</v>
      </c>
      <c r="C9146">
        <f t="shared" si="301"/>
        <v>2.5503806896255538E-3</v>
      </c>
      <c r="D9146">
        <f t="shared" si="300"/>
        <v>0.16684201603192858</v>
      </c>
    </row>
    <row r="9147" spans="1:4" x14ac:dyDescent="0.3">
      <c r="A9147" s="1">
        <v>39204</v>
      </c>
      <c r="B9147">
        <v>2557.8400879999999</v>
      </c>
      <c r="C9147">
        <f t="shared" si="301"/>
        <v>1.0392947624007786E-2</v>
      </c>
      <c r="D9147">
        <f t="shared" si="300"/>
        <v>0.79421512195457866</v>
      </c>
    </row>
    <row r="9148" spans="1:4" x14ac:dyDescent="0.3">
      <c r="A9148" s="1">
        <v>39205</v>
      </c>
      <c r="B9148">
        <v>2565.459961</v>
      </c>
      <c r="C9148">
        <f t="shared" si="301"/>
        <v>2.9790263416968146E-3</v>
      </c>
      <c r="D9148">
        <f t="shared" si="300"/>
        <v>0.20113190559617616</v>
      </c>
    </row>
    <row r="9149" spans="1:4" x14ac:dyDescent="0.3">
      <c r="A9149" s="1">
        <v>39206</v>
      </c>
      <c r="B9149">
        <v>2572.1499020000001</v>
      </c>
      <c r="C9149">
        <f t="shared" si="301"/>
        <v>2.6076965151279902E-3</v>
      </c>
      <c r="D9149">
        <f t="shared" si="300"/>
        <v>0.17142704638804077</v>
      </c>
    </row>
    <row r="9150" spans="1:4" x14ac:dyDescent="0.3">
      <c r="A9150" s="1">
        <v>39209</v>
      </c>
      <c r="B9150">
        <v>2570.9499510000001</v>
      </c>
      <c r="C9150">
        <f t="shared" si="301"/>
        <v>-4.6651674502602741E-4</v>
      </c>
      <c r="D9150">
        <f t="shared" si="300"/>
        <v>-7.4497373183820506E-2</v>
      </c>
    </row>
    <row r="9151" spans="1:4" x14ac:dyDescent="0.3">
      <c r="A9151" s="1">
        <v>39210</v>
      </c>
      <c r="B9151">
        <v>2571.75</v>
      </c>
      <c r="C9151">
        <f t="shared" si="301"/>
        <v>3.1118808815735848E-4</v>
      </c>
      <c r="D9151">
        <f t="shared" si="300"/>
        <v>-1.2284184470532132E-2</v>
      </c>
    </row>
    <row r="9152" spans="1:4" x14ac:dyDescent="0.3">
      <c r="A9152" s="1">
        <v>39211</v>
      </c>
      <c r="B9152">
        <v>2576.3400879999999</v>
      </c>
      <c r="C9152">
        <f t="shared" si="301"/>
        <v>1.7848111208320883E-3</v>
      </c>
      <c r="D9152">
        <f t="shared" si="300"/>
        <v>0.10559959856932852</v>
      </c>
    </row>
    <row r="9153" spans="1:4" x14ac:dyDescent="0.3">
      <c r="A9153" s="1">
        <v>39212</v>
      </c>
      <c r="B9153">
        <v>2533.73999</v>
      </c>
      <c r="C9153">
        <f t="shared" si="301"/>
        <v>-1.6535122128643401E-2</v>
      </c>
      <c r="D9153">
        <f t="shared" si="300"/>
        <v>-1.3599197293730623</v>
      </c>
    </row>
    <row r="9154" spans="1:4" x14ac:dyDescent="0.3">
      <c r="A9154" s="1">
        <v>39213</v>
      </c>
      <c r="B9154">
        <v>2562.219971</v>
      </c>
      <c r="C9154">
        <f t="shared" si="301"/>
        <v>1.1240293444632395E-2</v>
      </c>
      <c r="D9154">
        <f t="shared" si="300"/>
        <v>0.86199930329771346</v>
      </c>
    </row>
    <row r="9155" spans="1:4" x14ac:dyDescent="0.3">
      <c r="A9155" s="1">
        <v>39216</v>
      </c>
      <c r="B9155">
        <v>2546.4399410000001</v>
      </c>
      <c r="C9155">
        <f t="shared" si="301"/>
        <v>-6.1587335117995988E-3</v>
      </c>
      <c r="D9155">
        <f t="shared" ref="D9155:D9218" si="302">(C9155-avrtn)/sdrtn</f>
        <v>-0.52985130799050173</v>
      </c>
    </row>
    <row r="9156" spans="1:4" x14ac:dyDescent="0.3">
      <c r="A9156" s="1">
        <v>39217</v>
      </c>
      <c r="B9156">
        <v>2525.290039</v>
      </c>
      <c r="C9156">
        <f t="shared" ref="C9156:C9219" si="303">(B9156-B9155)/B9155</f>
        <v>-8.3056747812769675E-3</v>
      </c>
      <c r="D9156">
        <f t="shared" si="302"/>
        <v>-0.70159778127343997</v>
      </c>
    </row>
    <row r="9157" spans="1:4" x14ac:dyDescent="0.3">
      <c r="A9157" s="1">
        <v>39218</v>
      </c>
      <c r="B9157">
        <v>2547.419922</v>
      </c>
      <c r="C9157">
        <f t="shared" si="303"/>
        <v>8.7633034852358446E-3</v>
      </c>
      <c r="D9157">
        <f t="shared" si="302"/>
        <v>0.66385029198956291</v>
      </c>
    </row>
    <row r="9158" spans="1:4" x14ac:dyDescent="0.3">
      <c r="A9158" s="1">
        <v>39219</v>
      </c>
      <c r="B9158">
        <v>2539.3798830000001</v>
      </c>
      <c r="C9158">
        <f t="shared" si="303"/>
        <v>-3.1561498481521176E-3</v>
      </c>
      <c r="D9158">
        <f t="shared" si="302"/>
        <v>-0.28965696159650256</v>
      </c>
    </row>
    <row r="9159" spans="1:4" x14ac:dyDescent="0.3">
      <c r="A9159" s="1">
        <v>39220</v>
      </c>
      <c r="B9159">
        <v>2558.4499510000001</v>
      </c>
      <c r="C9159">
        <f t="shared" si="303"/>
        <v>7.5097342180527908E-3</v>
      </c>
      <c r="D9159">
        <f t="shared" si="302"/>
        <v>0.56356990532254581</v>
      </c>
    </row>
    <row r="9160" spans="1:4" x14ac:dyDescent="0.3">
      <c r="A9160" s="1">
        <v>39223</v>
      </c>
      <c r="B9160">
        <v>2578.790039</v>
      </c>
      <c r="C9160">
        <f t="shared" si="303"/>
        <v>7.9501606009723825E-3</v>
      </c>
      <c r="D9160">
        <f t="shared" si="302"/>
        <v>0.59880220491200509</v>
      </c>
    </row>
    <row r="9161" spans="1:4" x14ac:dyDescent="0.3">
      <c r="A9161" s="1">
        <v>39224</v>
      </c>
      <c r="B9161">
        <v>2588.0200199999999</v>
      </c>
      <c r="C9161">
        <f t="shared" si="303"/>
        <v>3.5791905740333724E-3</v>
      </c>
      <c r="D9161">
        <f t="shared" si="302"/>
        <v>0.24914257629303119</v>
      </c>
    </row>
    <row r="9162" spans="1:4" x14ac:dyDescent="0.3">
      <c r="A9162" s="1">
        <v>39225</v>
      </c>
      <c r="B9162">
        <v>2577.0500489999999</v>
      </c>
      <c r="C9162">
        <f t="shared" si="303"/>
        <v>-4.2387504405781169E-3</v>
      </c>
      <c r="D9162">
        <f t="shared" si="302"/>
        <v>-0.37626055731034658</v>
      </c>
    </row>
    <row r="9163" spans="1:4" x14ac:dyDescent="0.3">
      <c r="A9163" s="1">
        <v>39226</v>
      </c>
      <c r="B9163">
        <v>2537.919922</v>
      </c>
      <c r="C9163">
        <f t="shared" si="303"/>
        <v>-1.5184077241799779E-2</v>
      </c>
      <c r="D9163">
        <f t="shared" si="302"/>
        <v>-1.2518416939553429</v>
      </c>
    </row>
    <row r="9164" spans="1:4" x14ac:dyDescent="0.3">
      <c r="A9164" s="1">
        <v>39227</v>
      </c>
      <c r="B9164">
        <v>2557.1899410000001</v>
      </c>
      <c r="C9164">
        <f t="shared" si="303"/>
        <v>7.5928396451588461E-3</v>
      </c>
      <c r="D9164">
        <f t="shared" si="302"/>
        <v>0.57021799775947202</v>
      </c>
    </row>
    <row r="9165" spans="1:4" x14ac:dyDescent="0.3">
      <c r="A9165" s="1">
        <v>39231</v>
      </c>
      <c r="B9165">
        <v>2572.0600589999999</v>
      </c>
      <c r="C9165">
        <f t="shared" si="303"/>
        <v>5.8150228739695404E-3</v>
      </c>
      <c r="D9165">
        <f t="shared" si="302"/>
        <v>0.4279999664905722</v>
      </c>
    </row>
    <row r="9166" spans="1:4" x14ac:dyDescent="0.3">
      <c r="A9166" s="1">
        <v>39232</v>
      </c>
      <c r="B9166">
        <v>2592.5900879999999</v>
      </c>
      <c r="C9166">
        <f t="shared" si="303"/>
        <v>7.9819399738208108E-3</v>
      </c>
      <c r="D9166">
        <f t="shared" si="302"/>
        <v>0.60134442406231736</v>
      </c>
    </row>
    <row r="9167" spans="1:4" x14ac:dyDescent="0.3">
      <c r="A9167" s="1">
        <v>39233</v>
      </c>
      <c r="B9167">
        <v>2604.5200199999999</v>
      </c>
      <c r="C9167">
        <f t="shared" si="303"/>
        <v>4.6015496453599061E-3</v>
      </c>
      <c r="D9167">
        <f t="shared" si="302"/>
        <v>0.33092709803353293</v>
      </c>
    </row>
    <row r="9168" spans="1:4" x14ac:dyDescent="0.3">
      <c r="A9168" s="1">
        <v>39234</v>
      </c>
      <c r="B9168">
        <v>2613.919922</v>
      </c>
      <c r="C9168">
        <f t="shared" si="303"/>
        <v>3.609072661303679E-3</v>
      </c>
      <c r="D9168">
        <f t="shared" si="302"/>
        <v>0.25153302039877867</v>
      </c>
    </row>
    <row r="9169" spans="1:4" x14ac:dyDescent="0.3">
      <c r="A9169" s="1">
        <v>39237</v>
      </c>
      <c r="B9169">
        <v>2618.290039</v>
      </c>
      <c r="C9169">
        <f t="shared" si="303"/>
        <v>1.6718633815898268E-3</v>
      </c>
      <c r="D9169">
        <f t="shared" si="302"/>
        <v>9.6564243873826519E-2</v>
      </c>
    </row>
    <row r="9170" spans="1:4" x14ac:dyDescent="0.3">
      <c r="A9170" s="1">
        <v>39238</v>
      </c>
      <c r="B9170">
        <v>2611.2299800000001</v>
      </c>
      <c r="C9170">
        <f t="shared" si="303"/>
        <v>-2.696438856978713E-3</v>
      </c>
      <c r="D9170">
        <f t="shared" si="302"/>
        <v>-0.25288197264552115</v>
      </c>
    </row>
    <row r="9171" spans="1:4" x14ac:dyDescent="0.3">
      <c r="A9171" s="1">
        <v>39239</v>
      </c>
      <c r="B9171">
        <v>2587.179932</v>
      </c>
      <c r="C9171">
        <f t="shared" si="303"/>
        <v>-9.210237391652519E-3</v>
      </c>
      <c r="D9171">
        <f t="shared" si="302"/>
        <v>-0.77395907051980484</v>
      </c>
    </row>
    <row r="9172" spans="1:4" x14ac:dyDescent="0.3">
      <c r="A9172" s="1">
        <v>39240</v>
      </c>
      <c r="B9172">
        <v>2541.3798830000001</v>
      </c>
      <c r="C9172">
        <f t="shared" si="303"/>
        <v>-1.7702691812623392E-2</v>
      </c>
      <c r="D9172">
        <f t="shared" si="302"/>
        <v>-1.4533205030162335</v>
      </c>
    </row>
    <row r="9173" spans="1:4" x14ac:dyDescent="0.3">
      <c r="A9173" s="1">
        <v>39241</v>
      </c>
      <c r="B9173">
        <v>2573.540039</v>
      </c>
      <c r="C9173">
        <f t="shared" si="303"/>
        <v>1.2654603987041914E-2</v>
      </c>
      <c r="D9173">
        <f t="shared" si="302"/>
        <v>0.97513833101077452</v>
      </c>
    </row>
    <row r="9174" spans="1:4" x14ac:dyDescent="0.3">
      <c r="A9174" s="1">
        <v>39244</v>
      </c>
      <c r="B9174">
        <v>2572.1499020000001</v>
      </c>
      <c r="C9174">
        <f t="shared" si="303"/>
        <v>-5.4016528941979586E-4</v>
      </c>
      <c r="D9174">
        <f t="shared" si="302"/>
        <v>-8.0388953890697862E-2</v>
      </c>
    </row>
    <row r="9175" spans="1:4" x14ac:dyDescent="0.3">
      <c r="A9175" s="1">
        <v>39245</v>
      </c>
      <c r="B9175">
        <v>2549.7700199999999</v>
      </c>
      <c r="C9175">
        <f t="shared" si="303"/>
        <v>-8.7008467051622792E-3</v>
      </c>
      <c r="D9175">
        <f t="shared" si="302"/>
        <v>-0.7332099102276044</v>
      </c>
    </row>
    <row r="9176" spans="1:4" x14ac:dyDescent="0.3">
      <c r="A9176" s="1">
        <v>39246</v>
      </c>
      <c r="B9176">
        <v>2582.3100589999999</v>
      </c>
      <c r="C9176">
        <f t="shared" si="303"/>
        <v>1.276195058564536E-2</v>
      </c>
      <c r="D9176">
        <f t="shared" si="302"/>
        <v>0.98372561748719922</v>
      </c>
    </row>
    <row r="9177" spans="1:4" x14ac:dyDescent="0.3">
      <c r="A9177" s="1">
        <v>39247</v>
      </c>
      <c r="B9177">
        <v>2599.4099120000001</v>
      </c>
      <c r="C9177">
        <f t="shared" si="303"/>
        <v>6.6219209193732875E-3</v>
      </c>
      <c r="D9177">
        <f t="shared" si="302"/>
        <v>0.4925484921382835</v>
      </c>
    </row>
    <row r="9178" spans="1:4" x14ac:dyDescent="0.3">
      <c r="A9178" s="1">
        <v>39248</v>
      </c>
      <c r="B9178">
        <v>2626.709961</v>
      </c>
      <c r="C9178">
        <f t="shared" si="303"/>
        <v>1.0502402439096318E-2</v>
      </c>
      <c r="D9178">
        <f t="shared" si="302"/>
        <v>0.80297105708077221</v>
      </c>
    </row>
    <row r="9179" spans="1:4" x14ac:dyDescent="0.3">
      <c r="A9179" s="1">
        <v>39251</v>
      </c>
      <c r="B9179">
        <v>2626.6000979999999</v>
      </c>
      <c r="C9179">
        <f t="shared" si="303"/>
        <v>-4.1825325837766586E-5</v>
      </c>
      <c r="D9179">
        <f t="shared" si="302"/>
        <v>-4.0523805990310136E-2</v>
      </c>
    </row>
    <row r="9180" spans="1:4" x14ac:dyDescent="0.3">
      <c r="A9180" s="1">
        <v>39252</v>
      </c>
      <c r="B9180">
        <v>2626.76001</v>
      </c>
      <c r="C9180">
        <f t="shared" si="303"/>
        <v>6.0881745996217757E-5</v>
      </c>
      <c r="D9180">
        <f t="shared" si="302"/>
        <v>-3.230766257759432E-2</v>
      </c>
    </row>
    <row r="9181" spans="1:4" x14ac:dyDescent="0.3">
      <c r="A9181" s="1">
        <v>39253</v>
      </c>
      <c r="B9181">
        <v>2599.959961</v>
      </c>
      <c r="C9181">
        <f t="shared" si="303"/>
        <v>-1.0202701768708572E-2</v>
      </c>
      <c r="D9181">
        <f t="shared" si="302"/>
        <v>-0.85335213964638557</v>
      </c>
    </row>
    <row r="9182" spans="1:4" x14ac:dyDescent="0.3">
      <c r="A9182" s="1">
        <v>39254</v>
      </c>
      <c r="B9182">
        <v>2616.959961</v>
      </c>
      <c r="C9182">
        <f t="shared" si="303"/>
        <v>6.538562229805046E-3</v>
      </c>
      <c r="D9182">
        <f t="shared" si="302"/>
        <v>0.48588013974580385</v>
      </c>
    </row>
    <row r="9183" spans="1:4" x14ac:dyDescent="0.3">
      <c r="A9183" s="1">
        <v>39255</v>
      </c>
      <c r="B9183">
        <v>2588.959961</v>
      </c>
      <c r="C9183">
        <f t="shared" si="303"/>
        <v>-1.0699437674736361E-2</v>
      </c>
      <c r="D9183">
        <f t="shared" si="302"/>
        <v>-0.89308896953835815</v>
      </c>
    </row>
    <row r="9184" spans="1:4" x14ac:dyDescent="0.3">
      <c r="A9184" s="1">
        <v>39258</v>
      </c>
      <c r="B9184">
        <v>2577.080078</v>
      </c>
      <c r="C9184">
        <f t="shared" si="303"/>
        <v>-4.5886700369871282E-3</v>
      </c>
      <c r="D9184">
        <f t="shared" si="302"/>
        <v>-0.40425268614508941</v>
      </c>
    </row>
    <row r="9185" spans="1:4" x14ac:dyDescent="0.3">
      <c r="A9185" s="1">
        <v>39259</v>
      </c>
      <c r="B9185">
        <v>2574.1599120000001</v>
      </c>
      <c r="C9185">
        <f t="shared" si="303"/>
        <v>-1.1331297094447064E-3</v>
      </c>
      <c r="D9185">
        <f t="shared" si="302"/>
        <v>-0.12782366920842622</v>
      </c>
    </row>
    <row r="9186" spans="1:4" x14ac:dyDescent="0.3">
      <c r="A9186" s="1">
        <v>39260</v>
      </c>
      <c r="B9186">
        <v>2605.3500979999999</v>
      </c>
      <c r="C9186">
        <f t="shared" si="303"/>
        <v>1.2116646621136493E-2</v>
      </c>
      <c r="D9186">
        <f t="shared" si="302"/>
        <v>0.9321039538322472</v>
      </c>
    </row>
    <row r="9187" spans="1:4" x14ac:dyDescent="0.3">
      <c r="A9187" s="1">
        <v>39261</v>
      </c>
      <c r="B9187">
        <v>2608.3701169999999</v>
      </c>
      <c r="C9187">
        <f t="shared" si="303"/>
        <v>1.1591605298337329E-3</v>
      </c>
      <c r="D9187">
        <f t="shared" si="302"/>
        <v>5.5550123980062704E-2</v>
      </c>
    </row>
    <row r="9188" spans="1:4" x14ac:dyDescent="0.3">
      <c r="A9188" s="1">
        <v>39262</v>
      </c>
      <c r="B9188">
        <v>2603.2299800000001</v>
      </c>
      <c r="C9188">
        <f t="shared" si="303"/>
        <v>-1.9706317621487565E-3</v>
      </c>
      <c r="D9188">
        <f t="shared" si="302"/>
        <v>-0.19482038959573184</v>
      </c>
    </row>
    <row r="9189" spans="1:4" x14ac:dyDescent="0.3">
      <c r="A9189" s="1">
        <v>39265</v>
      </c>
      <c r="B9189">
        <v>2632.3000489999999</v>
      </c>
      <c r="C9189">
        <f t="shared" si="303"/>
        <v>1.1166923100662769E-2</v>
      </c>
      <c r="D9189">
        <f t="shared" si="302"/>
        <v>0.85612997748080044</v>
      </c>
    </row>
    <row r="9190" spans="1:4" x14ac:dyDescent="0.3">
      <c r="A9190" s="1">
        <v>39266</v>
      </c>
      <c r="B9190">
        <v>2644.9499510000001</v>
      </c>
      <c r="C9190">
        <f t="shared" si="303"/>
        <v>4.8056459235358666E-3</v>
      </c>
      <c r="D9190">
        <f t="shared" si="302"/>
        <v>0.34725396103869915</v>
      </c>
    </row>
    <row r="9191" spans="1:4" x14ac:dyDescent="0.3">
      <c r="A9191" s="1">
        <v>39268</v>
      </c>
      <c r="B9191">
        <v>2656.6499020000001</v>
      </c>
      <c r="C9191">
        <f t="shared" si="303"/>
        <v>4.4235056302583528E-3</v>
      </c>
      <c r="D9191">
        <f t="shared" si="302"/>
        <v>0.31668430894677335</v>
      </c>
    </row>
    <row r="9192" spans="1:4" x14ac:dyDescent="0.3">
      <c r="A9192" s="1">
        <v>39269</v>
      </c>
      <c r="B9192">
        <v>2666.51001</v>
      </c>
      <c r="C9192">
        <f t="shared" si="303"/>
        <v>3.7114818902471455E-3</v>
      </c>
      <c r="D9192">
        <f t="shared" si="302"/>
        <v>0.25972533760499034</v>
      </c>
    </row>
    <row r="9193" spans="1:4" x14ac:dyDescent="0.3">
      <c r="A9193" s="1">
        <v>39272</v>
      </c>
      <c r="B9193">
        <v>2670.0200199999999</v>
      </c>
      <c r="C9193">
        <f t="shared" si="303"/>
        <v>1.316331079514667E-3</v>
      </c>
      <c r="D9193">
        <f t="shared" si="302"/>
        <v>6.8123121665375416E-2</v>
      </c>
    </row>
    <row r="9194" spans="1:4" x14ac:dyDescent="0.3">
      <c r="A9194" s="1">
        <v>39273</v>
      </c>
      <c r="B9194">
        <v>2639.1599120000001</v>
      </c>
      <c r="C9194">
        <f t="shared" si="303"/>
        <v>-1.155800622049263E-2</v>
      </c>
      <c r="D9194">
        <f t="shared" si="302"/>
        <v>-0.96177092274390419</v>
      </c>
    </row>
    <row r="9195" spans="1:4" x14ac:dyDescent="0.3">
      <c r="A9195" s="1">
        <v>39274</v>
      </c>
      <c r="B9195">
        <v>2651.790039</v>
      </c>
      <c r="C9195">
        <f t="shared" si="303"/>
        <v>4.7856618852734007E-3</v>
      </c>
      <c r="D9195">
        <f t="shared" si="302"/>
        <v>0.34565532015255823</v>
      </c>
    </row>
    <row r="9196" spans="1:4" x14ac:dyDescent="0.3">
      <c r="A9196" s="1">
        <v>39275</v>
      </c>
      <c r="B9196">
        <v>2701.7299800000001</v>
      </c>
      <c r="C9196">
        <f t="shared" si="303"/>
        <v>1.88325396300352E-2</v>
      </c>
      <c r="D9196">
        <f t="shared" si="302"/>
        <v>1.4693477786270794</v>
      </c>
    </row>
    <row r="9197" spans="1:4" x14ac:dyDescent="0.3">
      <c r="A9197" s="1">
        <v>39276</v>
      </c>
      <c r="B9197">
        <v>2707</v>
      </c>
      <c r="C9197">
        <f t="shared" si="303"/>
        <v>1.9506094387714982E-3</v>
      </c>
      <c r="D9197">
        <f t="shared" si="302"/>
        <v>0.11886278223772422</v>
      </c>
    </row>
    <row r="9198" spans="1:4" x14ac:dyDescent="0.3">
      <c r="A9198" s="1">
        <v>39279</v>
      </c>
      <c r="B9198">
        <v>2697.330078</v>
      </c>
      <c r="C9198">
        <f t="shared" si="303"/>
        <v>-3.572191355744382E-3</v>
      </c>
      <c r="D9198">
        <f t="shared" si="302"/>
        <v>-0.32293857143098215</v>
      </c>
    </row>
    <row r="9199" spans="1:4" x14ac:dyDescent="0.3">
      <c r="A9199" s="1">
        <v>39280</v>
      </c>
      <c r="B9199">
        <v>2712.290039</v>
      </c>
      <c r="C9199">
        <f t="shared" si="303"/>
        <v>5.5462107222310894E-3</v>
      </c>
      <c r="D9199">
        <f t="shared" si="302"/>
        <v>0.40649609971366885</v>
      </c>
    </row>
    <row r="9200" spans="1:4" x14ac:dyDescent="0.3">
      <c r="A9200" s="1">
        <v>39281</v>
      </c>
      <c r="B9200">
        <v>2699.48999</v>
      </c>
      <c r="C9200">
        <f t="shared" si="303"/>
        <v>-4.719277369288729E-3</v>
      </c>
      <c r="D9200">
        <f t="shared" si="302"/>
        <v>-0.414700735668658</v>
      </c>
    </row>
    <row r="9201" spans="1:4" x14ac:dyDescent="0.3">
      <c r="A9201" s="1">
        <v>39282</v>
      </c>
      <c r="B9201">
        <v>2720.040039</v>
      </c>
      <c r="C9201">
        <f t="shared" si="303"/>
        <v>7.6125672168171083E-3</v>
      </c>
      <c r="D9201">
        <f t="shared" si="302"/>
        <v>0.57179612237187361</v>
      </c>
    </row>
    <row r="9202" spans="1:4" x14ac:dyDescent="0.3">
      <c r="A9202" s="1">
        <v>39283</v>
      </c>
      <c r="B9202">
        <v>2687.6000979999999</v>
      </c>
      <c r="C9202">
        <f t="shared" si="303"/>
        <v>-1.19262733396845E-2</v>
      </c>
      <c r="D9202">
        <f t="shared" si="302"/>
        <v>-0.99123077795581127</v>
      </c>
    </row>
    <row r="9203" spans="1:4" x14ac:dyDescent="0.3">
      <c r="A9203" s="1">
        <v>39286</v>
      </c>
      <c r="B9203">
        <v>2690.580078</v>
      </c>
      <c r="C9203">
        <f t="shared" si="303"/>
        <v>1.1087884697643989E-3</v>
      </c>
      <c r="D9203">
        <f t="shared" si="302"/>
        <v>5.1520566305664643E-2</v>
      </c>
    </row>
    <row r="9204" spans="1:4" x14ac:dyDescent="0.3">
      <c r="A9204" s="1">
        <v>39287</v>
      </c>
      <c r="B9204">
        <v>2639.860107</v>
      </c>
      <c r="C9204">
        <f t="shared" si="303"/>
        <v>-1.8850942744548183E-2</v>
      </c>
      <c r="D9204">
        <f t="shared" si="302"/>
        <v>-1.5451758559341717</v>
      </c>
    </row>
    <row r="9205" spans="1:4" x14ac:dyDescent="0.3">
      <c r="A9205" s="1">
        <v>39288</v>
      </c>
      <c r="B9205">
        <v>2648.169922</v>
      </c>
      <c r="C9205">
        <f t="shared" si="303"/>
        <v>3.1478239994480401E-3</v>
      </c>
      <c r="D9205">
        <f t="shared" si="302"/>
        <v>0.21463502411615812</v>
      </c>
    </row>
    <row r="9206" spans="1:4" x14ac:dyDescent="0.3">
      <c r="A9206" s="1">
        <v>39289</v>
      </c>
      <c r="B9206">
        <v>2599.3400879999999</v>
      </c>
      <c r="C9206">
        <f t="shared" si="303"/>
        <v>-1.8439086402401984E-2</v>
      </c>
      <c r="D9206">
        <f t="shared" si="302"/>
        <v>-1.5122290421258742</v>
      </c>
    </row>
    <row r="9207" spans="1:4" x14ac:dyDescent="0.3">
      <c r="A9207" s="1">
        <v>39290</v>
      </c>
      <c r="B9207">
        <v>2562.23999</v>
      </c>
      <c r="C9207">
        <f t="shared" si="303"/>
        <v>-1.4272891096965182E-2</v>
      </c>
      <c r="D9207">
        <f t="shared" si="302"/>
        <v>-1.1789505491883907</v>
      </c>
    </row>
    <row r="9208" spans="1:4" x14ac:dyDescent="0.3">
      <c r="A9208" s="1">
        <v>39293</v>
      </c>
      <c r="B9208">
        <v>2583.280029</v>
      </c>
      <c r="C9208">
        <f t="shared" si="303"/>
        <v>8.211580133834372E-3</v>
      </c>
      <c r="D9208">
        <f t="shared" si="302"/>
        <v>0.61971469257742196</v>
      </c>
    </row>
    <row r="9209" spans="1:4" x14ac:dyDescent="0.3">
      <c r="A9209" s="1">
        <v>39294</v>
      </c>
      <c r="B9209">
        <v>2546.2700199999999</v>
      </c>
      <c r="C9209">
        <f t="shared" si="303"/>
        <v>-1.4326750714024152E-2</v>
      </c>
      <c r="D9209">
        <f t="shared" si="302"/>
        <v>-1.1832590970810395</v>
      </c>
    </row>
    <row r="9210" spans="1:4" x14ac:dyDescent="0.3">
      <c r="A9210" s="1">
        <v>39295</v>
      </c>
      <c r="B9210">
        <v>2553.8701169999999</v>
      </c>
      <c r="C9210">
        <f t="shared" si="303"/>
        <v>2.9847961686325811E-3</v>
      </c>
      <c r="D9210">
        <f t="shared" si="302"/>
        <v>0.20159346802536734</v>
      </c>
    </row>
    <row r="9211" spans="1:4" x14ac:dyDescent="0.3">
      <c r="A9211" s="1">
        <v>39296</v>
      </c>
      <c r="B9211">
        <v>2575.9799800000001</v>
      </c>
      <c r="C9211">
        <f t="shared" si="303"/>
        <v>8.6573952421559793E-3</v>
      </c>
      <c r="D9211">
        <f t="shared" si="302"/>
        <v>0.65537806804047138</v>
      </c>
    </row>
    <row r="9212" spans="1:4" x14ac:dyDescent="0.3">
      <c r="A9212" s="1">
        <v>39297</v>
      </c>
      <c r="B9212">
        <v>2511.25</v>
      </c>
      <c r="C9212">
        <f t="shared" si="303"/>
        <v>-2.5128293116625879E-2</v>
      </c>
      <c r="D9212">
        <f t="shared" si="302"/>
        <v>-2.0473380730814212</v>
      </c>
    </row>
    <row r="9213" spans="1:4" x14ac:dyDescent="0.3">
      <c r="A9213" s="1">
        <v>39300</v>
      </c>
      <c r="B9213">
        <v>2547.330078</v>
      </c>
      <c r="C9213">
        <f t="shared" si="303"/>
        <v>1.4367377999004463E-2</v>
      </c>
      <c r="D9213">
        <f t="shared" si="302"/>
        <v>1.1121532089989579</v>
      </c>
    </row>
    <row r="9214" spans="1:4" x14ac:dyDescent="0.3">
      <c r="A9214" s="1">
        <v>39301</v>
      </c>
      <c r="B9214">
        <v>2561.6000979999999</v>
      </c>
      <c r="C9214">
        <f t="shared" si="303"/>
        <v>5.6019516760873935E-3</v>
      </c>
      <c r="D9214">
        <f t="shared" si="302"/>
        <v>0.41095514681400136</v>
      </c>
    </row>
    <row r="9215" spans="1:4" x14ac:dyDescent="0.3">
      <c r="A9215" s="1">
        <v>39302</v>
      </c>
      <c r="B9215">
        <v>2612.9799800000001</v>
      </c>
      <c r="C9215">
        <f t="shared" si="303"/>
        <v>2.0057729557441711E-2</v>
      </c>
      <c r="D9215">
        <f t="shared" si="302"/>
        <v>1.5673579348085156</v>
      </c>
    </row>
    <row r="9216" spans="1:4" x14ac:dyDescent="0.3">
      <c r="A9216" s="1">
        <v>39303</v>
      </c>
      <c r="B9216">
        <v>2556.48999</v>
      </c>
      <c r="C9216">
        <f t="shared" si="303"/>
        <v>-2.1618990743281559E-2</v>
      </c>
      <c r="D9216">
        <f t="shared" si="302"/>
        <v>-1.7666083135514594</v>
      </c>
    </row>
    <row r="9217" spans="1:4" x14ac:dyDescent="0.3">
      <c r="A9217" s="1">
        <v>39304</v>
      </c>
      <c r="B9217">
        <v>2544.889893</v>
      </c>
      <c r="C9217">
        <f t="shared" si="303"/>
        <v>-4.537509258935141E-3</v>
      </c>
      <c r="D9217">
        <f t="shared" si="302"/>
        <v>-0.40016003427530683</v>
      </c>
    </row>
    <row r="9218" spans="1:4" x14ac:dyDescent="0.3">
      <c r="A9218" s="1">
        <v>39307</v>
      </c>
      <c r="B9218">
        <v>2542.23999</v>
      </c>
      <c r="C9218">
        <f t="shared" si="303"/>
        <v>-1.0412643027460028E-3</v>
      </c>
      <c r="D9218">
        <f t="shared" si="302"/>
        <v>-0.12047481442533946</v>
      </c>
    </row>
    <row r="9219" spans="1:4" x14ac:dyDescent="0.3">
      <c r="A9219" s="1">
        <v>39308</v>
      </c>
      <c r="B9219">
        <v>2499.1201169999999</v>
      </c>
      <c r="C9219">
        <f t="shared" si="303"/>
        <v>-1.6961369960984719E-2</v>
      </c>
      <c r="D9219">
        <f t="shared" ref="D9219:D9282" si="304">(C9219-avrtn)/sdrtn</f>
        <v>-1.3940178032188082</v>
      </c>
    </row>
    <row r="9220" spans="1:4" x14ac:dyDescent="0.3">
      <c r="A9220" s="1">
        <v>39309</v>
      </c>
      <c r="B9220">
        <v>2458.830078</v>
      </c>
      <c r="C9220">
        <f t="shared" ref="C9220:C9283" si="305">(B9220-B9219)/B9219</f>
        <v>-1.6121689680272371E-2</v>
      </c>
      <c r="D9220">
        <f t="shared" si="304"/>
        <v>-1.3268468335477659</v>
      </c>
    </row>
    <row r="9221" spans="1:4" x14ac:dyDescent="0.3">
      <c r="A9221" s="1">
        <v>39310</v>
      </c>
      <c r="B9221">
        <v>2451.070068</v>
      </c>
      <c r="C9221">
        <f t="shared" si="305"/>
        <v>-3.1559765229128476E-3</v>
      </c>
      <c r="D9221">
        <f t="shared" si="304"/>
        <v>-0.28964309629007856</v>
      </c>
    </row>
    <row r="9222" spans="1:4" x14ac:dyDescent="0.3">
      <c r="A9222" s="1">
        <v>39311</v>
      </c>
      <c r="B9222">
        <v>2505.030029</v>
      </c>
      <c r="C9222">
        <f t="shared" si="305"/>
        <v>2.2014858613988844E-2</v>
      </c>
      <c r="D9222">
        <f t="shared" si="304"/>
        <v>1.7239202115695185</v>
      </c>
    </row>
    <row r="9223" spans="1:4" x14ac:dyDescent="0.3">
      <c r="A9223" s="1">
        <v>39314</v>
      </c>
      <c r="B9223">
        <v>2508.5900879999999</v>
      </c>
      <c r="C9223">
        <f t="shared" si="305"/>
        <v>1.421164201141762E-3</v>
      </c>
      <c r="D9223">
        <f t="shared" si="304"/>
        <v>7.6509340319171101E-2</v>
      </c>
    </row>
    <row r="9224" spans="1:4" x14ac:dyDescent="0.3">
      <c r="A9224" s="1">
        <v>39315</v>
      </c>
      <c r="B9224">
        <v>2521.3000489999999</v>
      </c>
      <c r="C9224">
        <f t="shared" si="305"/>
        <v>5.0665754683473108E-3</v>
      </c>
      <c r="D9224">
        <f t="shared" si="304"/>
        <v>0.36812725167491533</v>
      </c>
    </row>
    <row r="9225" spans="1:4" x14ac:dyDescent="0.3">
      <c r="A9225" s="1">
        <v>39316</v>
      </c>
      <c r="B9225">
        <v>2552.8000489999999</v>
      </c>
      <c r="C9225">
        <f t="shared" si="305"/>
        <v>1.2493554669343522E-2</v>
      </c>
      <c r="D9225">
        <f t="shared" si="304"/>
        <v>0.96225504783365456</v>
      </c>
    </row>
    <row r="9226" spans="1:4" x14ac:dyDescent="0.3">
      <c r="A9226" s="1">
        <v>39317</v>
      </c>
      <c r="B9226">
        <v>2541.6999510000001</v>
      </c>
      <c r="C9226">
        <f t="shared" si="305"/>
        <v>-4.3482050246544356E-3</v>
      </c>
      <c r="D9226">
        <f t="shared" si="304"/>
        <v>-0.38501647395651301</v>
      </c>
    </row>
    <row r="9227" spans="1:4" x14ac:dyDescent="0.3">
      <c r="A9227" s="1">
        <v>39318</v>
      </c>
      <c r="B9227">
        <v>2576.6899410000001</v>
      </c>
      <c r="C9227">
        <f t="shared" si="305"/>
        <v>1.3766373165421694E-2</v>
      </c>
      <c r="D9227">
        <f t="shared" si="304"/>
        <v>1.064075293658979</v>
      </c>
    </row>
    <row r="9228" spans="1:4" x14ac:dyDescent="0.3">
      <c r="A9228" s="1">
        <v>39321</v>
      </c>
      <c r="B9228">
        <v>2561.25</v>
      </c>
      <c r="C9228">
        <f t="shared" si="305"/>
        <v>-5.9921610102641716E-3</v>
      </c>
      <c r="D9228">
        <f t="shared" si="304"/>
        <v>-0.51652619281788659</v>
      </c>
    </row>
    <row r="9229" spans="1:4" x14ac:dyDescent="0.3">
      <c r="A9229" s="1">
        <v>39322</v>
      </c>
      <c r="B9229">
        <v>2500.639893</v>
      </c>
      <c r="C9229">
        <f t="shared" si="305"/>
        <v>-2.366426822840409E-2</v>
      </c>
      <c r="D9229">
        <f t="shared" si="304"/>
        <v>-1.9302221021299899</v>
      </c>
    </row>
    <row r="9230" spans="1:4" x14ac:dyDescent="0.3">
      <c r="A9230" s="1">
        <v>39323</v>
      </c>
      <c r="B9230">
        <v>2563.1599120000001</v>
      </c>
      <c r="C9230">
        <f t="shared" si="305"/>
        <v>2.5001608258354714E-2</v>
      </c>
      <c r="D9230">
        <f t="shared" si="304"/>
        <v>1.9628479015308651</v>
      </c>
    </row>
    <row r="9231" spans="1:4" x14ac:dyDescent="0.3">
      <c r="A9231" s="1">
        <v>39324</v>
      </c>
      <c r="B9231">
        <v>2565.3000489999999</v>
      </c>
      <c r="C9231">
        <f t="shared" si="305"/>
        <v>8.3496039009518797E-4</v>
      </c>
      <c r="D9231">
        <f t="shared" si="304"/>
        <v>2.9615445919919409E-2</v>
      </c>
    </row>
    <row r="9232" spans="1:4" x14ac:dyDescent="0.3">
      <c r="A9232" s="1">
        <v>39325</v>
      </c>
      <c r="B9232">
        <v>2596.360107</v>
      </c>
      <c r="C9232">
        <f t="shared" si="305"/>
        <v>1.2107768060936107E-2</v>
      </c>
      <c r="D9232">
        <f t="shared" si="304"/>
        <v>0.93139370552507406</v>
      </c>
    </row>
    <row r="9233" spans="1:4" x14ac:dyDescent="0.3">
      <c r="A9233" s="1">
        <v>39329</v>
      </c>
      <c r="B9233">
        <v>2630.23999</v>
      </c>
      <c r="C9233">
        <f t="shared" si="305"/>
        <v>1.3048992282949163E-2</v>
      </c>
      <c r="D9233">
        <f t="shared" si="304"/>
        <v>1.0066877729489914</v>
      </c>
    </row>
    <row r="9234" spans="1:4" x14ac:dyDescent="0.3">
      <c r="A9234" s="1">
        <v>39330</v>
      </c>
      <c r="B9234">
        <v>2605.9499510000001</v>
      </c>
      <c r="C9234">
        <f t="shared" si="305"/>
        <v>-9.2349135791217202E-3</v>
      </c>
      <c r="D9234">
        <f t="shared" si="304"/>
        <v>-0.7759330640482518</v>
      </c>
    </row>
    <row r="9235" spans="1:4" x14ac:dyDescent="0.3">
      <c r="A9235" s="1">
        <v>39331</v>
      </c>
      <c r="B9235">
        <v>2614.320068</v>
      </c>
      <c r="C9235">
        <f t="shared" si="305"/>
        <v>3.2119254618792701E-3</v>
      </c>
      <c r="D9235">
        <f t="shared" si="304"/>
        <v>0.219762877523868</v>
      </c>
    </row>
    <row r="9236" spans="1:4" x14ac:dyDescent="0.3">
      <c r="A9236" s="1">
        <v>39332</v>
      </c>
      <c r="B9236">
        <v>2565.6999510000001</v>
      </c>
      <c r="C9236">
        <f t="shared" si="305"/>
        <v>-1.8597614574865414E-2</v>
      </c>
      <c r="D9236">
        <f t="shared" si="304"/>
        <v>-1.5249106440512084</v>
      </c>
    </row>
    <row r="9237" spans="1:4" x14ac:dyDescent="0.3">
      <c r="A9237" s="1">
        <v>39335</v>
      </c>
      <c r="B9237">
        <v>2559.110107</v>
      </c>
      <c r="C9237">
        <f t="shared" si="305"/>
        <v>-2.5684390715413332E-3</v>
      </c>
      <c r="D9237">
        <f t="shared" si="304"/>
        <v>-0.24264251614879345</v>
      </c>
    </row>
    <row r="9238" spans="1:4" x14ac:dyDescent="0.3">
      <c r="A9238" s="1">
        <v>39336</v>
      </c>
      <c r="B9238">
        <v>2597.469971</v>
      </c>
      <c r="C9238">
        <f t="shared" si="305"/>
        <v>1.4989532453126298E-2</v>
      </c>
      <c r="D9238">
        <f t="shared" si="304"/>
        <v>1.1619230070143027</v>
      </c>
    </row>
    <row r="9239" spans="1:4" x14ac:dyDescent="0.3">
      <c r="A9239" s="1">
        <v>39337</v>
      </c>
      <c r="B9239">
        <v>2592.070068</v>
      </c>
      <c r="C9239">
        <f t="shared" si="305"/>
        <v>-2.0789087305294568E-3</v>
      </c>
      <c r="D9239">
        <f t="shared" si="304"/>
        <v>-0.20348210182863349</v>
      </c>
    </row>
    <row r="9240" spans="1:4" x14ac:dyDescent="0.3">
      <c r="A9240" s="1">
        <v>39338</v>
      </c>
      <c r="B9240">
        <v>2601.0600589999999</v>
      </c>
      <c r="C9240">
        <f t="shared" si="305"/>
        <v>3.4682669697028877E-3</v>
      </c>
      <c r="D9240">
        <f t="shared" si="304"/>
        <v>0.24026914406717886</v>
      </c>
    </row>
    <row r="9241" spans="1:4" x14ac:dyDescent="0.3">
      <c r="A9241" s="1">
        <v>39339</v>
      </c>
      <c r="B9241">
        <v>2602.179932</v>
      </c>
      <c r="C9241">
        <f t="shared" si="305"/>
        <v>4.305448450239333E-4</v>
      </c>
      <c r="D9241">
        <f t="shared" si="304"/>
        <v>-2.7361347191230149E-3</v>
      </c>
    </row>
    <row r="9242" spans="1:4" x14ac:dyDescent="0.3">
      <c r="A9242" s="1">
        <v>39342</v>
      </c>
      <c r="B9242">
        <v>2581.6599120000001</v>
      </c>
      <c r="C9242">
        <f t="shared" si="305"/>
        <v>-7.8857037315742135E-3</v>
      </c>
      <c r="D9242">
        <f t="shared" si="304"/>
        <v>-0.66800182422849486</v>
      </c>
    </row>
    <row r="9243" spans="1:4" x14ac:dyDescent="0.3">
      <c r="A9243" s="1">
        <v>39343</v>
      </c>
      <c r="B9243">
        <v>2651.6599120000001</v>
      </c>
      <c r="C9243">
        <f t="shared" si="305"/>
        <v>2.7114338211097419E-2</v>
      </c>
      <c r="D9243">
        <f t="shared" si="304"/>
        <v>2.1318576101528053</v>
      </c>
    </row>
    <row r="9244" spans="1:4" x14ac:dyDescent="0.3">
      <c r="A9244" s="1">
        <v>39344</v>
      </c>
      <c r="B9244">
        <v>2666.4799800000001</v>
      </c>
      <c r="C9244">
        <f t="shared" si="305"/>
        <v>5.5889776561965053E-3</v>
      </c>
      <c r="D9244">
        <f t="shared" si="304"/>
        <v>0.40991727857221888</v>
      </c>
    </row>
    <row r="9245" spans="1:4" x14ac:dyDescent="0.3">
      <c r="A9245" s="1">
        <v>39345</v>
      </c>
      <c r="B9245">
        <v>2654.290039</v>
      </c>
      <c r="C9245">
        <f t="shared" si="305"/>
        <v>-4.5715479176408778E-3</v>
      </c>
      <c r="D9245">
        <f t="shared" si="304"/>
        <v>-0.40288298700396485</v>
      </c>
    </row>
    <row r="9246" spans="1:4" x14ac:dyDescent="0.3">
      <c r="A9246" s="1">
        <v>39346</v>
      </c>
      <c r="B9246">
        <v>2671.219971</v>
      </c>
      <c r="C9246">
        <f t="shared" si="305"/>
        <v>6.3783278207148516E-3</v>
      </c>
      <c r="D9246">
        <f t="shared" si="304"/>
        <v>0.47306204590641548</v>
      </c>
    </row>
    <row r="9247" spans="1:4" x14ac:dyDescent="0.3">
      <c r="A9247" s="1">
        <v>39349</v>
      </c>
      <c r="B9247">
        <v>2667.9499510000001</v>
      </c>
      <c r="C9247">
        <f t="shared" si="305"/>
        <v>-1.2241672477372816E-3</v>
      </c>
      <c r="D9247">
        <f t="shared" si="304"/>
        <v>-0.13510629792323797</v>
      </c>
    </row>
    <row r="9248" spans="1:4" x14ac:dyDescent="0.3">
      <c r="A9248" s="1">
        <v>39350</v>
      </c>
      <c r="B9248">
        <v>2683.4499510000001</v>
      </c>
      <c r="C9248">
        <f t="shared" si="305"/>
        <v>5.8097041866135065E-3</v>
      </c>
      <c r="D9248">
        <f t="shared" si="304"/>
        <v>0.42757449337266257</v>
      </c>
    </row>
    <row r="9249" spans="1:4" x14ac:dyDescent="0.3">
      <c r="A9249" s="1">
        <v>39351</v>
      </c>
      <c r="B9249">
        <v>2699.030029</v>
      </c>
      <c r="C9249">
        <f t="shared" si="305"/>
        <v>5.8059879202121767E-3</v>
      </c>
      <c r="D9249">
        <f t="shared" si="304"/>
        <v>0.42727720734193492</v>
      </c>
    </row>
    <row r="9250" spans="1:4" x14ac:dyDescent="0.3">
      <c r="A9250" s="1">
        <v>39352</v>
      </c>
      <c r="B9250">
        <v>2709.5900879999999</v>
      </c>
      <c r="C9250">
        <f t="shared" si="305"/>
        <v>3.9125385366358626E-3</v>
      </c>
      <c r="D9250">
        <f t="shared" si="304"/>
        <v>0.27580904256621774</v>
      </c>
    </row>
    <row r="9251" spans="1:4" x14ac:dyDescent="0.3">
      <c r="A9251" s="1">
        <v>39353</v>
      </c>
      <c r="B9251">
        <v>2701.5</v>
      </c>
      <c r="C9251">
        <f t="shared" si="305"/>
        <v>-2.9857239424622237E-3</v>
      </c>
      <c r="D9251">
        <f t="shared" si="304"/>
        <v>-0.27602358993682263</v>
      </c>
    </row>
    <row r="9252" spans="1:4" x14ac:dyDescent="0.3">
      <c r="A9252" s="1">
        <v>39356</v>
      </c>
      <c r="B9252">
        <v>2740.98999</v>
      </c>
      <c r="C9252">
        <f t="shared" si="305"/>
        <v>1.4617801221543599E-2</v>
      </c>
      <c r="D9252">
        <f t="shared" si="304"/>
        <v>1.1321860370556447</v>
      </c>
    </row>
    <row r="9253" spans="1:4" x14ac:dyDescent="0.3">
      <c r="A9253" s="1">
        <v>39357</v>
      </c>
      <c r="B9253">
        <v>2747.110107</v>
      </c>
      <c r="C9253">
        <f t="shared" si="305"/>
        <v>2.2328126050544009E-3</v>
      </c>
      <c r="D9253">
        <f t="shared" si="304"/>
        <v>0.14143787511400288</v>
      </c>
    </row>
    <row r="9254" spans="1:4" x14ac:dyDescent="0.3">
      <c r="A9254" s="1">
        <v>39358</v>
      </c>
      <c r="B9254">
        <v>2729.429932</v>
      </c>
      <c r="C9254">
        <f t="shared" si="305"/>
        <v>-6.4359178596258438E-3</v>
      </c>
      <c r="D9254">
        <f t="shared" si="304"/>
        <v>-0.5520249160277525</v>
      </c>
    </row>
    <row r="9255" spans="1:4" x14ac:dyDescent="0.3">
      <c r="A9255" s="1">
        <v>39359</v>
      </c>
      <c r="B9255">
        <v>2733.570068</v>
      </c>
      <c r="C9255">
        <f t="shared" si="305"/>
        <v>1.5168500760766128E-3</v>
      </c>
      <c r="D9255">
        <f t="shared" si="304"/>
        <v>8.4163816851290402E-2</v>
      </c>
    </row>
    <row r="9256" spans="1:4" x14ac:dyDescent="0.3">
      <c r="A9256" s="1">
        <v>39360</v>
      </c>
      <c r="B9256">
        <v>2780.320068</v>
      </c>
      <c r="C9256">
        <f t="shared" si="305"/>
        <v>1.7102177312837037E-2</v>
      </c>
      <c r="D9256">
        <f t="shared" si="304"/>
        <v>1.3309259085435903</v>
      </c>
    </row>
    <row r="9257" spans="1:4" x14ac:dyDescent="0.3">
      <c r="A9257" s="1">
        <v>39363</v>
      </c>
      <c r="B9257">
        <v>2787.3701169999999</v>
      </c>
      <c r="C9257">
        <f t="shared" si="305"/>
        <v>2.5356969081158122E-3</v>
      </c>
      <c r="D9257">
        <f t="shared" si="304"/>
        <v>0.1656673738912196</v>
      </c>
    </row>
    <row r="9258" spans="1:4" x14ac:dyDescent="0.3">
      <c r="A9258" s="1">
        <v>39364</v>
      </c>
      <c r="B9258">
        <v>2803.9099120000001</v>
      </c>
      <c r="C9258">
        <f t="shared" si="305"/>
        <v>5.9338352302498124E-3</v>
      </c>
      <c r="D9258">
        <f t="shared" si="304"/>
        <v>0.4375044664336657</v>
      </c>
    </row>
    <row r="9259" spans="1:4" x14ac:dyDescent="0.3">
      <c r="A9259" s="1">
        <v>39365</v>
      </c>
      <c r="B9259">
        <v>2811.610107</v>
      </c>
      <c r="C9259">
        <f t="shared" si="305"/>
        <v>2.7462348084170167E-3</v>
      </c>
      <c r="D9259">
        <f t="shared" si="304"/>
        <v>0.18250954017829693</v>
      </c>
    </row>
    <row r="9260" spans="1:4" x14ac:dyDescent="0.3">
      <c r="A9260" s="1">
        <v>39366</v>
      </c>
      <c r="B9260">
        <v>2772.1999510000001</v>
      </c>
      <c r="C9260">
        <f t="shared" si="305"/>
        <v>-1.4016934959040505E-2</v>
      </c>
      <c r="D9260">
        <f t="shared" si="304"/>
        <v>-1.1584751106523445</v>
      </c>
    </row>
    <row r="9261" spans="1:4" x14ac:dyDescent="0.3">
      <c r="A9261" s="1">
        <v>39367</v>
      </c>
      <c r="B9261">
        <v>2805.679932</v>
      </c>
      <c r="C9261">
        <f t="shared" si="305"/>
        <v>1.2077044077546754E-2</v>
      </c>
      <c r="D9261">
        <f t="shared" si="304"/>
        <v>0.92893591319170044</v>
      </c>
    </row>
    <row r="9262" spans="1:4" x14ac:dyDescent="0.3">
      <c r="A9262" s="1">
        <v>39370</v>
      </c>
      <c r="B9262">
        <v>2780.0500489999999</v>
      </c>
      <c r="C9262">
        <f t="shared" si="305"/>
        <v>-9.1349988670054987E-3</v>
      </c>
      <c r="D9262">
        <f t="shared" si="304"/>
        <v>-0.76794029793070528</v>
      </c>
    </row>
    <row r="9263" spans="1:4" x14ac:dyDescent="0.3">
      <c r="A9263" s="1">
        <v>39371</v>
      </c>
      <c r="B9263">
        <v>2763.9099120000001</v>
      </c>
      <c r="C9263">
        <f t="shared" si="305"/>
        <v>-5.8057001548607254E-3</v>
      </c>
      <c r="D9263">
        <f t="shared" si="304"/>
        <v>-0.50161009111722965</v>
      </c>
    </row>
    <row r="9264" spans="1:4" x14ac:dyDescent="0.3">
      <c r="A9264" s="1">
        <v>39372</v>
      </c>
      <c r="B9264">
        <v>2792.669922</v>
      </c>
      <c r="C9264">
        <f t="shared" si="305"/>
        <v>1.0405552610500557E-2</v>
      </c>
      <c r="D9264">
        <f t="shared" si="304"/>
        <v>0.79522346904198615</v>
      </c>
    </row>
    <row r="9265" spans="1:4" x14ac:dyDescent="0.3">
      <c r="A9265" s="1">
        <v>39373</v>
      </c>
      <c r="B9265">
        <v>2799.3100589999999</v>
      </c>
      <c r="C9265">
        <f t="shared" si="305"/>
        <v>2.3777020505325111E-3</v>
      </c>
      <c r="D9265">
        <f t="shared" si="304"/>
        <v>0.15302843496329191</v>
      </c>
    </row>
    <row r="9266" spans="1:4" x14ac:dyDescent="0.3">
      <c r="A9266" s="1">
        <v>39374</v>
      </c>
      <c r="B9266">
        <v>2725.1599120000001</v>
      </c>
      <c r="C9266">
        <f t="shared" si="305"/>
        <v>-2.6488722377001908E-2</v>
      </c>
      <c r="D9266">
        <f t="shared" si="304"/>
        <v>-2.1561668197929587</v>
      </c>
    </row>
    <row r="9267" spans="1:4" x14ac:dyDescent="0.3">
      <c r="A9267" s="1">
        <v>39377</v>
      </c>
      <c r="B9267">
        <v>2753.929932</v>
      </c>
      <c r="C9267">
        <f t="shared" si="305"/>
        <v>1.0557185974046403E-2</v>
      </c>
      <c r="D9267">
        <f t="shared" si="304"/>
        <v>0.80735351460553728</v>
      </c>
    </row>
    <row r="9268" spans="1:4" x14ac:dyDescent="0.3">
      <c r="A9268" s="1">
        <v>39378</v>
      </c>
      <c r="B9268">
        <v>2799.26001</v>
      </c>
      <c r="C9268">
        <f t="shared" si="305"/>
        <v>1.6460142094857029E-2</v>
      </c>
      <c r="D9268">
        <f t="shared" si="304"/>
        <v>1.279565731169781</v>
      </c>
    </row>
    <row r="9269" spans="1:4" x14ac:dyDescent="0.3">
      <c r="A9269" s="1">
        <v>39379</v>
      </c>
      <c r="B9269">
        <v>2774.76001</v>
      </c>
      <c r="C9269">
        <f t="shared" si="305"/>
        <v>-8.7523130800557531E-3</v>
      </c>
      <c r="D9269">
        <f t="shared" si="304"/>
        <v>-0.7373270085880842</v>
      </c>
    </row>
    <row r="9270" spans="1:4" x14ac:dyDescent="0.3">
      <c r="A9270" s="1">
        <v>39380</v>
      </c>
      <c r="B9270">
        <v>2750.860107</v>
      </c>
      <c r="C9270">
        <f t="shared" si="305"/>
        <v>-8.613322562624072E-3</v>
      </c>
      <c r="D9270">
        <f t="shared" si="304"/>
        <v>-0.72620833872597246</v>
      </c>
    </row>
    <row r="9271" spans="1:4" x14ac:dyDescent="0.3">
      <c r="A9271" s="1">
        <v>39381</v>
      </c>
      <c r="B9271">
        <v>2804.1899410000001</v>
      </c>
      <c r="C9271">
        <f t="shared" si="305"/>
        <v>1.9386603435156115E-2</v>
      </c>
      <c r="D9271">
        <f t="shared" si="304"/>
        <v>1.5136706047127724</v>
      </c>
    </row>
    <row r="9272" spans="1:4" x14ac:dyDescent="0.3">
      <c r="A9272" s="1">
        <v>39384</v>
      </c>
      <c r="B9272">
        <v>2817.4399410000001</v>
      </c>
      <c r="C9272">
        <f t="shared" si="305"/>
        <v>4.7250722236293766E-3</v>
      </c>
      <c r="D9272">
        <f t="shared" si="304"/>
        <v>0.34080839636721372</v>
      </c>
    </row>
    <row r="9273" spans="1:4" x14ac:dyDescent="0.3">
      <c r="A9273" s="1">
        <v>39385</v>
      </c>
      <c r="B9273">
        <v>2816.709961</v>
      </c>
      <c r="C9273">
        <f t="shared" si="305"/>
        <v>-2.5909336677500756E-4</v>
      </c>
      <c r="D9273">
        <f t="shared" si="304"/>
        <v>-5.7904355853766742E-2</v>
      </c>
    </row>
    <row r="9274" spans="1:4" x14ac:dyDescent="0.3">
      <c r="A9274" s="1">
        <v>39386</v>
      </c>
      <c r="B9274">
        <v>2859.1201169999999</v>
      </c>
      <c r="C9274">
        <f t="shared" si="305"/>
        <v>1.5056628686378233E-2</v>
      </c>
      <c r="D9274">
        <f t="shared" si="304"/>
        <v>1.1672904297730979</v>
      </c>
    </row>
    <row r="9275" spans="1:4" x14ac:dyDescent="0.3">
      <c r="A9275" s="1">
        <v>39387</v>
      </c>
      <c r="B9275">
        <v>2794.830078</v>
      </c>
      <c r="C9275">
        <f t="shared" si="305"/>
        <v>-2.2485952450104769E-2</v>
      </c>
      <c r="D9275">
        <f t="shared" si="304"/>
        <v>-1.8359616851294762</v>
      </c>
    </row>
    <row r="9276" spans="1:4" x14ac:dyDescent="0.3">
      <c r="A9276" s="1">
        <v>39388</v>
      </c>
      <c r="B9276">
        <v>2810.3798830000001</v>
      </c>
      <c r="C9276">
        <f t="shared" si="305"/>
        <v>5.563774743374615E-3</v>
      </c>
      <c r="D9276">
        <f t="shared" si="304"/>
        <v>0.40790114918146442</v>
      </c>
    </row>
    <row r="9277" spans="1:4" x14ac:dyDescent="0.3">
      <c r="A9277" s="1">
        <v>39391</v>
      </c>
      <c r="B9277">
        <v>2795.179932</v>
      </c>
      <c r="C9277">
        <f t="shared" si="305"/>
        <v>-5.4085040573854885E-3</v>
      </c>
      <c r="D9277">
        <f t="shared" si="304"/>
        <v>-0.46983603659932277</v>
      </c>
    </row>
    <row r="9278" spans="1:4" x14ac:dyDescent="0.3">
      <c r="A9278" s="1">
        <v>39392</v>
      </c>
      <c r="B9278">
        <v>2825.179932</v>
      </c>
      <c r="C9278">
        <f t="shared" si="305"/>
        <v>1.0732761657506062E-2</v>
      </c>
      <c r="D9278">
        <f t="shared" si="304"/>
        <v>0.82139884731078572</v>
      </c>
    </row>
    <row r="9279" spans="1:4" x14ac:dyDescent="0.3">
      <c r="A9279" s="1">
        <v>39393</v>
      </c>
      <c r="B9279">
        <v>2748.76001</v>
      </c>
      <c r="C9279">
        <f t="shared" si="305"/>
        <v>-2.7049576961245398E-2</v>
      </c>
      <c r="D9279">
        <f t="shared" si="304"/>
        <v>-2.2010328802846071</v>
      </c>
    </row>
    <row r="9280" spans="1:4" x14ac:dyDescent="0.3">
      <c r="A9280" s="1">
        <v>39394</v>
      </c>
      <c r="B9280">
        <v>2696</v>
      </c>
      <c r="C9280">
        <f t="shared" si="305"/>
        <v>-1.9194112912025364E-2</v>
      </c>
      <c r="D9280">
        <f t="shared" si="304"/>
        <v>-1.572628058208186</v>
      </c>
    </row>
    <row r="9281" spans="1:4" x14ac:dyDescent="0.3">
      <c r="A9281" s="1">
        <v>39395</v>
      </c>
      <c r="B9281">
        <v>2627.9399410000001</v>
      </c>
      <c r="C9281">
        <f t="shared" si="305"/>
        <v>-2.5244829005934683E-2</v>
      </c>
      <c r="D9281">
        <f t="shared" si="304"/>
        <v>-2.0566604650276852</v>
      </c>
    </row>
    <row r="9282" spans="1:4" x14ac:dyDescent="0.3">
      <c r="A9282" s="1">
        <v>39398</v>
      </c>
      <c r="B9282">
        <v>2584.1298830000001</v>
      </c>
      <c r="C9282">
        <f t="shared" si="305"/>
        <v>-1.6670874899572152E-2</v>
      </c>
      <c r="D9282">
        <f t="shared" si="304"/>
        <v>-1.3707793928286329</v>
      </c>
    </row>
    <row r="9283" spans="1:4" x14ac:dyDescent="0.3">
      <c r="A9283" s="1">
        <v>39399</v>
      </c>
      <c r="B9283">
        <v>2673.6499020000001</v>
      </c>
      <c r="C9283">
        <f t="shared" si="305"/>
        <v>3.4642228933196406E-2</v>
      </c>
      <c r="D9283">
        <f t="shared" ref="D9283:D9346" si="306">(C9283-avrtn)/sdrtn</f>
        <v>2.7340579130491127</v>
      </c>
    </row>
    <row r="9284" spans="1:4" x14ac:dyDescent="0.3">
      <c r="A9284" s="1">
        <v>39400</v>
      </c>
      <c r="B9284">
        <v>2644.320068</v>
      </c>
      <c r="C9284">
        <f t="shared" ref="C9284:C9347" si="307">(B9284-B9283)/B9283</f>
        <v>-1.0969960568906272E-2</v>
      </c>
      <c r="D9284">
        <f t="shared" si="306"/>
        <v>-0.91472968867516324</v>
      </c>
    </row>
    <row r="9285" spans="1:4" x14ac:dyDescent="0.3">
      <c r="A9285" s="1">
        <v>39401</v>
      </c>
      <c r="B9285">
        <v>2618.51001</v>
      </c>
      <c r="C9285">
        <f t="shared" si="307"/>
        <v>-9.7605650361081882E-3</v>
      </c>
      <c r="D9285">
        <f t="shared" si="306"/>
        <v>-0.81798301911546267</v>
      </c>
    </row>
    <row r="9286" spans="1:4" x14ac:dyDescent="0.3">
      <c r="A9286" s="1">
        <v>39402</v>
      </c>
      <c r="B9286">
        <v>2637.23999</v>
      </c>
      <c r="C9286">
        <f t="shared" si="307"/>
        <v>7.1529151801867918E-3</v>
      </c>
      <c r="D9286">
        <f t="shared" si="306"/>
        <v>0.53502584954191668</v>
      </c>
    </row>
    <row r="9287" spans="1:4" x14ac:dyDescent="0.3">
      <c r="A9287" s="1">
        <v>39405</v>
      </c>
      <c r="B9287">
        <v>2593.3798830000001</v>
      </c>
      <c r="C9287">
        <f t="shared" si="307"/>
        <v>-1.6631063978367767E-2</v>
      </c>
      <c r="D9287">
        <f t="shared" si="306"/>
        <v>-1.3675946828357681</v>
      </c>
    </row>
    <row r="9288" spans="1:4" x14ac:dyDescent="0.3">
      <c r="A9288" s="1">
        <v>39406</v>
      </c>
      <c r="B9288">
        <v>2596.8100589999999</v>
      </c>
      <c r="C9288">
        <f t="shared" si="307"/>
        <v>1.3226662327741386E-3</v>
      </c>
      <c r="D9288">
        <f t="shared" si="306"/>
        <v>6.862990787582729E-2</v>
      </c>
    </row>
    <row r="9289" spans="1:4" x14ac:dyDescent="0.3">
      <c r="A9289" s="1">
        <v>39407</v>
      </c>
      <c r="B9289">
        <v>2562.1499020000001</v>
      </c>
      <c r="C9289">
        <f t="shared" si="307"/>
        <v>-1.334720530670888E-2</v>
      </c>
      <c r="D9289">
        <f t="shared" si="306"/>
        <v>-1.1048994924106004</v>
      </c>
    </row>
    <row r="9290" spans="1:4" x14ac:dyDescent="0.3">
      <c r="A9290" s="1">
        <v>39409</v>
      </c>
      <c r="B9290">
        <v>2596.6000979999999</v>
      </c>
      <c r="C9290">
        <f t="shared" si="307"/>
        <v>1.3445815942739395E-2</v>
      </c>
      <c r="D9290">
        <f t="shared" si="306"/>
        <v>1.0384320339835709</v>
      </c>
    </row>
    <row r="9291" spans="1:4" x14ac:dyDescent="0.3">
      <c r="A9291" s="1">
        <v>39412</v>
      </c>
      <c r="B9291">
        <v>2540.98999</v>
      </c>
      <c r="C9291">
        <f t="shared" si="307"/>
        <v>-2.1416508473073258E-2</v>
      </c>
      <c r="D9291">
        <f t="shared" si="306"/>
        <v>-1.7504105645468655</v>
      </c>
    </row>
    <row r="9292" spans="1:4" x14ac:dyDescent="0.3">
      <c r="A9292" s="1">
        <v>39413</v>
      </c>
      <c r="B9292">
        <v>2580.8000489999999</v>
      </c>
      <c r="C9292">
        <f t="shared" si="307"/>
        <v>1.5667145150776416E-2</v>
      </c>
      <c r="D9292">
        <f t="shared" si="306"/>
        <v>1.2161292364662504</v>
      </c>
    </row>
    <row r="9293" spans="1:4" x14ac:dyDescent="0.3">
      <c r="A9293" s="1">
        <v>39414</v>
      </c>
      <c r="B9293">
        <v>2662.9099120000001</v>
      </c>
      <c r="C9293">
        <f t="shared" si="307"/>
        <v>3.1815662368658043E-2</v>
      </c>
      <c r="D9293">
        <f t="shared" si="306"/>
        <v>2.5079442107972065</v>
      </c>
    </row>
    <row r="9294" spans="1:4" x14ac:dyDescent="0.3">
      <c r="A9294" s="1">
        <v>39415</v>
      </c>
      <c r="B9294">
        <v>2668.1298830000001</v>
      </c>
      <c r="C9294">
        <f t="shared" si="307"/>
        <v>1.960250692851823E-3</v>
      </c>
      <c r="D9294">
        <f t="shared" si="306"/>
        <v>0.11963404291907655</v>
      </c>
    </row>
    <row r="9295" spans="1:4" x14ac:dyDescent="0.3">
      <c r="A9295" s="1">
        <v>39416</v>
      </c>
      <c r="B9295">
        <v>2660.959961</v>
      </c>
      <c r="C9295">
        <f t="shared" si="307"/>
        <v>-2.6872462415279061E-3</v>
      </c>
      <c r="D9295">
        <f t="shared" si="306"/>
        <v>-0.25214660120971716</v>
      </c>
    </row>
    <row r="9296" spans="1:4" x14ac:dyDescent="0.3">
      <c r="A9296" s="1">
        <v>39419</v>
      </c>
      <c r="B9296">
        <v>2637.1298830000001</v>
      </c>
      <c r="C9296">
        <f t="shared" si="307"/>
        <v>-8.9554440312001205E-3</v>
      </c>
      <c r="D9296">
        <f t="shared" si="306"/>
        <v>-0.75357664940017155</v>
      </c>
    </row>
    <row r="9297" spans="1:4" x14ac:dyDescent="0.3">
      <c r="A9297" s="1">
        <v>39420</v>
      </c>
      <c r="B9297">
        <v>2619.830078</v>
      </c>
      <c r="C9297">
        <f t="shared" si="307"/>
        <v>-6.560088341314399E-3</v>
      </c>
      <c r="D9297">
        <f t="shared" si="306"/>
        <v>-0.56195804397076532</v>
      </c>
    </row>
    <row r="9298" spans="1:4" x14ac:dyDescent="0.3">
      <c r="A9298" s="1">
        <v>39421</v>
      </c>
      <c r="B9298">
        <v>2666.360107</v>
      </c>
      <c r="C9298">
        <f t="shared" si="307"/>
        <v>1.77607049368337E-2</v>
      </c>
      <c r="D9298">
        <f t="shared" si="306"/>
        <v>1.3836054105815532</v>
      </c>
    </row>
    <row r="9299" spans="1:4" x14ac:dyDescent="0.3">
      <c r="A9299" s="1">
        <v>39422</v>
      </c>
      <c r="B9299">
        <v>2709.030029</v>
      </c>
      <c r="C9299">
        <f t="shared" si="307"/>
        <v>1.6003060459830097E-2</v>
      </c>
      <c r="D9299">
        <f t="shared" si="306"/>
        <v>1.2430010798985405</v>
      </c>
    </row>
    <row r="9300" spans="1:4" x14ac:dyDescent="0.3">
      <c r="A9300" s="1">
        <v>39423</v>
      </c>
      <c r="B9300">
        <v>2706.1599120000001</v>
      </c>
      <c r="C9300">
        <f t="shared" si="307"/>
        <v>-1.0594629698731687E-3</v>
      </c>
      <c r="D9300">
        <f t="shared" si="306"/>
        <v>-0.12193063296214635</v>
      </c>
    </row>
    <row r="9301" spans="1:4" x14ac:dyDescent="0.3">
      <c r="A9301" s="1">
        <v>39426</v>
      </c>
      <c r="B9301">
        <v>2718.9499510000001</v>
      </c>
      <c r="C9301">
        <f t="shared" si="307"/>
        <v>4.7262687409139253E-3</v>
      </c>
      <c r="D9301">
        <f t="shared" si="306"/>
        <v>0.34090411282986915</v>
      </c>
    </row>
    <row r="9302" spans="1:4" x14ac:dyDescent="0.3">
      <c r="A9302" s="1">
        <v>39427</v>
      </c>
      <c r="B9302">
        <v>2652.3500979999999</v>
      </c>
      <c r="C9302">
        <f t="shared" si="307"/>
        <v>-2.4494696187955012E-2</v>
      </c>
      <c r="D9302">
        <f t="shared" si="306"/>
        <v>-1.9966529241538902</v>
      </c>
    </row>
    <row r="9303" spans="1:4" x14ac:dyDescent="0.3">
      <c r="A9303" s="1">
        <v>39428</v>
      </c>
      <c r="B9303">
        <v>2671.139893</v>
      </c>
      <c r="C9303">
        <f t="shared" si="307"/>
        <v>7.0842061966738682E-3</v>
      </c>
      <c r="D9303">
        <f t="shared" si="306"/>
        <v>0.52952941339391124</v>
      </c>
    </row>
    <row r="9304" spans="1:4" x14ac:dyDescent="0.3">
      <c r="A9304" s="1">
        <v>39429</v>
      </c>
      <c r="B9304">
        <v>2668.48999</v>
      </c>
      <c r="C9304">
        <f t="shared" si="307"/>
        <v>-9.9204950176677055E-4</v>
      </c>
      <c r="D9304">
        <f t="shared" si="306"/>
        <v>-0.11653783271947173</v>
      </c>
    </row>
    <row r="9305" spans="1:4" x14ac:dyDescent="0.3">
      <c r="A9305" s="1">
        <v>39430</v>
      </c>
      <c r="B9305">
        <v>2635.73999</v>
      </c>
      <c r="C9305">
        <f t="shared" si="307"/>
        <v>-1.2272858479038177E-2</v>
      </c>
      <c r="D9305">
        <f t="shared" si="306"/>
        <v>-1.0189561639374967</v>
      </c>
    </row>
    <row r="9306" spans="1:4" x14ac:dyDescent="0.3">
      <c r="A9306" s="1">
        <v>39433</v>
      </c>
      <c r="B9306">
        <v>2574.459961</v>
      </c>
      <c r="C9306">
        <f t="shared" si="307"/>
        <v>-2.3249648763723471E-2</v>
      </c>
      <c r="D9306">
        <f t="shared" si="306"/>
        <v>-1.8970542498809664</v>
      </c>
    </row>
    <row r="9307" spans="1:4" x14ac:dyDescent="0.3">
      <c r="A9307" s="1">
        <v>39434</v>
      </c>
      <c r="B9307">
        <v>2596.030029</v>
      </c>
      <c r="C9307">
        <f t="shared" si="307"/>
        <v>8.3784826048028758E-3</v>
      </c>
      <c r="D9307">
        <f t="shared" si="306"/>
        <v>0.63306620394784086</v>
      </c>
    </row>
    <row r="9308" spans="1:4" x14ac:dyDescent="0.3">
      <c r="A9308" s="1">
        <v>39435</v>
      </c>
      <c r="B9308">
        <v>2601.01001</v>
      </c>
      <c r="C9308">
        <f t="shared" si="307"/>
        <v>1.9183063925952578E-3</v>
      </c>
      <c r="D9308">
        <f t="shared" si="306"/>
        <v>0.11627867137454456</v>
      </c>
    </row>
    <row r="9309" spans="1:4" x14ac:dyDescent="0.3">
      <c r="A9309" s="1">
        <v>39436</v>
      </c>
      <c r="B9309">
        <v>2640.860107</v>
      </c>
      <c r="C9309">
        <f t="shared" si="307"/>
        <v>1.5321008703076851E-2</v>
      </c>
      <c r="D9309">
        <f t="shared" si="306"/>
        <v>1.1884397439718628</v>
      </c>
    </row>
    <row r="9310" spans="1:4" x14ac:dyDescent="0.3">
      <c r="A9310" s="1">
        <v>39437</v>
      </c>
      <c r="B9310">
        <v>2691.98999</v>
      </c>
      <c r="C9310">
        <f t="shared" si="307"/>
        <v>1.9361072123613272E-2</v>
      </c>
      <c r="D9310">
        <f t="shared" si="306"/>
        <v>1.5116282047747254</v>
      </c>
    </row>
    <row r="9311" spans="1:4" x14ac:dyDescent="0.3">
      <c r="A9311" s="1">
        <v>39440</v>
      </c>
      <c r="B9311">
        <v>2713.5</v>
      </c>
      <c r="C9311">
        <f t="shared" si="307"/>
        <v>7.9903751796640103E-3</v>
      </c>
      <c r="D9311">
        <f t="shared" si="306"/>
        <v>0.60201920584399971</v>
      </c>
    </row>
    <row r="9312" spans="1:4" x14ac:dyDescent="0.3">
      <c r="A9312" s="1">
        <v>39442</v>
      </c>
      <c r="B9312">
        <v>2724.4099120000001</v>
      </c>
      <c r="C9312">
        <f t="shared" si="307"/>
        <v>4.0206051225354991E-3</v>
      </c>
      <c r="D9312">
        <f t="shared" si="306"/>
        <v>0.28445392506573219</v>
      </c>
    </row>
    <row r="9313" spans="1:4" x14ac:dyDescent="0.3">
      <c r="A9313" s="1">
        <v>39443</v>
      </c>
      <c r="B9313">
        <v>2676.790039</v>
      </c>
      <c r="C9313">
        <f t="shared" si="307"/>
        <v>-1.7478967753806973E-2</v>
      </c>
      <c r="D9313">
        <f t="shared" si="306"/>
        <v>-1.4354234982697469</v>
      </c>
    </row>
    <row r="9314" spans="1:4" x14ac:dyDescent="0.3">
      <c r="A9314" s="1">
        <v>39444</v>
      </c>
      <c r="B9314">
        <v>2674.459961</v>
      </c>
      <c r="C9314">
        <f t="shared" si="307"/>
        <v>-8.704746976981551E-4</v>
      </c>
      <c r="D9314">
        <f t="shared" si="306"/>
        <v>-0.10681234831256395</v>
      </c>
    </row>
    <row r="9315" spans="1:4" x14ac:dyDescent="0.3">
      <c r="A9315" s="1">
        <v>39447</v>
      </c>
      <c r="B9315">
        <v>2652.280029</v>
      </c>
      <c r="C9315">
        <f t="shared" si="307"/>
        <v>-8.2932376343023539E-3</v>
      </c>
      <c r="D9315">
        <f t="shared" si="306"/>
        <v>-0.70060286065732491</v>
      </c>
    </row>
    <row r="9316" spans="1:4" x14ac:dyDescent="0.3">
      <c r="A9316" s="1">
        <v>39449</v>
      </c>
      <c r="B9316">
        <v>2609.6298830000001</v>
      </c>
      <c r="C9316">
        <f t="shared" si="307"/>
        <v>-1.608055919196455E-2</v>
      </c>
      <c r="D9316">
        <f t="shared" si="306"/>
        <v>-1.3235565636127187</v>
      </c>
    </row>
    <row r="9317" spans="1:4" x14ac:dyDescent="0.3">
      <c r="A9317" s="1">
        <v>39450</v>
      </c>
      <c r="B9317">
        <v>2602.679932</v>
      </c>
      <c r="C9317">
        <f t="shared" si="307"/>
        <v>-2.6631941354114449E-3</v>
      </c>
      <c r="D9317">
        <f t="shared" si="306"/>
        <v>-0.25022253162325159</v>
      </c>
    </row>
    <row r="9318" spans="1:4" x14ac:dyDescent="0.3">
      <c r="A9318" s="1">
        <v>39451</v>
      </c>
      <c r="B9318">
        <v>2504.6499020000001</v>
      </c>
      <c r="C9318">
        <f t="shared" si="307"/>
        <v>-3.7665034718529458E-2</v>
      </c>
      <c r="D9318">
        <f t="shared" si="306"/>
        <v>-3.0502258498442085</v>
      </c>
    </row>
    <row r="9319" spans="1:4" x14ac:dyDescent="0.3">
      <c r="A9319" s="1">
        <v>39454</v>
      </c>
      <c r="B9319">
        <v>2499.459961</v>
      </c>
      <c r="C9319">
        <f t="shared" si="307"/>
        <v>-2.0721223336865745E-3</v>
      </c>
      <c r="D9319">
        <f t="shared" si="306"/>
        <v>-0.20293921798703346</v>
      </c>
    </row>
    <row r="9320" spans="1:4" x14ac:dyDescent="0.3">
      <c r="A9320" s="1">
        <v>39455</v>
      </c>
      <c r="B9320">
        <v>2440.51001</v>
      </c>
      <c r="C9320">
        <f t="shared" si="307"/>
        <v>-2.3585075144158332E-2</v>
      </c>
      <c r="D9320">
        <f t="shared" si="306"/>
        <v>-1.9238869810342374</v>
      </c>
    </row>
    <row r="9321" spans="1:4" x14ac:dyDescent="0.3">
      <c r="A9321" s="1">
        <v>39456</v>
      </c>
      <c r="B9321">
        <v>2474.5500489999999</v>
      </c>
      <c r="C9321">
        <f t="shared" si="307"/>
        <v>1.394792025458645E-2</v>
      </c>
      <c r="D9321">
        <f t="shared" si="306"/>
        <v>1.078598314266068</v>
      </c>
    </row>
    <row r="9322" spans="1:4" x14ac:dyDescent="0.3">
      <c r="A9322" s="1">
        <v>39457</v>
      </c>
      <c r="B9322">
        <v>2488.5200199999999</v>
      </c>
      <c r="C9322">
        <f t="shared" si="307"/>
        <v>5.6454590626063301E-3</v>
      </c>
      <c r="D9322">
        <f t="shared" si="306"/>
        <v>0.41443555883207395</v>
      </c>
    </row>
    <row r="9323" spans="1:4" x14ac:dyDescent="0.3">
      <c r="A9323" s="1">
        <v>39458</v>
      </c>
      <c r="B9323">
        <v>2439.9399410000001</v>
      </c>
      <c r="C9323">
        <f t="shared" si="307"/>
        <v>-1.9521674975313177E-2</v>
      </c>
      <c r="D9323">
        <f t="shared" si="306"/>
        <v>-1.5988316763279584</v>
      </c>
    </row>
    <row r="9324" spans="1:4" x14ac:dyDescent="0.3">
      <c r="A9324" s="1">
        <v>39461</v>
      </c>
      <c r="B9324">
        <v>2478.3000489999999</v>
      </c>
      <c r="C9324">
        <f t="shared" si="307"/>
        <v>1.5721742718092523E-2</v>
      </c>
      <c r="D9324">
        <f t="shared" si="306"/>
        <v>1.2204968173450006</v>
      </c>
    </row>
    <row r="9325" spans="1:4" x14ac:dyDescent="0.3">
      <c r="A9325" s="1">
        <v>39462</v>
      </c>
      <c r="B9325">
        <v>2417.5900879999999</v>
      </c>
      <c r="C9325">
        <f t="shared" si="307"/>
        <v>-2.4496614534021671E-2</v>
      </c>
      <c r="D9325">
        <f t="shared" si="306"/>
        <v>-1.9968063839509367</v>
      </c>
    </row>
    <row r="9326" spans="1:4" x14ac:dyDescent="0.3">
      <c r="A9326" s="1">
        <v>39463</v>
      </c>
      <c r="B9326">
        <v>2394.5900879999999</v>
      </c>
      <c r="C9326">
        <f t="shared" si="307"/>
        <v>-9.5136061792126282E-3</v>
      </c>
      <c r="D9326">
        <f t="shared" si="306"/>
        <v>-0.79822732606470526</v>
      </c>
    </row>
    <row r="9327" spans="1:4" x14ac:dyDescent="0.3">
      <c r="A9327" s="1">
        <v>39464</v>
      </c>
      <c r="B9327">
        <v>2346.8999020000001</v>
      </c>
      <c r="C9327">
        <f t="shared" si="307"/>
        <v>-1.9915803643800856E-2</v>
      </c>
      <c r="D9327">
        <f t="shared" si="306"/>
        <v>-1.6303603491402039</v>
      </c>
    </row>
    <row r="9328" spans="1:4" x14ac:dyDescent="0.3">
      <c r="A9328" s="1">
        <v>39465</v>
      </c>
      <c r="B9328">
        <v>2340.0200199999999</v>
      </c>
      <c r="C9328">
        <f t="shared" si="307"/>
        <v>-2.9314765381076653E-3</v>
      </c>
      <c r="D9328">
        <f t="shared" si="306"/>
        <v>-0.27168402065511754</v>
      </c>
    </row>
    <row r="9329" spans="1:4" x14ac:dyDescent="0.3">
      <c r="A9329" s="1">
        <v>39469</v>
      </c>
      <c r="B9329">
        <v>2292.2700199999999</v>
      </c>
      <c r="C9329">
        <f t="shared" si="307"/>
        <v>-2.0405808322956142E-2</v>
      </c>
      <c r="D9329">
        <f t="shared" si="306"/>
        <v>-1.6695587085613466</v>
      </c>
    </row>
    <row r="9330" spans="1:4" x14ac:dyDescent="0.3">
      <c r="A9330" s="1">
        <v>39470</v>
      </c>
      <c r="B9330">
        <v>2316.4099120000001</v>
      </c>
      <c r="C9330">
        <f t="shared" si="307"/>
        <v>1.0530998437958957E-2</v>
      </c>
      <c r="D9330">
        <f t="shared" si="306"/>
        <v>0.80525861940233345</v>
      </c>
    </row>
    <row r="9331" spans="1:4" x14ac:dyDescent="0.3">
      <c r="A9331" s="1">
        <v>39471</v>
      </c>
      <c r="B9331">
        <v>2360.919922</v>
      </c>
      <c r="C9331">
        <f t="shared" si="307"/>
        <v>1.9215083552103177E-2</v>
      </c>
      <c r="D9331">
        <f t="shared" si="306"/>
        <v>1.4999497193625109</v>
      </c>
    </row>
    <row r="9332" spans="1:4" x14ac:dyDescent="0.3">
      <c r="A9332" s="1">
        <v>39472</v>
      </c>
      <c r="B9332">
        <v>2326.1999510000001</v>
      </c>
      <c r="C9332">
        <f t="shared" si="307"/>
        <v>-1.4706119710569322E-2</v>
      </c>
      <c r="D9332">
        <f t="shared" si="306"/>
        <v>-1.2136070568300181</v>
      </c>
    </row>
    <row r="9333" spans="1:4" x14ac:dyDescent="0.3">
      <c r="A9333" s="1">
        <v>39475</v>
      </c>
      <c r="B9333">
        <v>2349.9099120000001</v>
      </c>
      <c r="C9333">
        <f t="shared" si="307"/>
        <v>1.019257222054684E-2</v>
      </c>
      <c r="D9333">
        <f t="shared" si="306"/>
        <v>0.77818591362628531</v>
      </c>
    </row>
    <row r="9334" spans="1:4" x14ac:dyDescent="0.3">
      <c r="A9334" s="1">
        <v>39476</v>
      </c>
      <c r="B9334">
        <v>2358.0600589999999</v>
      </c>
      <c r="C9334">
        <f t="shared" si="307"/>
        <v>3.4682806172187564E-3</v>
      </c>
      <c r="D9334">
        <f t="shared" si="306"/>
        <v>0.24027023581232942</v>
      </c>
    </row>
    <row r="9335" spans="1:4" x14ac:dyDescent="0.3">
      <c r="A9335" s="1">
        <v>39477</v>
      </c>
      <c r="B9335">
        <v>2349</v>
      </c>
      <c r="C9335">
        <f t="shared" si="307"/>
        <v>-3.842166345772413E-3</v>
      </c>
      <c r="D9335">
        <f t="shared" si="306"/>
        <v>-0.34453546048943229</v>
      </c>
    </row>
    <row r="9336" spans="1:4" x14ac:dyDescent="0.3">
      <c r="A9336" s="1">
        <v>39478</v>
      </c>
      <c r="B9336">
        <v>2389.860107</v>
      </c>
      <c r="C9336">
        <f t="shared" si="307"/>
        <v>1.7394681566624083E-2</v>
      </c>
      <c r="D9336">
        <f t="shared" si="306"/>
        <v>1.3543250460618754</v>
      </c>
    </row>
    <row r="9337" spans="1:4" x14ac:dyDescent="0.3">
      <c r="A9337" s="1">
        <v>39479</v>
      </c>
      <c r="B9337">
        <v>2413.360107</v>
      </c>
      <c r="C9337">
        <f t="shared" si="307"/>
        <v>9.8332115470556279E-3</v>
      </c>
      <c r="D9337">
        <f t="shared" si="306"/>
        <v>0.74943853744690736</v>
      </c>
    </row>
    <row r="9338" spans="1:4" x14ac:dyDescent="0.3">
      <c r="A9338" s="1">
        <v>39482</v>
      </c>
      <c r="B9338">
        <v>2382.8500979999999</v>
      </c>
      <c r="C9338">
        <f t="shared" si="307"/>
        <v>-1.2642128670108195E-2</v>
      </c>
      <c r="D9338">
        <f t="shared" si="306"/>
        <v>-1.0484962607749992</v>
      </c>
    </row>
    <row r="9339" spans="1:4" x14ac:dyDescent="0.3">
      <c r="A9339" s="1">
        <v>39483</v>
      </c>
      <c r="B9339">
        <v>2309.570068</v>
      </c>
      <c r="C9339">
        <f t="shared" si="307"/>
        <v>-3.0753101112615561E-2</v>
      </c>
      <c r="D9339">
        <f t="shared" si="306"/>
        <v>-2.4972995834119129</v>
      </c>
    </row>
    <row r="9340" spans="1:4" x14ac:dyDescent="0.3">
      <c r="A9340" s="1">
        <v>39484</v>
      </c>
      <c r="B9340">
        <v>2278.75</v>
      </c>
      <c r="C9340">
        <f t="shared" si="307"/>
        <v>-1.3344504428345403E-2</v>
      </c>
      <c r="D9340">
        <f t="shared" si="306"/>
        <v>-1.1046834332476005</v>
      </c>
    </row>
    <row r="9341" spans="1:4" x14ac:dyDescent="0.3">
      <c r="A9341" s="1">
        <v>39485</v>
      </c>
      <c r="B9341">
        <v>2293.030029</v>
      </c>
      <c r="C9341">
        <f t="shared" si="307"/>
        <v>6.2666062534284207E-3</v>
      </c>
      <c r="D9341">
        <f t="shared" si="306"/>
        <v>0.46412477992533074</v>
      </c>
    </row>
    <row r="9342" spans="1:4" x14ac:dyDescent="0.3">
      <c r="A9342" s="1">
        <v>39486</v>
      </c>
      <c r="B9342">
        <v>2304.8500979999999</v>
      </c>
      <c r="C9342">
        <f t="shared" si="307"/>
        <v>5.1547815992425781E-3</v>
      </c>
      <c r="D9342">
        <f t="shared" si="306"/>
        <v>0.37518337944075925</v>
      </c>
    </row>
    <row r="9343" spans="1:4" x14ac:dyDescent="0.3">
      <c r="A9343" s="1">
        <v>39489</v>
      </c>
      <c r="B9343">
        <v>2320.0600589999999</v>
      </c>
      <c r="C9343">
        <f t="shared" si="307"/>
        <v>6.5991107244667419E-3</v>
      </c>
      <c r="D9343">
        <f t="shared" si="306"/>
        <v>0.49072377034184178</v>
      </c>
    </row>
    <row r="9344" spans="1:4" x14ac:dyDescent="0.3">
      <c r="A9344" s="1">
        <v>39490</v>
      </c>
      <c r="B9344">
        <v>2320.040039</v>
      </c>
      <c r="C9344">
        <f t="shared" si="307"/>
        <v>-8.6290869593093211E-6</v>
      </c>
      <c r="D9344">
        <f t="shared" si="306"/>
        <v>-3.7868243383783466E-2</v>
      </c>
    </row>
    <row r="9345" spans="1:4" x14ac:dyDescent="0.3">
      <c r="A9345" s="1">
        <v>39491</v>
      </c>
      <c r="B9345">
        <v>2373.929932</v>
      </c>
      <c r="C9345">
        <f t="shared" si="307"/>
        <v>2.3228001281920992E-2</v>
      </c>
      <c r="D9345">
        <f t="shared" si="306"/>
        <v>1.8209666365316324</v>
      </c>
    </row>
    <row r="9346" spans="1:4" x14ac:dyDescent="0.3">
      <c r="A9346" s="1">
        <v>39492</v>
      </c>
      <c r="B9346">
        <v>2332.540039</v>
      </c>
      <c r="C9346">
        <f t="shared" si="307"/>
        <v>-1.7435178874521232E-2</v>
      </c>
      <c r="D9346">
        <f t="shared" si="306"/>
        <v>-1.4319205679878351</v>
      </c>
    </row>
    <row r="9347" spans="1:4" x14ac:dyDescent="0.3">
      <c r="A9347" s="1">
        <v>39493</v>
      </c>
      <c r="B9347">
        <v>2321.8000489999999</v>
      </c>
      <c r="C9347">
        <f t="shared" si="307"/>
        <v>-4.6044182823993252E-3</v>
      </c>
      <c r="D9347">
        <f t="shared" ref="D9347:D9410" si="308">(C9347-avrtn)/sdrtn</f>
        <v>-0.4055124810208931</v>
      </c>
    </row>
    <row r="9348" spans="1:4" x14ac:dyDescent="0.3">
      <c r="A9348" s="1">
        <v>39497</v>
      </c>
      <c r="B9348">
        <v>2306.1999510000001</v>
      </c>
      <c r="C9348">
        <f t="shared" ref="C9348:C9411" si="309">(B9348-B9347)/B9347</f>
        <v>-6.7189670388364646E-3</v>
      </c>
      <c r="D9348">
        <f t="shared" si="308"/>
        <v>-0.57466768645942268</v>
      </c>
    </row>
    <row r="9349" spans="1:4" x14ac:dyDescent="0.3">
      <c r="A9349" s="1">
        <v>39498</v>
      </c>
      <c r="B9349">
        <v>2327.1000979999999</v>
      </c>
      <c r="C9349">
        <f t="shared" si="309"/>
        <v>9.0625910346313395E-3</v>
      </c>
      <c r="D9349">
        <f t="shared" si="308"/>
        <v>0.68779206526344583</v>
      </c>
    </row>
    <row r="9350" spans="1:4" x14ac:dyDescent="0.3">
      <c r="A9350" s="1">
        <v>39499</v>
      </c>
      <c r="B9350">
        <v>2299.780029</v>
      </c>
      <c r="C9350">
        <f t="shared" si="309"/>
        <v>-1.1739962979452324E-2</v>
      </c>
      <c r="D9350">
        <f t="shared" si="308"/>
        <v>-0.97632671525001613</v>
      </c>
    </row>
    <row r="9351" spans="1:4" x14ac:dyDescent="0.3">
      <c r="A9351" s="1">
        <v>39500</v>
      </c>
      <c r="B9351">
        <v>2303.3500979999999</v>
      </c>
      <c r="C9351">
        <f t="shared" si="309"/>
        <v>1.5523523793500495E-3</v>
      </c>
      <c r="D9351">
        <f t="shared" si="308"/>
        <v>8.7003855126821975E-2</v>
      </c>
    </row>
    <row r="9352" spans="1:4" x14ac:dyDescent="0.3">
      <c r="A9352" s="1">
        <v>39503</v>
      </c>
      <c r="B9352">
        <v>2327.4799800000001</v>
      </c>
      <c r="C9352">
        <f t="shared" si="309"/>
        <v>1.0475994083987566E-2</v>
      </c>
      <c r="D9352">
        <f t="shared" si="308"/>
        <v>0.80085849726387714</v>
      </c>
    </row>
    <row r="9353" spans="1:4" x14ac:dyDescent="0.3">
      <c r="A9353" s="1">
        <v>39504</v>
      </c>
      <c r="B9353">
        <v>2344.98999</v>
      </c>
      <c r="C9353">
        <f t="shared" si="309"/>
        <v>7.5231624548710253E-3</v>
      </c>
      <c r="D9353">
        <f t="shared" si="308"/>
        <v>0.56464410905076479</v>
      </c>
    </row>
    <row r="9354" spans="1:4" x14ac:dyDescent="0.3">
      <c r="A9354" s="1">
        <v>39505</v>
      </c>
      <c r="B9354">
        <v>2353.780029</v>
      </c>
      <c r="C9354">
        <f t="shared" si="309"/>
        <v>3.7484334847842906E-3</v>
      </c>
      <c r="D9354">
        <f t="shared" si="308"/>
        <v>0.26268131322209731</v>
      </c>
    </row>
    <row r="9355" spans="1:4" x14ac:dyDescent="0.3">
      <c r="A9355" s="1">
        <v>39506</v>
      </c>
      <c r="B9355">
        <v>2331.570068</v>
      </c>
      <c r="C9355">
        <f t="shared" si="309"/>
        <v>-9.4358694212542411E-3</v>
      </c>
      <c r="D9355">
        <f t="shared" si="308"/>
        <v>-0.79200870508349308</v>
      </c>
    </row>
    <row r="9356" spans="1:4" x14ac:dyDescent="0.3">
      <c r="A9356" s="1">
        <v>39507</v>
      </c>
      <c r="B9356">
        <v>2271.4799800000001</v>
      </c>
      <c r="C9356">
        <f t="shared" si="309"/>
        <v>-2.5772370654742822E-2</v>
      </c>
      <c r="D9356">
        <f t="shared" si="308"/>
        <v>-2.0988616276681147</v>
      </c>
    </row>
    <row r="9357" spans="1:4" x14ac:dyDescent="0.3">
      <c r="A9357" s="1">
        <v>39510</v>
      </c>
      <c r="B9357">
        <v>2258.6000979999999</v>
      </c>
      <c r="C9357">
        <f t="shared" si="309"/>
        <v>-5.6702599685691177E-3</v>
      </c>
      <c r="D9357">
        <f t="shared" si="308"/>
        <v>-0.4907754331472749</v>
      </c>
    </row>
    <row r="9358" spans="1:4" x14ac:dyDescent="0.3">
      <c r="A9358" s="1">
        <v>39511</v>
      </c>
      <c r="B9358">
        <v>2260.280029</v>
      </c>
      <c r="C9358">
        <f t="shared" si="309"/>
        <v>7.4379302537342057E-4</v>
      </c>
      <c r="D9358">
        <f t="shared" si="308"/>
        <v>2.2322431624621764E-2</v>
      </c>
    </row>
    <row r="9359" spans="1:4" x14ac:dyDescent="0.3">
      <c r="A9359" s="1">
        <v>39512</v>
      </c>
      <c r="B9359">
        <v>2272.8100589999999</v>
      </c>
      <c r="C9359">
        <f t="shared" si="309"/>
        <v>5.5435741763127776E-3</v>
      </c>
      <c r="D9359">
        <f t="shared" si="308"/>
        <v>0.40628518688174553</v>
      </c>
    </row>
    <row r="9360" spans="1:4" x14ac:dyDescent="0.3">
      <c r="A9360" s="1">
        <v>39513</v>
      </c>
      <c r="B9360">
        <v>2220.5</v>
      </c>
      <c r="C9360">
        <f t="shared" si="309"/>
        <v>-2.3015587595126844E-2</v>
      </c>
      <c r="D9360">
        <f t="shared" si="308"/>
        <v>-1.8783303188585125</v>
      </c>
    </row>
    <row r="9361" spans="1:4" x14ac:dyDescent="0.3">
      <c r="A9361" s="1">
        <v>39514</v>
      </c>
      <c r="B9361">
        <v>2212.48999</v>
      </c>
      <c r="C9361">
        <f t="shared" si="309"/>
        <v>-3.6073001576221418E-3</v>
      </c>
      <c r="D9361">
        <f t="shared" si="308"/>
        <v>-0.32574713121294702</v>
      </c>
    </row>
    <row r="9362" spans="1:4" x14ac:dyDescent="0.3">
      <c r="A9362" s="1">
        <v>39517</v>
      </c>
      <c r="B9362">
        <v>2169.3400879999999</v>
      </c>
      <c r="C9362">
        <f t="shared" si="309"/>
        <v>-1.9502868801679916E-2</v>
      </c>
      <c r="D9362">
        <f t="shared" si="308"/>
        <v>-1.5973272597687456</v>
      </c>
    </row>
    <row r="9363" spans="1:4" x14ac:dyDescent="0.3">
      <c r="A9363" s="1">
        <v>39518</v>
      </c>
      <c r="B9363">
        <v>2255.76001</v>
      </c>
      <c r="C9363">
        <f t="shared" si="309"/>
        <v>3.9836963543910704E-2</v>
      </c>
      <c r="D9363">
        <f t="shared" si="308"/>
        <v>3.1496153210299007</v>
      </c>
    </row>
    <row r="9364" spans="1:4" x14ac:dyDescent="0.3">
      <c r="A9364" s="1">
        <v>39519</v>
      </c>
      <c r="B9364">
        <v>2243.8701169999999</v>
      </c>
      <c r="C9364">
        <f t="shared" si="309"/>
        <v>-5.2709033528792939E-3</v>
      </c>
      <c r="D9364">
        <f t="shared" si="308"/>
        <v>-0.45882854605630502</v>
      </c>
    </row>
    <row r="9365" spans="1:4" x14ac:dyDescent="0.3">
      <c r="A9365" s="1">
        <v>39520</v>
      </c>
      <c r="B9365">
        <v>2263.610107</v>
      </c>
      <c r="C9365">
        <f t="shared" si="309"/>
        <v>8.7972961761226733E-3</v>
      </c>
      <c r="D9365">
        <f t="shared" si="308"/>
        <v>0.66656956748172902</v>
      </c>
    </row>
    <row r="9366" spans="1:4" x14ac:dyDescent="0.3">
      <c r="A9366" s="1">
        <v>39521</v>
      </c>
      <c r="B9366">
        <v>2212.48999</v>
      </c>
      <c r="C9366">
        <f t="shared" si="309"/>
        <v>-2.2583446169424589E-2</v>
      </c>
      <c r="D9366">
        <f t="shared" si="308"/>
        <v>-1.8437607817784925</v>
      </c>
    </row>
    <row r="9367" spans="1:4" x14ac:dyDescent="0.3">
      <c r="A9367" s="1">
        <v>39524</v>
      </c>
      <c r="B9367">
        <v>2177.01001</v>
      </c>
      <c r="C9367">
        <f t="shared" si="309"/>
        <v>-1.6036221705120604E-2</v>
      </c>
      <c r="D9367">
        <f t="shared" si="308"/>
        <v>-1.3200097469820382</v>
      </c>
    </row>
    <row r="9368" spans="1:4" x14ac:dyDescent="0.3">
      <c r="A9368" s="1">
        <v>39525</v>
      </c>
      <c r="B9368">
        <v>2268.26001</v>
      </c>
      <c r="C9368">
        <f t="shared" si="309"/>
        <v>4.1915287288917885E-2</v>
      </c>
      <c r="D9368">
        <f t="shared" si="308"/>
        <v>3.3158726745121707</v>
      </c>
    </row>
    <row r="9369" spans="1:4" x14ac:dyDescent="0.3">
      <c r="A9369" s="1">
        <v>39526</v>
      </c>
      <c r="B9369">
        <v>2209.959961</v>
      </c>
      <c r="C9369">
        <f t="shared" si="309"/>
        <v>-2.570254236417982E-2</v>
      </c>
      <c r="D9369">
        <f t="shared" si="308"/>
        <v>-2.093275651558721</v>
      </c>
    </row>
    <row r="9370" spans="1:4" x14ac:dyDescent="0.3">
      <c r="A9370" s="1">
        <v>39527</v>
      </c>
      <c r="B9370">
        <v>2258.110107</v>
      </c>
      <c r="C9370">
        <f t="shared" si="309"/>
        <v>2.1787791113741337E-2</v>
      </c>
      <c r="D9370">
        <f t="shared" si="308"/>
        <v>1.7057557452568579</v>
      </c>
    </row>
    <row r="9371" spans="1:4" x14ac:dyDescent="0.3">
      <c r="A9371" s="1">
        <v>39531</v>
      </c>
      <c r="B9371">
        <v>2326.75</v>
      </c>
      <c r="C9371">
        <f t="shared" si="309"/>
        <v>3.0397053176114245E-2</v>
      </c>
      <c r="D9371">
        <f t="shared" si="308"/>
        <v>2.3944613087495576</v>
      </c>
    </row>
    <row r="9372" spans="1:4" x14ac:dyDescent="0.3">
      <c r="A9372" s="1">
        <v>39532</v>
      </c>
      <c r="B9372">
        <v>2341.0500489999999</v>
      </c>
      <c r="C9372">
        <f t="shared" si="309"/>
        <v>6.1459327387987294E-3</v>
      </c>
      <c r="D9372">
        <f t="shared" si="308"/>
        <v>0.45447139496741257</v>
      </c>
    </row>
    <row r="9373" spans="1:4" x14ac:dyDescent="0.3">
      <c r="A9373" s="1">
        <v>39533</v>
      </c>
      <c r="B9373">
        <v>2324.360107</v>
      </c>
      <c r="C9373">
        <f t="shared" si="309"/>
        <v>-7.1292546723335662E-3</v>
      </c>
      <c r="D9373">
        <f t="shared" si="308"/>
        <v>-0.60748901002636091</v>
      </c>
    </row>
    <row r="9374" spans="1:4" x14ac:dyDescent="0.3">
      <c r="A9374" s="1">
        <v>39534</v>
      </c>
      <c r="B9374">
        <v>2280.830078</v>
      </c>
      <c r="C9374">
        <f t="shared" si="309"/>
        <v>-1.8727747421282005E-2</v>
      </c>
      <c r="D9374">
        <f t="shared" si="308"/>
        <v>-1.5353207366550738</v>
      </c>
    </row>
    <row r="9375" spans="1:4" x14ac:dyDescent="0.3">
      <c r="A9375" s="1">
        <v>39535</v>
      </c>
      <c r="B9375">
        <v>2261.179932</v>
      </c>
      <c r="C9375">
        <f t="shared" si="309"/>
        <v>-8.6153485038353433E-3</v>
      </c>
      <c r="D9375">
        <f t="shared" si="308"/>
        <v>-0.72637040569215416</v>
      </c>
    </row>
    <row r="9376" spans="1:4" x14ac:dyDescent="0.3">
      <c r="A9376" s="1">
        <v>39538</v>
      </c>
      <c r="B9376">
        <v>2279.1000979999999</v>
      </c>
      <c r="C9376">
        <f t="shared" si="309"/>
        <v>7.9251393250025885E-3</v>
      </c>
      <c r="D9376">
        <f t="shared" si="308"/>
        <v>0.59680060572252314</v>
      </c>
    </row>
    <row r="9377" spans="1:4" x14ac:dyDescent="0.3">
      <c r="A9377" s="1">
        <v>39539</v>
      </c>
      <c r="B9377">
        <v>2362.75</v>
      </c>
      <c r="C9377">
        <f t="shared" si="309"/>
        <v>3.6703039973279887E-2</v>
      </c>
      <c r="D9377">
        <f t="shared" si="308"/>
        <v>2.8989143221501594</v>
      </c>
    </row>
    <row r="9378" spans="1:4" x14ac:dyDescent="0.3">
      <c r="A9378" s="1">
        <v>39540</v>
      </c>
      <c r="B9378">
        <v>2361.3999020000001</v>
      </c>
      <c r="C9378">
        <f t="shared" si="309"/>
        <v>-5.714095862871184E-4</v>
      </c>
      <c r="D9378">
        <f t="shared" si="308"/>
        <v>-8.2888369162767261E-2</v>
      </c>
    </row>
    <row r="9379" spans="1:4" x14ac:dyDescent="0.3">
      <c r="A9379" s="1">
        <v>39541</v>
      </c>
      <c r="B9379">
        <v>2363.3000489999999</v>
      </c>
      <c r="C9379">
        <f t="shared" si="309"/>
        <v>8.0466972086790296E-4</v>
      </c>
      <c r="D9379">
        <f t="shared" si="308"/>
        <v>2.7192316937712721E-2</v>
      </c>
    </row>
    <row r="9380" spans="1:4" x14ac:dyDescent="0.3">
      <c r="A9380" s="1">
        <v>39542</v>
      </c>
      <c r="B9380">
        <v>2370.9799800000001</v>
      </c>
      <c r="C9380">
        <f t="shared" si="309"/>
        <v>3.2496639617342659E-3</v>
      </c>
      <c r="D9380">
        <f t="shared" si="308"/>
        <v>0.22278180233062903</v>
      </c>
    </row>
    <row r="9381" spans="1:4" x14ac:dyDescent="0.3">
      <c r="A9381" s="1">
        <v>39545</v>
      </c>
      <c r="B9381">
        <v>2364.830078</v>
      </c>
      <c r="C9381">
        <f t="shared" si="309"/>
        <v>-2.5938228293265093E-3</v>
      </c>
      <c r="D9381">
        <f t="shared" si="308"/>
        <v>-0.24467311239297185</v>
      </c>
    </row>
    <row r="9382" spans="1:4" x14ac:dyDescent="0.3">
      <c r="A9382" s="1">
        <v>39546</v>
      </c>
      <c r="B9382">
        <v>2348.76001</v>
      </c>
      <c r="C9382">
        <f t="shared" si="309"/>
        <v>-6.7954430001122444E-3</v>
      </c>
      <c r="D9382">
        <f t="shared" si="308"/>
        <v>-0.58078544889045325</v>
      </c>
    </row>
    <row r="9383" spans="1:4" x14ac:dyDescent="0.3">
      <c r="A9383" s="1">
        <v>39547</v>
      </c>
      <c r="B9383">
        <v>2322.1201169999999</v>
      </c>
      <c r="C9383">
        <f t="shared" si="309"/>
        <v>-1.1342109405209104E-2</v>
      </c>
      <c r="D9383">
        <f t="shared" si="308"/>
        <v>-0.94450006529423114</v>
      </c>
    </row>
    <row r="9384" spans="1:4" x14ac:dyDescent="0.3">
      <c r="A9384" s="1">
        <v>39548</v>
      </c>
      <c r="B9384">
        <v>2351.6999510000001</v>
      </c>
      <c r="C9384">
        <f t="shared" si="309"/>
        <v>1.2738287646469806E-2</v>
      </c>
      <c r="D9384">
        <f t="shared" si="308"/>
        <v>0.98183267965574217</v>
      </c>
    </row>
    <row r="9385" spans="1:4" x14ac:dyDescent="0.3">
      <c r="A9385" s="1">
        <v>39549</v>
      </c>
      <c r="B9385">
        <v>2290.23999</v>
      </c>
      <c r="C9385">
        <f t="shared" si="309"/>
        <v>-2.6134269796563865E-2</v>
      </c>
      <c r="D9385">
        <f t="shared" si="308"/>
        <v>-2.1278120708756347</v>
      </c>
    </row>
    <row r="9386" spans="1:4" x14ac:dyDescent="0.3">
      <c r="A9386" s="1">
        <v>39552</v>
      </c>
      <c r="B9386">
        <v>2275.820068</v>
      </c>
      <c r="C9386">
        <f t="shared" si="309"/>
        <v>-6.2962493288749371E-3</v>
      </c>
      <c r="D9386">
        <f t="shared" si="308"/>
        <v>-0.54085200788811016</v>
      </c>
    </row>
    <row r="9387" spans="1:4" x14ac:dyDescent="0.3">
      <c r="A9387" s="1">
        <v>39553</v>
      </c>
      <c r="B9387">
        <v>2286.040039</v>
      </c>
      <c r="C9387">
        <f t="shared" si="309"/>
        <v>4.4906761934748818E-3</v>
      </c>
      <c r="D9387">
        <f t="shared" si="308"/>
        <v>0.32205767779708933</v>
      </c>
    </row>
    <row r="9388" spans="1:4" x14ac:dyDescent="0.3">
      <c r="A9388" s="1">
        <v>39554</v>
      </c>
      <c r="B9388">
        <v>2350.110107</v>
      </c>
      <c r="C9388">
        <f t="shared" si="309"/>
        <v>2.8026660472677746E-2</v>
      </c>
      <c r="D9388">
        <f t="shared" si="308"/>
        <v>2.2048396395876759</v>
      </c>
    </row>
    <row r="9389" spans="1:4" x14ac:dyDescent="0.3">
      <c r="A9389" s="1">
        <v>39555</v>
      </c>
      <c r="B9389">
        <v>2341.830078</v>
      </c>
      <c r="C9389">
        <f t="shared" si="309"/>
        <v>-3.5232515171681757E-3</v>
      </c>
      <c r="D9389">
        <f t="shared" si="308"/>
        <v>-0.31902358558670435</v>
      </c>
    </row>
    <row r="9390" spans="1:4" x14ac:dyDescent="0.3">
      <c r="A9390" s="1">
        <v>39556</v>
      </c>
      <c r="B9390">
        <v>2402.969971</v>
      </c>
      <c r="C9390">
        <f t="shared" si="309"/>
        <v>2.6107740939178437E-2</v>
      </c>
      <c r="D9390">
        <f t="shared" si="308"/>
        <v>2.0513339675520013</v>
      </c>
    </row>
    <row r="9391" spans="1:4" x14ac:dyDescent="0.3">
      <c r="A9391" s="1">
        <v>39559</v>
      </c>
      <c r="B9391">
        <v>2408.040039</v>
      </c>
      <c r="C9391">
        <f t="shared" si="309"/>
        <v>2.1099173361247103E-3</v>
      </c>
      <c r="D9391">
        <f t="shared" si="308"/>
        <v>0.13160675894799304</v>
      </c>
    </row>
    <row r="9392" spans="1:4" x14ac:dyDescent="0.3">
      <c r="A9392" s="1">
        <v>39560</v>
      </c>
      <c r="B9392">
        <v>2376.9399410000001</v>
      </c>
      <c r="C9392">
        <f t="shared" si="309"/>
        <v>-1.2915108343844232E-2</v>
      </c>
      <c r="D9392">
        <f t="shared" si="308"/>
        <v>-1.0703335121747566</v>
      </c>
    </row>
    <row r="9393" spans="1:4" x14ac:dyDescent="0.3">
      <c r="A9393" s="1">
        <v>39561</v>
      </c>
      <c r="B9393">
        <v>2405.209961</v>
      </c>
      <c r="C9393">
        <f t="shared" si="309"/>
        <v>1.189345153925365E-2</v>
      </c>
      <c r="D9393">
        <f t="shared" si="308"/>
        <v>0.91424926506528048</v>
      </c>
    </row>
    <row r="9394" spans="1:4" x14ac:dyDescent="0.3">
      <c r="A9394" s="1">
        <v>39562</v>
      </c>
      <c r="B9394">
        <v>2428.919922</v>
      </c>
      <c r="C9394">
        <f t="shared" si="309"/>
        <v>9.8577510423008014E-3</v>
      </c>
      <c r="D9394">
        <f t="shared" si="308"/>
        <v>0.75140159615951385</v>
      </c>
    </row>
    <row r="9395" spans="1:4" x14ac:dyDescent="0.3">
      <c r="A9395" s="1">
        <v>39563</v>
      </c>
      <c r="B9395">
        <v>2422.929932</v>
      </c>
      <c r="C9395">
        <f t="shared" si="309"/>
        <v>-2.4661125901045801E-3</v>
      </c>
      <c r="D9395">
        <f t="shared" si="308"/>
        <v>-0.23445681840285906</v>
      </c>
    </row>
    <row r="9396" spans="1:4" x14ac:dyDescent="0.3">
      <c r="A9396" s="1">
        <v>39566</v>
      </c>
      <c r="B9396">
        <v>2424.3999020000001</v>
      </c>
      <c r="C9396">
        <f t="shared" si="309"/>
        <v>6.0669108940625488E-4</v>
      </c>
      <c r="D9396">
        <f t="shared" si="308"/>
        <v>1.1354840513777843E-2</v>
      </c>
    </row>
    <row r="9397" spans="1:4" x14ac:dyDescent="0.3">
      <c r="A9397" s="1">
        <v>39567</v>
      </c>
      <c r="B9397">
        <v>2426.1000979999999</v>
      </c>
      <c r="C9397">
        <f t="shared" si="309"/>
        <v>7.0128529480520407E-4</v>
      </c>
      <c r="D9397">
        <f t="shared" si="308"/>
        <v>1.8921987971996967E-2</v>
      </c>
    </row>
    <row r="9398" spans="1:4" x14ac:dyDescent="0.3">
      <c r="A9398" s="1">
        <v>39568</v>
      </c>
      <c r="B9398">
        <v>2412.8000489999999</v>
      </c>
      <c r="C9398">
        <f t="shared" si="309"/>
        <v>-5.4820693552438682E-3</v>
      </c>
      <c r="D9398">
        <f t="shared" si="308"/>
        <v>-0.47572095792568087</v>
      </c>
    </row>
    <row r="9399" spans="1:4" x14ac:dyDescent="0.3">
      <c r="A9399" s="1">
        <v>39569</v>
      </c>
      <c r="B9399">
        <v>2480.709961</v>
      </c>
      <c r="C9399">
        <f t="shared" si="309"/>
        <v>2.8145685767929987E-2</v>
      </c>
      <c r="D9399">
        <f t="shared" si="308"/>
        <v>2.2143611737729163</v>
      </c>
    </row>
    <row r="9400" spans="1:4" x14ac:dyDescent="0.3">
      <c r="A9400" s="1">
        <v>39570</v>
      </c>
      <c r="B9400">
        <v>2476.98999</v>
      </c>
      <c r="C9400">
        <f t="shared" si="309"/>
        <v>-1.4995590207975897E-3</v>
      </c>
      <c r="D9400">
        <f t="shared" si="308"/>
        <v>-0.15713650735032533</v>
      </c>
    </row>
    <row r="9401" spans="1:4" x14ac:dyDescent="0.3">
      <c r="A9401" s="1">
        <v>39573</v>
      </c>
      <c r="B9401">
        <v>2464.1201169999999</v>
      </c>
      <c r="C9401">
        <f t="shared" si="309"/>
        <v>-5.1957710979688284E-3</v>
      </c>
      <c r="D9401">
        <f t="shared" si="308"/>
        <v>-0.45281827460914603</v>
      </c>
    </row>
    <row r="9402" spans="1:4" x14ac:dyDescent="0.3">
      <c r="A9402" s="1">
        <v>39574</v>
      </c>
      <c r="B9402">
        <v>2483.3100589999999</v>
      </c>
      <c r="C9402">
        <f t="shared" si="309"/>
        <v>7.7877461685444188E-3</v>
      </c>
      <c r="D9402">
        <f t="shared" si="308"/>
        <v>0.58580971816990479</v>
      </c>
    </row>
    <row r="9403" spans="1:4" x14ac:dyDescent="0.3">
      <c r="A9403" s="1">
        <v>39575</v>
      </c>
      <c r="B9403">
        <v>2438.48999</v>
      </c>
      <c r="C9403">
        <f t="shared" si="309"/>
        <v>-1.8048519087482937E-2</v>
      </c>
      <c r="D9403">
        <f t="shared" si="308"/>
        <v>-1.4809852629547458</v>
      </c>
    </row>
    <row r="9404" spans="1:4" x14ac:dyDescent="0.3">
      <c r="A9404" s="1">
        <v>39576</v>
      </c>
      <c r="B9404">
        <v>2451.23999</v>
      </c>
      <c r="C9404">
        <f t="shared" si="309"/>
        <v>5.2286456176922833E-3</v>
      </c>
      <c r="D9404">
        <f t="shared" si="308"/>
        <v>0.3810921971860769</v>
      </c>
    </row>
    <row r="9405" spans="1:4" x14ac:dyDescent="0.3">
      <c r="A9405" s="1">
        <v>39577</v>
      </c>
      <c r="B9405">
        <v>2445.5200199999999</v>
      </c>
      <c r="C9405">
        <f t="shared" si="309"/>
        <v>-2.3335006051366284E-3</v>
      </c>
      <c r="D9405">
        <f t="shared" si="308"/>
        <v>-0.22384840490916344</v>
      </c>
    </row>
    <row r="9406" spans="1:4" x14ac:dyDescent="0.3">
      <c r="A9406" s="1">
        <v>39580</v>
      </c>
      <c r="B9406">
        <v>2488.48999</v>
      </c>
      <c r="C9406">
        <f t="shared" si="309"/>
        <v>1.7570892754335377E-2</v>
      </c>
      <c r="D9406">
        <f t="shared" si="308"/>
        <v>1.3684212164940455</v>
      </c>
    </row>
    <row r="9407" spans="1:4" x14ac:dyDescent="0.3">
      <c r="A9407" s="1">
        <v>39581</v>
      </c>
      <c r="B9407">
        <v>2495.1201169999999</v>
      </c>
      <c r="C9407">
        <f t="shared" si="309"/>
        <v>2.6643173276336557E-3</v>
      </c>
      <c r="D9407">
        <f t="shared" si="308"/>
        <v>0.17595647856232177</v>
      </c>
    </row>
    <row r="9408" spans="1:4" x14ac:dyDescent="0.3">
      <c r="A9408" s="1">
        <v>39582</v>
      </c>
      <c r="B9408">
        <v>2496.6999510000001</v>
      </c>
      <c r="C9408">
        <f t="shared" si="309"/>
        <v>6.3316951726541631E-4</v>
      </c>
      <c r="D9408">
        <f t="shared" si="308"/>
        <v>1.3473005862564818E-2</v>
      </c>
    </row>
    <row r="9409" spans="1:4" x14ac:dyDescent="0.3">
      <c r="A9409" s="1">
        <v>39583</v>
      </c>
      <c r="B9409">
        <v>2533.7299800000001</v>
      </c>
      <c r="C9409">
        <f t="shared" si="309"/>
        <v>1.4831589588956584E-2</v>
      </c>
      <c r="D9409">
        <f t="shared" si="308"/>
        <v>1.1492882273456639</v>
      </c>
    </row>
    <row r="9410" spans="1:4" x14ac:dyDescent="0.3">
      <c r="A9410" s="1">
        <v>39584</v>
      </c>
      <c r="B9410">
        <v>2528.8500979999999</v>
      </c>
      <c r="C9410">
        <f t="shared" si="309"/>
        <v>-1.9259676597425664E-3</v>
      </c>
      <c r="D9410">
        <f t="shared" si="308"/>
        <v>-0.19124744506312313</v>
      </c>
    </row>
    <row r="9411" spans="1:4" x14ac:dyDescent="0.3">
      <c r="A9411" s="1">
        <v>39587</v>
      </c>
      <c r="B9411">
        <v>2516.0900879999999</v>
      </c>
      <c r="C9411">
        <f t="shared" si="309"/>
        <v>-5.0457755523316775E-3</v>
      </c>
      <c r="D9411">
        <f t="shared" ref="D9411:D9474" si="310">(C9411-avrtn)/sdrtn</f>
        <v>-0.44081924774354303</v>
      </c>
    </row>
    <row r="9412" spans="1:4" x14ac:dyDescent="0.3">
      <c r="A9412" s="1">
        <v>39588</v>
      </c>
      <c r="B9412">
        <v>2492.26001</v>
      </c>
      <c r="C9412">
        <f t="shared" ref="C9412:C9475" si="311">(B9412-B9411)/B9411</f>
        <v>-9.4710750277396099E-3</v>
      </c>
      <c r="D9412">
        <f t="shared" si="310"/>
        <v>-0.79482500883600371</v>
      </c>
    </row>
    <row r="9413" spans="1:4" x14ac:dyDescent="0.3">
      <c r="A9413" s="1">
        <v>39589</v>
      </c>
      <c r="B9413">
        <v>2448.2700199999999</v>
      </c>
      <c r="C9413">
        <f t="shared" si="311"/>
        <v>-1.7650642318014016E-2</v>
      </c>
      <c r="D9413">
        <f t="shared" si="310"/>
        <v>-1.449156757476284</v>
      </c>
    </row>
    <row r="9414" spans="1:4" x14ac:dyDescent="0.3">
      <c r="A9414" s="1">
        <v>39590</v>
      </c>
      <c r="B9414">
        <v>2464.580078</v>
      </c>
      <c r="C9414">
        <f t="shared" si="311"/>
        <v>6.6618705725931433E-3</v>
      </c>
      <c r="D9414">
        <f t="shared" si="310"/>
        <v>0.49574430012191639</v>
      </c>
    </row>
    <row r="9415" spans="1:4" x14ac:dyDescent="0.3">
      <c r="A9415" s="1">
        <v>39591</v>
      </c>
      <c r="B9415">
        <v>2444.669922</v>
      </c>
      <c r="C9415">
        <f t="shared" si="311"/>
        <v>-8.0785185994674408E-3</v>
      </c>
      <c r="D9415">
        <f t="shared" si="310"/>
        <v>-0.68342622080047877</v>
      </c>
    </row>
    <row r="9416" spans="1:4" x14ac:dyDescent="0.3">
      <c r="A9416" s="1">
        <v>39595</v>
      </c>
      <c r="B9416">
        <v>2481.23999</v>
      </c>
      <c r="C9416">
        <f t="shared" si="311"/>
        <v>1.4959102523780301E-2</v>
      </c>
      <c r="D9416">
        <f t="shared" si="310"/>
        <v>1.1594887377952401</v>
      </c>
    </row>
    <row r="9417" spans="1:4" x14ac:dyDescent="0.3">
      <c r="A9417" s="1">
        <v>39596</v>
      </c>
      <c r="B9417">
        <v>2486.6999510000001</v>
      </c>
      <c r="C9417">
        <f t="shared" si="311"/>
        <v>2.2004969378234232E-3</v>
      </c>
      <c r="D9417">
        <f t="shared" si="310"/>
        <v>0.13885275461834232</v>
      </c>
    </row>
    <row r="9418" spans="1:4" x14ac:dyDescent="0.3">
      <c r="A9418" s="1">
        <v>39597</v>
      </c>
      <c r="B9418">
        <v>2508.320068</v>
      </c>
      <c r="C9418">
        <f t="shared" si="311"/>
        <v>8.6943006498655523E-3</v>
      </c>
      <c r="D9418">
        <f t="shared" si="310"/>
        <v>0.65833034890129394</v>
      </c>
    </row>
    <row r="9419" spans="1:4" x14ac:dyDescent="0.3">
      <c r="A9419" s="1">
        <v>39598</v>
      </c>
      <c r="B9419">
        <v>2522.6599120000001</v>
      </c>
      <c r="C9419">
        <f t="shared" si="311"/>
        <v>5.7169115628189779E-3</v>
      </c>
      <c r="D9419">
        <f t="shared" si="310"/>
        <v>0.42015146503464929</v>
      </c>
    </row>
    <row r="9420" spans="1:4" x14ac:dyDescent="0.3">
      <c r="A9420" s="1">
        <v>39601</v>
      </c>
      <c r="B9420">
        <v>2491.530029</v>
      </c>
      <c r="C9420">
        <f t="shared" si="311"/>
        <v>-1.23401029413116E-2</v>
      </c>
      <c r="D9420">
        <f t="shared" si="310"/>
        <v>-1.0243354444084893</v>
      </c>
    </row>
    <row r="9421" spans="1:4" x14ac:dyDescent="0.3">
      <c r="A9421" s="1">
        <v>39602</v>
      </c>
      <c r="B9421">
        <v>2480.4799800000001</v>
      </c>
      <c r="C9421">
        <f t="shared" si="311"/>
        <v>-4.4350454826486635E-3</v>
      </c>
      <c r="D9421">
        <f t="shared" si="310"/>
        <v>-0.39196335350595429</v>
      </c>
    </row>
    <row r="9422" spans="1:4" x14ac:dyDescent="0.3">
      <c r="A9422" s="1">
        <v>39603</v>
      </c>
      <c r="B9422">
        <v>2503.139893</v>
      </c>
      <c r="C9422">
        <f t="shared" si="311"/>
        <v>9.1352936458692809E-3</v>
      </c>
      <c r="D9422">
        <f t="shared" si="310"/>
        <v>0.69360797520755735</v>
      </c>
    </row>
    <row r="9423" spans="1:4" x14ac:dyDescent="0.3">
      <c r="A9423" s="1">
        <v>39604</v>
      </c>
      <c r="B9423">
        <v>2549.9399410000001</v>
      </c>
      <c r="C9423">
        <f t="shared" si="311"/>
        <v>1.8696537149551978E-2</v>
      </c>
      <c r="D9423">
        <f t="shared" si="310"/>
        <v>1.4584681394339631</v>
      </c>
    </row>
    <row r="9424" spans="1:4" x14ac:dyDescent="0.3">
      <c r="A9424" s="1">
        <v>39605</v>
      </c>
      <c r="B9424">
        <v>2474.5600589999999</v>
      </c>
      <c r="C9424">
        <f t="shared" si="311"/>
        <v>-2.9561434286345875E-2</v>
      </c>
      <c r="D9424">
        <f t="shared" si="310"/>
        <v>-2.4019711374736072</v>
      </c>
    </row>
    <row r="9425" spans="1:4" x14ac:dyDescent="0.3">
      <c r="A9425" s="1">
        <v>39608</v>
      </c>
      <c r="B9425">
        <v>2459.459961</v>
      </c>
      <c r="C9425">
        <f t="shared" si="311"/>
        <v>-6.1021343753935899E-3</v>
      </c>
      <c r="D9425">
        <f t="shared" si="310"/>
        <v>-0.52532360981506054</v>
      </c>
    </row>
    <row r="9426" spans="1:4" x14ac:dyDescent="0.3">
      <c r="A9426" s="1">
        <v>39609</v>
      </c>
      <c r="B9426">
        <v>2448.9399410000001</v>
      </c>
      <c r="C9426">
        <f t="shared" si="311"/>
        <v>-4.2773698969763106E-3</v>
      </c>
      <c r="D9426">
        <f t="shared" si="310"/>
        <v>-0.37934995501804847</v>
      </c>
    </row>
    <row r="9427" spans="1:4" x14ac:dyDescent="0.3">
      <c r="A9427" s="1">
        <v>39610</v>
      </c>
      <c r="B9427">
        <v>2394.01001</v>
      </c>
      <c r="C9427">
        <f t="shared" si="311"/>
        <v>-2.243008498508544E-2</v>
      </c>
      <c r="D9427">
        <f t="shared" si="310"/>
        <v>-1.8314925176563186</v>
      </c>
    </row>
    <row r="9428" spans="1:4" x14ac:dyDescent="0.3">
      <c r="A9428" s="1">
        <v>39611</v>
      </c>
      <c r="B9428">
        <v>2404.3500979999999</v>
      </c>
      <c r="C9428">
        <f t="shared" si="311"/>
        <v>4.3191498601962506E-3</v>
      </c>
      <c r="D9428">
        <f t="shared" si="310"/>
        <v>0.30833627645529571</v>
      </c>
    </row>
    <row r="9429" spans="1:4" x14ac:dyDescent="0.3">
      <c r="A9429" s="1">
        <v>39612</v>
      </c>
      <c r="B9429">
        <v>2454.5</v>
      </c>
      <c r="C9429">
        <f t="shared" si="311"/>
        <v>2.0857986547681256E-2</v>
      </c>
      <c r="D9429">
        <f t="shared" si="310"/>
        <v>1.6313752033512727</v>
      </c>
    </row>
    <row r="9430" spans="1:4" x14ac:dyDescent="0.3">
      <c r="A9430" s="1">
        <v>39615</v>
      </c>
      <c r="B9430">
        <v>2474.780029</v>
      </c>
      <c r="C9430">
        <f t="shared" si="311"/>
        <v>8.2623870442045284E-3</v>
      </c>
      <c r="D9430">
        <f t="shared" si="310"/>
        <v>0.62377903648777067</v>
      </c>
    </row>
    <row r="9431" spans="1:4" x14ac:dyDescent="0.3">
      <c r="A9431" s="1">
        <v>39616</v>
      </c>
      <c r="B9431">
        <v>2457.7299800000001</v>
      </c>
      <c r="C9431">
        <f t="shared" si="311"/>
        <v>-6.8895210080103424E-3</v>
      </c>
      <c r="D9431">
        <f t="shared" si="310"/>
        <v>-0.58831130267122111</v>
      </c>
    </row>
    <row r="9432" spans="1:4" x14ac:dyDescent="0.3">
      <c r="A9432" s="1">
        <v>39617</v>
      </c>
      <c r="B9432">
        <v>2429.709961</v>
      </c>
      <c r="C9432">
        <f t="shared" si="311"/>
        <v>-1.1400771943222195E-2</v>
      </c>
      <c r="D9432">
        <f t="shared" si="310"/>
        <v>-0.94919282711348085</v>
      </c>
    </row>
    <row r="9433" spans="1:4" x14ac:dyDescent="0.3">
      <c r="A9433" s="1">
        <v>39618</v>
      </c>
      <c r="B9433">
        <v>2462.0600589999999</v>
      </c>
      <c r="C9433">
        <f t="shared" si="311"/>
        <v>1.3314386704281981E-2</v>
      </c>
      <c r="D9433">
        <f t="shared" si="310"/>
        <v>1.0279182353472356</v>
      </c>
    </row>
    <row r="9434" spans="1:4" x14ac:dyDescent="0.3">
      <c r="A9434" s="1">
        <v>39619</v>
      </c>
      <c r="B9434">
        <v>2406.0900879999999</v>
      </c>
      <c r="C9434">
        <f t="shared" si="311"/>
        <v>-2.2732983622963679E-2</v>
      </c>
      <c r="D9434">
        <f t="shared" si="310"/>
        <v>-1.8557231631599365</v>
      </c>
    </row>
    <row r="9435" spans="1:4" x14ac:dyDescent="0.3">
      <c r="A9435" s="1">
        <v>39622</v>
      </c>
      <c r="B9435">
        <v>2385.73999</v>
      </c>
      <c r="C9435">
        <f t="shared" si="311"/>
        <v>-8.4577456602696784E-3</v>
      </c>
      <c r="D9435">
        <f t="shared" si="310"/>
        <v>-0.71376282627366605</v>
      </c>
    </row>
    <row r="9436" spans="1:4" x14ac:dyDescent="0.3">
      <c r="A9436" s="1">
        <v>39623</v>
      </c>
      <c r="B9436">
        <v>2368.280029</v>
      </c>
      <c r="C9436">
        <f t="shared" si="311"/>
        <v>-7.3184676759348033E-3</v>
      </c>
      <c r="D9436">
        <f t="shared" si="310"/>
        <v>-0.62262527226594011</v>
      </c>
    </row>
    <row r="9437" spans="1:4" x14ac:dyDescent="0.3">
      <c r="A9437" s="1">
        <v>39624</v>
      </c>
      <c r="B9437">
        <v>2401.26001</v>
      </c>
      <c r="C9437">
        <f t="shared" si="311"/>
        <v>1.392571004955257E-2</v>
      </c>
      <c r="D9437">
        <f t="shared" si="310"/>
        <v>1.0768215891922666</v>
      </c>
    </row>
    <row r="9438" spans="1:4" x14ac:dyDescent="0.3">
      <c r="A9438" s="1">
        <v>39625</v>
      </c>
      <c r="B9438">
        <v>2321.3701169999999</v>
      </c>
      <c r="C9438">
        <f t="shared" si="311"/>
        <v>-3.3269988534061344E-2</v>
      </c>
      <c r="D9438">
        <f t="shared" si="310"/>
        <v>-2.6986402276246575</v>
      </c>
    </row>
    <row r="9439" spans="1:4" x14ac:dyDescent="0.3">
      <c r="A9439" s="1">
        <v>39626</v>
      </c>
      <c r="B9439">
        <v>2315.6298830000001</v>
      </c>
      <c r="C9439">
        <f t="shared" si="311"/>
        <v>-2.4727784500897291E-3</v>
      </c>
      <c r="D9439">
        <f t="shared" si="310"/>
        <v>-0.23499005979149093</v>
      </c>
    </row>
    <row r="9440" spans="1:4" x14ac:dyDescent="0.3">
      <c r="A9440" s="1">
        <v>39629</v>
      </c>
      <c r="B9440">
        <v>2292.9799800000001</v>
      </c>
      <c r="C9440">
        <f t="shared" si="311"/>
        <v>-9.7813140028474889E-3</v>
      </c>
      <c r="D9440">
        <f t="shared" si="310"/>
        <v>-0.81964285113434565</v>
      </c>
    </row>
    <row r="9441" spans="1:4" x14ac:dyDescent="0.3">
      <c r="A9441" s="1">
        <v>39630</v>
      </c>
      <c r="B9441">
        <v>2304.969971</v>
      </c>
      <c r="C9441">
        <f t="shared" si="311"/>
        <v>5.228999426327271E-3</v>
      </c>
      <c r="D9441">
        <f t="shared" si="310"/>
        <v>0.38112050042200613</v>
      </c>
    </row>
    <row r="9442" spans="1:4" x14ac:dyDescent="0.3">
      <c r="A9442" s="1">
        <v>39631</v>
      </c>
      <c r="B9442">
        <v>2251.459961</v>
      </c>
      <c r="C9442">
        <f t="shared" si="311"/>
        <v>-2.3215057321022237E-2</v>
      </c>
      <c r="D9442">
        <f t="shared" si="310"/>
        <v>-1.89428707670573</v>
      </c>
    </row>
    <row r="9443" spans="1:4" x14ac:dyDescent="0.3">
      <c r="A9443" s="1">
        <v>39632</v>
      </c>
      <c r="B9443">
        <v>2245.3798830000001</v>
      </c>
      <c r="C9443">
        <f t="shared" si="311"/>
        <v>-2.7005046082629216E-3</v>
      </c>
      <c r="D9443">
        <f t="shared" si="310"/>
        <v>-0.25320721602978863</v>
      </c>
    </row>
    <row r="9444" spans="1:4" x14ac:dyDescent="0.3">
      <c r="A9444" s="1">
        <v>39636</v>
      </c>
      <c r="B9444">
        <v>2243.320068</v>
      </c>
      <c r="C9444">
        <f t="shared" si="311"/>
        <v>-9.1735702078527589E-4</v>
      </c>
      <c r="D9444">
        <f t="shared" si="310"/>
        <v>-0.11056274137826917</v>
      </c>
    </row>
    <row r="9445" spans="1:4" x14ac:dyDescent="0.3">
      <c r="A9445" s="1">
        <v>39637</v>
      </c>
      <c r="B9445">
        <v>2294.4399410000001</v>
      </c>
      <c r="C9445">
        <f t="shared" si="311"/>
        <v>2.2787596709539219E-2</v>
      </c>
      <c r="D9445">
        <f t="shared" si="310"/>
        <v>1.785736081695513</v>
      </c>
    </row>
    <row r="9446" spans="1:4" x14ac:dyDescent="0.3">
      <c r="A9446" s="1">
        <v>39638</v>
      </c>
      <c r="B9446">
        <v>2234.889893</v>
      </c>
      <c r="C9446">
        <f t="shared" si="311"/>
        <v>-2.5954067019093988E-2</v>
      </c>
      <c r="D9446">
        <f t="shared" si="310"/>
        <v>-2.1133965896762934</v>
      </c>
    </row>
    <row r="9447" spans="1:4" x14ac:dyDescent="0.3">
      <c r="A9447" s="1">
        <v>39639</v>
      </c>
      <c r="B9447">
        <v>2257.8500979999999</v>
      </c>
      <c r="C9447">
        <f t="shared" si="311"/>
        <v>1.027352849548184E-2</v>
      </c>
      <c r="D9447">
        <f t="shared" si="310"/>
        <v>0.78466208272689364</v>
      </c>
    </row>
    <row r="9448" spans="1:4" x14ac:dyDescent="0.3">
      <c r="A9448" s="1">
        <v>39640</v>
      </c>
      <c r="B9448">
        <v>2239.080078</v>
      </c>
      <c r="C9448">
        <f t="shared" si="311"/>
        <v>-8.313226824325665E-3</v>
      </c>
      <c r="D9448">
        <f t="shared" si="310"/>
        <v>-0.70220191366314921</v>
      </c>
    </row>
    <row r="9449" spans="1:4" x14ac:dyDescent="0.3">
      <c r="A9449" s="1">
        <v>39643</v>
      </c>
      <c r="B9449">
        <v>2212.8701169999999</v>
      </c>
      <c r="C9449">
        <f t="shared" si="311"/>
        <v>-1.1705682729941212E-2</v>
      </c>
      <c r="D9449">
        <f t="shared" si="310"/>
        <v>-0.9735844362503554</v>
      </c>
    </row>
    <row r="9450" spans="1:4" x14ac:dyDescent="0.3">
      <c r="A9450" s="1">
        <v>39644</v>
      </c>
      <c r="B9450">
        <v>2215.709961</v>
      </c>
      <c r="C9450">
        <f t="shared" si="311"/>
        <v>1.2833306293864534E-3</v>
      </c>
      <c r="D9450">
        <f t="shared" si="310"/>
        <v>6.5483221353780083E-2</v>
      </c>
    </row>
    <row r="9451" spans="1:4" x14ac:dyDescent="0.3">
      <c r="A9451" s="1">
        <v>39645</v>
      </c>
      <c r="B9451">
        <v>2284.8500979999999</v>
      </c>
      <c r="C9451">
        <f t="shared" si="311"/>
        <v>3.1204507005418419E-2</v>
      </c>
      <c r="D9451">
        <f t="shared" si="310"/>
        <v>2.4590542948239063</v>
      </c>
    </row>
    <row r="9452" spans="1:4" x14ac:dyDescent="0.3">
      <c r="A9452" s="1">
        <v>39646</v>
      </c>
      <c r="B9452">
        <v>2312.3000489999999</v>
      </c>
      <c r="C9452">
        <f t="shared" si="311"/>
        <v>1.2013895801754281E-2</v>
      </c>
      <c r="D9452">
        <f t="shared" si="310"/>
        <v>0.92388431079556421</v>
      </c>
    </row>
    <row r="9453" spans="1:4" x14ac:dyDescent="0.3">
      <c r="A9453" s="1">
        <v>39647</v>
      </c>
      <c r="B9453">
        <v>2282.780029</v>
      </c>
      <c r="C9453">
        <f t="shared" si="311"/>
        <v>-1.2766517914820981E-2</v>
      </c>
      <c r="D9453">
        <f t="shared" si="310"/>
        <v>-1.0584468888603917</v>
      </c>
    </row>
    <row r="9454" spans="1:4" x14ac:dyDescent="0.3">
      <c r="A9454" s="1">
        <v>39650</v>
      </c>
      <c r="B9454">
        <v>2279.530029</v>
      </c>
      <c r="C9454">
        <f t="shared" si="311"/>
        <v>-1.4237026602268387E-3</v>
      </c>
      <c r="D9454">
        <f t="shared" si="310"/>
        <v>-0.15106831042788374</v>
      </c>
    </row>
    <row r="9455" spans="1:4" x14ac:dyDescent="0.3">
      <c r="A9455" s="1">
        <v>39651</v>
      </c>
      <c r="B9455">
        <v>2303.959961</v>
      </c>
      <c r="C9455">
        <f t="shared" si="311"/>
        <v>1.0717091544837907E-2</v>
      </c>
      <c r="D9455">
        <f t="shared" si="310"/>
        <v>0.82014530273322162</v>
      </c>
    </row>
    <row r="9456" spans="1:4" x14ac:dyDescent="0.3">
      <c r="A9456" s="1">
        <v>39652</v>
      </c>
      <c r="B9456">
        <v>2325.8798830000001</v>
      </c>
      <c r="C9456">
        <f t="shared" si="311"/>
        <v>9.5140203697316079E-3</v>
      </c>
      <c r="D9456">
        <f t="shared" si="310"/>
        <v>0.72390455578294954</v>
      </c>
    </row>
    <row r="9457" spans="1:4" x14ac:dyDescent="0.3">
      <c r="A9457" s="1">
        <v>39653</v>
      </c>
      <c r="B9457">
        <v>2280.110107</v>
      </c>
      <c r="C9457">
        <f t="shared" si="311"/>
        <v>-1.967847795345504E-2</v>
      </c>
      <c r="D9457">
        <f t="shared" si="310"/>
        <v>-1.6113752698016086</v>
      </c>
    </row>
    <row r="9458" spans="1:4" x14ac:dyDescent="0.3">
      <c r="A9458" s="1">
        <v>39654</v>
      </c>
      <c r="B9458">
        <v>2310.530029</v>
      </c>
      <c r="C9458">
        <f t="shared" si="311"/>
        <v>1.3341426761194583E-2</v>
      </c>
      <c r="D9458">
        <f t="shared" si="310"/>
        <v>1.0300813287108652</v>
      </c>
    </row>
    <row r="9459" spans="1:4" x14ac:dyDescent="0.3">
      <c r="A9459" s="1">
        <v>39657</v>
      </c>
      <c r="B9459">
        <v>2264.219971</v>
      </c>
      <c r="C9459">
        <f t="shared" si="311"/>
        <v>-2.0043045283442203E-2</v>
      </c>
      <c r="D9459">
        <f t="shared" si="310"/>
        <v>-1.6405391570907633</v>
      </c>
    </row>
    <row r="9460" spans="1:4" x14ac:dyDescent="0.3">
      <c r="A9460" s="1">
        <v>39658</v>
      </c>
      <c r="B9460">
        <v>2319.6201169999999</v>
      </c>
      <c r="C9460">
        <f t="shared" si="311"/>
        <v>2.4467651866674552E-2</v>
      </c>
      <c r="D9460">
        <f t="shared" si="310"/>
        <v>1.920133585838254</v>
      </c>
    </row>
    <row r="9461" spans="1:4" x14ac:dyDescent="0.3">
      <c r="A9461" s="1">
        <v>39659</v>
      </c>
      <c r="B9461">
        <v>2329.719971</v>
      </c>
      <c r="C9461">
        <f t="shared" si="311"/>
        <v>4.3540982965186324E-3</v>
      </c>
      <c r="D9461">
        <f t="shared" si="310"/>
        <v>0.3111320076522574</v>
      </c>
    </row>
    <row r="9462" spans="1:4" x14ac:dyDescent="0.3">
      <c r="A9462" s="1">
        <v>39660</v>
      </c>
      <c r="B9462">
        <v>2325.5500489999999</v>
      </c>
      <c r="C9462">
        <f t="shared" si="311"/>
        <v>-1.7898812097190209E-3</v>
      </c>
      <c r="D9462">
        <f t="shared" si="310"/>
        <v>-0.18036108865206568</v>
      </c>
    </row>
    <row r="9463" spans="1:4" x14ac:dyDescent="0.3">
      <c r="A9463" s="1">
        <v>39661</v>
      </c>
      <c r="B9463">
        <v>2310.959961</v>
      </c>
      <c r="C9463">
        <f t="shared" si="311"/>
        <v>-6.2738224044129884E-3</v>
      </c>
      <c r="D9463">
        <f t="shared" si="310"/>
        <v>-0.53905794615121871</v>
      </c>
    </row>
    <row r="9464" spans="1:4" x14ac:dyDescent="0.3">
      <c r="A9464" s="1">
        <v>39664</v>
      </c>
      <c r="B9464">
        <v>2285.5600589999999</v>
      </c>
      <c r="C9464">
        <f t="shared" si="311"/>
        <v>-1.0991061043311651E-2</v>
      </c>
      <c r="D9464">
        <f t="shared" si="310"/>
        <v>-0.91641763986192437</v>
      </c>
    </row>
    <row r="9465" spans="1:4" x14ac:dyDescent="0.3">
      <c r="A9465" s="1">
        <v>39665</v>
      </c>
      <c r="B9465">
        <v>2349.830078</v>
      </c>
      <c r="C9465">
        <f t="shared" si="311"/>
        <v>2.8120030688723218E-2</v>
      </c>
      <c r="D9465">
        <f t="shared" si="310"/>
        <v>2.212308872930691</v>
      </c>
    </row>
    <row r="9466" spans="1:4" x14ac:dyDescent="0.3">
      <c r="A9466" s="1">
        <v>39666</v>
      </c>
      <c r="B9466">
        <v>2378.3701169999999</v>
      </c>
      <c r="C9466">
        <f t="shared" si="311"/>
        <v>1.2145575659790317E-2</v>
      </c>
      <c r="D9466">
        <f t="shared" si="310"/>
        <v>0.93441815796763539</v>
      </c>
    </row>
    <row r="9467" spans="1:4" x14ac:dyDescent="0.3">
      <c r="A9467" s="1">
        <v>39667</v>
      </c>
      <c r="B9467">
        <v>2355.7299800000001</v>
      </c>
      <c r="C9467">
        <f t="shared" si="311"/>
        <v>-9.519181576565304E-3</v>
      </c>
      <c r="D9467">
        <f t="shared" si="310"/>
        <v>-0.79867333492674841</v>
      </c>
    </row>
    <row r="9468" spans="1:4" x14ac:dyDescent="0.3">
      <c r="A9468" s="1">
        <v>39668</v>
      </c>
      <c r="B9468">
        <v>2414.1000979999999</v>
      </c>
      <c r="C9468">
        <f t="shared" si="311"/>
        <v>2.4777932316334413E-2</v>
      </c>
      <c r="D9468">
        <f t="shared" si="310"/>
        <v>1.9449547459302103</v>
      </c>
    </row>
    <row r="9469" spans="1:4" x14ac:dyDescent="0.3">
      <c r="A9469" s="1">
        <v>39671</v>
      </c>
      <c r="B9469">
        <v>2439.9499510000001</v>
      </c>
      <c r="C9469">
        <f t="shared" si="311"/>
        <v>1.0707862951257032E-2</v>
      </c>
      <c r="D9469">
        <f t="shared" si="310"/>
        <v>0.8194070531949551</v>
      </c>
    </row>
    <row r="9470" spans="1:4" x14ac:dyDescent="0.3">
      <c r="A9470" s="1">
        <v>39672</v>
      </c>
      <c r="B9470">
        <v>2430.610107</v>
      </c>
      <c r="C9470">
        <f t="shared" si="311"/>
        <v>-3.8278834351385778E-3</v>
      </c>
      <c r="D9470">
        <f t="shared" si="310"/>
        <v>-0.34339288637040494</v>
      </c>
    </row>
    <row r="9471" spans="1:4" x14ac:dyDescent="0.3">
      <c r="A9471" s="1">
        <v>39673</v>
      </c>
      <c r="B9471">
        <v>2428.6201169999999</v>
      </c>
      <c r="C9471">
        <f t="shared" si="311"/>
        <v>-8.1872036747851571E-4</v>
      </c>
      <c r="D9471">
        <f t="shared" si="310"/>
        <v>-0.10267221471007028</v>
      </c>
    </row>
    <row r="9472" spans="1:4" x14ac:dyDescent="0.3">
      <c r="A9472" s="1">
        <v>39674</v>
      </c>
      <c r="B9472">
        <v>2453.669922</v>
      </c>
      <c r="C9472">
        <f t="shared" si="311"/>
        <v>1.0314418802946985E-2</v>
      </c>
      <c r="D9472">
        <f t="shared" si="310"/>
        <v>0.78793313918215635</v>
      </c>
    </row>
    <row r="9473" spans="1:4" x14ac:dyDescent="0.3">
      <c r="A9473" s="1">
        <v>39675</v>
      </c>
      <c r="B9473">
        <v>2452.5200199999999</v>
      </c>
      <c r="C9473">
        <f t="shared" si="311"/>
        <v>-4.6864575780544248E-4</v>
      </c>
      <c r="D9473">
        <f t="shared" si="310"/>
        <v>-7.4667685451620849E-2</v>
      </c>
    </row>
    <row r="9474" spans="1:4" x14ac:dyDescent="0.3">
      <c r="A9474" s="1">
        <v>39678</v>
      </c>
      <c r="B9474">
        <v>2416.9799800000001</v>
      </c>
      <c r="C9474">
        <f t="shared" si="311"/>
        <v>-1.4491233388586105E-2</v>
      </c>
      <c r="D9474">
        <f t="shared" si="310"/>
        <v>-1.1964170346891967</v>
      </c>
    </row>
    <row r="9475" spans="1:4" x14ac:dyDescent="0.3">
      <c r="A9475" s="1">
        <v>39679</v>
      </c>
      <c r="B9475">
        <v>2384.360107</v>
      </c>
      <c r="C9475">
        <f t="shared" si="311"/>
        <v>-1.3496128751550559E-2</v>
      </c>
      <c r="D9475">
        <f t="shared" ref="D9475:D9538" si="312">(C9475-avrtn)/sdrtn</f>
        <v>-1.1168127556210705</v>
      </c>
    </row>
    <row r="9476" spans="1:4" x14ac:dyDescent="0.3">
      <c r="A9476" s="1">
        <v>39680</v>
      </c>
      <c r="B9476">
        <v>2389.080078</v>
      </c>
      <c r="C9476">
        <f t="shared" ref="C9476:C9539" si="313">(B9476-B9475)/B9475</f>
        <v>1.9795545925060166E-3</v>
      </c>
      <c r="D9476">
        <f t="shared" si="312"/>
        <v>0.12117827551330235</v>
      </c>
    </row>
    <row r="9477" spans="1:4" x14ac:dyDescent="0.3">
      <c r="A9477" s="1">
        <v>39681</v>
      </c>
      <c r="B9477">
        <v>2380.3798830000001</v>
      </c>
      <c r="C9477">
        <f t="shared" si="313"/>
        <v>-3.6416506420677182E-3</v>
      </c>
      <c r="D9477">
        <f t="shared" si="312"/>
        <v>-0.32849502871855712</v>
      </c>
    </row>
    <row r="9478" spans="1:4" x14ac:dyDescent="0.3">
      <c r="A9478" s="1">
        <v>39682</v>
      </c>
      <c r="B9478">
        <v>2414.709961</v>
      </c>
      <c r="C9478">
        <f t="shared" si="313"/>
        <v>1.4422100541672221E-2</v>
      </c>
      <c r="D9478">
        <f t="shared" si="312"/>
        <v>1.1165307873919386</v>
      </c>
    </row>
    <row r="9479" spans="1:4" x14ac:dyDescent="0.3">
      <c r="A9479" s="1">
        <v>39685</v>
      </c>
      <c r="B9479">
        <v>2365.5900879999999</v>
      </c>
      <c r="C9479">
        <f t="shared" si="313"/>
        <v>-2.0341934970797969E-2</v>
      </c>
      <c r="D9479">
        <f t="shared" si="312"/>
        <v>-1.6644491030374862</v>
      </c>
    </row>
    <row r="9480" spans="1:4" x14ac:dyDescent="0.3">
      <c r="A9480" s="1">
        <v>39686</v>
      </c>
      <c r="B9480">
        <v>2361.969971</v>
      </c>
      <c r="C9480">
        <f t="shared" si="313"/>
        <v>-1.5303230337173853E-3</v>
      </c>
      <c r="D9480">
        <f t="shared" si="312"/>
        <v>-0.15959750188153199</v>
      </c>
    </row>
    <row r="9481" spans="1:4" x14ac:dyDescent="0.3">
      <c r="A9481" s="1">
        <v>39687</v>
      </c>
      <c r="B9481">
        <v>2382.459961</v>
      </c>
      <c r="C9481">
        <f t="shared" si="313"/>
        <v>8.674957874813741E-3</v>
      </c>
      <c r="D9481">
        <f t="shared" si="312"/>
        <v>0.65678300643511534</v>
      </c>
    </row>
    <row r="9482" spans="1:4" x14ac:dyDescent="0.3">
      <c r="A9482" s="1">
        <v>39688</v>
      </c>
      <c r="B9482">
        <v>2411.639893</v>
      </c>
      <c r="C9482">
        <f t="shared" si="313"/>
        <v>1.2247816323323306E-2</v>
      </c>
      <c r="D9482">
        <f t="shared" si="312"/>
        <v>0.94259699063415392</v>
      </c>
    </row>
    <row r="9483" spans="1:4" x14ac:dyDescent="0.3">
      <c r="A9483" s="1">
        <v>39689</v>
      </c>
      <c r="B9483">
        <v>2367.5200199999999</v>
      </c>
      <c r="C9483">
        <f t="shared" si="313"/>
        <v>-1.8294552651936951E-2</v>
      </c>
      <c r="D9483">
        <f t="shared" si="312"/>
        <v>-1.5006669364150047</v>
      </c>
    </row>
    <row r="9484" spans="1:4" x14ac:dyDescent="0.3">
      <c r="A9484" s="1">
        <v>39693</v>
      </c>
      <c r="B9484">
        <v>2349.23999</v>
      </c>
      <c r="C9484">
        <f t="shared" si="313"/>
        <v>-7.7211723007942707E-3</v>
      </c>
      <c r="D9484">
        <f t="shared" si="312"/>
        <v>-0.65483998632338547</v>
      </c>
    </row>
    <row r="9485" spans="1:4" x14ac:dyDescent="0.3">
      <c r="A9485" s="1">
        <v>39694</v>
      </c>
      <c r="B9485">
        <v>2333.7299800000001</v>
      </c>
      <c r="C9485">
        <f t="shared" si="313"/>
        <v>-6.6021394434035516E-3</v>
      </c>
      <c r="D9485">
        <f t="shared" si="312"/>
        <v>-0.56532195922273254</v>
      </c>
    </row>
    <row r="9486" spans="1:4" x14ac:dyDescent="0.3">
      <c r="A9486" s="1">
        <v>39695</v>
      </c>
      <c r="B9486">
        <v>2259.040039</v>
      </c>
      <c r="C9486">
        <f t="shared" si="313"/>
        <v>-3.2004534217793305E-2</v>
      </c>
      <c r="D9486">
        <f t="shared" si="312"/>
        <v>-2.5974090859024557</v>
      </c>
    </row>
    <row r="9487" spans="1:4" x14ac:dyDescent="0.3">
      <c r="A9487" s="1">
        <v>39696</v>
      </c>
      <c r="B9487">
        <v>2255.8798830000001</v>
      </c>
      <c r="C9487">
        <f t="shared" si="313"/>
        <v>-1.3988933110715509E-3</v>
      </c>
      <c r="D9487">
        <f t="shared" si="312"/>
        <v>-0.14908366451211402</v>
      </c>
    </row>
    <row r="9488" spans="1:4" x14ac:dyDescent="0.3">
      <c r="A9488" s="1">
        <v>39699</v>
      </c>
      <c r="B9488">
        <v>2269.76001</v>
      </c>
      <c r="C9488">
        <f t="shared" si="313"/>
        <v>6.1528661630429115E-3</v>
      </c>
      <c r="D9488">
        <f t="shared" si="312"/>
        <v>0.45502604039653632</v>
      </c>
    </row>
    <row r="9489" spans="1:4" x14ac:dyDescent="0.3">
      <c r="A9489" s="1">
        <v>39700</v>
      </c>
      <c r="B9489">
        <v>2209.8100589999999</v>
      </c>
      <c r="C9489">
        <f t="shared" si="313"/>
        <v>-2.6412462434739988E-2</v>
      </c>
      <c r="D9489">
        <f t="shared" si="312"/>
        <v>-2.1500663379947613</v>
      </c>
    </row>
    <row r="9490" spans="1:4" x14ac:dyDescent="0.3">
      <c r="A9490" s="1">
        <v>39701</v>
      </c>
      <c r="B9490">
        <v>2228.6999510000001</v>
      </c>
      <c r="C9490">
        <f t="shared" si="313"/>
        <v>8.5481971281044598E-3</v>
      </c>
      <c r="D9490">
        <f t="shared" si="312"/>
        <v>0.64664266794167791</v>
      </c>
    </row>
    <row r="9491" spans="1:4" x14ac:dyDescent="0.3">
      <c r="A9491" s="1">
        <v>39702</v>
      </c>
      <c r="B9491">
        <v>2258.219971</v>
      </c>
      <c r="C9491">
        <f t="shared" si="313"/>
        <v>1.3245398954109786E-2</v>
      </c>
      <c r="D9491">
        <f t="shared" si="312"/>
        <v>1.0223994990127838</v>
      </c>
    </row>
    <row r="9492" spans="1:4" x14ac:dyDescent="0.3">
      <c r="A9492" s="1">
        <v>39703</v>
      </c>
      <c r="B9492">
        <v>2261.2700199999999</v>
      </c>
      <c r="C9492">
        <f t="shared" si="313"/>
        <v>1.3506430016422633E-3</v>
      </c>
      <c r="D9492">
        <f t="shared" si="312"/>
        <v>7.0867934344116271E-2</v>
      </c>
    </row>
    <row r="9493" spans="1:4" x14ac:dyDescent="0.3">
      <c r="A9493" s="1">
        <v>39706</v>
      </c>
      <c r="B9493">
        <v>2179.9099120000001</v>
      </c>
      <c r="C9493">
        <f t="shared" si="313"/>
        <v>-3.5979828715900039E-2</v>
      </c>
      <c r="D9493">
        <f t="shared" si="312"/>
        <v>-2.9154162992423438</v>
      </c>
    </row>
    <row r="9494" spans="1:4" x14ac:dyDescent="0.3">
      <c r="A9494" s="1">
        <v>39707</v>
      </c>
      <c r="B9494">
        <v>2207.8999020000001</v>
      </c>
      <c r="C9494">
        <f t="shared" si="313"/>
        <v>1.2839975563173655E-2</v>
      </c>
      <c r="D9494">
        <f t="shared" si="312"/>
        <v>0.98996729484883816</v>
      </c>
    </row>
    <row r="9495" spans="1:4" x14ac:dyDescent="0.3">
      <c r="A9495" s="1">
        <v>39708</v>
      </c>
      <c r="B9495">
        <v>2098.8500979999999</v>
      </c>
      <c r="C9495">
        <f t="shared" si="313"/>
        <v>-4.9390737279900572E-2</v>
      </c>
      <c r="D9495">
        <f t="shared" si="312"/>
        <v>-3.988233838376861</v>
      </c>
    </row>
    <row r="9496" spans="1:4" x14ac:dyDescent="0.3">
      <c r="A9496" s="1">
        <v>39709</v>
      </c>
      <c r="B9496">
        <v>2199.1000979999999</v>
      </c>
      <c r="C9496">
        <f t="shared" si="313"/>
        <v>4.7764249621985153E-2</v>
      </c>
      <c r="D9496">
        <f t="shared" si="312"/>
        <v>3.783765610080728</v>
      </c>
    </row>
    <row r="9497" spans="1:4" x14ac:dyDescent="0.3">
      <c r="A9497" s="1">
        <v>39710</v>
      </c>
      <c r="B9497">
        <v>2273.8999020000001</v>
      </c>
      <c r="C9497">
        <f t="shared" si="313"/>
        <v>3.4013824140168916E-2</v>
      </c>
      <c r="D9497">
        <f t="shared" si="312"/>
        <v>2.6837881136228625</v>
      </c>
    </row>
    <row r="9498" spans="1:4" x14ac:dyDescent="0.3">
      <c r="A9498" s="1">
        <v>39713</v>
      </c>
      <c r="B9498">
        <v>2178.9799800000001</v>
      </c>
      <c r="C9498">
        <f t="shared" si="313"/>
        <v>-4.1743227974333254E-2</v>
      </c>
      <c r="D9498">
        <f t="shared" si="312"/>
        <v>-3.3764645406776417</v>
      </c>
    </row>
    <row r="9499" spans="1:4" x14ac:dyDescent="0.3">
      <c r="A9499" s="1">
        <v>39714</v>
      </c>
      <c r="B9499">
        <v>2153.330078</v>
      </c>
      <c r="C9499">
        <f t="shared" si="313"/>
        <v>-1.1771517974203742E-2</v>
      </c>
      <c r="D9499">
        <f t="shared" si="312"/>
        <v>-0.97885098507521584</v>
      </c>
    </row>
    <row r="9500" spans="1:4" x14ac:dyDescent="0.3">
      <c r="A9500" s="1">
        <v>39715</v>
      </c>
      <c r="B9500">
        <v>2155.679932</v>
      </c>
      <c r="C9500">
        <f t="shared" si="313"/>
        <v>1.0912651172283725E-3</v>
      </c>
      <c r="D9500">
        <f t="shared" si="312"/>
        <v>5.0118770159238719E-2</v>
      </c>
    </row>
    <row r="9501" spans="1:4" x14ac:dyDescent="0.3">
      <c r="A9501" s="1">
        <v>39716</v>
      </c>
      <c r="B9501">
        <v>2186.570068</v>
      </c>
      <c r="C9501">
        <f t="shared" si="313"/>
        <v>1.4329648637282014E-2</v>
      </c>
      <c r="D9501">
        <f t="shared" si="312"/>
        <v>1.1091350152052244</v>
      </c>
    </row>
    <row r="9502" spans="1:4" x14ac:dyDescent="0.3">
      <c r="A9502" s="1">
        <v>39717</v>
      </c>
      <c r="B9502">
        <v>2183.3400879999999</v>
      </c>
      <c r="C9502">
        <f t="shared" si="313"/>
        <v>-1.4771902566810718E-3</v>
      </c>
      <c r="D9502">
        <f t="shared" si="312"/>
        <v>-0.15534709820191156</v>
      </c>
    </row>
    <row r="9503" spans="1:4" x14ac:dyDescent="0.3">
      <c r="A9503" s="1">
        <v>39720</v>
      </c>
      <c r="B9503">
        <v>1983.7299800000001</v>
      </c>
      <c r="C9503">
        <f t="shared" si="313"/>
        <v>-9.1424194103836676E-2</v>
      </c>
      <c r="D9503">
        <f t="shared" si="312"/>
        <v>-7.3507375416845147</v>
      </c>
    </row>
    <row r="9504" spans="1:4" x14ac:dyDescent="0.3">
      <c r="A9504" s="1">
        <v>39721</v>
      </c>
      <c r="B9504">
        <v>2091.8798830000001</v>
      </c>
      <c r="C9504">
        <f t="shared" si="313"/>
        <v>5.4518459714965842E-2</v>
      </c>
      <c r="D9504">
        <f t="shared" si="312"/>
        <v>4.3240746440413274</v>
      </c>
    </row>
    <row r="9505" spans="1:4" x14ac:dyDescent="0.3">
      <c r="A9505" s="1">
        <v>39722</v>
      </c>
      <c r="B9505">
        <v>2069.3999020000001</v>
      </c>
      <c r="C9505">
        <f t="shared" si="313"/>
        <v>-1.0746305838440893E-2</v>
      </c>
      <c r="D9505">
        <f t="shared" si="312"/>
        <v>-0.89683822991167983</v>
      </c>
    </row>
    <row r="9506" spans="1:4" x14ac:dyDescent="0.3">
      <c r="A9506" s="1">
        <v>39723</v>
      </c>
      <c r="B9506">
        <v>1976.719971</v>
      </c>
      <c r="C9506">
        <f t="shared" si="313"/>
        <v>-4.4785897066308124E-2</v>
      </c>
      <c r="D9506">
        <f t="shared" si="312"/>
        <v>-3.619865556505566</v>
      </c>
    </row>
    <row r="9507" spans="1:4" x14ac:dyDescent="0.3">
      <c r="A9507" s="1">
        <v>39724</v>
      </c>
      <c r="B9507">
        <v>1947.3900149999999</v>
      </c>
      <c r="C9507">
        <f t="shared" si="313"/>
        <v>-1.483768891410671E-2</v>
      </c>
      <c r="D9507">
        <f t="shared" si="312"/>
        <v>-1.2241320520972117</v>
      </c>
    </row>
    <row r="9508" spans="1:4" x14ac:dyDescent="0.3">
      <c r="A9508" s="1">
        <v>39727</v>
      </c>
      <c r="B9508">
        <v>1862.959961</v>
      </c>
      <c r="C9508">
        <f t="shared" si="313"/>
        <v>-4.3355492915988857E-2</v>
      </c>
      <c r="D9508">
        <f t="shared" si="312"/>
        <v>-3.505439106337036</v>
      </c>
    </row>
    <row r="9509" spans="1:4" x14ac:dyDescent="0.3">
      <c r="A9509" s="1">
        <v>39728</v>
      </c>
      <c r="B9509">
        <v>1754.880005</v>
      </c>
      <c r="C9509">
        <f t="shared" si="313"/>
        <v>-5.8015179210821499E-2</v>
      </c>
      <c r="D9509">
        <f t="shared" si="312"/>
        <v>-4.6781537289334096</v>
      </c>
    </row>
    <row r="9510" spans="1:4" x14ac:dyDescent="0.3">
      <c r="A9510" s="1">
        <v>39729</v>
      </c>
      <c r="B9510">
        <v>1740.329956</v>
      </c>
      <c r="C9510">
        <f t="shared" si="313"/>
        <v>-8.2911931063913077E-3</v>
      </c>
      <c r="D9510">
        <f t="shared" si="312"/>
        <v>-0.70043930683159017</v>
      </c>
    </row>
    <row r="9511" spans="1:4" x14ac:dyDescent="0.3">
      <c r="A9511" s="1">
        <v>39730</v>
      </c>
      <c r="B9511">
        <v>1645.119995</v>
      </c>
      <c r="C9511">
        <f t="shared" si="313"/>
        <v>-5.4707994120167878E-2</v>
      </c>
      <c r="D9511">
        <f t="shared" si="312"/>
        <v>-4.4135925209074713</v>
      </c>
    </row>
    <row r="9512" spans="1:4" x14ac:dyDescent="0.3">
      <c r="A9512" s="1">
        <v>39731</v>
      </c>
      <c r="B9512">
        <v>1649.51001</v>
      </c>
      <c r="C9512">
        <f t="shared" si="313"/>
        <v>2.6685074726114119E-3</v>
      </c>
      <c r="D9512">
        <f t="shared" si="312"/>
        <v>0.17629167293056316</v>
      </c>
    </row>
    <row r="9513" spans="1:4" x14ac:dyDescent="0.3">
      <c r="A9513" s="1">
        <v>39734</v>
      </c>
      <c r="B9513">
        <v>1844.25</v>
      </c>
      <c r="C9513">
        <f t="shared" si="313"/>
        <v>0.11805929568138847</v>
      </c>
      <c r="D9513">
        <f t="shared" si="312"/>
        <v>9.4070802398764251</v>
      </c>
    </row>
    <row r="9514" spans="1:4" x14ac:dyDescent="0.3">
      <c r="A9514" s="1">
        <v>39735</v>
      </c>
      <c r="B9514">
        <v>1779.01001</v>
      </c>
      <c r="C9514">
        <f t="shared" si="313"/>
        <v>-3.5374808187610157E-2</v>
      </c>
      <c r="D9514">
        <f t="shared" si="312"/>
        <v>-2.8670171448384312</v>
      </c>
    </row>
    <row r="9515" spans="1:4" x14ac:dyDescent="0.3">
      <c r="A9515" s="1">
        <v>39736</v>
      </c>
      <c r="B9515">
        <v>1628.329956</v>
      </c>
      <c r="C9515">
        <f t="shared" si="313"/>
        <v>-8.4698823026858591E-2</v>
      </c>
      <c r="D9515">
        <f t="shared" si="312"/>
        <v>-6.8127355104173803</v>
      </c>
    </row>
    <row r="9516" spans="1:4" x14ac:dyDescent="0.3">
      <c r="A9516" s="1">
        <v>39737</v>
      </c>
      <c r="B9516">
        <v>1717.709961</v>
      </c>
      <c r="C9516">
        <f t="shared" si="313"/>
        <v>5.4890597983938326E-2</v>
      </c>
      <c r="D9516">
        <f t="shared" si="312"/>
        <v>4.3538441753174206</v>
      </c>
    </row>
    <row r="9517" spans="1:4" x14ac:dyDescent="0.3">
      <c r="A9517" s="1">
        <v>39738</v>
      </c>
      <c r="B9517">
        <v>1711.290039</v>
      </c>
      <c r="C9517">
        <f t="shared" si="313"/>
        <v>-3.7374889508485784E-3</v>
      </c>
      <c r="D9517">
        <f t="shared" si="312"/>
        <v>-0.33616169933154544</v>
      </c>
    </row>
    <row r="9518" spans="1:4" x14ac:dyDescent="0.3">
      <c r="A9518" s="1">
        <v>39741</v>
      </c>
      <c r="B9518">
        <v>1770.030029</v>
      </c>
      <c r="C9518">
        <f t="shared" si="313"/>
        <v>3.4324976281825965E-2</v>
      </c>
      <c r="D9518">
        <f t="shared" si="312"/>
        <v>2.7086790054901746</v>
      </c>
    </row>
    <row r="9519" spans="1:4" x14ac:dyDescent="0.3">
      <c r="A9519" s="1">
        <v>39742</v>
      </c>
      <c r="B9519">
        <v>1696.6800539999999</v>
      </c>
      <c r="C9519">
        <f t="shared" si="313"/>
        <v>-4.1439960790631357E-2</v>
      </c>
      <c r="D9519">
        <f t="shared" si="312"/>
        <v>-3.3522044130236006</v>
      </c>
    </row>
    <row r="9520" spans="1:4" x14ac:dyDescent="0.3">
      <c r="A9520" s="1">
        <v>39743</v>
      </c>
      <c r="B9520">
        <v>1615.75</v>
      </c>
      <c r="C9520">
        <f t="shared" si="313"/>
        <v>-4.7699066072712806E-2</v>
      </c>
      <c r="D9520">
        <f t="shared" si="312"/>
        <v>-3.8529070979954088</v>
      </c>
    </row>
    <row r="9521" spans="1:4" x14ac:dyDescent="0.3">
      <c r="A9521" s="1">
        <v>39744</v>
      </c>
      <c r="B9521">
        <v>1603.910034</v>
      </c>
      <c r="C9521">
        <f t="shared" si="313"/>
        <v>-7.327845273092993E-3</v>
      </c>
      <c r="D9521">
        <f t="shared" si="312"/>
        <v>-0.62337544147768531</v>
      </c>
    </row>
    <row r="9522" spans="1:4" x14ac:dyDescent="0.3">
      <c r="A9522" s="1">
        <v>39745</v>
      </c>
      <c r="B9522">
        <v>1552.030029</v>
      </c>
      <c r="C9522">
        <f t="shared" si="313"/>
        <v>-3.2345957005216905E-2</v>
      </c>
      <c r="D9522">
        <f t="shared" si="312"/>
        <v>-2.6247215049574528</v>
      </c>
    </row>
    <row r="9523" spans="1:4" x14ac:dyDescent="0.3">
      <c r="A9523" s="1">
        <v>39748</v>
      </c>
      <c r="B9523">
        <v>1505.900024</v>
      </c>
      <c r="C9523">
        <f t="shared" si="313"/>
        <v>-2.9722366280324066E-2</v>
      </c>
      <c r="D9523">
        <f t="shared" si="312"/>
        <v>-2.4148450352355493</v>
      </c>
    </row>
    <row r="9524" spans="1:4" x14ac:dyDescent="0.3">
      <c r="A9524" s="1">
        <v>39749</v>
      </c>
      <c r="B9524">
        <v>1649.469971</v>
      </c>
      <c r="C9524">
        <f t="shared" si="313"/>
        <v>9.5338299164539994E-2</v>
      </c>
      <c r="D9524">
        <f t="shared" si="312"/>
        <v>7.5894939478244865</v>
      </c>
    </row>
    <row r="9525" spans="1:4" x14ac:dyDescent="0.3">
      <c r="A9525" s="1">
        <v>39750</v>
      </c>
      <c r="B9525">
        <v>1657.209961</v>
      </c>
      <c r="C9525">
        <f t="shared" si="313"/>
        <v>4.6924103718648628E-3</v>
      </c>
      <c r="D9525">
        <f t="shared" si="312"/>
        <v>0.33819558253238957</v>
      </c>
    </row>
    <row r="9526" spans="1:4" x14ac:dyDescent="0.3">
      <c r="A9526" s="1">
        <v>39751</v>
      </c>
      <c r="B9526">
        <v>1698.5200199999999</v>
      </c>
      <c r="C9526">
        <f t="shared" si="313"/>
        <v>2.4927474473465289E-2</v>
      </c>
      <c r="D9526">
        <f t="shared" si="312"/>
        <v>1.956917503579656</v>
      </c>
    </row>
    <row r="9527" spans="1:4" x14ac:dyDescent="0.3">
      <c r="A9527" s="1">
        <v>39752</v>
      </c>
      <c r="B9527">
        <v>1720.9499510000001</v>
      </c>
      <c r="C9527">
        <f t="shared" si="313"/>
        <v>1.3205573520411096E-2</v>
      </c>
      <c r="D9527">
        <f t="shared" si="312"/>
        <v>1.0192136280800503</v>
      </c>
    </row>
    <row r="9528" spans="1:4" x14ac:dyDescent="0.3">
      <c r="A9528" s="1">
        <v>39755</v>
      </c>
      <c r="B9528">
        <v>1726.329956</v>
      </c>
      <c r="C9528">
        <f t="shared" si="313"/>
        <v>3.1261833017710941E-3</v>
      </c>
      <c r="D9528">
        <f t="shared" si="312"/>
        <v>0.21290385728908301</v>
      </c>
    </row>
    <row r="9529" spans="1:4" x14ac:dyDescent="0.3">
      <c r="A9529" s="1">
        <v>39756</v>
      </c>
      <c r="B9529">
        <v>1780.119995</v>
      </c>
      <c r="C9529">
        <f t="shared" si="313"/>
        <v>3.1158608360498136E-2</v>
      </c>
      <c r="D9529">
        <f t="shared" si="312"/>
        <v>2.4553825919666394</v>
      </c>
    </row>
    <row r="9530" spans="1:4" x14ac:dyDescent="0.3">
      <c r="A9530" s="1">
        <v>39757</v>
      </c>
      <c r="B9530">
        <v>1681.6400149999999</v>
      </c>
      <c r="C9530">
        <f t="shared" si="313"/>
        <v>-5.5322102036160808E-2</v>
      </c>
      <c r="D9530">
        <f t="shared" si="312"/>
        <v>-4.4627186289600669</v>
      </c>
    </row>
    <row r="9531" spans="1:4" x14ac:dyDescent="0.3">
      <c r="A9531" s="1">
        <v>39758</v>
      </c>
      <c r="B9531">
        <v>1608.6999510000001</v>
      </c>
      <c r="C9531">
        <f t="shared" si="313"/>
        <v>-4.3374362734821037E-2</v>
      </c>
      <c r="D9531">
        <f t="shared" si="312"/>
        <v>-3.5069486142504518</v>
      </c>
    </row>
    <row r="9532" spans="1:4" x14ac:dyDescent="0.3">
      <c r="A9532" s="1">
        <v>39759</v>
      </c>
      <c r="B9532">
        <v>1647.400024</v>
      </c>
      <c r="C9532">
        <f t="shared" si="313"/>
        <v>2.4056737849679946E-2</v>
      </c>
      <c r="D9532">
        <f t="shared" si="312"/>
        <v>1.8872621541672199</v>
      </c>
    </row>
    <row r="9533" spans="1:4" x14ac:dyDescent="0.3">
      <c r="A9533" s="1">
        <v>39762</v>
      </c>
      <c r="B9533">
        <v>1616.73999</v>
      </c>
      <c r="C9533">
        <f t="shared" si="313"/>
        <v>-1.8611165201731231E-2</v>
      </c>
      <c r="D9533">
        <f t="shared" si="312"/>
        <v>-1.5259946384799632</v>
      </c>
    </row>
    <row r="9534" spans="1:4" x14ac:dyDescent="0.3">
      <c r="A9534" s="1">
        <v>39763</v>
      </c>
      <c r="B9534">
        <v>1580.900024</v>
      </c>
      <c r="C9534">
        <f t="shared" si="313"/>
        <v>-2.216804571030621E-2</v>
      </c>
      <c r="D9534">
        <f t="shared" si="312"/>
        <v>-1.8105304531859165</v>
      </c>
    </row>
    <row r="9535" spans="1:4" x14ac:dyDescent="0.3">
      <c r="A9535" s="1">
        <v>39764</v>
      </c>
      <c r="B9535">
        <v>1499.209961</v>
      </c>
      <c r="C9535">
        <f t="shared" si="313"/>
        <v>-5.1673136668887801E-2</v>
      </c>
      <c r="D9535">
        <f t="shared" si="312"/>
        <v>-4.1708164042134728</v>
      </c>
    </row>
    <row r="9536" spans="1:4" x14ac:dyDescent="0.3">
      <c r="A9536" s="1">
        <v>39765</v>
      </c>
      <c r="B9536">
        <v>1596.6999510000001</v>
      </c>
      <c r="C9536">
        <f t="shared" si="313"/>
        <v>6.5027576214189808E-2</v>
      </c>
      <c r="D9536">
        <f t="shared" si="312"/>
        <v>5.1647607502339872</v>
      </c>
    </row>
    <row r="9537" spans="1:4" x14ac:dyDescent="0.3">
      <c r="A9537" s="1">
        <v>39766</v>
      </c>
      <c r="B9537">
        <v>1516.849976</v>
      </c>
      <c r="C9537">
        <f t="shared" si="313"/>
        <v>-5.0009380253309775E-2</v>
      </c>
      <c r="D9537">
        <f t="shared" si="312"/>
        <v>-4.0377227323744904</v>
      </c>
    </row>
    <row r="9538" spans="1:4" x14ac:dyDescent="0.3">
      <c r="A9538" s="1">
        <v>39769</v>
      </c>
      <c r="B9538">
        <v>1482.0500489999999</v>
      </c>
      <c r="C9538">
        <f t="shared" si="313"/>
        <v>-2.2942233939159205E-2</v>
      </c>
      <c r="D9538">
        <f t="shared" si="312"/>
        <v>-1.8724623280131369</v>
      </c>
    </row>
    <row r="9539" spans="1:4" x14ac:dyDescent="0.3">
      <c r="A9539" s="1">
        <v>39770</v>
      </c>
      <c r="B9539">
        <v>1483.2700199999999</v>
      </c>
      <c r="C9539">
        <f t="shared" si="313"/>
        <v>8.2316450839372895E-4</v>
      </c>
      <c r="D9539">
        <f t="shared" ref="D9539:D9602" si="314">(C9539-avrtn)/sdrtn</f>
        <v>2.8671823888758073E-2</v>
      </c>
    </row>
    <row r="9540" spans="1:4" x14ac:dyDescent="0.3">
      <c r="A9540" s="1">
        <v>39771</v>
      </c>
      <c r="B9540">
        <v>1386.420044</v>
      </c>
      <c r="C9540">
        <f t="shared" ref="C9540:C9603" si="315">(B9540-B9539)/B9539</f>
        <v>-6.5294905643680429E-2</v>
      </c>
      <c r="D9540">
        <f t="shared" si="314"/>
        <v>-5.260501909148168</v>
      </c>
    </row>
    <row r="9541" spans="1:4" x14ac:dyDescent="0.3">
      <c r="A9541" s="1">
        <v>39772</v>
      </c>
      <c r="B9541">
        <v>1316.119995</v>
      </c>
      <c r="C9541">
        <f t="shared" si="315"/>
        <v>-5.0706168959571064E-2</v>
      </c>
      <c r="D9541">
        <f t="shared" si="314"/>
        <v>-4.0934629636631126</v>
      </c>
    </row>
    <row r="9542" spans="1:4" x14ac:dyDescent="0.3">
      <c r="A9542" s="1">
        <v>39773</v>
      </c>
      <c r="B9542">
        <v>1384.349976</v>
      </c>
      <c r="C9542">
        <f t="shared" si="315"/>
        <v>5.1841763106106407E-2</v>
      </c>
      <c r="D9542">
        <f t="shared" si="314"/>
        <v>4.1099499219747955</v>
      </c>
    </row>
    <row r="9543" spans="1:4" x14ac:dyDescent="0.3">
      <c r="A9543" s="1">
        <v>39776</v>
      </c>
      <c r="B9543">
        <v>1472.0200199999999</v>
      </c>
      <c r="C9543">
        <f t="shared" si="315"/>
        <v>6.3329393231412137E-2</v>
      </c>
      <c r="D9543">
        <f t="shared" si="314"/>
        <v>5.0289130945819238</v>
      </c>
    </row>
    <row r="9544" spans="1:4" x14ac:dyDescent="0.3">
      <c r="A9544" s="1">
        <v>39777</v>
      </c>
      <c r="B9544">
        <v>1464.7299800000001</v>
      </c>
      <c r="C9544">
        <f t="shared" si="315"/>
        <v>-4.9524054706809378E-3</v>
      </c>
      <c r="D9544">
        <f t="shared" si="314"/>
        <v>-0.43335002515155374</v>
      </c>
    </row>
    <row r="9545" spans="1:4" x14ac:dyDescent="0.3">
      <c r="A9545" s="1">
        <v>39778</v>
      </c>
      <c r="B9545">
        <v>1532.099976</v>
      </c>
      <c r="C9545">
        <f t="shared" si="315"/>
        <v>4.5994822881962105E-2</v>
      </c>
      <c r="D9545">
        <f t="shared" si="314"/>
        <v>3.6422187468051144</v>
      </c>
    </row>
    <row r="9546" spans="1:4" x14ac:dyDescent="0.3">
      <c r="A9546" s="1">
        <v>39780</v>
      </c>
      <c r="B9546">
        <v>1535.5699460000001</v>
      </c>
      <c r="C9546">
        <f t="shared" si="315"/>
        <v>2.2648456721861493E-3</v>
      </c>
      <c r="D9546">
        <f t="shared" si="314"/>
        <v>0.14400038876378363</v>
      </c>
    </row>
    <row r="9547" spans="1:4" x14ac:dyDescent="0.3">
      <c r="A9547" s="1">
        <v>39783</v>
      </c>
      <c r="B9547">
        <v>1398.0699460000001</v>
      </c>
      <c r="C9547">
        <f t="shared" si="315"/>
        <v>-8.9543299774896737E-2</v>
      </c>
      <c r="D9547">
        <f t="shared" si="314"/>
        <v>-7.2002737296530146</v>
      </c>
    </row>
    <row r="9548" spans="1:4" x14ac:dyDescent="0.3">
      <c r="A9548" s="1">
        <v>39784</v>
      </c>
      <c r="B9548">
        <v>1449.8000489999999</v>
      </c>
      <c r="C9548">
        <f t="shared" si="315"/>
        <v>3.7001083635338994E-2</v>
      </c>
      <c r="D9548">
        <f t="shared" si="314"/>
        <v>2.9227565895520264</v>
      </c>
    </row>
    <row r="9549" spans="1:4" x14ac:dyDescent="0.3">
      <c r="A9549" s="1">
        <v>39785</v>
      </c>
      <c r="B9549">
        <v>1492.380005</v>
      </c>
      <c r="C9549">
        <f t="shared" si="315"/>
        <v>2.9369536874667358E-2</v>
      </c>
      <c r="D9549">
        <f t="shared" si="314"/>
        <v>2.3122642298060847</v>
      </c>
    </row>
    <row r="9550" spans="1:4" x14ac:dyDescent="0.3">
      <c r="A9550" s="1">
        <v>39786</v>
      </c>
      <c r="B9550">
        <v>1445.5600589999999</v>
      </c>
      <c r="C9550">
        <f t="shared" si="315"/>
        <v>-3.1372670394361167E-2</v>
      </c>
      <c r="D9550">
        <f t="shared" si="314"/>
        <v>-2.5468625782674517</v>
      </c>
    </row>
    <row r="9551" spans="1:4" x14ac:dyDescent="0.3">
      <c r="A9551" s="1">
        <v>39787</v>
      </c>
      <c r="B9551">
        <v>1509.3100589999999</v>
      </c>
      <c r="C9551">
        <f t="shared" si="315"/>
        <v>4.4100554385890105E-2</v>
      </c>
      <c r="D9551">
        <f t="shared" si="314"/>
        <v>3.490685056397953</v>
      </c>
    </row>
    <row r="9552" spans="1:4" x14ac:dyDescent="0.3">
      <c r="A9552" s="1">
        <v>39790</v>
      </c>
      <c r="B9552">
        <v>1571.73999</v>
      </c>
      <c r="C9552">
        <f t="shared" si="315"/>
        <v>4.1363224625537418E-2</v>
      </c>
      <c r="D9552">
        <f t="shared" si="314"/>
        <v>3.2717099315369698</v>
      </c>
    </row>
    <row r="9553" spans="1:4" x14ac:dyDescent="0.3">
      <c r="A9553" s="1">
        <v>39791</v>
      </c>
      <c r="B9553">
        <v>1547.339966</v>
      </c>
      <c r="C9553">
        <f t="shared" si="315"/>
        <v>-1.5524211482333048E-2</v>
      </c>
      <c r="D9553">
        <f t="shared" si="314"/>
        <v>-1.2790510345576502</v>
      </c>
    </row>
    <row r="9554" spans="1:4" x14ac:dyDescent="0.3">
      <c r="A9554" s="1">
        <v>39792</v>
      </c>
      <c r="B9554">
        <v>1565.4799800000001</v>
      </c>
      <c r="C9554">
        <f t="shared" si="315"/>
        <v>1.1723353883822623E-2</v>
      </c>
      <c r="D9554">
        <f t="shared" si="314"/>
        <v>0.90064215207653686</v>
      </c>
    </row>
    <row r="9555" spans="1:4" x14ac:dyDescent="0.3">
      <c r="A9555" s="1">
        <v>39793</v>
      </c>
      <c r="B9555">
        <v>1507.880005</v>
      </c>
      <c r="C9555">
        <f t="shared" si="315"/>
        <v>-3.6793811314022734E-2</v>
      </c>
      <c r="D9555">
        <f t="shared" si="314"/>
        <v>-2.9805315599757161</v>
      </c>
    </row>
    <row r="9556" spans="1:4" x14ac:dyDescent="0.3">
      <c r="A9556" s="1">
        <v>39794</v>
      </c>
      <c r="B9556">
        <v>1540.719971</v>
      </c>
      <c r="C9556">
        <f t="shared" si="315"/>
        <v>2.1778898779150537E-2</v>
      </c>
      <c r="D9556">
        <f t="shared" si="314"/>
        <v>1.7050443950550922</v>
      </c>
    </row>
    <row r="9557" spans="1:4" x14ac:dyDescent="0.3">
      <c r="A9557" s="1">
        <v>39797</v>
      </c>
      <c r="B9557">
        <v>1508.339966</v>
      </c>
      <c r="C9557">
        <f t="shared" si="315"/>
        <v>-2.1016151935113705E-2</v>
      </c>
      <c r="D9557">
        <f t="shared" si="314"/>
        <v>-1.7183836877860221</v>
      </c>
    </row>
    <row r="9558" spans="1:4" x14ac:dyDescent="0.3">
      <c r="A9558" s="1">
        <v>39798</v>
      </c>
      <c r="B9558">
        <v>1589.8900149999999</v>
      </c>
      <c r="C9558">
        <f t="shared" si="315"/>
        <v>5.406609308129938E-2</v>
      </c>
      <c r="D9558">
        <f t="shared" si="314"/>
        <v>4.2878871734907227</v>
      </c>
    </row>
    <row r="9559" spans="1:4" x14ac:dyDescent="0.3">
      <c r="A9559" s="1">
        <v>39799</v>
      </c>
      <c r="B9559">
        <v>1579.3100589999999</v>
      </c>
      <c r="C9559">
        <f t="shared" si="315"/>
        <v>-6.6545206902252534E-3</v>
      </c>
      <c r="D9559">
        <f t="shared" si="314"/>
        <v>-0.56951224357549468</v>
      </c>
    </row>
    <row r="9560" spans="1:4" x14ac:dyDescent="0.3">
      <c r="A9560" s="1">
        <v>39800</v>
      </c>
      <c r="B9560">
        <v>1552.369995</v>
      </c>
      <c r="C9560">
        <f t="shared" si="315"/>
        <v>-1.7058122213859651E-2</v>
      </c>
      <c r="D9560">
        <f t="shared" si="314"/>
        <v>-1.4017575856011617</v>
      </c>
    </row>
    <row r="9561" spans="1:4" x14ac:dyDescent="0.3">
      <c r="A9561" s="1">
        <v>39801</v>
      </c>
      <c r="B9561">
        <v>1564.3199460000001</v>
      </c>
      <c r="C9561">
        <f t="shared" si="315"/>
        <v>7.6978755312776164E-3</v>
      </c>
      <c r="D9561">
        <f t="shared" si="314"/>
        <v>0.57862043673882912</v>
      </c>
    </row>
    <row r="9562" spans="1:4" x14ac:dyDescent="0.3">
      <c r="A9562" s="1">
        <v>39804</v>
      </c>
      <c r="B9562">
        <v>1532.349976</v>
      </c>
      <c r="C9562">
        <f t="shared" si="315"/>
        <v>-2.0436976516056072E-2</v>
      </c>
      <c r="D9562">
        <f t="shared" si="314"/>
        <v>-1.6720520358449651</v>
      </c>
    </row>
    <row r="9563" spans="1:4" x14ac:dyDescent="0.3">
      <c r="A9563" s="1">
        <v>39805</v>
      </c>
      <c r="B9563">
        <v>1521.540039</v>
      </c>
      <c r="C9563">
        <f t="shared" si="315"/>
        <v>-7.0544830941414068E-3</v>
      </c>
      <c r="D9563">
        <f t="shared" si="314"/>
        <v>-0.60150759123355491</v>
      </c>
    </row>
    <row r="9564" spans="1:4" x14ac:dyDescent="0.3">
      <c r="A9564" s="1">
        <v>39806</v>
      </c>
      <c r="B9564">
        <v>1524.900024</v>
      </c>
      <c r="C9564">
        <f t="shared" si="315"/>
        <v>2.2082790553499534E-3</v>
      </c>
      <c r="D9564">
        <f t="shared" si="314"/>
        <v>0.13947529202020625</v>
      </c>
    </row>
    <row r="9565" spans="1:4" x14ac:dyDescent="0.3">
      <c r="A9565" s="1">
        <v>39808</v>
      </c>
      <c r="B9565">
        <v>1530.23999</v>
      </c>
      <c r="C9565">
        <f t="shared" si="315"/>
        <v>3.5018466233560789E-3</v>
      </c>
      <c r="D9565">
        <f t="shared" si="314"/>
        <v>0.24295537827907326</v>
      </c>
    </row>
    <row r="9566" spans="1:4" x14ac:dyDescent="0.3">
      <c r="A9566" s="1">
        <v>39811</v>
      </c>
      <c r="B9566">
        <v>1510.3199460000001</v>
      </c>
      <c r="C9566">
        <f t="shared" si="315"/>
        <v>-1.301759471074858E-2</v>
      </c>
      <c r="D9566">
        <f t="shared" si="314"/>
        <v>-1.0785320001006458</v>
      </c>
    </row>
    <row r="9567" spans="1:4" x14ac:dyDescent="0.3">
      <c r="A9567" s="1">
        <v>39812</v>
      </c>
      <c r="B9567">
        <v>1550.6999510000001</v>
      </c>
      <c r="C9567">
        <f t="shared" si="315"/>
        <v>2.6736060201644176E-2</v>
      </c>
      <c r="D9567">
        <f t="shared" si="314"/>
        <v>2.101596924885015</v>
      </c>
    </row>
    <row r="9568" spans="1:4" x14ac:dyDescent="0.3">
      <c r="A9568" s="1">
        <v>39813</v>
      </c>
      <c r="B9568">
        <v>1577.030029</v>
      </c>
      <c r="C9568">
        <f t="shared" si="315"/>
        <v>1.6979479481520895E-2</v>
      </c>
      <c r="D9568">
        <f t="shared" si="314"/>
        <v>1.3211105865747961</v>
      </c>
    </row>
    <row r="9569" spans="1:4" x14ac:dyDescent="0.3">
      <c r="A9569" s="1">
        <v>39815</v>
      </c>
      <c r="B9569">
        <v>1632.209961</v>
      </c>
      <c r="C9569">
        <f t="shared" si="315"/>
        <v>3.4989778878839604E-2</v>
      </c>
      <c r="D9569">
        <f t="shared" si="314"/>
        <v>2.7618604795666526</v>
      </c>
    </row>
    <row r="9570" spans="1:4" x14ac:dyDescent="0.3">
      <c r="A9570" s="1">
        <v>39818</v>
      </c>
      <c r="B9570">
        <v>1628.030029</v>
      </c>
      <c r="C9570">
        <f t="shared" si="315"/>
        <v>-2.560903376327335E-3</v>
      </c>
      <c r="D9570">
        <f t="shared" si="314"/>
        <v>-0.24203969151863747</v>
      </c>
    </row>
    <row r="9571" spans="1:4" x14ac:dyDescent="0.3">
      <c r="A9571" s="1">
        <v>39819</v>
      </c>
      <c r="B9571">
        <v>1652.380005</v>
      </c>
      <c r="C9571">
        <f t="shared" si="315"/>
        <v>1.4956711833476856E-2</v>
      </c>
      <c r="D9571">
        <f t="shared" si="314"/>
        <v>1.1592974924015418</v>
      </c>
    </row>
    <row r="9572" spans="1:4" x14ac:dyDescent="0.3">
      <c r="A9572" s="1">
        <v>39820</v>
      </c>
      <c r="B9572">
        <v>1599.0600589999999</v>
      </c>
      <c r="C9572">
        <f t="shared" si="315"/>
        <v>-3.2268573717097279E-2</v>
      </c>
      <c r="D9572">
        <f t="shared" si="314"/>
        <v>-2.6185311601098649</v>
      </c>
    </row>
    <row r="9573" spans="1:4" x14ac:dyDescent="0.3">
      <c r="A9573" s="1">
        <v>39821</v>
      </c>
      <c r="B9573">
        <v>1617.01001</v>
      </c>
      <c r="C9573">
        <f t="shared" si="315"/>
        <v>1.1225313832943442E-2</v>
      </c>
      <c r="D9573">
        <f t="shared" si="314"/>
        <v>0.86080099595912851</v>
      </c>
    </row>
    <row r="9574" spans="1:4" x14ac:dyDescent="0.3">
      <c r="A9574" s="1">
        <v>39822</v>
      </c>
      <c r="B9574">
        <v>1571.589966</v>
      </c>
      <c r="C9574">
        <f t="shared" si="315"/>
        <v>-2.8088907130513041E-2</v>
      </c>
      <c r="D9574">
        <f t="shared" si="314"/>
        <v>-2.2841750200748256</v>
      </c>
    </row>
    <row r="9575" spans="1:4" x14ac:dyDescent="0.3">
      <c r="A9575" s="1">
        <v>39825</v>
      </c>
      <c r="B9575">
        <v>1538.790039</v>
      </c>
      <c r="C9575">
        <f t="shared" si="315"/>
        <v>-2.087053729636756E-2</v>
      </c>
      <c r="D9575">
        <f t="shared" si="314"/>
        <v>-1.7067351154573029</v>
      </c>
    </row>
    <row r="9576" spans="1:4" x14ac:dyDescent="0.3">
      <c r="A9576" s="1">
        <v>39826</v>
      </c>
      <c r="B9576">
        <v>1546.459961</v>
      </c>
      <c r="C9576">
        <f t="shared" si="315"/>
        <v>4.9843850074467776E-3</v>
      </c>
      <c r="D9576">
        <f t="shared" si="314"/>
        <v>0.36155235277206732</v>
      </c>
    </row>
    <row r="9577" spans="1:4" x14ac:dyDescent="0.3">
      <c r="A9577" s="1">
        <v>39827</v>
      </c>
      <c r="B9577">
        <v>1489.6400149999999</v>
      </c>
      <c r="C9577">
        <f t="shared" si="315"/>
        <v>-3.6741944462149623E-2</v>
      </c>
      <c r="D9577">
        <f t="shared" si="314"/>
        <v>-2.9763824251036364</v>
      </c>
    </row>
    <row r="9578" spans="1:4" x14ac:dyDescent="0.3">
      <c r="A9578" s="1">
        <v>39828</v>
      </c>
      <c r="B9578">
        <v>1511.839966</v>
      </c>
      <c r="C9578">
        <f t="shared" si="315"/>
        <v>1.490289652295629E-2</v>
      </c>
      <c r="D9578">
        <f t="shared" si="314"/>
        <v>1.1549924888497756</v>
      </c>
    </row>
    <row r="9579" spans="1:4" x14ac:dyDescent="0.3">
      <c r="A9579" s="1">
        <v>39829</v>
      </c>
      <c r="B9579">
        <v>1529.329956</v>
      </c>
      <c r="C9579">
        <f t="shared" si="315"/>
        <v>1.1568678162593325E-2</v>
      </c>
      <c r="D9579">
        <f t="shared" si="314"/>
        <v>0.88826873040855903</v>
      </c>
    </row>
    <row r="9580" spans="1:4" x14ac:dyDescent="0.3">
      <c r="A9580" s="1">
        <v>39833</v>
      </c>
      <c r="B9580">
        <v>1440.8599850000001</v>
      </c>
      <c r="C9580">
        <f t="shared" si="315"/>
        <v>-5.784884462172922E-2</v>
      </c>
      <c r="D9580">
        <f t="shared" si="314"/>
        <v>-4.6648476457779449</v>
      </c>
    </row>
    <row r="9581" spans="1:4" x14ac:dyDescent="0.3">
      <c r="A9581" s="1">
        <v>39834</v>
      </c>
      <c r="B9581">
        <v>1507.0699460000001</v>
      </c>
      <c r="C9581">
        <f t="shared" si="315"/>
        <v>4.595169668758621E-2</v>
      </c>
      <c r="D9581">
        <f t="shared" si="314"/>
        <v>3.6387688285910138</v>
      </c>
    </row>
    <row r="9582" spans="1:4" x14ac:dyDescent="0.3">
      <c r="A9582" s="1">
        <v>39835</v>
      </c>
      <c r="B9582">
        <v>1465.48999</v>
      </c>
      <c r="C9582">
        <f t="shared" si="315"/>
        <v>-2.7589931117901832E-2</v>
      </c>
      <c r="D9582">
        <f t="shared" si="314"/>
        <v>-2.2442589908675528</v>
      </c>
    </row>
    <row r="9583" spans="1:4" x14ac:dyDescent="0.3">
      <c r="A9583" s="1">
        <v>39836</v>
      </c>
      <c r="B9583">
        <v>1477.290039</v>
      </c>
      <c r="C9583">
        <f t="shared" si="315"/>
        <v>8.0519478676206752E-3</v>
      </c>
      <c r="D9583">
        <f t="shared" si="314"/>
        <v>0.60694476769212713</v>
      </c>
    </row>
    <row r="9584" spans="1:4" x14ac:dyDescent="0.3">
      <c r="A9584" s="1">
        <v>39839</v>
      </c>
      <c r="B9584">
        <v>1489.459961</v>
      </c>
      <c r="C9584">
        <f t="shared" si="315"/>
        <v>8.2380045073870856E-3</v>
      </c>
      <c r="D9584">
        <f t="shared" si="314"/>
        <v>0.62182853380396574</v>
      </c>
    </row>
    <row r="9585" spans="1:4" x14ac:dyDescent="0.3">
      <c r="A9585" s="1">
        <v>39840</v>
      </c>
      <c r="B9585">
        <v>1504.900024</v>
      </c>
      <c r="C9585">
        <f t="shared" si="315"/>
        <v>1.0366215544077998E-2</v>
      </c>
      <c r="D9585">
        <f t="shared" si="314"/>
        <v>0.79207666548316513</v>
      </c>
    </row>
    <row r="9586" spans="1:4" x14ac:dyDescent="0.3">
      <c r="A9586" s="1">
        <v>39841</v>
      </c>
      <c r="B9586">
        <v>1558.339966</v>
      </c>
      <c r="C9586">
        <f t="shared" si="315"/>
        <v>3.5510626053388894E-2</v>
      </c>
      <c r="D9586">
        <f t="shared" si="314"/>
        <v>2.8035261117942167</v>
      </c>
    </row>
    <row r="9587" spans="1:4" x14ac:dyDescent="0.3">
      <c r="A9587" s="1">
        <v>39842</v>
      </c>
      <c r="B9587">
        <v>1507.839966</v>
      </c>
      <c r="C9587">
        <f t="shared" si="315"/>
        <v>-3.2406279182857073E-2</v>
      </c>
      <c r="D9587">
        <f t="shared" si="314"/>
        <v>-2.6295470311223896</v>
      </c>
    </row>
    <row r="9588" spans="1:4" x14ac:dyDescent="0.3">
      <c r="A9588" s="1">
        <v>39843</v>
      </c>
      <c r="B9588">
        <v>1476.420044</v>
      </c>
      <c r="C9588">
        <f t="shared" si="315"/>
        <v>-2.0837703409169381E-2</v>
      </c>
      <c r="D9588">
        <f t="shared" si="314"/>
        <v>-1.7041085394951996</v>
      </c>
    </row>
    <row r="9589" spans="1:4" x14ac:dyDescent="0.3">
      <c r="A9589" s="1">
        <v>39846</v>
      </c>
      <c r="B9589">
        <v>1494.4300539999999</v>
      </c>
      <c r="C9589">
        <f t="shared" si="315"/>
        <v>1.2198432331768023E-2</v>
      </c>
      <c r="D9589">
        <f t="shared" si="314"/>
        <v>0.93864647437791804</v>
      </c>
    </row>
    <row r="9590" spans="1:4" x14ac:dyDescent="0.3">
      <c r="A9590" s="1">
        <v>39847</v>
      </c>
      <c r="B9590">
        <v>1516.3000489999999</v>
      </c>
      <c r="C9590">
        <f t="shared" si="315"/>
        <v>1.4634338316110992E-2</v>
      </c>
      <c r="D9590">
        <f t="shared" si="314"/>
        <v>1.133508936620097</v>
      </c>
    </row>
    <row r="9591" spans="1:4" x14ac:dyDescent="0.3">
      <c r="A9591" s="1">
        <v>39848</v>
      </c>
      <c r="B9591">
        <v>1515.0500489999999</v>
      </c>
      <c r="C9591">
        <f t="shared" si="315"/>
        <v>-8.2437509701617116E-4</v>
      </c>
      <c r="D9591">
        <f t="shared" si="314"/>
        <v>-0.10312456982069591</v>
      </c>
    </row>
    <row r="9592" spans="1:4" x14ac:dyDescent="0.3">
      <c r="A9592" s="1">
        <v>39849</v>
      </c>
      <c r="B9592">
        <v>1546.23999</v>
      </c>
      <c r="C9592">
        <f t="shared" si="315"/>
        <v>2.0586739705785187E-2</v>
      </c>
      <c r="D9592">
        <f t="shared" si="314"/>
        <v>1.6096765713732657</v>
      </c>
    </row>
    <row r="9593" spans="1:4" x14ac:dyDescent="0.3">
      <c r="A9593" s="1">
        <v>39850</v>
      </c>
      <c r="B9593">
        <v>1591.709961</v>
      </c>
      <c r="C9593">
        <f t="shared" si="315"/>
        <v>2.9406800557525346E-2</v>
      </c>
      <c r="D9593">
        <f t="shared" si="314"/>
        <v>2.3152451712055444</v>
      </c>
    </row>
    <row r="9594" spans="1:4" x14ac:dyDescent="0.3">
      <c r="A9594" s="1">
        <v>39853</v>
      </c>
      <c r="B9594">
        <v>1591.5600589999999</v>
      </c>
      <c r="C9594">
        <f t="shared" si="315"/>
        <v>-9.4176705350222404E-5</v>
      </c>
      <c r="D9594">
        <f t="shared" si="314"/>
        <v>-4.4711701081147755E-2</v>
      </c>
    </row>
    <row r="9595" spans="1:4" x14ac:dyDescent="0.3">
      <c r="A9595" s="1">
        <v>39854</v>
      </c>
      <c r="B9595">
        <v>1524.7299800000001</v>
      </c>
      <c r="C9595">
        <f t="shared" si="315"/>
        <v>-4.1990296641391055E-2</v>
      </c>
      <c r="D9595">
        <f t="shared" si="314"/>
        <v>-3.3962290180898362</v>
      </c>
    </row>
    <row r="9596" spans="1:4" x14ac:dyDescent="0.3">
      <c r="A9596" s="1">
        <v>39855</v>
      </c>
      <c r="B9596">
        <v>1530.5</v>
      </c>
      <c r="C9596">
        <f t="shared" si="315"/>
        <v>3.7842897271554475E-3</v>
      </c>
      <c r="D9596">
        <f t="shared" si="314"/>
        <v>0.26554966517004019</v>
      </c>
    </row>
    <row r="9597" spans="1:4" x14ac:dyDescent="0.3">
      <c r="A9597" s="1">
        <v>39856</v>
      </c>
      <c r="B9597">
        <v>1541.709961</v>
      </c>
      <c r="C9597">
        <f t="shared" si="315"/>
        <v>7.3243783077425817E-3</v>
      </c>
      <c r="D9597">
        <f t="shared" si="314"/>
        <v>0.54874219468578644</v>
      </c>
    </row>
    <row r="9598" spans="1:4" x14ac:dyDescent="0.3">
      <c r="A9598" s="1">
        <v>39857</v>
      </c>
      <c r="B9598">
        <v>1534.3599850000001</v>
      </c>
      <c r="C9598">
        <f t="shared" si="315"/>
        <v>-4.7674181174989306E-3</v>
      </c>
      <c r="D9598">
        <f t="shared" si="314"/>
        <v>-0.41855179756953464</v>
      </c>
    </row>
    <row r="9599" spans="1:4" x14ac:dyDescent="0.3">
      <c r="A9599" s="1">
        <v>39861</v>
      </c>
      <c r="B9599">
        <v>1470.660034</v>
      </c>
      <c r="C9599">
        <f t="shared" si="315"/>
        <v>-4.1515649275746754E-2</v>
      </c>
      <c r="D9599">
        <f t="shared" si="314"/>
        <v>-3.358259180599922</v>
      </c>
    </row>
    <row r="9600" spans="1:4" x14ac:dyDescent="0.3">
      <c r="A9600" s="1">
        <v>39862</v>
      </c>
      <c r="B9600">
        <v>1467.969971</v>
      </c>
      <c r="C9600">
        <f t="shared" si="315"/>
        <v>-1.8291535350174676E-3</v>
      </c>
      <c r="D9600">
        <f t="shared" si="314"/>
        <v>-0.18350271318717484</v>
      </c>
    </row>
    <row r="9601" spans="1:4" x14ac:dyDescent="0.3">
      <c r="A9601" s="1">
        <v>39863</v>
      </c>
      <c r="B9601">
        <v>1442.8199460000001</v>
      </c>
      <c r="C9601">
        <f t="shared" si="315"/>
        <v>-1.7132520076597612E-2</v>
      </c>
      <c r="D9601">
        <f t="shared" si="314"/>
        <v>-1.4077091086943589</v>
      </c>
    </row>
    <row r="9602" spans="1:4" x14ac:dyDescent="0.3">
      <c r="A9602" s="1">
        <v>39864</v>
      </c>
      <c r="B9602">
        <v>1441.2299800000001</v>
      </c>
      <c r="C9602">
        <f t="shared" si="315"/>
        <v>-1.1019850428377735E-3</v>
      </c>
      <c r="D9602">
        <f t="shared" si="314"/>
        <v>-0.12533222394750593</v>
      </c>
    </row>
    <row r="9603" spans="1:4" x14ac:dyDescent="0.3">
      <c r="A9603" s="1">
        <v>39867</v>
      </c>
      <c r="B9603">
        <v>1387.719971</v>
      </c>
      <c r="C9603">
        <f t="shared" si="315"/>
        <v>-3.7128015474671212E-2</v>
      </c>
      <c r="D9603">
        <f t="shared" ref="D9603:D9666" si="316">(C9603-avrtn)/sdrtn</f>
        <v>-3.0072665185718743</v>
      </c>
    </row>
    <row r="9604" spans="1:4" x14ac:dyDescent="0.3">
      <c r="A9604" s="1">
        <v>39868</v>
      </c>
      <c r="B9604">
        <v>1441.829956</v>
      </c>
      <c r="C9604">
        <f t="shared" ref="C9604:C9667" si="317">(B9604-B9603)/B9603</f>
        <v>3.8992005686138573E-2</v>
      </c>
      <c r="D9604">
        <f t="shared" si="316"/>
        <v>3.0820221668956025</v>
      </c>
    </row>
    <row r="9605" spans="1:4" x14ac:dyDescent="0.3">
      <c r="A9605" s="1">
        <v>39869</v>
      </c>
      <c r="B9605">
        <v>1425.4300539999999</v>
      </c>
      <c r="C9605">
        <f t="shared" si="317"/>
        <v>-1.1374366257098428E-2</v>
      </c>
      <c r="D9605">
        <f t="shared" si="316"/>
        <v>-0.94708048080440954</v>
      </c>
    </row>
    <row r="9606" spans="1:4" x14ac:dyDescent="0.3">
      <c r="A9606" s="1">
        <v>39870</v>
      </c>
      <c r="B9606">
        <v>1391.469971</v>
      </c>
      <c r="C9606">
        <f t="shared" si="317"/>
        <v>-2.3824447158737921E-2</v>
      </c>
      <c r="D9606">
        <f t="shared" si="316"/>
        <v>-1.9430357578969992</v>
      </c>
    </row>
    <row r="9607" spans="1:4" x14ac:dyDescent="0.3">
      <c r="A9607" s="1">
        <v>39871</v>
      </c>
      <c r="B9607">
        <v>1377.839966</v>
      </c>
      <c r="C9607">
        <f t="shared" si="317"/>
        <v>-9.7954000331064162E-3</v>
      </c>
      <c r="D9607">
        <f t="shared" si="316"/>
        <v>-0.82076967563295733</v>
      </c>
    </row>
    <row r="9608" spans="1:4" x14ac:dyDescent="0.3">
      <c r="A9608" s="1">
        <v>39874</v>
      </c>
      <c r="B9608">
        <v>1322.849976</v>
      </c>
      <c r="C9608">
        <f t="shared" si="317"/>
        <v>-3.991028810090419E-2</v>
      </c>
      <c r="D9608">
        <f t="shared" si="316"/>
        <v>-3.229836887897112</v>
      </c>
    </row>
    <row r="9609" spans="1:4" x14ac:dyDescent="0.3">
      <c r="A9609" s="1">
        <v>39875</v>
      </c>
      <c r="B9609">
        <v>1321.01001</v>
      </c>
      <c r="C9609">
        <f t="shared" si="317"/>
        <v>-1.3909105593089598E-3</v>
      </c>
      <c r="D9609">
        <f t="shared" si="316"/>
        <v>-0.14844507719637812</v>
      </c>
    </row>
    <row r="9610" spans="1:4" x14ac:dyDescent="0.3">
      <c r="A9610" s="1">
        <v>39876</v>
      </c>
      <c r="B9610">
        <v>1353.73999</v>
      </c>
      <c r="C9610">
        <f t="shared" si="317"/>
        <v>2.4776481443921888E-2</v>
      </c>
      <c r="D9610">
        <f t="shared" si="316"/>
        <v>1.9448386821032313</v>
      </c>
    </row>
    <row r="9611" spans="1:4" x14ac:dyDescent="0.3">
      <c r="A9611" s="1">
        <v>39877</v>
      </c>
      <c r="B9611">
        <v>1299.589966</v>
      </c>
      <c r="C9611">
        <f t="shared" si="317"/>
        <v>-4.0000313501856462E-2</v>
      </c>
      <c r="D9611">
        <f t="shared" si="316"/>
        <v>-3.2370385497866332</v>
      </c>
    </row>
    <row r="9612" spans="1:4" x14ac:dyDescent="0.3">
      <c r="A9612" s="1">
        <v>39878</v>
      </c>
      <c r="B9612">
        <v>1293.849976</v>
      </c>
      <c r="C9612">
        <f t="shared" si="317"/>
        <v>-4.4167700199064432E-3</v>
      </c>
      <c r="D9612">
        <f t="shared" si="316"/>
        <v>-0.3905013916357285</v>
      </c>
    </row>
    <row r="9613" spans="1:4" x14ac:dyDescent="0.3">
      <c r="A9613" s="1">
        <v>39881</v>
      </c>
      <c r="B9613">
        <v>1268.6400149999999</v>
      </c>
      <c r="C9613">
        <f t="shared" si="317"/>
        <v>-1.9484454509894448E-2</v>
      </c>
      <c r="D9613">
        <f t="shared" si="316"/>
        <v>-1.5958541921459284</v>
      </c>
    </row>
    <row r="9614" spans="1:4" x14ac:dyDescent="0.3">
      <c r="A9614" s="1">
        <v>39882</v>
      </c>
      <c r="B9614">
        <v>1358.280029</v>
      </c>
      <c r="C9614">
        <f t="shared" si="317"/>
        <v>7.0658352992278961E-2</v>
      </c>
      <c r="D9614">
        <f t="shared" si="316"/>
        <v>5.6151997385886583</v>
      </c>
    </row>
    <row r="9615" spans="1:4" x14ac:dyDescent="0.3">
      <c r="A9615" s="1">
        <v>39883</v>
      </c>
      <c r="B9615">
        <v>1371.6400149999999</v>
      </c>
      <c r="C9615">
        <f t="shared" si="317"/>
        <v>9.8359585024863343E-3</v>
      </c>
      <c r="D9615">
        <f t="shared" si="316"/>
        <v>0.74965828258581568</v>
      </c>
    </row>
    <row r="9616" spans="1:4" x14ac:dyDescent="0.3">
      <c r="A9616" s="1">
        <v>39884</v>
      </c>
      <c r="B9616">
        <v>1426.099976</v>
      </c>
      <c r="C9616">
        <f t="shared" si="317"/>
        <v>3.9704266720448529E-2</v>
      </c>
      <c r="D9616">
        <f t="shared" si="316"/>
        <v>3.1390001208055254</v>
      </c>
    </row>
    <row r="9617" spans="1:4" x14ac:dyDescent="0.3">
      <c r="A9617" s="1">
        <v>39885</v>
      </c>
      <c r="B9617">
        <v>1431.5</v>
      </c>
      <c r="C9617">
        <f t="shared" si="317"/>
        <v>3.786567625606657E-3</v>
      </c>
      <c r="D9617">
        <f t="shared" si="316"/>
        <v>0.26573188767936257</v>
      </c>
    </row>
    <row r="9618" spans="1:4" x14ac:dyDescent="0.3">
      <c r="A9618" s="1">
        <v>39888</v>
      </c>
      <c r="B9618">
        <v>1404.0200199999999</v>
      </c>
      <c r="C9618">
        <f t="shared" si="317"/>
        <v>-1.9196632902549821E-2</v>
      </c>
      <c r="D9618">
        <f t="shared" si="316"/>
        <v>-1.5728296470878795</v>
      </c>
    </row>
    <row r="9619" spans="1:4" x14ac:dyDescent="0.3">
      <c r="A9619" s="1">
        <v>39889</v>
      </c>
      <c r="B9619">
        <v>1462.1099850000001</v>
      </c>
      <c r="C9619">
        <f t="shared" si="317"/>
        <v>4.1374028982863166E-2</v>
      </c>
      <c r="D9619">
        <f t="shared" si="316"/>
        <v>3.2725742356952465</v>
      </c>
    </row>
    <row r="9620" spans="1:4" x14ac:dyDescent="0.3">
      <c r="A9620" s="1">
        <v>39890</v>
      </c>
      <c r="B9620">
        <v>1491.219971</v>
      </c>
      <c r="C9620">
        <f t="shared" si="317"/>
        <v>1.9909573355386075E-2</v>
      </c>
      <c r="D9620">
        <f t="shared" si="316"/>
        <v>1.5555060478660077</v>
      </c>
    </row>
    <row r="9621" spans="1:4" x14ac:dyDescent="0.3">
      <c r="A9621" s="1">
        <v>39891</v>
      </c>
      <c r="B9621">
        <v>1483.4799800000001</v>
      </c>
      <c r="C9621">
        <f t="shared" si="317"/>
        <v>-5.190375095908582E-3</v>
      </c>
      <c r="D9621">
        <f t="shared" si="316"/>
        <v>-0.45238661663281937</v>
      </c>
    </row>
    <row r="9622" spans="1:4" x14ac:dyDescent="0.3">
      <c r="A9622" s="1">
        <v>39892</v>
      </c>
      <c r="B9622">
        <v>1457.2700199999999</v>
      </c>
      <c r="C9622">
        <f t="shared" si="317"/>
        <v>-1.7667889255910375E-2</v>
      </c>
      <c r="D9622">
        <f t="shared" si="316"/>
        <v>-1.4505364415881605</v>
      </c>
    </row>
    <row r="9623" spans="1:4" x14ac:dyDescent="0.3">
      <c r="A9623" s="1">
        <v>39895</v>
      </c>
      <c r="B9623">
        <v>1555.7700199999999</v>
      </c>
      <c r="C9623">
        <f t="shared" si="317"/>
        <v>6.759214054235467E-2</v>
      </c>
      <c r="D9623">
        <f t="shared" si="316"/>
        <v>5.3699153509356465</v>
      </c>
    </row>
    <row r="9624" spans="1:4" x14ac:dyDescent="0.3">
      <c r="A9624" s="1">
        <v>39896</v>
      </c>
      <c r="B9624">
        <v>1516.5200199999999</v>
      </c>
      <c r="C9624">
        <f t="shared" si="317"/>
        <v>-2.5228664581157054E-2</v>
      </c>
      <c r="D9624">
        <f t="shared" si="316"/>
        <v>-2.0553673775139867</v>
      </c>
    </row>
    <row r="9625" spans="1:4" x14ac:dyDescent="0.3">
      <c r="A9625" s="1">
        <v>39897</v>
      </c>
      <c r="B9625">
        <v>1528.9499510000001</v>
      </c>
      <c r="C9625">
        <f t="shared" si="317"/>
        <v>8.1963514072172453E-3</v>
      </c>
      <c r="D9625">
        <f t="shared" si="316"/>
        <v>0.61849645706894985</v>
      </c>
    </row>
    <row r="9626" spans="1:4" x14ac:dyDescent="0.3">
      <c r="A9626" s="1">
        <v>39898</v>
      </c>
      <c r="B9626">
        <v>1587</v>
      </c>
      <c r="C9626">
        <f t="shared" si="317"/>
        <v>3.7967265679319767E-2</v>
      </c>
      <c r="D9626">
        <f t="shared" si="316"/>
        <v>3.0000471801061841</v>
      </c>
    </row>
    <row r="9627" spans="1:4" x14ac:dyDescent="0.3">
      <c r="A9627" s="1">
        <v>39899</v>
      </c>
      <c r="B9627">
        <v>1545.1999510000001</v>
      </c>
      <c r="C9627">
        <f t="shared" si="317"/>
        <v>-2.6339035286704438E-2</v>
      </c>
      <c r="D9627">
        <f t="shared" si="316"/>
        <v>-2.1441924680861542</v>
      </c>
    </row>
    <row r="9628" spans="1:4" x14ac:dyDescent="0.3">
      <c r="A9628" s="1">
        <v>39902</v>
      </c>
      <c r="B9628">
        <v>1501.8000489999999</v>
      </c>
      <c r="C9628">
        <f t="shared" si="317"/>
        <v>-2.8086916500297061E-2</v>
      </c>
      <c r="D9628">
        <f t="shared" si="316"/>
        <v>-2.2840157778430679</v>
      </c>
    </row>
    <row r="9629" spans="1:4" x14ac:dyDescent="0.3">
      <c r="A9629" s="1">
        <v>39903</v>
      </c>
      <c r="B9629">
        <v>1528.589966</v>
      </c>
      <c r="C9629">
        <f t="shared" si="317"/>
        <v>1.7838537838534896E-2</v>
      </c>
      <c r="D9629">
        <f t="shared" si="316"/>
        <v>1.3898317226668446</v>
      </c>
    </row>
    <row r="9630" spans="1:4" x14ac:dyDescent="0.3">
      <c r="A9630" s="1">
        <v>39904</v>
      </c>
      <c r="B9630">
        <v>1551.599976</v>
      </c>
      <c r="C9630">
        <f t="shared" si="317"/>
        <v>1.5053095016848988E-2</v>
      </c>
      <c r="D9630">
        <f t="shared" si="316"/>
        <v>1.1670077507412941</v>
      </c>
    </row>
    <row r="9631" spans="1:4" x14ac:dyDescent="0.3">
      <c r="A9631" s="1">
        <v>39905</v>
      </c>
      <c r="B9631">
        <v>1602.630005</v>
      </c>
      <c r="C9631">
        <f t="shared" si="317"/>
        <v>3.2888650289589857E-2</v>
      </c>
      <c r="D9631">
        <f t="shared" si="316"/>
        <v>2.5937788323190571</v>
      </c>
    </row>
    <row r="9632" spans="1:4" x14ac:dyDescent="0.3">
      <c r="A9632" s="1">
        <v>39906</v>
      </c>
      <c r="B9632">
        <v>1621.869995</v>
      </c>
      <c r="C9632">
        <f t="shared" si="317"/>
        <v>1.2005260066249687E-2</v>
      </c>
      <c r="D9632">
        <f t="shared" si="316"/>
        <v>0.92319348746555319</v>
      </c>
    </row>
    <row r="9633" spans="1:4" x14ac:dyDescent="0.3">
      <c r="A9633" s="1">
        <v>39909</v>
      </c>
      <c r="B9633">
        <v>1606.709961</v>
      </c>
      <c r="C9633">
        <f t="shared" si="317"/>
        <v>-9.3472559741140018E-3</v>
      </c>
      <c r="D9633">
        <f t="shared" si="316"/>
        <v>-0.78491999369294585</v>
      </c>
    </row>
    <row r="9634" spans="1:4" x14ac:dyDescent="0.3">
      <c r="A9634" s="1">
        <v>39910</v>
      </c>
      <c r="B9634">
        <v>1561.6099850000001</v>
      </c>
      <c r="C9634">
        <f t="shared" si="317"/>
        <v>-2.8069768094255296E-2</v>
      </c>
      <c r="D9634">
        <f t="shared" si="316"/>
        <v>-2.2826439758743935</v>
      </c>
    </row>
    <row r="9635" spans="1:4" x14ac:dyDescent="0.3">
      <c r="A9635" s="1">
        <v>39911</v>
      </c>
      <c r="B9635">
        <v>1590.660034</v>
      </c>
      <c r="C9635">
        <f t="shared" si="317"/>
        <v>1.860262759526345E-2</v>
      </c>
      <c r="D9635">
        <f t="shared" si="316"/>
        <v>1.4509557612492754</v>
      </c>
    </row>
    <row r="9636" spans="1:4" x14ac:dyDescent="0.3">
      <c r="A9636" s="1">
        <v>39912</v>
      </c>
      <c r="B9636">
        <v>1652.540039</v>
      </c>
      <c r="C9636">
        <f t="shared" si="317"/>
        <v>3.8902093267781178E-2</v>
      </c>
      <c r="D9636">
        <f t="shared" si="316"/>
        <v>3.0748295431490842</v>
      </c>
    </row>
    <row r="9637" spans="1:4" x14ac:dyDescent="0.3">
      <c r="A9637" s="1">
        <v>39916</v>
      </c>
      <c r="B9637">
        <v>1653.3100589999999</v>
      </c>
      <c r="C9637">
        <f t="shared" si="317"/>
        <v>4.6596147858898038E-4</v>
      </c>
      <c r="D9637">
        <f t="shared" si="316"/>
        <v>9.7050332013334307E-5</v>
      </c>
    </row>
    <row r="9638" spans="1:4" x14ac:dyDescent="0.3">
      <c r="A9638" s="1">
        <v>39917</v>
      </c>
      <c r="B9638">
        <v>1625.719971</v>
      </c>
      <c r="C9638">
        <f t="shared" si="317"/>
        <v>-1.6687788143433732E-2</v>
      </c>
      <c r="D9638">
        <f t="shared" si="316"/>
        <v>-1.372132382789885</v>
      </c>
    </row>
    <row r="9639" spans="1:4" x14ac:dyDescent="0.3">
      <c r="A9639" s="1">
        <v>39918</v>
      </c>
      <c r="B9639">
        <v>1626.8000489999999</v>
      </c>
      <c r="C9639">
        <f t="shared" si="317"/>
        <v>6.6436902988624088E-4</v>
      </c>
      <c r="D9639">
        <f t="shared" si="316"/>
        <v>1.5968838579068303E-2</v>
      </c>
    </row>
    <row r="9640" spans="1:4" x14ac:dyDescent="0.3">
      <c r="A9640" s="1">
        <v>39919</v>
      </c>
      <c r="B9640">
        <v>1670.4399410000001</v>
      </c>
      <c r="C9640">
        <f t="shared" si="317"/>
        <v>2.6825602831045986E-2</v>
      </c>
      <c r="D9640">
        <f t="shared" si="316"/>
        <v>2.1087599670356676</v>
      </c>
    </row>
    <row r="9641" spans="1:4" x14ac:dyDescent="0.3">
      <c r="A9641" s="1">
        <v>39920</v>
      </c>
      <c r="B9641">
        <v>1673.0699460000001</v>
      </c>
      <c r="C9641">
        <f t="shared" si="317"/>
        <v>1.5744385269101887E-3</v>
      </c>
      <c r="D9641">
        <f t="shared" si="316"/>
        <v>8.8770656112851676E-2</v>
      </c>
    </row>
    <row r="9642" spans="1:4" x14ac:dyDescent="0.3">
      <c r="A9642" s="1">
        <v>39923</v>
      </c>
      <c r="B9642">
        <v>1608.209961</v>
      </c>
      <c r="C9642">
        <f t="shared" si="317"/>
        <v>-3.876704925282308E-2</v>
      </c>
      <c r="D9642">
        <f t="shared" si="316"/>
        <v>-3.1383824810768561</v>
      </c>
    </row>
    <row r="9643" spans="1:4" x14ac:dyDescent="0.3">
      <c r="A9643" s="1">
        <v>39924</v>
      </c>
      <c r="B9643">
        <v>1643.849976</v>
      </c>
      <c r="C9643">
        <f t="shared" si="317"/>
        <v>2.2161294771385853E-2</v>
      </c>
      <c r="D9643">
        <f t="shared" si="316"/>
        <v>1.7356345020122019</v>
      </c>
    </row>
    <row r="9644" spans="1:4" x14ac:dyDescent="0.3">
      <c r="A9644" s="1">
        <v>39925</v>
      </c>
      <c r="B9644">
        <v>1646.119995</v>
      </c>
      <c r="C9644">
        <f t="shared" si="317"/>
        <v>1.3809161621449861E-3</v>
      </c>
      <c r="D9644">
        <f t="shared" si="316"/>
        <v>7.328966270035428E-2</v>
      </c>
    </row>
    <row r="9645" spans="1:4" x14ac:dyDescent="0.3">
      <c r="A9645" s="1">
        <v>39926</v>
      </c>
      <c r="B9645">
        <v>1652.209961</v>
      </c>
      <c r="C9645">
        <f t="shared" si="317"/>
        <v>3.6995881336099098E-3</v>
      </c>
      <c r="D9645">
        <f t="shared" si="316"/>
        <v>0.25877388598143097</v>
      </c>
    </row>
    <row r="9646" spans="1:4" x14ac:dyDescent="0.3">
      <c r="A9646" s="1">
        <v>39927</v>
      </c>
      <c r="B9646">
        <v>1694.290039</v>
      </c>
      <c r="C9646">
        <f t="shared" si="317"/>
        <v>2.5468965200119598E-2</v>
      </c>
      <c r="D9646">
        <f t="shared" si="316"/>
        <v>2.0002345350888282</v>
      </c>
    </row>
    <row r="9647" spans="1:4" x14ac:dyDescent="0.3">
      <c r="A9647" s="1">
        <v>39930</v>
      </c>
      <c r="B9647">
        <v>1679.410034</v>
      </c>
      <c r="C9647">
        <f t="shared" si="317"/>
        <v>-8.7824425909878018E-3</v>
      </c>
      <c r="D9647">
        <f t="shared" si="316"/>
        <v>-0.73973724556935883</v>
      </c>
    </row>
    <row r="9648" spans="1:4" x14ac:dyDescent="0.3">
      <c r="A9648" s="1">
        <v>39931</v>
      </c>
      <c r="B9648">
        <v>1673.8100589999999</v>
      </c>
      <c r="C9648">
        <f t="shared" si="317"/>
        <v>-3.334489425826597E-3</v>
      </c>
      <c r="D9648">
        <f t="shared" si="316"/>
        <v>-0.30392339447373562</v>
      </c>
    </row>
    <row r="9649" spans="1:4" x14ac:dyDescent="0.3">
      <c r="A9649" s="1">
        <v>39932</v>
      </c>
      <c r="B9649">
        <v>1711.9399410000001</v>
      </c>
      <c r="C9649">
        <f t="shared" si="317"/>
        <v>2.2780292061800891E-2</v>
      </c>
      <c r="D9649">
        <f t="shared" si="316"/>
        <v>1.7851517399133379</v>
      </c>
    </row>
    <row r="9650" spans="1:4" x14ac:dyDescent="0.3">
      <c r="A9650" s="1">
        <v>39933</v>
      </c>
      <c r="B9650">
        <v>1717.3000489999999</v>
      </c>
      <c r="C9650">
        <f t="shared" si="317"/>
        <v>3.1310140453109825E-3</v>
      </c>
      <c r="D9650">
        <f t="shared" si="316"/>
        <v>0.21329029690813794</v>
      </c>
    </row>
    <row r="9651" spans="1:4" x14ac:dyDescent="0.3">
      <c r="A9651" s="1">
        <v>39934</v>
      </c>
      <c r="B9651">
        <v>1719.1999510000001</v>
      </c>
      <c r="C9651">
        <f t="shared" si="317"/>
        <v>1.106330836656321E-3</v>
      </c>
      <c r="D9651">
        <f t="shared" si="316"/>
        <v>5.1323965762866137E-2</v>
      </c>
    </row>
    <row r="9652" spans="1:4" x14ac:dyDescent="0.3">
      <c r="A9652" s="1">
        <v>39937</v>
      </c>
      <c r="B9652">
        <v>1763.5600589999999</v>
      </c>
      <c r="C9652">
        <f t="shared" si="317"/>
        <v>2.580276248507167E-2</v>
      </c>
      <c r="D9652">
        <f t="shared" si="316"/>
        <v>2.0269369453023565</v>
      </c>
    </row>
    <row r="9653" spans="1:4" x14ac:dyDescent="0.3">
      <c r="A9653" s="1">
        <v>39938</v>
      </c>
      <c r="B9653">
        <v>1754.119995</v>
      </c>
      <c r="C9653">
        <f t="shared" si="317"/>
        <v>-5.3528452018542193E-3</v>
      </c>
      <c r="D9653">
        <f t="shared" si="316"/>
        <v>-0.46538355702740275</v>
      </c>
    </row>
    <row r="9654" spans="1:4" x14ac:dyDescent="0.3">
      <c r="A9654" s="1">
        <v>39939</v>
      </c>
      <c r="B9654">
        <v>1759.099976</v>
      </c>
      <c r="C9654">
        <f t="shared" si="317"/>
        <v>2.839019573458515E-3</v>
      </c>
      <c r="D9654">
        <f t="shared" si="316"/>
        <v>0.18993193984838319</v>
      </c>
    </row>
    <row r="9655" spans="1:4" x14ac:dyDescent="0.3">
      <c r="A9655" s="1">
        <v>39940</v>
      </c>
      <c r="B9655">
        <v>1716.23999</v>
      </c>
      <c r="C9655">
        <f t="shared" si="317"/>
        <v>-2.436472433901047E-2</v>
      </c>
      <c r="D9655">
        <f t="shared" si="316"/>
        <v>-1.986255710685763</v>
      </c>
    </row>
    <row r="9656" spans="1:4" x14ac:dyDescent="0.3">
      <c r="A9656" s="1">
        <v>39941</v>
      </c>
      <c r="B9656">
        <v>1739</v>
      </c>
      <c r="C9656">
        <f t="shared" si="317"/>
        <v>1.3261554405336964E-2</v>
      </c>
      <c r="D9656">
        <f t="shared" si="316"/>
        <v>1.0236918686793455</v>
      </c>
    </row>
    <row r="9657" spans="1:4" x14ac:dyDescent="0.3">
      <c r="A9657" s="1">
        <v>39944</v>
      </c>
      <c r="B9657">
        <v>1731.23999</v>
      </c>
      <c r="C9657">
        <f t="shared" si="317"/>
        <v>-4.4623404255318948E-3</v>
      </c>
      <c r="D9657">
        <f t="shared" si="316"/>
        <v>-0.39414683669913703</v>
      </c>
    </row>
    <row r="9658" spans="1:4" x14ac:dyDescent="0.3">
      <c r="A9658" s="1">
        <v>39945</v>
      </c>
      <c r="B9658">
        <v>1715.920044</v>
      </c>
      <c r="C9658">
        <f t="shared" si="317"/>
        <v>-8.8491174467383183E-3</v>
      </c>
      <c r="D9658">
        <f t="shared" si="316"/>
        <v>-0.74507095986075511</v>
      </c>
    </row>
    <row r="9659" spans="1:4" x14ac:dyDescent="0.3">
      <c r="A9659" s="1">
        <v>39946</v>
      </c>
      <c r="B9659">
        <v>1664.1899410000001</v>
      </c>
      <c r="C9659">
        <f t="shared" si="317"/>
        <v>-3.0147152357642062E-2</v>
      </c>
      <c r="D9659">
        <f t="shared" si="316"/>
        <v>-2.4488261746902018</v>
      </c>
    </row>
    <row r="9660" spans="1:4" x14ac:dyDescent="0.3">
      <c r="A9660" s="1">
        <v>39947</v>
      </c>
      <c r="B9660">
        <v>1689.209961</v>
      </c>
      <c r="C9660">
        <f t="shared" si="317"/>
        <v>1.5034353581638389E-2</v>
      </c>
      <c r="D9660">
        <f t="shared" si="316"/>
        <v>1.1655085129896883</v>
      </c>
    </row>
    <row r="9661" spans="1:4" x14ac:dyDescent="0.3">
      <c r="A9661" s="1">
        <v>39948</v>
      </c>
      <c r="B9661">
        <v>1680.1400149999999</v>
      </c>
      <c r="C9661">
        <f t="shared" si="317"/>
        <v>-5.3693420056739015E-3</v>
      </c>
      <c r="D9661">
        <f t="shared" si="316"/>
        <v>-0.4667032334977147</v>
      </c>
    </row>
    <row r="9662" spans="1:4" x14ac:dyDescent="0.3">
      <c r="A9662" s="1">
        <v>39951</v>
      </c>
      <c r="B9662">
        <v>1732.3599850000001</v>
      </c>
      <c r="C9662">
        <f t="shared" si="317"/>
        <v>3.1080725138255876E-2</v>
      </c>
      <c r="D9662">
        <f t="shared" si="316"/>
        <v>2.4491522544449817</v>
      </c>
    </row>
    <row r="9663" spans="1:4" x14ac:dyDescent="0.3">
      <c r="A9663" s="1">
        <v>39952</v>
      </c>
      <c r="B9663">
        <v>1734.540039</v>
      </c>
      <c r="C9663">
        <f t="shared" si="317"/>
        <v>1.2584301293474677E-3</v>
      </c>
      <c r="D9663">
        <f t="shared" si="316"/>
        <v>6.3491283742129201E-2</v>
      </c>
    </row>
    <row r="9664" spans="1:4" x14ac:dyDescent="0.3">
      <c r="A9664" s="1">
        <v>39953</v>
      </c>
      <c r="B9664">
        <v>1727.839966</v>
      </c>
      <c r="C9664">
        <f t="shared" si="317"/>
        <v>-3.862737584231675E-3</v>
      </c>
      <c r="D9664">
        <f t="shared" si="316"/>
        <v>-0.34618107497673528</v>
      </c>
    </row>
    <row r="9665" spans="1:4" x14ac:dyDescent="0.3">
      <c r="A9665" s="1">
        <v>39954</v>
      </c>
      <c r="B9665">
        <v>1695.25</v>
      </c>
      <c r="C9665">
        <f t="shared" si="317"/>
        <v>-1.8861680850829447E-2</v>
      </c>
      <c r="D9665">
        <f t="shared" si="316"/>
        <v>-1.5460348602813161</v>
      </c>
    </row>
    <row r="9666" spans="1:4" x14ac:dyDescent="0.3">
      <c r="A9666" s="1">
        <v>39955</v>
      </c>
      <c r="B9666">
        <v>1692.01001</v>
      </c>
      <c r="C9666">
        <f t="shared" si="317"/>
        <v>-1.9112166347146642E-3</v>
      </c>
      <c r="D9666">
        <f t="shared" si="316"/>
        <v>-0.19006742371746829</v>
      </c>
    </row>
    <row r="9667" spans="1:4" x14ac:dyDescent="0.3">
      <c r="A9667" s="1">
        <v>39959</v>
      </c>
      <c r="B9667">
        <v>1750.4300539999999</v>
      </c>
      <c r="C9667">
        <f t="shared" si="317"/>
        <v>3.4527008501563157E-2</v>
      </c>
      <c r="D9667">
        <f t="shared" ref="D9667:D9730" si="318">(C9667-avrtn)/sdrtn</f>
        <v>2.7248407523076987</v>
      </c>
    </row>
    <row r="9668" spans="1:4" x14ac:dyDescent="0.3">
      <c r="A9668" s="1">
        <v>39960</v>
      </c>
      <c r="B9668">
        <v>1731.079956</v>
      </c>
      <c r="C9668">
        <f t="shared" ref="C9668:C9731" si="319">(B9668-B9667)/B9667</f>
        <v>-1.1054482271817694E-2</v>
      </c>
      <c r="D9668">
        <f t="shared" si="318"/>
        <v>-0.92149107735275793</v>
      </c>
    </row>
    <row r="9669" spans="1:4" x14ac:dyDescent="0.3">
      <c r="A9669" s="1">
        <v>39961</v>
      </c>
      <c r="B9669">
        <v>1751.790039</v>
      </c>
      <c r="C9669">
        <f t="shared" si="319"/>
        <v>1.1963677892646074E-2</v>
      </c>
      <c r="D9669">
        <f t="shared" si="318"/>
        <v>0.91986708456418376</v>
      </c>
    </row>
    <row r="9670" spans="1:4" x14ac:dyDescent="0.3">
      <c r="A9670" s="1">
        <v>39962</v>
      </c>
      <c r="B9670">
        <v>1774.329956</v>
      </c>
      <c r="C9670">
        <f t="shared" si="319"/>
        <v>1.2866791395198737E-2</v>
      </c>
      <c r="D9670">
        <f t="shared" si="318"/>
        <v>0.99211245114348456</v>
      </c>
    </row>
    <row r="9671" spans="1:4" x14ac:dyDescent="0.3">
      <c r="A9671" s="1">
        <v>39965</v>
      </c>
      <c r="B9671">
        <v>1828.6800539999999</v>
      </c>
      <c r="C9671">
        <f t="shared" si="319"/>
        <v>3.0631336531411122E-2</v>
      </c>
      <c r="D9671">
        <f t="shared" si="318"/>
        <v>2.4132030137943947</v>
      </c>
    </row>
    <row r="9672" spans="1:4" x14ac:dyDescent="0.3">
      <c r="A9672" s="1">
        <v>39966</v>
      </c>
      <c r="B9672">
        <v>1836.8000489999999</v>
      </c>
      <c r="C9672">
        <f t="shared" si="319"/>
        <v>4.4403584882104358E-3</v>
      </c>
      <c r="D9672">
        <f t="shared" si="318"/>
        <v>0.31803246828357401</v>
      </c>
    </row>
    <row r="9673" spans="1:4" x14ac:dyDescent="0.3">
      <c r="A9673" s="1">
        <v>39967</v>
      </c>
      <c r="B9673">
        <v>1825.920044</v>
      </c>
      <c r="C9673">
        <f t="shared" si="319"/>
        <v>-5.9233475118444876E-3</v>
      </c>
      <c r="D9673">
        <f t="shared" si="318"/>
        <v>-0.51102139590710816</v>
      </c>
    </row>
    <row r="9674" spans="1:4" x14ac:dyDescent="0.3">
      <c r="A9674" s="1">
        <v>39968</v>
      </c>
      <c r="B9674">
        <v>1850.0200199999999</v>
      </c>
      <c r="C9674">
        <f t="shared" si="319"/>
        <v>1.3198812335289732E-2</v>
      </c>
      <c r="D9674">
        <f t="shared" si="318"/>
        <v>1.0186727610725006</v>
      </c>
    </row>
    <row r="9675" spans="1:4" x14ac:dyDescent="0.3">
      <c r="A9675" s="1">
        <v>39969</v>
      </c>
      <c r="B9675">
        <v>1849.420044</v>
      </c>
      <c r="C9675">
        <f t="shared" si="319"/>
        <v>-3.2430784181458193E-4</v>
      </c>
      <c r="D9675">
        <f t="shared" si="318"/>
        <v>-6.3121245693408989E-2</v>
      </c>
    </row>
    <row r="9676" spans="1:4" x14ac:dyDescent="0.3">
      <c r="A9676" s="1">
        <v>39972</v>
      </c>
      <c r="B9676">
        <v>1842.400024</v>
      </c>
      <c r="C9676">
        <f t="shared" si="319"/>
        <v>-3.7957953482632045E-3</v>
      </c>
      <c r="D9676">
        <f t="shared" si="318"/>
        <v>-0.34082597136737669</v>
      </c>
    </row>
    <row r="9677" spans="1:4" x14ac:dyDescent="0.3">
      <c r="A9677" s="1">
        <v>39973</v>
      </c>
      <c r="B9677">
        <v>1860.130005</v>
      </c>
      <c r="C9677">
        <f t="shared" si="319"/>
        <v>9.6233069740776084E-3</v>
      </c>
      <c r="D9677">
        <f t="shared" si="318"/>
        <v>0.73264703474142734</v>
      </c>
    </row>
    <row r="9678" spans="1:4" x14ac:dyDescent="0.3">
      <c r="A9678" s="1">
        <v>39974</v>
      </c>
      <c r="B9678">
        <v>1853.079956</v>
      </c>
      <c r="C9678">
        <f t="shared" si="319"/>
        <v>-3.7900840161975368E-3</v>
      </c>
      <c r="D9678">
        <f t="shared" si="318"/>
        <v>-0.34036908828726109</v>
      </c>
    </row>
    <row r="9679" spans="1:4" x14ac:dyDescent="0.3">
      <c r="A9679" s="1">
        <v>39975</v>
      </c>
      <c r="B9679">
        <v>1862.369995</v>
      </c>
      <c r="C9679">
        <f t="shared" si="319"/>
        <v>5.0132963609693148E-3</v>
      </c>
      <c r="D9679">
        <f t="shared" si="318"/>
        <v>0.36386514216967425</v>
      </c>
    </row>
    <row r="9680" spans="1:4" x14ac:dyDescent="0.3">
      <c r="A9680" s="1">
        <v>39976</v>
      </c>
      <c r="B9680">
        <v>1858.8000489999999</v>
      </c>
      <c r="C9680">
        <f t="shared" si="319"/>
        <v>-1.9168833312308989E-3</v>
      </c>
      <c r="D9680">
        <f t="shared" si="318"/>
        <v>-0.1905207361371718</v>
      </c>
    </row>
    <row r="9681" spans="1:4" x14ac:dyDescent="0.3">
      <c r="A9681" s="1">
        <v>39979</v>
      </c>
      <c r="B9681">
        <v>1816.380005</v>
      </c>
      <c r="C9681">
        <f t="shared" si="319"/>
        <v>-2.2821198021175628E-2</v>
      </c>
      <c r="D9681">
        <f t="shared" si="318"/>
        <v>-1.8627799522771196</v>
      </c>
    </row>
    <row r="9682" spans="1:4" x14ac:dyDescent="0.3">
      <c r="A9682" s="1">
        <v>39980</v>
      </c>
      <c r="B9682">
        <v>1796.1800539999999</v>
      </c>
      <c r="C9682">
        <f t="shared" si="319"/>
        <v>-1.1120993924396375E-2</v>
      </c>
      <c r="D9682">
        <f t="shared" si="318"/>
        <v>-0.9268117360615028</v>
      </c>
    </row>
    <row r="9683" spans="1:4" x14ac:dyDescent="0.3">
      <c r="A9683" s="1">
        <v>39981</v>
      </c>
      <c r="B9683">
        <v>1808.0600589999999</v>
      </c>
      <c r="C9683">
        <f t="shared" si="319"/>
        <v>6.6140390399859004E-3</v>
      </c>
      <c r="D9683">
        <f t="shared" si="318"/>
        <v>0.49191797419777428</v>
      </c>
    </row>
    <row r="9684" spans="1:4" x14ac:dyDescent="0.3">
      <c r="A9684" s="1">
        <v>39982</v>
      </c>
      <c r="B9684">
        <v>1807.719971</v>
      </c>
      <c r="C9684">
        <f t="shared" si="319"/>
        <v>-1.8809552166536929E-4</v>
      </c>
      <c r="D9684">
        <f t="shared" si="318"/>
        <v>-5.2224820189879208E-2</v>
      </c>
    </row>
    <row r="9685" spans="1:4" x14ac:dyDescent="0.3">
      <c r="A9685" s="1">
        <v>39983</v>
      </c>
      <c r="B9685">
        <v>1827.469971</v>
      </c>
      <c r="C9685">
        <f t="shared" si="319"/>
        <v>1.0925364722874991E-2</v>
      </c>
      <c r="D9685">
        <f t="shared" si="318"/>
        <v>0.83680630055176286</v>
      </c>
    </row>
    <row r="9686" spans="1:4" x14ac:dyDescent="0.3">
      <c r="A9686" s="1">
        <v>39986</v>
      </c>
      <c r="B9686">
        <v>1766.1899410000001</v>
      </c>
      <c r="C9686">
        <f t="shared" si="319"/>
        <v>-3.3532715159454676E-2</v>
      </c>
      <c r="D9686">
        <f t="shared" si="318"/>
        <v>-2.7196572773177849</v>
      </c>
    </row>
    <row r="9687" spans="1:4" x14ac:dyDescent="0.3">
      <c r="A9687" s="1">
        <v>39987</v>
      </c>
      <c r="B9687">
        <v>1764.920044</v>
      </c>
      <c r="C9687">
        <f t="shared" si="319"/>
        <v>-7.1900364197585937E-4</v>
      </c>
      <c r="D9687">
        <f t="shared" si="318"/>
        <v>-9.4695286707483117E-2</v>
      </c>
    </row>
    <row r="9688" spans="1:4" x14ac:dyDescent="0.3">
      <c r="A9688" s="1">
        <v>39988</v>
      </c>
      <c r="B9688">
        <v>1792.339966</v>
      </c>
      <c r="C9688">
        <f t="shared" si="319"/>
        <v>1.5536070369429179E-2</v>
      </c>
      <c r="D9688">
        <f t="shared" si="318"/>
        <v>1.2056437929411927</v>
      </c>
    </row>
    <row r="9689" spans="1:4" x14ac:dyDescent="0.3">
      <c r="A9689" s="1">
        <v>39989</v>
      </c>
      <c r="B9689">
        <v>1829.540039</v>
      </c>
      <c r="C9689">
        <f t="shared" si="319"/>
        <v>2.0755031805165903E-2</v>
      </c>
      <c r="D9689">
        <f t="shared" si="318"/>
        <v>1.6231392473024753</v>
      </c>
    </row>
    <row r="9690" spans="1:4" x14ac:dyDescent="0.3">
      <c r="A9690" s="1">
        <v>39990</v>
      </c>
      <c r="B9690">
        <v>1838.219971</v>
      </c>
      <c r="C9690">
        <f t="shared" si="319"/>
        <v>4.7443247018219576E-3</v>
      </c>
      <c r="D9690">
        <f t="shared" si="318"/>
        <v>0.34234851545595685</v>
      </c>
    </row>
    <row r="9691" spans="1:4" x14ac:dyDescent="0.3">
      <c r="A9691" s="1">
        <v>39993</v>
      </c>
      <c r="B9691">
        <v>1844.0600589999999</v>
      </c>
      <c r="C9691">
        <f t="shared" si="319"/>
        <v>3.1770343550466861E-3</v>
      </c>
      <c r="D9691">
        <f t="shared" si="318"/>
        <v>0.21697173245034987</v>
      </c>
    </row>
    <row r="9692" spans="1:4" x14ac:dyDescent="0.3">
      <c r="A9692" s="1">
        <v>39994</v>
      </c>
      <c r="B9692">
        <v>1835.040039</v>
      </c>
      <c r="C9692">
        <f t="shared" si="319"/>
        <v>-4.8913916637245121E-3</v>
      </c>
      <c r="D9692">
        <f t="shared" si="318"/>
        <v>-0.42846917148531305</v>
      </c>
    </row>
    <row r="9693" spans="1:4" x14ac:dyDescent="0.3">
      <c r="A9693" s="1">
        <v>39995</v>
      </c>
      <c r="B9693">
        <v>1845.719971</v>
      </c>
      <c r="C9693">
        <f t="shared" si="319"/>
        <v>5.8199994403500908E-3</v>
      </c>
      <c r="D9693">
        <f t="shared" si="318"/>
        <v>0.42839807133725299</v>
      </c>
    </row>
    <row r="9694" spans="1:4" x14ac:dyDescent="0.3">
      <c r="A9694" s="1">
        <v>39996</v>
      </c>
      <c r="B9694">
        <v>1796.5200199999999</v>
      </c>
      <c r="C9694">
        <f t="shared" si="319"/>
        <v>-2.6656238093010293E-2</v>
      </c>
      <c r="D9694">
        <f t="shared" si="318"/>
        <v>-2.1695673882448894</v>
      </c>
    </row>
    <row r="9695" spans="1:4" x14ac:dyDescent="0.3">
      <c r="A9695" s="1">
        <v>40000</v>
      </c>
      <c r="B9695">
        <v>1787.400024</v>
      </c>
      <c r="C9695">
        <f t="shared" si="319"/>
        <v>-5.076478913939351E-3</v>
      </c>
      <c r="D9695">
        <f t="shared" si="318"/>
        <v>-0.44327539041917963</v>
      </c>
    </row>
    <row r="9696" spans="1:4" x14ac:dyDescent="0.3">
      <c r="A9696" s="1">
        <v>40001</v>
      </c>
      <c r="B9696">
        <v>1746.170044</v>
      </c>
      <c r="C9696">
        <f t="shared" si="319"/>
        <v>-2.306701322949074E-2</v>
      </c>
      <c r="D9696">
        <f t="shared" si="318"/>
        <v>-1.8824441581441522</v>
      </c>
    </row>
    <row r="9697" spans="1:4" x14ac:dyDescent="0.3">
      <c r="A9697" s="1">
        <v>40002</v>
      </c>
      <c r="B9697">
        <v>1747.170044</v>
      </c>
      <c r="C9697">
        <f t="shared" si="319"/>
        <v>5.7268191230063273E-4</v>
      </c>
      <c r="D9697">
        <f t="shared" si="318"/>
        <v>8.6342461918999455E-3</v>
      </c>
    </row>
    <row r="9698" spans="1:4" x14ac:dyDescent="0.3">
      <c r="A9698" s="1">
        <v>40003</v>
      </c>
      <c r="B9698">
        <v>1752.5500489999999</v>
      </c>
      <c r="C9698">
        <f t="shared" si="319"/>
        <v>3.0792681104369842E-3</v>
      </c>
      <c r="D9698">
        <f t="shared" si="318"/>
        <v>0.2091508348987737</v>
      </c>
    </row>
    <row r="9699" spans="1:4" x14ac:dyDescent="0.3">
      <c r="A9699" s="1">
        <v>40004</v>
      </c>
      <c r="B9699">
        <v>1756.030029</v>
      </c>
      <c r="C9699">
        <f t="shared" si="319"/>
        <v>1.985666544579275E-3</v>
      </c>
      <c r="D9699">
        <f t="shared" si="318"/>
        <v>0.12166720654666592</v>
      </c>
    </row>
    <row r="9700" spans="1:4" x14ac:dyDescent="0.3">
      <c r="A9700" s="1">
        <v>40007</v>
      </c>
      <c r="B9700">
        <v>1793.209961</v>
      </c>
      <c r="C9700">
        <f t="shared" si="319"/>
        <v>2.1172719934164638E-2</v>
      </c>
      <c r="D9700">
        <f t="shared" si="318"/>
        <v>1.656552580078525</v>
      </c>
    </row>
    <row r="9701" spans="1:4" x14ac:dyDescent="0.3">
      <c r="A9701" s="1">
        <v>40008</v>
      </c>
      <c r="B9701">
        <v>1799.7299800000001</v>
      </c>
      <c r="C9701">
        <f t="shared" si="319"/>
        <v>3.6359484621444433E-3</v>
      </c>
      <c r="D9701">
        <f t="shared" si="318"/>
        <v>0.25368297395208639</v>
      </c>
    </row>
    <row r="9702" spans="1:4" x14ac:dyDescent="0.3">
      <c r="A9702" s="1">
        <v>40009</v>
      </c>
      <c r="B9702">
        <v>1862.900024</v>
      </c>
      <c r="C9702">
        <f t="shared" si="319"/>
        <v>3.5099734239021768E-2</v>
      </c>
      <c r="D9702">
        <f t="shared" si="318"/>
        <v>2.770656456242083</v>
      </c>
    </row>
    <row r="9703" spans="1:4" x14ac:dyDescent="0.3">
      <c r="A9703" s="1">
        <v>40010</v>
      </c>
      <c r="B9703">
        <v>1885.030029</v>
      </c>
      <c r="C9703">
        <f t="shared" si="319"/>
        <v>1.1879330460516428E-2</v>
      </c>
      <c r="D9703">
        <f t="shared" si="318"/>
        <v>0.91311963683252539</v>
      </c>
    </row>
    <row r="9704" spans="1:4" x14ac:dyDescent="0.3">
      <c r="A9704" s="1">
        <v>40011</v>
      </c>
      <c r="B9704">
        <v>1886.6099850000001</v>
      </c>
      <c r="C9704">
        <f t="shared" si="319"/>
        <v>8.3815959199238751E-4</v>
      </c>
      <c r="D9704">
        <f t="shared" si="318"/>
        <v>2.9871368916498563E-2</v>
      </c>
    </row>
    <row r="9705" spans="1:4" x14ac:dyDescent="0.3">
      <c r="A9705" s="1">
        <v>40014</v>
      </c>
      <c r="B9705">
        <v>1909.290039</v>
      </c>
      <c r="C9705">
        <f t="shared" si="319"/>
        <v>1.2021591203440984E-2</v>
      </c>
      <c r="D9705">
        <f t="shared" si="318"/>
        <v>0.92449991128681963</v>
      </c>
    </row>
    <row r="9706" spans="1:4" x14ac:dyDescent="0.3">
      <c r="A9706" s="1">
        <v>40015</v>
      </c>
      <c r="B9706">
        <v>1916.1999510000001</v>
      </c>
      <c r="C9706">
        <f t="shared" si="319"/>
        <v>3.6191002199012032E-3</v>
      </c>
      <c r="D9706">
        <f t="shared" si="318"/>
        <v>0.25233518385301323</v>
      </c>
    </row>
    <row r="9707" spans="1:4" x14ac:dyDescent="0.3">
      <c r="A9707" s="1">
        <v>40016</v>
      </c>
      <c r="B9707">
        <v>1926.380005</v>
      </c>
      <c r="C9707">
        <f t="shared" si="319"/>
        <v>5.3126261665372137E-3</v>
      </c>
      <c r="D9707">
        <f t="shared" si="318"/>
        <v>0.38781029576359105</v>
      </c>
    </row>
    <row r="9708" spans="1:4" x14ac:dyDescent="0.3">
      <c r="A9708" s="1">
        <v>40017</v>
      </c>
      <c r="B9708">
        <v>1973.599976</v>
      </c>
      <c r="C9708">
        <f t="shared" si="319"/>
        <v>2.4512282559743442E-2</v>
      </c>
      <c r="D9708">
        <f t="shared" si="318"/>
        <v>1.9237038577612589</v>
      </c>
    </row>
    <row r="9709" spans="1:4" x14ac:dyDescent="0.3">
      <c r="A9709" s="1">
        <v>40018</v>
      </c>
      <c r="B9709">
        <v>1965.959961</v>
      </c>
      <c r="C9709">
        <f t="shared" si="319"/>
        <v>-3.871106147601589E-3</v>
      </c>
      <c r="D9709">
        <f t="shared" si="318"/>
        <v>-0.34685052563459023</v>
      </c>
    </row>
    <row r="9710" spans="1:4" x14ac:dyDescent="0.3">
      <c r="A9710" s="1">
        <v>40021</v>
      </c>
      <c r="B9710">
        <v>1967.8900149999999</v>
      </c>
      <c r="C9710">
        <f t="shared" si="319"/>
        <v>9.8173616873570052E-4</v>
      </c>
      <c r="D9710">
        <f t="shared" si="318"/>
        <v>4.1356904665552321E-2</v>
      </c>
    </row>
    <row r="9711" spans="1:4" x14ac:dyDescent="0.3">
      <c r="A9711" s="1">
        <v>40022</v>
      </c>
      <c r="B9711">
        <v>1975.51001</v>
      </c>
      <c r="C9711">
        <f t="shared" si="319"/>
        <v>3.8721650813396792E-3</v>
      </c>
      <c r="D9711">
        <f t="shared" si="318"/>
        <v>0.27257933215916325</v>
      </c>
    </row>
    <row r="9712" spans="1:4" x14ac:dyDescent="0.3">
      <c r="A9712" s="1">
        <v>40023</v>
      </c>
      <c r="B9712">
        <v>1967.76001</v>
      </c>
      <c r="C9712">
        <f t="shared" si="319"/>
        <v>-3.9230375754967699E-3</v>
      </c>
      <c r="D9712">
        <f t="shared" si="318"/>
        <v>-0.3510048263228972</v>
      </c>
    </row>
    <row r="9713" spans="1:4" x14ac:dyDescent="0.3">
      <c r="A9713" s="1">
        <v>40024</v>
      </c>
      <c r="B9713">
        <v>1984.3000489999999</v>
      </c>
      <c r="C9713">
        <f t="shared" si="319"/>
        <v>8.4055163820510714E-3</v>
      </c>
      <c r="D9713">
        <f t="shared" si="318"/>
        <v>0.63522879496414031</v>
      </c>
    </row>
    <row r="9714" spans="1:4" x14ac:dyDescent="0.3">
      <c r="A9714" s="1">
        <v>40025</v>
      </c>
      <c r="B9714">
        <v>1978.5</v>
      </c>
      <c r="C9714">
        <f t="shared" si="319"/>
        <v>-2.9229697408529091E-3</v>
      </c>
      <c r="D9714">
        <f t="shared" si="318"/>
        <v>-0.27100351185489641</v>
      </c>
    </row>
    <row r="9715" spans="1:4" x14ac:dyDescent="0.3">
      <c r="A9715" s="1">
        <v>40028</v>
      </c>
      <c r="B9715">
        <v>2008.6099850000001</v>
      </c>
      <c r="C9715">
        <f t="shared" si="319"/>
        <v>1.5218592367955548E-2</v>
      </c>
      <c r="D9715">
        <f t="shared" si="318"/>
        <v>1.1802468583006449</v>
      </c>
    </row>
    <row r="9716" spans="1:4" x14ac:dyDescent="0.3">
      <c r="A9716" s="1">
        <v>40029</v>
      </c>
      <c r="B9716">
        <v>2011.3100589999999</v>
      </c>
      <c r="C9716">
        <f t="shared" si="319"/>
        <v>1.3442500137725137E-3</v>
      </c>
      <c r="D9716">
        <f t="shared" si="318"/>
        <v>7.0356521602659497E-2</v>
      </c>
    </row>
    <row r="9717" spans="1:4" x14ac:dyDescent="0.3">
      <c r="A9717" s="1">
        <v>40030</v>
      </c>
      <c r="B9717">
        <v>1993.0500489999999</v>
      </c>
      <c r="C9717">
        <f t="shared" si="319"/>
        <v>-9.0786648822701321E-3</v>
      </c>
      <c r="D9717">
        <f t="shared" si="318"/>
        <v>-0.76343381079860528</v>
      </c>
    </row>
    <row r="9718" spans="1:4" x14ac:dyDescent="0.3">
      <c r="A9718" s="1">
        <v>40031</v>
      </c>
      <c r="B9718">
        <v>1973.160034</v>
      </c>
      <c r="C9718">
        <f t="shared" si="319"/>
        <v>-9.9796866666643103E-3</v>
      </c>
      <c r="D9718">
        <f t="shared" si="318"/>
        <v>-0.83551184852642368</v>
      </c>
    </row>
    <row r="9719" spans="1:4" x14ac:dyDescent="0.3">
      <c r="A9719" s="1">
        <v>40032</v>
      </c>
      <c r="B9719">
        <v>2000.25</v>
      </c>
      <c r="C9719">
        <f t="shared" si="319"/>
        <v>1.3729229020052209E-2</v>
      </c>
      <c r="D9719">
        <f t="shared" si="318"/>
        <v>1.0611039147670585</v>
      </c>
    </row>
    <row r="9720" spans="1:4" x14ac:dyDescent="0.3">
      <c r="A9720" s="1">
        <v>40035</v>
      </c>
      <c r="B9720">
        <v>1992.23999</v>
      </c>
      <c r="C9720">
        <f t="shared" si="319"/>
        <v>-4.0045044369453643E-3</v>
      </c>
      <c r="D9720">
        <f t="shared" si="318"/>
        <v>-0.35752184024504879</v>
      </c>
    </row>
    <row r="9721" spans="1:4" x14ac:dyDescent="0.3">
      <c r="A9721" s="1">
        <v>40036</v>
      </c>
      <c r="B9721">
        <v>1969.7299800000001</v>
      </c>
      <c r="C9721">
        <f t="shared" si="319"/>
        <v>-1.1298844573439149E-2</v>
      </c>
      <c r="D9721">
        <f t="shared" si="318"/>
        <v>-0.94103905665868604</v>
      </c>
    </row>
    <row r="9722" spans="1:4" x14ac:dyDescent="0.3">
      <c r="A9722" s="1">
        <v>40037</v>
      </c>
      <c r="B9722">
        <v>1998.719971</v>
      </c>
      <c r="C9722">
        <f t="shared" si="319"/>
        <v>1.4717748774885336E-2</v>
      </c>
      <c r="D9722">
        <f t="shared" si="318"/>
        <v>1.1401814303361886</v>
      </c>
    </row>
    <row r="9723" spans="1:4" x14ac:dyDescent="0.3">
      <c r="A9723" s="1">
        <v>40038</v>
      </c>
      <c r="B9723">
        <v>2009.349976</v>
      </c>
      <c r="C9723">
        <f t="shared" si="319"/>
        <v>5.3184063571854821E-3</v>
      </c>
      <c r="D9723">
        <f t="shared" si="318"/>
        <v>0.38827268724716657</v>
      </c>
    </row>
    <row r="9724" spans="1:4" x14ac:dyDescent="0.3">
      <c r="A9724" s="1">
        <v>40039</v>
      </c>
      <c r="B9724">
        <v>1985.5200199999999</v>
      </c>
      <c r="C9724">
        <f t="shared" si="319"/>
        <v>-1.1859534817044753E-2</v>
      </c>
      <c r="D9724">
        <f t="shared" si="318"/>
        <v>-0.98589197057507627</v>
      </c>
    </row>
    <row r="9725" spans="1:4" x14ac:dyDescent="0.3">
      <c r="A9725" s="1">
        <v>40042</v>
      </c>
      <c r="B9725">
        <v>1930.839966</v>
      </c>
      <c r="C9725">
        <f t="shared" si="319"/>
        <v>-2.7539412067978004E-2</v>
      </c>
      <c r="D9725">
        <f t="shared" si="318"/>
        <v>-2.2402176746092213</v>
      </c>
    </row>
    <row r="9726" spans="1:4" x14ac:dyDescent="0.3">
      <c r="A9726" s="1">
        <v>40043</v>
      </c>
      <c r="B9726">
        <v>1955.920044</v>
      </c>
      <c r="C9726">
        <f t="shared" si="319"/>
        <v>1.2989205963017629E-2</v>
      </c>
      <c r="D9726">
        <f t="shared" si="318"/>
        <v>1.0019051131972854</v>
      </c>
    </row>
    <row r="9727" spans="1:4" x14ac:dyDescent="0.3">
      <c r="A9727" s="1">
        <v>40044</v>
      </c>
      <c r="B9727">
        <v>1969.23999</v>
      </c>
      <c r="C9727">
        <f t="shared" si="319"/>
        <v>6.8100667207028594E-3</v>
      </c>
      <c r="D9727">
        <f t="shared" si="318"/>
        <v>0.50759938258449144</v>
      </c>
    </row>
    <row r="9728" spans="1:4" x14ac:dyDescent="0.3">
      <c r="A9728" s="1">
        <v>40045</v>
      </c>
      <c r="B9728">
        <v>1989.219971</v>
      </c>
      <c r="C9728">
        <f t="shared" si="319"/>
        <v>1.0146036593538785E-2</v>
      </c>
      <c r="D9728">
        <f t="shared" si="318"/>
        <v>0.77446325482128253</v>
      </c>
    </row>
    <row r="9729" spans="1:4" x14ac:dyDescent="0.3">
      <c r="A9729" s="1">
        <v>40046</v>
      </c>
      <c r="B9729">
        <v>2020.900024</v>
      </c>
      <c r="C9729">
        <f t="shared" si="319"/>
        <v>1.5925867154889951E-2</v>
      </c>
      <c r="D9729">
        <f t="shared" si="318"/>
        <v>1.2368259329240954</v>
      </c>
    </row>
    <row r="9730" spans="1:4" x14ac:dyDescent="0.3">
      <c r="A9730" s="1">
        <v>40049</v>
      </c>
      <c r="B9730">
        <v>2017.9799800000001</v>
      </c>
      <c r="C9730">
        <f t="shared" si="319"/>
        <v>-1.4449225420960069E-3</v>
      </c>
      <c r="D9730">
        <f t="shared" si="318"/>
        <v>-0.15276581372074158</v>
      </c>
    </row>
    <row r="9731" spans="1:4" x14ac:dyDescent="0.3">
      <c r="A9731" s="1">
        <v>40050</v>
      </c>
      <c r="B9731">
        <v>2024.2299800000001</v>
      </c>
      <c r="C9731">
        <f t="shared" si="319"/>
        <v>3.0971565931987096E-3</v>
      </c>
      <c r="D9731">
        <f t="shared" ref="D9731:D9794" si="320">(C9731-avrtn)/sdrtn</f>
        <v>0.21058183996183108</v>
      </c>
    </row>
    <row r="9732" spans="1:4" x14ac:dyDescent="0.3">
      <c r="A9732" s="1">
        <v>40051</v>
      </c>
      <c r="B9732">
        <v>2024.4300539999999</v>
      </c>
      <c r="C9732">
        <f t="shared" ref="C9732:C9795" si="321">(B9732-B9731)/B9731</f>
        <v>9.8839559722289385E-5</v>
      </c>
      <c r="D9732">
        <f t="shared" si="320"/>
        <v>-2.9271193562971264E-2</v>
      </c>
    </row>
    <row r="9733" spans="1:4" x14ac:dyDescent="0.3">
      <c r="A9733" s="1">
        <v>40052</v>
      </c>
      <c r="B9733">
        <v>2027.7299800000001</v>
      </c>
      <c r="C9733">
        <f t="shared" si="321"/>
        <v>1.6300518723676987E-3</v>
      </c>
      <c r="D9733">
        <f t="shared" si="320"/>
        <v>9.3219495066009517E-2</v>
      </c>
    </row>
    <row r="9734" spans="1:4" x14ac:dyDescent="0.3">
      <c r="A9734" s="1">
        <v>40053</v>
      </c>
      <c r="B9734">
        <v>2028.7700199999999</v>
      </c>
      <c r="C9734">
        <f t="shared" si="321"/>
        <v>5.1290852838298652E-4</v>
      </c>
      <c r="D9734">
        <f t="shared" si="320"/>
        <v>3.8526212681115686E-3</v>
      </c>
    </row>
    <row r="9735" spans="1:4" x14ac:dyDescent="0.3">
      <c r="A9735" s="1">
        <v>40056</v>
      </c>
      <c r="B9735">
        <v>2009.0600589999999</v>
      </c>
      <c r="C9735">
        <f t="shared" si="321"/>
        <v>-9.7152268644033011E-3</v>
      </c>
      <c r="D9735">
        <f t="shared" si="320"/>
        <v>-0.81435615181074772</v>
      </c>
    </row>
    <row r="9736" spans="1:4" x14ac:dyDescent="0.3">
      <c r="A9736" s="1">
        <v>40057</v>
      </c>
      <c r="B9736">
        <v>1968.8900149999999</v>
      </c>
      <c r="C9736">
        <f t="shared" si="321"/>
        <v>-1.9994446567214327E-2</v>
      </c>
      <c r="D9736">
        <f t="shared" si="320"/>
        <v>-1.6366514596316484</v>
      </c>
    </row>
    <row r="9737" spans="1:4" x14ac:dyDescent="0.3">
      <c r="A9737" s="1">
        <v>40058</v>
      </c>
      <c r="B9737">
        <v>1967.0699460000001</v>
      </c>
      <c r="C9737">
        <f t="shared" si="321"/>
        <v>-9.2441374893146373E-4</v>
      </c>
      <c r="D9737">
        <f t="shared" si="320"/>
        <v>-0.11112725061252467</v>
      </c>
    </row>
    <row r="9738" spans="1:4" x14ac:dyDescent="0.3">
      <c r="A9738" s="1">
        <v>40059</v>
      </c>
      <c r="B9738">
        <v>1983.1999510000001</v>
      </c>
      <c r="C9738">
        <f t="shared" si="321"/>
        <v>8.2000159845866411E-3</v>
      </c>
      <c r="D9738">
        <f t="shared" si="320"/>
        <v>0.61878960818966933</v>
      </c>
    </row>
    <row r="9739" spans="1:4" x14ac:dyDescent="0.3">
      <c r="A9739" s="1">
        <v>40060</v>
      </c>
      <c r="B9739">
        <v>2018.780029</v>
      </c>
      <c r="C9739">
        <f t="shared" si="321"/>
        <v>1.794074166957256E-2</v>
      </c>
      <c r="D9739">
        <f t="shared" si="320"/>
        <v>1.3980076088851934</v>
      </c>
    </row>
    <row r="9740" spans="1:4" x14ac:dyDescent="0.3">
      <c r="A9740" s="1">
        <v>40064</v>
      </c>
      <c r="B9740">
        <v>2037.7700199999999</v>
      </c>
      <c r="C9740">
        <f t="shared" si="321"/>
        <v>9.4066667627015245E-3</v>
      </c>
      <c r="D9740">
        <f t="shared" si="320"/>
        <v>0.71531670866121266</v>
      </c>
    </row>
    <row r="9741" spans="1:4" x14ac:dyDescent="0.3">
      <c r="A9741" s="1">
        <v>40065</v>
      </c>
      <c r="B9741">
        <v>2060.389893</v>
      </c>
      <c r="C9741">
        <f t="shared" si="321"/>
        <v>1.1100307089609698E-2</v>
      </c>
      <c r="D9741">
        <f t="shared" si="320"/>
        <v>0.85080097052322912</v>
      </c>
    </row>
    <row r="9742" spans="1:4" x14ac:dyDescent="0.3">
      <c r="A9742" s="1">
        <v>40066</v>
      </c>
      <c r="B9742">
        <v>2084.0200199999999</v>
      </c>
      <c r="C9742">
        <f t="shared" si="321"/>
        <v>1.1468764761602284E-2</v>
      </c>
      <c r="D9742">
        <f t="shared" si="320"/>
        <v>0.88027606917563561</v>
      </c>
    </row>
    <row r="9743" spans="1:4" x14ac:dyDescent="0.3">
      <c r="A9743" s="1">
        <v>40067</v>
      </c>
      <c r="B9743">
        <v>2080.8999020000001</v>
      </c>
      <c r="C9743">
        <f t="shared" si="321"/>
        <v>-1.4971631606493974E-3</v>
      </c>
      <c r="D9743">
        <f t="shared" si="320"/>
        <v>-0.15694484839030573</v>
      </c>
    </row>
    <row r="9744" spans="1:4" x14ac:dyDescent="0.3">
      <c r="A9744" s="1">
        <v>40070</v>
      </c>
      <c r="B9744">
        <v>2091.780029</v>
      </c>
      <c r="C9744">
        <f t="shared" si="321"/>
        <v>5.228568173578539E-3</v>
      </c>
      <c r="D9744">
        <f t="shared" si="320"/>
        <v>0.38108600197542947</v>
      </c>
    </row>
    <row r="9745" spans="1:4" x14ac:dyDescent="0.3">
      <c r="A9745" s="1">
        <v>40071</v>
      </c>
      <c r="B9745">
        <v>2102.639893</v>
      </c>
      <c r="C9745">
        <f t="shared" si="321"/>
        <v>5.1916854781292191E-3</v>
      </c>
      <c r="D9745">
        <f t="shared" si="320"/>
        <v>0.37813553800203376</v>
      </c>
    </row>
    <row r="9746" spans="1:4" x14ac:dyDescent="0.3">
      <c r="A9746" s="1">
        <v>40072</v>
      </c>
      <c r="B9746">
        <v>2133.1499020000001</v>
      </c>
      <c r="C9746">
        <f t="shared" si="321"/>
        <v>1.4510334889760451E-2</v>
      </c>
      <c r="D9746">
        <f t="shared" si="320"/>
        <v>1.1235891724171896</v>
      </c>
    </row>
    <row r="9747" spans="1:4" x14ac:dyDescent="0.3">
      <c r="A9747" s="1">
        <v>40073</v>
      </c>
      <c r="B9747">
        <v>2126.75</v>
      </c>
      <c r="C9747">
        <f t="shared" si="321"/>
        <v>-3.0002120310437101E-3</v>
      </c>
      <c r="D9747">
        <f t="shared" si="320"/>
        <v>-0.27718257744796532</v>
      </c>
    </row>
    <row r="9748" spans="1:4" x14ac:dyDescent="0.3">
      <c r="A9748" s="1">
        <v>40074</v>
      </c>
      <c r="B9748">
        <v>2132.860107</v>
      </c>
      <c r="C9748">
        <f t="shared" si="321"/>
        <v>2.872978488303736E-3</v>
      </c>
      <c r="D9748">
        <f t="shared" si="320"/>
        <v>0.19264851339610867</v>
      </c>
    </row>
    <row r="9749" spans="1:4" x14ac:dyDescent="0.3">
      <c r="A9749" s="1">
        <v>40077</v>
      </c>
      <c r="B9749">
        <v>2138.040039</v>
      </c>
      <c r="C9749">
        <f t="shared" si="321"/>
        <v>2.4286318558819609E-3</v>
      </c>
      <c r="D9749">
        <f t="shared" si="320"/>
        <v>0.15710260996663691</v>
      </c>
    </row>
    <row r="9750" spans="1:4" x14ac:dyDescent="0.3">
      <c r="A9750" s="1">
        <v>40078</v>
      </c>
      <c r="B9750">
        <v>2146.3000489999999</v>
      </c>
      <c r="C9750">
        <f t="shared" si="321"/>
        <v>3.8633560875049478E-3</v>
      </c>
      <c r="D9750">
        <f t="shared" si="320"/>
        <v>0.27187464887518381</v>
      </c>
    </row>
    <row r="9751" spans="1:4" x14ac:dyDescent="0.3">
      <c r="A9751" s="1">
        <v>40079</v>
      </c>
      <c r="B9751">
        <v>2131.419922</v>
      </c>
      <c r="C9751">
        <f t="shared" si="321"/>
        <v>-6.9329202163196258E-3</v>
      </c>
      <c r="D9751">
        <f t="shared" si="320"/>
        <v>-0.59178306087735288</v>
      </c>
    </row>
    <row r="9752" spans="1:4" x14ac:dyDescent="0.3">
      <c r="A9752" s="1">
        <v>40080</v>
      </c>
      <c r="B9752">
        <v>2107.610107</v>
      </c>
      <c r="C9752">
        <f t="shared" si="321"/>
        <v>-1.1170870063773417E-2</v>
      </c>
      <c r="D9752">
        <f t="shared" si="320"/>
        <v>-0.93080162211975559</v>
      </c>
    </row>
    <row r="9753" spans="1:4" x14ac:dyDescent="0.3">
      <c r="A9753" s="1">
        <v>40081</v>
      </c>
      <c r="B9753">
        <v>2090.919922</v>
      </c>
      <c r="C9753">
        <f t="shared" si="321"/>
        <v>-7.9190097563903595E-3</v>
      </c>
      <c r="D9753">
        <f t="shared" si="320"/>
        <v>-0.67066616925859412</v>
      </c>
    </row>
    <row r="9754" spans="1:4" x14ac:dyDescent="0.3">
      <c r="A9754" s="1">
        <v>40084</v>
      </c>
      <c r="B9754">
        <v>2130.73999</v>
      </c>
      <c r="C9754">
        <f t="shared" si="321"/>
        <v>1.9044281696790868E-2</v>
      </c>
      <c r="D9754">
        <f t="shared" si="320"/>
        <v>1.4862862732789519</v>
      </c>
    </row>
    <row r="9755" spans="1:4" x14ac:dyDescent="0.3">
      <c r="A9755" s="1">
        <v>40085</v>
      </c>
      <c r="B9755">
        <v>2124.040039</v>
      </c>
      <c r="C9755">
        <f t="shared" si="321"/>
        <v>-3.144424487006533E-3</v>
      </c>
      <c r="D9755">
        <f t="shared" si="320"/>
        <v>-0.28871898091982889</v>
      </c>
    </row>
    <row r="9756" spans="1:4" x14ac:dyDescent="0.3">
      <c r="A9756" s="1">
        <v>40086</v>
      </c>
      <c r="B9756">
        <v>2122.419922</v>
      </c>
      <c r="C9756">
        <f t="shared" si="321"/>
        <v>-7.6275257069197675E-4</v>
      </c>
      <c r="D9756">
        <f t="shared" si="320"/>
        <v>-9.8195021108102701E-2</v>
      </c>
    </row>
    <row r="9757" spans="1:4" x14ac:dyDescent="0.3">
      <c r="A9757" s="1">
        <v>40087</v>
      </c>
      <c r="B9757">
        <v>2057.4799800000001</v>
      </c>
      <c r="C9757">
        <f t="shared" si="321"/>
        <v>-3.0597122335153038E-2</v>
      </c>
      <c r="D9757">
        <f t="shared" si="320"/>
        <v>-2.4848219226034765</v>
      </c>
    </row>
    <row r="9758" spans="1:4" x14ac:dyDescent="0.3">
      <c r="A9758" s="1">
        <v>40088</v>
      </c>
      <c r="B9758">
        <v>2048.110107</v>
      </c>
      <c r="C9758">
        <f t="shared" si="321"/>
        <v>-4.5540530605795238E-3</v>
      </c>
      <c r="D9758">
        <f t="shared" si="320"/>
        <v>-0.40148347037833859</v>
      </c>
    </row>
    <row r="9759" spans="1:4" x14ac:dyDescent="0.3">
      <c r="A9759" s="1">
        <v>40091</v>
      </c>
      <c r="B9759">
        <v>2068.1499020000001</v>
      </c>
      <c r="C9759">
        <f t="shared" si="321"/>
        <v>9.7845301048554122E-3</v>
      </c>
      <c r="D9759">
        <f t="shared" si="320"/>
        <v>0.74554422225017658</v>
      </c>
    </row>
    <row r="9760" spans="1:4" x14ac:dyDescent="0.3">
      <c r="A9760" s="1">
        <v>40092</v>
      </c>
      <c r="B9760">
        <v>2103.570068</v>
      </c>
      <c r="C9760">
        <f t="shared" si="321"/>
        <v>1.7126498406013452E-2</v>
      </c>
      <c r="D9760">
        <f t="shared" si="320"/>
        <v>1.3328714959887709</v>
      </c>
    </row>
    <row r="9761" spans="1:4" x14ac:dyDescent="0.3">
      <c r="A9761" s="1">
        <v>40093</v>
      </c>
      <c r="B9761">
        <v>2110.330078</v>
      </c>
      <c r="C9761">
        <f t="shared" si="321"/>
        <v>3.2135891752952846E-3</v>
      </c>
      <c r="D9761">
        <f t="shared" si="320"/>
        <v>0.21989596775591871</v>
      </c>
    </row>
    <row r="9762" spans="1:4" x14ac:dyDescent="0.3">
      <c r="A9762" s="1">
        <v>40094</v>
      </c>
      <c r="B9762">
        <v>2123.929932</v>
      </c>
      <c r="C9762">
        <f t="shared" si="321"/>
        <v>6.4444203026707992E-3</v>
      </c>
      <c r="D9762">
        <f t="shared" si="320"/>
        <v>0.47834917268898158</v>
      </c>
    </row>
    <row r="9763" spans="1:4" x14ac:dyDescent="0.3">
      <c r="A9763" s="1">
        <v>40095</v>
      </c>
      <c r="B9763">
        <v>2139.280029</v>
      </c>
      <c r="C9763">
        <f t="shared" si="321"/>
        <v>7.2272144051124965E-3</v>
      </c>
      <c r="D9763">
        <f t="shared" si="320"/>
        <v>0.54096948201573458</v>
      </c>
    </row>
    <row r="9764" spans="1:4" x14ac:dyDescent="0.3">
      <c r="A9764" s="1">
        <v>40098</v>
      </c>
      <c r="B9764">
        <v>2139.139893</v>
      </c>
      <c r="C9764">
        <f t="shared" si="321"/>
        <v>-6.5506150714401889E-5</v>
      </c>
      <c r="D9764">
        <f t="shared" si="320"/>
        <v>-4.2418174604307218E-2</v>
      </c>
    </row>
    <row r="9765" spans="1:4" x14ac:dyDescent="0.3">
      <c r="A9765" s="1">
        <v>40099</v>
      </c>
      <c r="B9765">
        <v>2139.889893</v>
      </c>
      <c r="C9765">
        <f t="shared" si="321"/>
        <v>3.5060820587482725E-4</v>
      </c>
      <c r="D9765">
        <f t="shared" si="320"/>
        <v>-9.1307371496272497E-3</v>
      </c>
    </row>
    <row r="9766" spans="1:4" x14ac:dyDescent="0.3">
      <c r="A9766" s="1">
        <v>40100</v>
      </c>
      <c r="B9766">
        <v>2172.2299800000001</v>
      </c>
      <c r="C9766">
        <f t="shared" si="321"/>
        <v>1.5112967777356589E-2</v>
      </c>
      <c r="D9766">
        <f t="shared" si="320"/>
        <v>1.17179732538364</v>
      </c>
    </row>
    <row r="9767" spans="1:4" x14ac:dyDescent="0.3">
      <c r="A9767" s="1">
        <v>40101</v>
      </c>
      <c r="B9767">
        <v>2173.290039</v>
      </c>
      <c r="C9767">
        <f t="shared" si="321"/>
        <v>4.8800495792803214E-4</v>
      </c>
      <c r="D9767">
        <f t="shared" si="320"/>
        <v>1.8604380358088178E-3</v>
      </c>
    </row>
    <row r="9768" spans="1:4" x14ac:dyDescent="0.3">
      <c r="A9768" s="1">
        <v>40102</v>
      </c>
      <c r="B9768">
        <v>2156.8000489999999</v>
      </c>
      <c r="C9768">
        <f t="shared" si="321"/>
        <v>-7.5875698614012903E-3</v>
      </c>
      <c r="D9768">
        <f t="shared" si="320"/>
        <v>-0.64415234054846049</v>
      </c>
    </row>
    <row r="9769" spans="1:4" x14ac:dyDescent="0.3">
      <c r="A9769" s="1">
        <v>40105</v>
      </c>
      <c r="B9769">
        <v>2176.320068</v>
      </c>
      <c r="C9769">
        <f t="shared" si="321"/>
        <v>9.0504537075889353E-3</v>
      </c>
      <c r="D9769">
        <f t="shared" si="320"/>
        <v>0.68682112900904047</v>
      </c>
    </row>
    <row r="9770" spans="1:4" x14ac:dyDescent="0.3">
      <c r="A9770" s="1">
        <v>40106</v>
      </c>
      <c r="B9770">
        <v>2163.469971</v>
      </c>
      <c r="C9770">
        <f t="shared" si="321"/>
        <v>-5.9045069651951602E-3</v>
      </c>
      <c r="D9770">
        <f t="shared" si="320"/>
        <v>-0.50951422964795268</v>
      </c>
    </row>
    <row r="9771" spans="1:4" x14ac:dyDescent="0.3">
      <c r="A9771" s="1">
        <v>40107</v>
      </c>
      <c r="B9771">
        <v>2150.7299800000001</v>
      </c>
      <c r="C9771">
        <f t="shared" si="321"/>
        <v>-5.8886839987481931E-3</v>
      </c>
      <c r="D9771">
        <f t="shared" si="320"/>
        <v>-0.50824845739662206</v>
      </c>
    </row>
    <row r="9772" spans="1:4" x14ac:dyDescent="0.3">
      <c r="A9772" s="1">
        <v>40108</v>
      </c>
      <c r="B9772">
        <v>2165.290039</v>
      </c>
      <c r="C9772">
        <f t="shared" si="321"/>
        <v>6.7698219373870027E-3</v>
      </c>
      <c r="D9772">
        <f t="shared" si="320"/>
        <v>0.50437996540676067</v>
      </c>
    </row>
    <row r="9773" spans="1:4" x14ac:dyDescent="0.3">
      <c r="A9773" s="1">
        <v>40109</v>
      </c>
      <c r="B9773">
        <v>2154.469971</v>
      </c>
      <c r="C9773">
        <f t="shared" si="321"/>
        <v>-4.9970524987945934E-3</v>
      </c>
      <c r="D9773">
        <f t="shared" si="320"/>
        <v>-0.43692160381096962</v>
      </c>
    </row>
    <row r="9774" spans="1:4" x14ac:dyDescent="0.3">
      <c r="A9774" s="1">
        <v>40112</v>
      </c>
      <c r="B9774">
        <v>2141.8500979999999</v>
      </c>
      <c r="C9774">
        <f t="shared" si="321"/>
        <v>-5.8575302370738394E-3</v>
      </c>
      <c r="D9774">
        <f t="shared" si="320"/>
        <v>-0.50575628456770727</v>
      </c>
    </row>
    <row r="9775" spans="1:4" x14ac:dyDescent="0.3">
      <c r="A9775" s="1">
        <v>40113</v>
      </c>
      <c r="B9775">
        <v>2116.0900879999999</v>
      </c>
      <c r="C9775">
        <f t="shared" si="321"/>
        <v>-1.202699013532924E-2</v>
      </c>
      <c r="D9775">
        <f t="shared" si="320"/>
        <v>-0.9992877074574521</v>
      </c>
    </row>
    <row r="9776" spans="1:4" x14ac:dyDescent="0.3">
      <c r="A9776" s="1">
        <v>40114</v>
      </c>
      <c r="B9776">
        <v>2059.610107</v>
      </c>
      <c r="C9776">
        <f t="shared" si="321"/>
        <v>-2.6690726127535244E-2</v>
      </c>
      <c r="D9776">
        <f t="shared" si="320"/>
        <v>-2.1723262891912398</v>
      </c>
    </row>
    <row r="9777" spans="1:4" x14ac:dyDescent="0.3">
      <c r="A9777" s="1">
        <v>40115</v>
      </c>
      <c r="B9777">
        <v>2097.5500489999999</v>
      </c>
      <c r="C9777">
        <f t="shared" si="321"/>
        <v>1.8420934074392738E-2</v>
      </c>
      <c r="D9777">
        <f t="shared" si="320"/>
        <v>1.4364210267078406</v>
      </c>
    </row>
    <row r="9778" spans="1:4" x14ac:dyDescent="0.3">
      <c r="A9778" s="1">
        <v>40116</v>
      </c>
      <c r="B9778">
        <v>2045.1099850000001</v>
      </c>
      <c r="C9778">
        <f t="shared" si="321"/>
        <v>-2.5000625861109019E-2</v>
      </c>
      <c r="D9778">
        <f t="shared" si="320"/>
        <v>-2.037125217610964</v>
      </c>
    </row>
    <row r="9779" spans="1:4" x14ac:dyDescent="0.3">
      <c r="A9779" s="1">
        <v>40119</v>
      </c>
      <c r="B9779">
        <v>2049.1999510000001</v>
      </c>
      <c r="C9779">
        <f t="shared" si="321"/>
        <v>1.9998758159698701E-3</v>
      </c>
      <c r="D9779">
        <f t="shared" si="320"/>
        <v>0.12280388982904045</v>
      </c>
    </row>
    <row r="9780" spans="1:4" x14ac:dyDescent="0.3">
      <c r="A9780" s="1">
        <v>40120</v>
      </c>
      <c r="B9780">
        <v>2057.320068</v>
      </c>
      <c r="C9780">
        <f t="shared" si="321"/>
        <v>3.9625791499933215E-3</v>
      </c>
      <c r="D9780">
        <f t="shared" si="320"/>
        <v>0.27981208586658279</v>
      </c>
    </row>
    <row r="9781" spans="1:4" x14ac:dyDescent="0.3">
      <c r="A9781" s="1">
        <v>40121</v>
      </c>
      <c r="B9781">
        <v>2055.5200199999999</v>
      </c>
      <c r="C9781">
        <f t="shared" si="321"/>
        <v>-8.7494796167032806E-4</v>
      </c>
      <c r="D9781">
        <f t="shared" si="320"/>
        <v>-0.10717019103616643</v>
      </c>
    </row>
    <row r="9782" spans="1:4" x14ac:dyDescent="0.3">
      <c r="A9782" s="1">
        <v>40122</v>
      </c>
      <c r="B9782">
        <v>2105.320068</v>
      </c>
      <c r="C9782">
        <f t="shared" si="321"/>
        <v>2.422746921238941E-2</v>
      </c>
      <c r="D9782">
        <f t="shared" si="320"/>
        <v>1.9009199611324186</v>
      </c>
    </row>
    <row r="9783" spans="1:4" x14ac:dyDescent="0.3">
      <c r="A9783" s="1">
        <v>40123</v>
      </c>
      <c r="B9783">
        <v>2112.4399410000001</v>
      </c>
      <c r="C9783">
        <f t="shared" si="321"/>
        <v>3.3818482558634396E-3</v>
      </c>
      <c r="D9783">
        <f t="shared" si="320"/>
        <v>0.23335600231589765</v>
      </c>
    </row>
    <row r="9784" spans="1:4" x14ac:dyDescent="0.3">
      <c r="A9784" s="1">
        <v>40126</v>
      </c>
      <c r="B9784">
        <v>2154.0600589999999</v>
      </c>
      <c r="C9784">
        <f t="shared" si="321"/>
        <v>1.9702391150726598E-2</v>
      </c>
      <c r="D9784">
        <f t="shared" si="320"/>
        <v>1.5389323234315657</v>
      </c>
    </row>
    <row r="9785" spans="1:4" x14ac:dyDescent="0.3">
      <c r="A9785" s="1">
        <v>40127</v>
      </c>
      <c r="B9785">
        <v>2151.080078</v>
      </c>
      <c r="C9785">
        <f t="shared" si="321"/>
        <v>-1.3834252148862451E-3</v>
      </c>
      <c r="D9785">
        <f t="shared" si="320"/>
        <v>-0.1478462804224811</v>
      </c>
    </row>
    <row r="9786" spans="1:4" x14ac:dyDescent="0.3">
      <c r="A9786" s="1">
        <v>40128</v>
      </c>
      <c r="B9786">
        <v>2166.8999020000001</v>
      </c>
      <c r="C9786">
        <f t="shared" si="321"/>
        <v>7.3543631228777315E-3</v>
      </c>
      <c r="D9786">
        <f t="shared" si="320"/>
        <v>0.55114085659830192</v>
      </c>
    </row>
    <row r="9787" spans="1:4" x14ac:dyDescent="0.3">
      <c r="A9787" s="1">
        <v>40129</v>
      </c>
      <c r="B9787">
        <v>2149.0200199999999</v>
      </c>
      <c r="C9787">
        <f t="shared" si="321"/>
        <v>-8.2513649954469286E-3</v>
      </c>
      <c r="D9787">
        <f t="shared" si="320"/>
        <v>-0.69725322173021065</v>
      </c>
    </row>
    <row r="9788" spans="1:4" x14ac:dyDescent="0.3">
      <c r="A9788" s="1">
        <v>40130</v>
      </c>
      <c r="B9788">
        <v>2167.8798830000001</v>
      </c>
      <c r="C9788">
        <f t="shared" si="321"/>
        <v>8.7760294573710554E-3</v>
      </c>
      <c r="D9788">
        <f t="shared" si="320"/>
        <v>0.6648683174308696</v>
      </c>
    </row>
    <row r="9789" spans="1:4" x14ac:dyDescent="0.3">
      <c r="A9789" s="1">
        <v>40133</v>
      </c>
      <c r="B9789">
        <v>2197.8500979999999</v>
      </c>
      <c r="C9789">
        <f t="shared" si="321"/>
        <v>1.382466585672903E-2</v>
      </c>
      <c r="D9789">
        <f t="shared" si="320"/>
        <v>1.0687384692625868</v>
      </c>
    </row>
    <row r="9790" spans="1:4" x14ac:dyDescent="0.3">
      <c r="A9790" s="1">
        <v>40134</v>
      </c>
      <c r="B9790">
        <v>2203.780029</v>
      </c>
      <c r="C9790">
        <f t="shared" si="321"/>
        <v>2.698059801892879E-3</v>
      </c>
      <c r="D9790">
        <f t="shared" si="320"/>
        <v>0.17865573775317642</v>
      </c>
    </row>
    <row r="9791" spans="1:4" x14ac:dyDescent="0.3">
      <c r="A9791" s="1">
        <v>40135</v>
      </c>
      <c r="B9791">
        <v>2193.139893</v>
      </c>
      <c r="C9791">
        <f t="shared" si="321"/>
        <v>-4.8281297860876407E-3</v>
      </c>
      <c r="D9791">
        <f t="shared" si="320"/>
        <v>-0.42340848140875853</v>
      </c>
    </row>
    <row r="9792" spans="1:4" x14ac:dyDescent="0.3">
      <c r="A9792" s="1">
        <v>40136</v>
      </c>
      <c r="B9792">
        <v>2156.820068</v>
      </c>
      <c r="C9792">
        <f t="shared" si="321"/>
        <v>-1.6560651290838582E-2</v>
      </c>
      <c r="D9792">
        <f t="shared" si="320"/>
        <v>-1.3619619573721347</v>
      </c>
    </row>
    <row r="9793" spans="1:4" x14ac:dyDescent="0.3">
      <c r="A9793" s="1">
        <v>40137</v>
      </c>
      <c r="B9793">
        <v>2146.040039</v>
      </c>
      <c r="C9793">
        <f t="shared" si="321"/>
        <v>-4.9981123413768294E-3</v>
      </c>
      <c r="D9793">
        <f t="shared" si="320"/>
        <v>-0.43700638685944976</v>
      </c>
    </row>
    <row r="9794" spans="1:4" x14ac:dyDescent="0.3">
      <c r="A9794" s="1">
        <v>40140</v>
      </c>
      <c r="B9794">
        <v>2176.01001</v>
      </c>
      <c r="C9794">
        <f t="shared" si="321"/>
        <v>1.3965243171308784E-2</v>
      </c>
      <c r="D9794">
        <f t="shared" si="320"/>
        <v>1.0799840763715955</v>
      </c>
    </row>
    <row r="9795" spans="1:4" x14ac:dyDescent="0.3">
      <c r="A9795" s="1">
        <v>40141</v>
      </c>
      <c r="B9795">
        <v>2169.179932</v>
      </c>
      <c r="C9795">
        <f t="shared" si="321"/>
        <v>-3.1388081711995241E-3</v>
      </c>
      <c r="D9795">
        <f t="shared" ref="D9795:D9858" si="322">(C9795-avrtn)/sdrtn</f>
        <v>-0.28826969874969677</v>
      </c>
    </row>
    <row r="9796" spans="1:4" x14ac:dyDescent="0.3">
      <c r="A9796" s="1">
        <v>40142</v>
      </c>
      <c r="B9796">
        <v>2176.0500489999999</v>
      </c>
      <c r="C9796">
        <f t="shared" ref="C9796:C9859" si="323">(B9796-B9795)/B9795</f>
        <v>3.1671494368222548E-3</v>
      </c>
      <c r="D9796">
        <f t="shared" si="322"/>
        <v>0.21618097963942198</v>
      </c>
    </row>
    <row r="9797" spans="1:4" x14ac:dyDescent="0.3">
      <c r="A9797" s="1">
        <v>40144</v>
      </c>
      <c r="B9797">
        <v>2138.4399410000001</v>
      </c>
      <c r="C9797">
        <f t="shared" si="323"/>
        <v>-1.7283659453183772E-2</v>
      </c>
      <c r="D9797">
        <f t="shared" si="322"/>
        <v>-1.4197996373324218</v>
      </c>
    </row>
    <row r="9798" spans="1:4" x14ac:dyDescent="0.3">
      <c r="A9798" s="1">
        <v>40147</v>
      </c>
      <c r="B9798">
        <v>2144.6000979999999</v>
      </c>
      <c r="C9798">
        <f t="shared" si="323"/>
        <v>2.8806780503356669E-3</v>
      </c>
      <c r="D9798">
        <f t="shared" si="322"/>
        <v>0.19326444669787488</v>
      </c>
    </row>
    <row r="9799" spans="1:4" x14ac:dyDescent="0.3">
      <c r="A9799" s="1">
        <v>40148</v>
      </c>
      <c r="B9799">
        <v>2175.8100589999999</v>
      </c>
      <c r="C9799">
        <f t="shared" si="323"/>
        <v>1.4552811514419702E-2</v>
      </c>
      <c r="D9799">
        <f t="shared" si="322"/>
        <v>1.1269871277250054</v>
      </c>
    </row>
    <row r="9800" spans="1:4" x14ac:dyDescent="0.3">
      <c r="A9800" s="1">
        <v>40149</v>
      </c>
      <c r="B9800">
        <v>2185.030029</v>
      </c>
      <c r="C9800">
        <f t="shared" si="323"/>
        <v>4.2374884525708976E-3</v>
      </c>
      <c r="D9800">
        <f t="shared" si="322"/>
        <v>0.30180369963898207</v>
      </c>
    </row>
    <row r="9801" spans="1:4" x14ac:dyDescent="0.3">
      <c r="A9801" s="1">
        <v>40150</v>
      </c>
      <c r="B9801">
        <v>2173.139893</v>
      </c>
      <c r="C9801">
        <f t="shared" si="323"/>
        <v>-5.4416350540690828E-3</v>
      </c>
      <c r="D9801">
        <f t="shared" si="322"/>
        <v>-0.47248638009853794</v>
      </c>
    </row>
    <row r="9802" spans="1:4" x14ac:dyDescent="0.3">
      <c r="A9802" s="1">
        <v>40151</v>
      </c>
      <c r="B9802">
        <v>2194.3500979999999</v>
      </c>
      <c r="C9802">
        <f t="shared" si="323"/>
        <v>9.760165495245391E-3</v>
      </c>
      <c r="D9802">
        <f t="shared" si="322"/>
        <v>0.74359515366924822</v>
      </c>
    </row>
    <row r="9803" spans="1:4" x14ac:dyDescent="0.3">
      <c r="A9803" s="1">
        <v>40154</v>
      </c>
      <c r="B9803">
        <v>2189.610107</v>
      </c>
      <c r="C9803">
        <f t="shared" si="323"/>
        <v>-2.1600887681141197E-3</v>
      </c>
      <c r="D9803">
        <f t="shared" si="322"/>
        <v>-0.20997617102109736</v>
      </c>
    </row>
    <row r="9804" spans="1:4" x14ac:dyDescent="0.3">
      <c r="A9804" s="1">
        <v>40155</v>
      </c>
      <c r="B9804">
        <v>2172.98999</v>
      </c>
      <c r="C9804">
        <f t="shared" si="323"/>
        <v>-7.5904458729281598E-3</v>
      </c>
      <c r="D9804">
        <f t="shared" si="322"/>
        <v>-0.64438240964437987</v>
      </c>
    </row>
    <row r="9805" spans="1:4" x14ac:dyDescent="0.3">
      <c r="A9805" s="1">
        <v>40156</v>
      </c>
      <c r="B9805">
        <v>2183.7299800000001</v>
      </c>
      <c r="C9805">
        <f t="shared" si="323"/>
        <v>4.9424940056903045E-3</v>
      </c>
      <c r="D9805">
        <f t="shared" si="322"/>
        <v>0.35820124488837801</v>
      </c>
    </row>
    <row r="9806" spans="1:4" x14ac:dyDescent="0.3">
      <c r="A9806" s="1">
        <v>40157</v>
      </c>
      <c r="B9806">
        <v>2190.860107</v>
      </c>
      <c r="C9806">
        <f t="shared" si="323"/>
        <v>3.2651138489200493E-3</v>
      </c>
      <c r="D9806">
        <f t="shared" si="322"/>
        <v>0.22401772977517598</v>
      </c>
    </row>
    <row r="9807" spans="1:4" x14ac:dyDescent="0.3">
      <c r="A9807" s="1">
        <v>40158</v>
      </c>
      <c r="B9807">
        <v>2190.3100589999999</v>
      </c>
      <c r="C9807">
        <f t="shared" si="323"/>
        <v>-2.510648663703386E-4</v>
      </c>
      <c r="D9807">
        <f t="shared" si="322"/>
        <v>-5.7262108834784144E-2</v>
      </c>
    </row>
    <row r="9808" spans="1:4" x14ac:dyDescent="0.3">
      <c r="A9808" s="1">
        <v>40161</v>
      </c>
      <c r="B9808">
        <v>2212.1000979999999</v>
      </c>
      <c r="C9808">
        <f t="shared" si="323"/>
        <v>9.948381011384462E-3</v>
      </c>
      <c r="D9808">
        <f t="shared" si="322"/>
        <v>0.758651621013547</v>
      </c>
    </row>
    <row r="9809" spans="1:4" x14ac:dyDescent="0.3">
      <c r="A9809" s="1">
        <v>40162</v>
      </c>
      <c r="B9809">
        <v>2201.0500489999999</v>
      </c>
      <c r="C9809">
        <f t="shared" si="323"/>
        <v>-4.9952753087396436E-3</v>
      </c>
      <c r="D9809">
        <f t="shared" si="322"/>
        <v>-0.43677943591442281</v>
      </c>
    </row>
    <row r="9810" spans="1:4" x14ac:dyDescent="0.3">
      <c r="A9810" s="1">
        <v>40163</v>
      </c>
      <c r="B9810">
        <v>2206.9099120000001</v>
      </c>
      <c r="C9810">
        <f t="shared" si="323"/>
        <v>2.6623033868141415E-3</v>
      </c>
      <c r="D9810">
        <f t="shared" si="322"/>
        <v>0.17579537157813477</v>
      </c>
    </row>
    <row r="9811" spans="1:4" x14ac:dyDescent="0.3">
      <c r="A9811" s="1">
        <v>40164</v>
      </c>
      <c r="B9811">
        <v>2180.0500489999999</v>
      </c>
      <c r="C9811">
        <f t="shared" si="323"/>
        <v>-1.2170801741362668E-2</v>
      </c>
      <c r="D9811">
        <f t="shared" si="322"/>
        <v>-1.0107920445832688</v>
      </c>
    </row>
    <row r="9812" spans="1:4" x14ac:dyDescent="0.3">
      <c r="A9812" s="1">
        <v>40165</v>
      </c>
      <c r="B9812">
        <v>2211.6899410000001</v>
      </c>
      <c r="C9812">
        <f t="shared" si="323"/>
        <v>1.4513378724728602E-2</v>
      </c>
      <c r="D9812">
        <f t="shared" si="322"/>
        <v>1.1238326666983176</v>
      </c>
    </row>
    <row r="9813" spans="1:4" x14ac:dyDescent="0.3">
      <c r="A9813" s="1">
        <v>40168</v>
      </c>
      <c r="B9813">
        <v>2237.6599120000001</v>
      </c>
      <c r="C9813">
        <f t="shared" si="323"/>
        <v>1.1742139130161186E-2</v>
      </c>
      <c r="D9813">
        <f t="shared" si="322"/>
        <v>0.90214489453822733</v>
      </c>
    </row>
    <row r="9814" spans="1:4" x14ac:dyDescent="0.3">
      <c r="A9814" s="1">
        <v>40169</v>
      </c>
      <c r="B9814">
        <v>2252.669922</v>
      </c>
      <c r="C9814">
        <f t="shared" si="323"/>
        <v>6.7079049499457468E-3</v>
      </c>
      <c r="D9814">
        <f t="shared" si="322"/>
        <v>0.49942686101563388</v>
      </c>
    </row>
    <row r="9815" spans="1:4" x14ac:dyDescent="0.3">
      <c r="A9815" s="1">
        <v>40170</v>
      </c>
      <c r="B9815">
        <v>2269.639893</v>
      </c>
      <c r="C9815">
        <f t="shared" si="323"/>
        <v>7.5332701139514688E-3</v>
      </c>
      <c r="D9815">
        <f t="shared" si="322"/>
        <v>0.56545268021425776</v>
      </c>
    </row>
    <row r="9816" spans="1:4" x14ac:dyDescent="0.3">
      <c r="A9816" s="1">
        <v>40171</v>
      </c>
      <c r="B9816">
        <v>2285.6899410000001</v>
      </c>
      <c r="C9816">
        <f t="shared" si="323"/>
        <v>7.0716275517986151E-3</v>
      </c>
      <c r="D9816">
        <f t="shared" si="322"/>
        <v>0.52852317352758771</v>
      </c>
    </row>
    <row r="9817" spans="1:4" x14ac:dyDescent="0.3">
      <c r="A9817" s="1">
        <v>40175</v>
      </c>
      <c r="B9817">
        <v>2291.080078</v>
      </c>
      <c r="C9817">
        <f t="shared" si="323"/>
        <v>2.3582100543530667E-3</v>
      </c>
      <c r="D9817">
        <f t="shared" si="322"/>
        <v>0.15146915542050354</v>
      </c>
    </row>
    <row r="9818" spans="1:4" x14ac:dyDescent="0.3">
      <c r="A9818" s="1">
        <v>40176</v>
      </c>
      <c r="B9818">
        <v>2288.3999020000001</v>
      </c>
      <c r="C9818">
        <f t="shared" si="323"/>
        <v>-1.169830782317966E-3</v>
      </c>
      <c r="D9818">
        <f t="shared" si="322"/>
        <v>-0.13075960412257359</v>
      </c>
    </row>
    <row r="9819" spans="1:4" x14ac:dyDescent="0.3">
      <c r="A9819" s="1">
        <v>40177</v>
      </c>
      <c r="B9819">
        <v>2291.280029</v>
      </c>
      <c r="C9819">
        <f t="shared" si="323"/>
        <v>1.2585767887346737E-3</v>
      </c>
      <c r="D9819">
        <f t="shared" si="322"/>
        <v>6.3503015890038678E-2</v>
      </c>
    </row>
    <row r="9820" spans="1:4" x14ac:dyDescent="0.3">
      <c r="A9820" s="1">
        <v>40178</v>
      </c>
      <c r="B9820">
        <v>2269.1499020000001</v>
      </c>
      <c r="C9820">
        <f t="shared" si="323"/>
        <v>-9.6584122062366665E-3</v>
      </c>
      <c r="D9820">
        <f t="shared" si="322"/>
        <v>-0.80981121278068735</v>
      </c>
    </row>
    <row r="9821" spans="1:4" x14ac:dyDescent="0.3">
      <c r="A9821" s="1">
        <v>40182</v>
      </c>
      <c r="B9821">
        <v>2308.419922</v>
      </c>
      <c r="C9821">
        <f t="shared" si="323"/>
        <v>1.7306049267784306E-2</v>
      </c>
      <c r="D9821">
        <f t="shared" si="322"/>
        <v>1.3472348266128837</v>
      </c>
    </row>
    <row r="9822" spans="1:4" x14ac:dyDescent="0.3">
      <c r="A9822" s="1">
        <v>40183</v>
      </c>
      <c r="B9822">
        <v>2308.709961</v>
      </c>
      <c r="C9822">
        <f t="shared" si="323"/>
        <v>1.2564395118748193E-4</v>
      </c>
      <c r="D9822">
        <f t="shared" si="322"/>
        <v>-2.7126952466072156E-2</v>
      </c>
    </row>
    <row r="9823" spans="1:4" x14ac:dyDescent="0.3">
      <c r="A9823" s="1">
        <v>40184</v>
      </c>
      <c r="B9823">
        <v>2301.0900879999999</v>
      </c>
      <c r="C9823">
        <f t="shared" si="323"/>
        <v>-3.3004895065725831E-3</v>
      </c>
      <c r="D9823">
        <f t="shared" si="322"/>
        <v>-0.30120354074191791</v>
      </c>
    </row>
    <row r="9824" spans="1:4" x14ac:dyDescent="0.3">
      <c r="A9824" s="1">
        <v>40185</v>
      </c>
      <c r="B9824">
        <v>2300.0500489999999</v>
      </c>
      <c r="C9824">
        <f t="shared" si="323"/>
        <v>-4.5197665464020672E-4</v>
      </c>
      <c r="D9824">
        <f t="shared" si="322"/>
        <v>-7.3334225742163764E-2</v>
      </c>
    </row>
    <row r="9825" spans="1:4" x14ac:dyDescent="0.3">
      <c r="A9825" s="1">
        <v>40186</v>
      </c>
      <c r="B9825">
        <v>2317.169922</v>
      </c>
      <c r="C9825">
        <f t="shared" si="323"/>
        <v>7.443261074881114E-3</v>
      </c>
      <c r="D9825">
        <f t="shared" si="322"/>
        <v>0.55825232720800966</v>
      </c>
    </row>
    <row r="9826" spans="1:4" x14ac:dyDescent="0.3">
      <c r="A9826" s="1">
        <v>40189</v>
      </c>
      <c r="B9826">
        <v>2312.4099120000001</v>
      </c>
      <c r="C9826">
        <f t="shared" si="323"/>
        <v>-2.0542343290437227E-3</v>
      </c>
      <c r="D9826">
        <f t="shared" si="322"/>
        <v>-0.20150825117151994</v>
      </c>
    </row>
    <row r="9827" spans="1:4" x14ac:dyDescent="0.3">
      <c r="A9827" s="1">
        <v>40190</v>
      </c>
      <c r="B9827">
        <v>2282.3100589999999</v>
      </c>
      <c r="C9827">
        <f t="shared" si="323"/>
        <v>-1.3016659738310343E-2</v>
      </c>
      <c r="D9827">
        <f t="shared" si="322"/>
        <v>-1.0784572061502165</v>
      </c>
    </row>
    <row r="9828" spans="1:4" x14ac:dyDescent="0.3">
      <c r="A9828" s="1">
        <v>40191</v>
      </c>
      <c r="B9828">
        <v>2307.8999020000001</v>
      </c>
      <c r="C9828">
        <f t="shared" si="323"/>
        <v>1.1212255275785121E-2</v>
      </c>
      <c r="D9828">
        <f t="shared" si="322"/>
        <v>0.85975636508357078</v>
      </c>
    </row>
    <row r="9829" spans="1:4" x14ac:dyDescent="0.3">
      <c r="A9829" s="1">
        <v>40192</v>
      </c>
      <c r="B9829">
        <v>2316.73999</v>
      </c>
      <c r="C9829">
        <f t="shared" si="323"/>
        <v>3.830360230241876E-3</v>
      </c>
      <c r="D9829">
        <f t="shared" si="322"/>
        <v>0.26923511597391386</v>
      </c>
    </row>
    <row r="9830" spans="1:4" x14ac:dyDescent="0.3">
      <c r="A9830" s="1">
        <v>40193</v>
      </c>
      <c r="B9830">
        <v>2287.98999</v>
      </c>
      <c r="C9830">
        <f t="shared" si="323"/>
        <v>-1.2409679171636347E-2</v>
      </c>
      <c r="D9830">
        <f t="shared" si="322"/>
        <v>-1.0299012567353005</v>
      </c>
    </row>
    <row r="9831" spans="1:4" x14ac:dyDescent="0.3">
      <c r="A9831" s="1">
        <v>40197</v>
      </c>
      <c r="B9831">
        <v>2320.3999020000001</v>
      </c>
      <c r="C9831">
        <f t="shared" si="323"/>
        <v>1.4165233301567057E-2</v>
      </c>
      <c r="D9831">
        <f t="shared" si="322"/>
        <v>1.0959824644279279</v>
      </c>
    </row>
    <row r="9832" spans="1:4" x14ac:dyDescent="0.3">
      <c r="A9832" s="1">
        <v>40198</v>
      </c>
      <c r="B9832">
        <v>2291.25</v>
      </c>
      <c r="C9832">
        <f t="shared" si="323"/>
        <v>-1.256244752246163E-2</v>
      </c>
      <c r="D9832">
        <f t="shared" si="322"/>
        <v>-1.0421220966141109</v>
      </c>
    </row>
    <row r="9833" spans="1:4" x14ac:dyDescent="0.3">
      <c r="A9833" s="1">
        <v>40199</v>
      </c>
      <c r="B9833">
        <v>2265.6999510000001</v>
      </c>
      <c r="C9833">
        <f t="shared" si="323"/>
        <v>-1.1151139770867406E-2</v>
      </c>
      <c r="D9833">
        <f t="shared" si="322"/>
        <v>-0.92922327981872388</v>
      </c>
    </row>
    <row r="9834" spans="1:4" x14ac:dyDescent="0.3">
      <c r="A9834" s="1">
        <v>40200</v>
      </c>
      <c r="B9834">
        <v>2205.290039</v>
      </c>
      <c r="C9834">
        <f t="shared" si="323"/>
        <v>-2.6662803242475806E-2</v>
      </c>
      <c r="D9834">
        <f t="shared" si="322"/>
        <v>-2.1700925732060745</v>
      </c>
    </row>
    <row r="9835" spans="1:4" x14ac:dyDescent="0.3">
      <c r="A9835" s="1">
        <v>40203</v>
      </c>
      <c r="B9835">
        <v>2210.8000489999999</v>
      </c>
      <c r="C9835">
        <f t="shared" si="323"/>
        <v>2.4985420976637194E-3</v>
      </c>
      <c r="D9835">
        <f t="shared" si="322"/>
        <v>0.16269514183654565</v>
      </c>
    </row>
    <row r="9836" spans="1:4" x14ac:dyDescent="0.3">
      <c r="A9836" s="1">
        <v>40204</v>
      </c>
      <c r="B9836">
        <v>2203.7299800000001</v>
      </c>
      <c r="C9836">
        <f t="shared" si="323"/>
        <v>-3.1979685377688701E-3</v>
      </c>
      <c r="D9836">
        <f t="shared" si="322"/>
        <v>-0.29300228480636353</v>
      </c>
    </row>
    <row r="9837" spans="1:4" x14ac:dyDescent="0.3">
      <c r="A9837" s="1">
        <v>40205</v>
      </c>
      <c r="B9837">
        <v>2221.4099120000001</v>
      </c>
      <c r="C9837">
        <f t="shared" si="323"/>
        <v>8.02273062510136E-3</v>
      </c>
      <c r="D9837">
        <f t="shared" si="322"/>
        <v>0.60460750843260103</v>
      </c>
    </row>
    <row r="9838" spans="1:4" x14ac:dyDescent="0.3">
      <c r="A9838" s="1">
        <v>40206</v>
      </c>
      <c r="B9838">
        <v>2179</v>
      </c>
      <c r="C9838">
        <f t="shared" si="323"/>
        <v>-1.9091439077003666E-2</v>
      </c>
      <c r="D9838">
        <f t="shared" si="322"/>
        <v>-1.5644145736037824</v>
      </c>
    </row>
    <row r="9839" spans="1:4" x14ac:dyDescent="0.3">
      <c r="A9839" s="1">
        <v>40207</v>
      </c>
      <c r="B9839">
        <v>2147.3500979999999</v>
      </c>
      <c r="C9839">
        <f t="shared" si="323"/>
        <v>-1.4524966498393809E-2</v>
      </c>
      <c r="D9839">
        <f t="shared" si="322"/>
        <v>-1.1991155447624366</v>
      </c>
    </row>
    <row r="9840" spans="1:4" x14ac:dyDescent="0.3">
      <c r="A9840" s="1">
        <v>40210</v>
      </c>
      <c r="B9840">
        <v>2171.1999510000001</v>
      </c>
      <c r="C9840">
        <f t="shared" si="323"/>
        <v>1.1106643961882814E-2</v>
      </c>
      <c r="D9840">
        <f t="shared" si="322"/>
        <v>0.85130789424770381</v>
      </c>
    </row>
    <row r="9841" spans="1:4" x14ac:dyDescent="0.3">
      <c r="A9841" s="1">
        <v>40211</v>
      </c>
      <c r="B9841">
        <v>2190.0600589999999</v>
      </c>
      <c r="C9841">
        <f t="shared" si="323"/>
        <v>8.6864906160823013E-3</v>
      </c>
      <c r="D9841">
        <f t="shared" si="322"/>
        <v>0.6577055783136847</v>
      </c>
    </row>
    <row r="9842" spans="1:4" x14ac:dyDescent="0.3">
      <c r="A9842" s="1">
        <v>40212</v>
      </c>
      <c r="B9842">
        <v>2190.9099120000001</v>
      </c>
      <c r="C9842">
        <f t="shared" si="323"/>
        <v>3.8805008863008838E-4</v>
      </c>
      <c r="D9842">
        <f t="shared" si="322"/>
        <v>-6.1355404911482081E-3</v>
      </c>
    </row>
    <row r="9843" spans="1:4" x14ac:dyDescent="0.3">
      <c r="A9843" s="1">
        <v>40213</v>
      </c>
      <c r="B9843">
        <v>2125.429932</v>
      </c>
      <c r="C9843">
        <f t="shared" si="323"/>
        <v>-2.9887116599981892E-2</v>
      </c>
      <c r="D9843">
        <f t="shared" si="322"/>
        <v>-2.4280243833508126</v>
      </c>
    </row>
    <row r="9844" spans="1:4" x14ac:dyDescent="0.3">
      <c r="A9844" s="1">
        <v>40214</v>
      </c>
      <c r="B9844">
        <v>2141.1201169999999</v>
      </c>
      <c r="C9844">
        <f t="shared" si="323"/>
        <v>7.3821229125326576E-3</v>
      </c>
      <c r="D9844">
        <f t="shared" si="322"/>
        <v>0.55336152562175889</v>
      </c>
    </row>
    <row r="9845" spans="1:4" x14ac:dyDescent="0.3">
      <c r="A9845" s="1">
        <v>40217</v>
      </c>
      <c r="B9845">
        <v>2126.0500489999999</v>
      </c>
      <c r="C9845">
        <f t="shared" si="323"/>
        <v>-7.0384038150625586E-3</v>
      </c>
      <c r="D9845">
        <f t="shared" si="322"/>
        <v>-0.60022131502563769</v>
      </c>
    </row>
    <row r="9846" spans="1:4" x14ac:dyDescent="0.3">
      <c r="A9846" s="1">
        <v>40218</v>
      </c>
      <c r="B9846">
        <v>2150.8701169999999</v>
      </c>
      <c r="C9846">
        <f t="shared" si="323"/>
        <v>1.1674263271306457E-2</v>
      </c>
      <c r="D9846">
        <f t="shared" si="322"/>
        <v>0.89671510493704842</v>
      </c>
    </row>
    <row r="9847" spans="1:4" x14ac:dyDescent="0.3">
      <c r="A9847" s="1">
        <v>40219</v>
      </c>
      <c r="B9847">
        <v>2147.8701169999999</v>
      </c>
      <c r="C9847">
        <f t="shared" si="323"/>
        <v>-1.3947843601938889E-3</v>
      </c>
      <c r="D9847">
        <f t="shared" si="322"/>
        <v>-0.14875496533800803</v>
      </c>
    </row>
    <row r="9848" spans="1:4" x14ac:dyDescent="0.3">
      <c r="A9848" s="1">
        <v>40220</v>
      </c>
      <c r="B9848">
        <v>2177.4099120000001</v>
      </c>
      <c r="C9848">
        <f t="shared" si="323"/>
        <v>1.3753063914897858E-2</v>
      </c>
      <c r="D9848">
        <f t="shared" si="322"/>
        <v>1.0630106083450372</v>
      </c>
    </row>
    <row r="9849" spans="1:4" x14ac:dyDescent="0.3">
      <c r="A9849" s="1">
        <v>40221</v>
      </c>
      <c r="B9849">
        <v>2183.530029</v>
      </c>
      <c r="C9849">
        <f t="shared" si="323"/>
        <v>2.8107325893352215E-3</v>
      </c>
      <c r="D9849">
        <f t="shared" si="322"/>
        <v>0.18766909743529345</v>
      </c>
    </row>
    <row r="9850" spans="1:4" x14ac:dyDescent="0.3">
      <c r="A9850" s="1">
        <v>40225</v>
      </c>
      <c r="B9850">
        <v>2214.1899410000001</v>
      </c>
      <c r="C9850">
        <f t="shared" si="323"/>
        <v>1.4041442798037231E-2</v>
      </c>
      <c r="D9850">
        <f t="shared" si="322"/>
        <v>1.086079733175134</v>
      </c>
    </row>
    <row r="9851" spans="1:4" x14ac:dyDescent="0.3">
      <c r="A9851" s="1">
        <v>40226</v>
      </c>
      <c r="B9851">
        <v>2226.290039</v>
      </c>
      <c r="C9851">
        <f t="shared" si="323"/>
        <v>5.4647967529538556E-3</v>
      </c>
      <c r="D9851">
        <f t="shared" si="322"/>
        <v>0.3999833169477322</v>
      </c>
    </row>
    <row r="9852" spans="1:4" x14ac:dyDescent="0.3">
      <c r="A9852" s="1">
        <v>40227</v>
      </c>
      <c r="B9852">
        <v>2241.709961</v>
      </c>
      <c r="C9852">
        <f t="shared" si="323"/>
        <v>6.9262862115334837E-3</v>
      </c>
      <c r="D9852">
        <f t="shared" si="322"/>
        <v>0.5168964639535395</v>
      </c>
    </row>
    <row r="9853" spans="1:4" x14ac:dyDescent="0.3">
      <c r="A9853" s="1">
        <v>40228</v>
      </c>
      <c r="B9853">
        <v>2243.8701169999999</v>
      </c>
      <c r="C9853">
        <f t="shared" si="323"/>
        <v>9.6361975348331662E-4</v>
      </c>
      <c r="D9853">
        <f t="shared" si="322"/>
        <v>3.9907665940506244E-2</v>
      </c>
    </row>
    <row r="9854" spans="1:4" x14ac:dyDescent="0.3">
      <c r="A9854" s="1">
        <v>40231</v>
      </c>
      <c r="B9854">
        <v>2242.030029</v>
      </c>
      <c r="C9854">
        <f t="shared" si="323"/>
        <v>-8.2005102971827821E-4</v>
      </c>
      <c r="D9854">
        <f t="shared" si="322"/>
        <v>-0.10277866221753545</v>
      </c>
    </row>
    <row r="9855" spans="1:4" x14ac:dyDescent="0.3">
      <c r="A9855" s="1">
        <v>40232</v>
      </c>
      <c r="B9855">
        <v>2213.4399410000001</v>
      </c>
      <c r="C9855">
        <f t="shared" si="323"/>
        <v>-1.275187559051196E-2</v>
      </c>
      <c r="D9855">
        <f t="shared" si="322"/>
        <v>-1.0572755631252673</v>
      </c>
    </row>
    <row r="9856" spans="1:4" x14ac:dyDescent="0.3">
      <c r="A9856" s="1">
        <v>40233</v>
      </c>
      <c r="B9856">
        <v>2235.8999020000001</v>
      </c>
      <c r="C9856">
        <f t="shared" si="323"/>
        <v>1.014708399535473E-2</v>
      </c>
      <c r="D9856">
        <f t="shared" si="322"/>
        <v>0.77454704265961627</v>
      </c>
    </row>
    <row r="9857" spans="1:4" x14ac:dyDescent="0.3">
      <c r="A9857" s="1">
        <v>40234</v>
      </c>
      <c r="B9857">
        <v>2234.219971</v>
      </c>
      <c r="C9857">
        <f t="shared" si="323"/>
        <v>-7.5134445799538482E-4</v>
      </c>
      <c r="D9857">
        <f t="shared" si="322"/>
        <v>-9.7282419002815049E-2</v>
      </c>
    </row>
    <row r="9858" spans="1:4" x14ac:dyDescent="0.3">
      <c r="A9858" s="1">
        <v>40235</v>
      </c>
      <c r="B9858">
        <v>2238.26001</v>
      </c>
      <c r="C9858">
        <f t="shared" si="323"/>
        <v>1.8082548059006581E-3</v>
      </c>
      <c r="D9858">
        <f t="shared" si="322"/>
        <v>0.10747499697380508</v>
      </c>
    </row>
    <row r="9859" spans="1:4" x14ac:dyDescent="0.3">
      <c r="A9859" s="1">
        <v>40238</v>
      </c>
      <c r="B9859">
        <v>2273.570068</v>
      </c>
      <c r="C9859">
        <f t="shared" si="323"/>
        <v>1.5775672996990207E-2</v>
      </c>
      <c r="D9859">
        <f t="shared" ref="D9859:D9922" si="324">(C9859-avrtn)/sdrtn</f>
        <v>1.2248110178941833</v>
      </c>
    </row>
    <row r="9860" spans="1:4" x14ac:dyDescent="0.3">
      <c r="A9860" s="1">
        <v>40239</v>
      </c>
      <c r="B9860">
        <v>2280.790039</v>
      </c>
      <c r="C9860">
        <f t="shared" ref="C9860:C9923" si="325">(B9860-B9859)/B9859</f>
        <v>3.175609628935345E-3</v>
      </c>
      <c r="D9860">
        <f t="shared" si="324"/>
        <v>0.21685776021995135</v>
      </c>
    </row>
    <row r="9861" spans="1:4" x14ac:dyDescent="0.3">
      <c r="A9861" s="1">
        <v>40240</v>
      </c>
      <c r="B9861">
        <v>2280.679932</v>
      </c>
      <c r="C9861">
        <f t="shared" si="325"/>
        <v>-4.8275815887132988E-5</v>
      </c>
      <c r="D9861">
        <f t="shared" si="324"/>
        <v>-4.1039818669685875E-2</v>
      </c>
    </row>
    <row r="9862" spans="1:4" x14ac:dyDescent="0.3">
      <c r="A9862" s="1">
        <v>40241</v>
      </c>
      <c r="B9862">
        <v>2292.3100589999999</v>
      </c>
      <c r="C9862">
        <f t="shared" si="325"/>
        <v>5.0994121695108171E-3</v>
      </c>
      <c r="D9862">
        <f t="shared" si="324"/>
        <v>0.37075405274267387</v>
      </c>
    </row>
    <row r="9863" spans="1:4" x14ac:dyDescent="0.3">
      <c r="A9863" s="1">
        <v>40242</v>
      </c>
      <c r="B9863">
        <v>2326.3500979999999</v>
      </c>
      <c r="C9863">
        <f t="shared" si="325"/>
        <v>1.4849666111420218E-2</v>
      </c>
      <c r="D9863">
        <f t="shared" si="324"/>
        <v>1.15073427481165</v>
      </c>
    </row>
    <row r="9864" spans="1:4" x14ac:dyDescent="0.3">
      <c r="A9864" s="1">
        <v>40245</v>
      </c>
      <c r="B9864">
        <v>2332.209961</v>
      </c>
      <c r="C9864">
        <f t="shared" si="325"/>
        <v>2.5189084845990933E-3</v>
      </c>
      <c r="D9864">
        <f t="shared" si="324"/>
        <v>0.1643243690442921</v>
      </c>
    </row>
    <row r="9865" spans="1:4" x14ac:dyDescent="0.3">
      <c r="A9865" s="1">
        <v>40246</v>
      </c>
      <c r="B9865">
        <v>2340.679932</v>
      </c>
      <c r="C9865">
        <f t="shared" si="325"/>
        <v>3.6317360536305449E-3</v>
      </c>
      <c r="D9865">
        <f t="shared" si="324"/>
        <v>0.25334599859250184</v>
      </c>
    </row>
    <row r="9866" spans="1:4" x14ac:dyDescent="0.3">
      <c r="A9866" s="1">
        <v>40247</v>
      </c>
      <c r="B9866">
        <v>2358.9499510000001</v>
      </c>
      <c r="C9866">
        <f t="shared" si="325"/>
        <v>7.8054324088595844E-3</v>
      </c>
      <c r="D9866">
        <f t="shared" si="324"/>
        <v>0.5872245446688632</v>
      </c>
    </row>
    <row r="9867" spans="1:4" x14ac:dyDescent="0.3">
      <c r="A9867" s="1">
        <v>40248</v>
      </c>
      <c r="B9867">
        <v>2368.459961</v>
      </c>
      <c r="C9867">
        <f t="shared" si="325"/>
        <v>4.0314589955452451E-3</v>
      </c>
      <c r="D9867">
        <f t="shared" si="324"/>
        <v>0.2853221902751194</v>
      </c>
    </row>
    <row r="9868" spans="1:4" x14ac:dyDescent="0.3">
      <c r="A9868" s="1">
        <v>40249</v>
      </c>
      <c r="B9868">
        <v>2367.6599120000001</v>
      </c>
      <c r="C9868">
        <f t="shared" si="325"/>
        <v>-3.3779291741210251E-4</v>
      </c>
      <c r="D9868">
        <f t="shared" si="324"/>
        <v>-6.4199996290248446E-2</v>
      </c>
    </row>
    <row r="9869" spans="1:4" x14ac:dyDescent="0.3">
      <c r="A9869" s="1">
        <v>40252</v>
      </c>
      <c r="B9869">
        <v>2362.209961</v>
      </c>
      <c r="C9869">
        <f t="shared" si="325"/>
        <v>-2.3018301625069098E-3</v>
      </c>
      <c r="D9869">
        <f t="shared" si="324"/>
        <v>-0.22131489972842419</v>
      </c>
    </row>
    <row r="9870" spans="1:4" x14ac:dyDescent="0.3">
      <c r="A9870" s="1">
        <v>40253</v>
      </c>
      <c r="B9870">
        <v>2378.01001</v>
      </c>
      <c r="C9870">
        <f t="shared" si="325"/>
        <v>6.6886725823945264E-3</v>
      </c>
      <c r="D9870">
        <f t="shared" si="324"/>
        <v>0.49788835069550419</v>
      </c>
    </row>
    <row r="9871" spans="1:4" x14ac:dyDescent="0.3">
      <c r="A9871" s="1">
        <v>40254</v>
      </c>
      <c r="B9871">
        <v>2389.0900879999999</v>
      </c>
      <c r="C9871">
        <f t="shared" si="325"/>
        <v>4.6593908156004598E-3</v>
      </c>
      <c r="D9871">
        <f t="shared" si="324"/>
        <v>0.33555415380846398</v>
      </c>
    </row>
    <row r="9872" spans="1:4" x14ac:dyDescent="0.3">
      <c r="A9872" s="1">
        <v>40255</v>
      </c>
      <c r="B9872">
        <v>2391.280029</v>
      </c>
      <c r="C9872">
        <f t="shared" si="325"/>
        <v>9.1664228611545344E-4</v>
      </c>
      <c r="D9872">
        <f t="shared" si="324"/>
        <v>3.614966172357726E-2</v>
      </c>
    </row>
    <row r="9873" spans="1:4" x14ac:dyDescent="0.3">
      <c r="A9873" s="1">
        <v>40256</v>
      </c>
      <c r="B9873">
        <v>2374.4099120000001</v>
      </c>
      <c r="C9873">
        <f t="shared" si="325"/>
        <v>-7.0548479456229909E-3</v>
      </c>
      <c r="D9873">
        <f t="shared" si="324"/>
        <v>-0.60153677785180337</v>
      </c>
    </row>
    <row r="9874" spans="1:4" x14ac:dyDescent="0.3">
      <c r="A9874" s="1">
        <v>40259</v>
      </c>
      <c r="B9874">
        <v>2395.3999020000001</v>
      </c>
      <c r="C9874">
        <f t="shared" si="325"/>
        <v>8.8400869175617024E-3</v>
      </c>
      <c r="D9874">
        <f t="shared" si="324"/>
        <v>0.66999265084027115</v>
      </c>
    </row>
    <row r="9875" spans="1:4" x14ac:dyDescent="0.3">
      <c r="A9875" s="1">
        <v>40260</v>
      </c>
      <c r="B9875">
        <v>2415.23999</v>
      </c>
      <c r="C9875">
        <f t="shared" si="325"/>
        <v>8.2825786138818677E-3</v>
      </c>
      <c r="D9875">
        <f t="shared" si="324"/>
        <v>0.62539427903372735</v>
      </c>
    </row>
    <row r="9876" spans="1:4" x14ac:dyDescent="0.3">
      <c r="A9876" s="1">
        <v>40261</v>
      </c>
      <c r="B9876">
        <v>2398.76001</v>
      </c>
      <c r="C9876">
        <f t="shared" si="325"/>
        <v>-6.8233302148992935E-3</v>
      </c>
      <c r="D9876">
        <f t="shared" si="324"/>
        <v>-0.58301631140050481</v>
      </c>
    </row>
    <row r="9877" spans="1:4" x14ac:dyDescent="0.3">
      <c r="A9877" s="1">
        <v>40262</v>
      </c>
      <c r="B9877">
        <v>2397.4099120000001</v>
      </c>
      <c r="C9877">
        <f t="shared" si="325"/>
        <v>-5.6283162732894191E-4</v>
      </c>
      <c r="D9877">
        <f t="shared" si="324"/>
        <v>-8.2202167718891148E-2</v>
      </c>
    </row>
    <row r="9878" spans="1:4" x14ac:dyDescent="0.3">
      <c r="A9878" s="1">
        <v>40263</v>
      </c>
      <c r="B9878">
        <v>2395.1298830000001</v>
      </c>
      <c r="C9878">
        <f t="shared" si="325"/>
        <v>-9.5103844719568052E-4</v>
      </c>
      <c r="D9878">
        <f t="shared" si="324"/>
        <v>-0.11325711699224858</v>
      </c>
    </row>
    <row r="9879" spans="1:4" x14ac:dyDescent="0.3">
      <c r="A9879" s="1">
        <v>40266</v>
      </c>
      <c r="B9879">
        <v>2404.360107</v>
      </c>
      <c r="C9879">
        <f t="shared" si="325"/>
        <v>3.8537467489815906E-3</v>
      </c>
      <c r="D9879">
        <f t="shared" si="324"/>
        <v>0.27110594130715132</v>
      </c>
    </row>
    <row r="9880" spans="1:4" x14ac:dyDescent="0.3">
      <c r="A9880" s="1">
        <v>40267</v>
      </c>
      <c r="B9880">
        <v>2410.6899410000001</v>
      </c>
      <c r="C9880">
        <f t="shared" si="325"/>
        <v>2.6326480719637557E-3</v>
      </c>
      <c r="D9880">
        <f t="shared" si="324"/>
        <v>0.17342306833348722</v>
      </c>
    </row>
    <row r="9881" spans="1:4" x14ac:dyDescent="0.3">
      <c r="A9881" s="1">
        <v>40268</v>
      </c>
      <c r="B9881">
        <v>2397.959961</v>
      </c>
      <c r="C9881">
        <f t="shared" si="325"/>
        <v>-5.2806376230696145E-3</v>
      </c>
      <c r="D9881">
        <f t="shared" si="324"/>
        <v>-0.45960724764397248</v>
      </c>
    </row>
    <row r="9882" spans="1:4" x14ac:dyDescent="0.3">
      <c r="A9882" s="1">
        <v>40269</v>
      </c>
      <c r="B9882">
        <v>2402.580078</v>
      </c>
      <c r="C9882">
        <f t="shared" si="325"/>
        <v>1.9266864648037117E-3</v>
      </c>
      <c r="D9882">
        <f t="shared" si="324"/>
        <v>0.11694904269215806</v>
      </c>
    </row>
    <row r="9883" spans="1:4" x14ac:dyDescent="0.3">
      <c r="A9883" s="1">
        <v>40273</v>
      </c>
      <c r="B9883">
        <v>2429.530029</v>
      </c>
      <c r="C9883">
        <f t="shared" si="325"/>
        <v>1.1217087516364587E-2</v>
      </c>
      <c r="D9883">
        <f t="shared" si="324"/>
        <v>0.86014292445963603</v>
      </c>
    </row>
    <row r="9884" spans="1:4" x14ac:dyDescent="0.3">
      <c r="A9884" s="1">
        <v>40274</v>
      </c>
      <c r="B9884">
        <v>2436.8100589999999</v>
      </c>
      <c r="C9884">
        <f t="shared" si="325"/>
        <v>2.9964766490235043E-3</v>
      </c>
      <c r="D9884">
        <f t="shared" si="324"/>
        <v>0.20252785842621884</v>
      </c>
    </row>
    <row r="9885" spans="1:4" x14ac:dyDescent="0.3">
      <c r="A9885" s="1">
        <v>40275</v>
      </c>
      <c r="B9885">
        <v>2431.1599120000001</v>
      </c>
      <c r="C9885">
        <f t="shared" si="325"/>
        <v>-2.3186653301646739E-3</v>
      </c>
      <c r="D9885">
        <f t="shared" si="324"/>
        <v>-0.22266164391442228</v>
      </c>
    </row>
    <row r="9886" spans="1:4" x14ac:dyDescent="0.3">
      <c r="A9886" s="1">
        <v>40276</v>
      </c>
      <c r="B9886">
        <v>2436.8100589999999</v>
      </c>
      <c r="C9886">
        <f t="shared" si="325"/>
        <v>2.3240540336779926E-3</v>
      </c>
      <c r="D9886">
        <f t="shared" si="324"/>
        <v>0.14873681421689386</v>
      </c>
    </row>
    <row r="9887" spans="1:4" x14ac:dyDescent="0.3">
      <c r="A9887" s="1">
        <v>40277</v>
      </c>
      <c r="B9887">
        <v>2454.0500489999999</v>
      </c>
      <c r="C9887">
        <f t="shared" si="325"/>
        <v>7.0748189569911964E-3</v>
      </c>
      <c r="D9887">
        <f t="shared" si="324"/>
        <v>0.52877847281985768</v>
      </c>
    </row>
    <row r="9888" spans="1:4" x14ac:dyDescent="0.3">
      <c r="A9888" s="1">
        <v>40280</v>
      </c>
      <c r="B9888">
        <v>2457.8701169999999</v>
      </c>
      <c r="C9888">
        <f t="shared" si="325"/>
        <v>1.5566381792240262E-3</v>
      </c>
      <c r="D9888">
        <f t="shared" si="324"/>
        <v>8.7346701493425716E-2</v>
      </c>
    </row>
    <row r="9889" spans="1:4" x14ac:dyDescent="0.3">
      <c r="A9889" s="1">
        <v>40281</v>
      </c>
      <c r="B9889">
        <v>2465.98999</v>
      </c>
      <c r="C9889">
        <f t="shared" si="325"/>
        <v>3.3036216779066272E-3</v>
      </c>
      <c r="D9889">
        <f t="shared" si="324"/>
        <v>0.22709819774896325</v>
      </c>
    </row>
    <row r="9890" spans="1:4" x14ac:dyDescent="0.3">
      <c r="A9890" s="1">
        <v>40282</v>
      </c>
      <c r="B9890">
        <v>2504.860107</v>
      </c>
      <c r="C9890">
        <f t="shared" si="325"/>
        <v>1.5762479636018286E-2</v>
      </c>
      <c r="D9890">
        <f t="shared" si="324"/>
        <v>1.2237556032678543</v>
      </c>
    </row>
    <row r="9891" spans="1:4" x14ac:dyDescent="0.3">
      <c r="A9891" s="1">
        <v>40283</v>
      </c>
      <c r="B9891">
        <v>2515.6899410000001</v>
      </c>
      <c r="C9891">
        <f t="shared" si="325"/>
        <v>4.3235284755964694E-3</v>
      </c>
      <c r="D9891">
        <f t="shared" si="324"/>
        <v>0.30868654768233911</v>
      </c>
    </row>
    <row r="9892" spans="1:4" x14ac:dyDescent="0.3">
      <c r="A9892" s="1">
        <v>40284</v>
      </c>
      <c r="B9892">
        <v>2481.26001</v>
      </c>
      <c r="C9892">
        <f t="shared" si="325"/>
        <v>-1.368607889186616E-2</v>
      </c>
      <c r="D9892">
        <f t="shared" si="324"/>
        <v>-1.1320079857666745</v>
      </c>
    </row>
    <row r="9893" spans="1:4" x14ac:dyDescent="0.3">
      <c r="A9893" s="1">
        <v>40287</v>
      </c>
      <c r="B9893">
        <v>2480.110107</v>
      </c>
      <c r="C9893">
        <f t="shared" si="325"/>
        <v>-4.6343510771367923E-4</v>
      </c>
      <c r="D9893">
        <f t="shared" si="324"/>
        <v>-7.4250854870600985E-2</v>
      </c>
    </row>
    <row r="9894" spans="1:4" x14ac:dyDescent="0.3">
      <c r="A9894" s="1">
        <v>40288</v>
      </c>
      <c r="B9894">
        <v>2500.3100589999999</v>
      </c>
      <c r="C9894">
        <f t="shared" si="325"/>
        <v>8.1447803236584047E-3</v>
      </c>
      <c r="D9894">
        <f t="shared" si="324"/>
        <v>0.61437098244580535</v>
      </c>
    </row>
    <row r="9895" spans="1:4" x14ac:dyDescent="0.3">
      <c r="A9895" s="1">
        <v>40289</v>
      </c>
      <c r="B9895">
        <v>2504.610107</v>
      </c>
      <c r="C9895">
        <f t="shared" si="325"/>
        <v>1.7198059034805734E-3</v>
      </c>
      <c r="D9895">
        <f t="shared" si="324"/>
        <v>0.10039944848425827</v>
      </c>
    </row>
    <row r="9896" spans="1:4" x14ac:dyDescent="0.3">
      <c r="A9896" s="1">
        <v>40290</v>
      </c>
      <c r="B9896">
        <v>2519.070068</v>
      </c>
      <c r="C9896">
        <f t="shared" si="325"/>
        <v>5.7733381174126285E-3</v>
      </c>
      <c r="D9896">
        <f t="shared" si="324"/>
        <v>0.42466535737476241</v>
      </c>
    </row>
    <row r="9897" spans="1:4" x14ac:dyDescent="0.3">
      <c r="A9897" s="1">
        <v>40291</v>
      </c>
      <c r="B9897">
        <v>2530.1499020000001</v>
      </c>
      <c r="C9897">
        <f t="shared" si="325"/>
        <v>4.3983826177557989E-3</v>
      </c>
      <c r="D9897">
        <f t="shared" si="324"/>
        <v>0.31467457125301374</v>
      </c>
    </row>
    <row r="9898" spans="1:4" x14ac:dyDescent="0.3">
      <c r="A9898" s="1">
        <v>40294</v>
      </c>
      <c r="B9898">
        <v>2522.9499510000001</v>
      </c>
      <c r="C9898">
        <f t="shared" si="325"/>
        <v>-2.8456618298815938E-3</v>
      </c>
      <c r="D9898">
        <f t="shared" si="324"/>
        <v>-0.26481919686922056</v>
      </c>
    </row>
    <row r="9899" spans="1:4" x14ac:dyDescent="0.3">
      <c r="A9899" s="1">
        <v>40295</v>
      </c>
      <c r="B9899">
        <v>2471.469971</v>
      </c>
      <c r="C9899">
        <f t="shared" si="325"/>
        <v>-2.0404677460841184E-2</v>
      </c>
      <c r="D9899">
        <f t="shared" si="324"/>
        <v>-1.6694682442422828</v>
      </c>
    </row>
    <row r="9900" spans="1:4" x14ac:dyDescent="0.3">
      <c r="A9900" s="1">
        <v>40296</v>
      </c>
      <c r="B9900">
        <v>2471.7299800000001</v>
      </c>
      <c r="C9900">
        <f t="shared" si="325"/>
        <v>1.0520419145326605E-4</v>
      </c>
      <c r="D9900">
        <f t="shared" si="324"/>
        <v>-2.8762049196015188E-2</v>
      </c>
    </row>
    <row r="9901" spans="1:4" x14ac:dyDescent="0.3">
      <c r="A9901" s="1">
        <v>40297</v>
      </c>
      <c r="B9901">
        <v>2511.919922</v>
      </c>
      <c r="C9901">
        <f t="shared" si="325"/>
        <v>1.6259843237407336E-2</v>
      </c>
      <c r="D9901">
        <f t="shared" si="324"/>
        <v>1.2635426462076289</v>
      </c>
    </row>
    <row r="9902" spans="1:4" x14ac:dyDescent="0.3">
      <c r="A9902" s="1">
        <v>40298</v>
      </c>
      <c r="B9902">
        <v>2461.1899410000001</v>
      </c>
      <c r="C9902">
        <f t="shared" si="325"/>
        <v>-2.0195699932826102E-2</v>
      </c>
      <c r="D9902">
        <f t="shared" si="324"/>
        <v>-1.652750901321806</v>
      </c>
    </row>
    <row r="9903" spans="1:4" x14ac:dyDescent="0.3">
      <c r="A9903" s="1">
        <v>40301</v>
      </c>
      <c r="B9903">
        <v>2498.73999</v>
      </c>
      <c r="C9903">
        <f t="shared" si="325"/>
        <v>1.5256867572253719E-2</v>
      </c>
      <c r="D9903">
        <f t="shared" si="324"/>
        <v>1.183308717255918</v>
      </c>
    </row>
    <row r="9904" spans="1:4" x14ac:dyDescent="0.3">
      <c r="A9904" s="1">
        <v>40302</v>
      </c>
      <c r="B9904">
        <v>2424.25</v>
      </c>
      <c r="C9904">
        <f t="shared" si="325"/>
        <v>-2.9811020873764475E-2</v>
      </c>
      <c r="D9904">
        <f t="shared" si="324"/>
        <v>-2.4219370381609151</v>
      </c>
    </row>
    <row r="9905" spans="1:4" x14ac:dyDescent="0.3">
      <c r="A9905" s="1">
        <v>40303</v>
      </c>
      <c r="B9905">
        <v>2402.290039</v>
      </c>
      <c r="C9905">
        <f t="shared" si="325"/>
        <v>-9.0584556048262429E-3</v>
      </c>
      <c r="D9905">
        <f t="shared" si="324"/>
        <v>-0.76181715170413955</v>
      </c>
    </row>
    <row r="9906" spans="1:4" x14ac:dyDescent="0.3">
      <c r="A9906" s="1">
        <v>40304</v>
      </c>
      <c r="B9906">
        <v>2319.639893</v>
      </c>
      <c r="C9906">
        <f t="shared" si="325"/>
        <v>-3.4404732425400507E-2</v>
      </c>
      <c r="D9906">
        <f t="shared" si="324"/>
        <v>-2.7894150728370284</v>
      </c>
    </row>
    <row r="9907" spans="1:4" x14ac:dyDescent="0.3">
      <c r="A9907" s="1">
        <v>40305</v>
      </c>
      <c r="B9907">
        <v>2265.639893</v>
      </c>
      <c r="C9907">
        <f t="shared" si="325"/>
        <v>-2.3279475475032278E-2</v>
      </c>
      <c r="D9907">
        <f t="shared" si="324"/>
        <v>-1.8994402641375012</v>
      </c>
    </row>
    <row r="9908" spans="1:4" x14ac:dyDescent="0.3">
      <c r="A9908" s="1">
        <v>40308</v>
      </c>
      <c r="B9908">
        <v>2374.669922</v>
      </c>
      <c r="C9908">
        <f t="shared" si="325"/>
        <v>4.8123282670323286E-2</v>
      </c>
      <c r="D9908">
        <f t="shared" si="324"/>
        <v>3.8124867775950624</v>
      </c>
    </row>
    <row r="9909" spans="1:4" x14ac:dyDescent="0.3">
      <c r="A9909" s="1">
        <v>40309</v>
      </c>
      <c r="B9909">
        <v>2375.3100589999999</v>
      </c>
      <c r="C9909">
        <f t="shared" si="325"/>
        <v>2.6956883315418006E-4</v>
      </c>
      <c r="D9909">
        <f t="shared" si="324"/>
        <v>-1.5613553731387234E-2</v>
      </c>
    </row>
    <row r="9910" spans="1:4" x14ac:dyDescent="0.3">
      <c r="A9910" s="1">
        <v>40310</v>
      </c>
      <c r="B9910">
        <v>2425.0200199999999</v>
      </c>
      <c r="C9910">
        <f t="shared" si="325"/>
        <v>2.0927777749119539E-2</v>
      </c>
      <c r="D9910">
        <f t="shared" si="324"/>
        <v>1.6369582124832003</v>
      </c>
    </row>
    <row r="9911" spans="1:4" x14ac:dyDescent="0.3">
      <c r="A9911" s="1">
        <v>40311</v>
      </c>
      <c r="B9911">
        <v>2394.360107</v>
      </c>
      <c r="C9911">
        <f t="shared" si="325"/>
        <v>-1.2643158715036077E-2</v>
      </c>
      <c r="D9911">
        <f t="shared" si="324"/>
        <v>-1.0485786601336597</v>
      </c>
    </row>
    <row r="9912" spans="1:4" x14ac:dyDescent="0.3">
      <c r="A9912" s="1">
        <v>40312</v>
      </c>
      <c r="B9912">
        <v>2346.8500979999999</v>
      </c>
      <c r="C9912">
        <f t="shared" si="325"/>
        <v>-1.9842465993775465E-2</v>
      </c>
      <c r="D9912">
        <f t="shared" si="324"/>
        <v>-1.6244936387043916</v>
      </c>
    </row>
    <row r="9913" spans="1:4" x14ac:dyDescent="0.3">
      <c r="A9913" s="1">
        <v>40315</v>
      </c>
      <c r="B9913">
        <v>2354.2299800000001</v>
      </c>
      <c r="C9913">
        <f t="shared" si="325"/>
        <v>3.1445902771077543E-3</v>
      </c>
      <c r="D9913">
        <f t="shared" si="324"/>
        <v>0.21437633962608096</v>
      </c>
    </row>
    <row r="9914" spans="1:4" x14ac:dyDescent="0.3">
      <c r="A9914" s="1">
        <v>40316</v>
      </c>
      <c r="B9914">
        <v>2317.26001</v>
      </c>
      <c r="C9914">
        <f t="shared" si="325"/>
        <v>-1.570363571701695E-2</v>
      </c>
      <c r="D9914">
        <f t="shared" si="324"/>
        <v>-1.2934042355355007</v>
      </c>
    </row>
    <row r="9915" spans="1:4" x14ac:dyDescent="0.3">
      <c r="A9915" s="1">
        <v>40317</v>
      </c>
      <c r="B9915">
        <v>2298.3701169999999</v>
      </c>
      <c r="C9915">
        <f t="shared" si="325"/>
        <v>-8.151822807316314E-3</v>
      </c>
      <c r="D9915">
        <f t="shared" si="324"/>
        <v>-0.68929025599968485</v>
      </c>
    </row>
    <row r="9916" spans="1:4" x14ac:dyDescent="0.3">
      <c r="A9916" s="1">
        <v>40318</v>
      </c>
      <c r="B9916">
        <v>2204.01001</v>
      </c>
      <c r="C9916">
        <f t="shared" si="325"/>
        <v>-4.1055227050709159E-2</v>
      </c>
      <c r="D9916">
        <f t="shared" si="324"/>
        <v>-3.3214272958644164</v>
      </c>
    </row>
    <row r="9917" spans="1:4" x14ac:dyDescent="0.3">
      <c r="A9917" s="1">
        <v>40319</v>
      </c>
      <c r="B9917">
        <v>2229.040039</v>
      </c>
      <c r="C9917">
        <f t="shared" si="325"/>
        <v>1.1356585898627572E-2</v>
      </c>
      <c r="D9917">
        <f t="shared" si="324"/>
        <v>0.87130222141989944</v>
      </c>
    </row>
    <row r="9918" spans="1:4" x14ac:dyDescent="0.3">
      <c r="A9918" s="1">
        <v>40322</v>
      </c>
      <c r="B9918">
        <v>2213.5500489999999</v>
      </c>
      <c r="C9918">
        <f t="shared" si="325"/>
        <v>-6.9491753081964425E-3</v>
      </c>
      <c r="D9918">
        <f t="shared" si="324"/>
        <v>-0.593083401386161</v>
      </c>
    </row>
    <row r="9919" spans="1:4" x14ac:dyDescent="0.3">
      <c r="A9919" s="1">
        <v>40323</v>
      </c>
      <c r="B9919">
        <v>2210.9499510000001</v>
      </c>
      <c r="C9919">
        <f t="shared" si="325"/>
        <v>-1.174628060103957E-3</v>
      </c>
      <c r="D9919">
        <f t="shared" si="324"/>
        <v>-0.13114336661892875</v>
      </c>
    </row>
    <row r="9920" spans="1:4" x14ac:dyDescent="0.3">
      <c r="A9920" s="1">
        <v>40324</v>
      </c>
      <c r="B9920">
        <v>2195.8798830000001</v>
      </c>
      <c r="C9920">
        <f t="shared" si="325"/>
        <v>-6.8161054451657248E-3</v>
      </c>
      <c r="D9920">
        <f t="shared" si="324"/>
        <v>-0.58243835953024992</v>
      </c>
    </row>
    <row r="9921" spans="1:4" x14ac:dyDescent="0.3">
      <c r="A9921" s="1">
        <v>40325</v>
      </c>
      <c r="B9921">
        <v>2277.679932</v>
      </c>
      <c r="C9921">
        <f t="shared" si="325"/>
        <v>3.7251604531412311E-2</v>
      </c>
      <c r="D9921">
        <f t="shared" si="324"/>
        <v>2.9427972310898118</v>
      </c>
    </row>
    <row r="9922" spans="1:4" x14ac:dyDescent="0.3">
      <c r="A9922" s="1">
        <v>40326</v>
      </c>
      <c r="B9922">
        <v>2257.040039</v>
      </c>
      <c r="C9922">
        <f t="shared" si="325"/>
        <v>-9.0618057041387794E-3</v>
      </c>
      <c r="D9922">
        <f t="shared" si="324"/>
        <v>-0.76208514587345177</v>
      </c>
    </row>
    <row r="9923" spans="1:4" x14ac:dyDescent="0.3">
      <c r="A9923" s="1">
        <v>40330</v>
      </c>
      <c r="B9923">
        <v>2222.330078</v>
      </c>
      <c r="C9923">
        <f t="shared" si="325"/>
        <v>-1.537853135090087E-2</v>
      </c>
      <c r="D9923">
        <f t="shared" ref="D9923:D9986" si="326">(C9923-avrtn)/sdrtn</f>
        <v>-1.2673972230833557</v>
      </c>
    </row>
    <row r="9924" spans="1:4" x14ac:dyDescent="0.3">
      <c r="A9924" s="1">
        <v>40331</v>
      </c>
      <c r="B9924">
        <v>2281.070068</v>
      </c>
      <c r="C9924">
        <f t="shared" ref="C9924:C9987" si="327">(B9924-B9923)/B9923</f>
        <v>2.6431712634184146E-2</v>
      </c>
      <c r="D9924">
        <f t="shared" si="326"/>
        <v>2.0772503709728878</v>
      </c>
    </row>
    <row r="9925" spans="1:4" x14ac:dyDescent="0.3">
      <c r="A9925" s="1">
        <v>40332</v>
      </c>
      <c r="B9925">
        <v>2303.030029</v>
      </c>
      <c r="C9925">
        <f t="shared" si="327"/>
        <v>9.6270436003108445E-3</v>
      </c>
      <c r="D9925">
        <f t="shared" si="326"/>
        <v>0.73294594947498737</v>
      </c>
    </row>
    <row r="9926" spans="1:4" x14ac:dyDescent="0.3">
      <c r="A9926" s="1">
        <v>40333</v>
      </c>
      <c r="B9926">
        <v>2219.169922</v>
      </c>
      <c r="C9926">
        <f t="shared" si="327"/>
        <v>-3.6412945530029807E-2</v>
      </c>
      <c r="D9926">
        <f t="shared" si="326"/>
        <v>-2.9500638633857434</v>
      </c>
    </row>
    <row r="9927" spans="1:4" x14ac:dyDescent="0.3">
      <c r="A9927" s="1">
        <v>40336</v>
      </c>
      <c r="B9927">
        <v>2173.8999020000001</v>
      </c>
      <c r="C9927">
        <f t="shared" si="327"/>
        <v>-2.0399528468374731E-2</v>
      </c>
      <c r="D9927">
        <f t="shared" si="326"/>
        <v>-1.6690563460177501</v>
      </c>
    </row>
    <row r="9928" spans="1:4" x14ac:dyDescent="0.3">
      <c r="A9928" s="1">
        <v>40337</v>
      </c>
      <c r="B9928">
        <v>2170.570068</v>
      </c>
      <c r="C9928">
        <f t="shared" si="327"/>
        <v>-1.5317328994479704E-3</v>
      </c>
      <c r="D9928">
        <f t="shared" si="326"/>
        <v>-0.15971028534257625</v>
      </c>
    </row>
    <row r="9929" spans="1:4" x14ac:dyDescent="0.3">
      <c r="A9929" s="1">
        <v>40338</v>
      </c>
      <c r="B9929">
        <v>2158.8500979999999</v>
      </c>
      <c r="C9929">
        <f t="shared" si="327"/>
        <v>-5.3994893658508257E-3</v>
      </c>
      <c r="D9929">
        <f t="shared" si="326"/>
        <v>-0.46911489834518283</v>
      </c>
    </row>
    <row r="9930" spans="1:4" x14ac:dyDescent="0.3">
      <c r="A9930" s="1">
        <v>40339</v>
      </c>
      <c r="B9930">
        <v>2218.709961</v>
      </c>
      <c r="C9930">
        <f t="shared" si="327"/>
        <v>2.7727660690964814E-2</v>
      </c>
      <c r="D9930">
        <f t="shared" si="326"/>
        <v>2.1809208865450902</v>
      </c>
    </row>
    <row r="9931" spans="1:4" x14ac:dyDescent="0.3">
      <c r="A9931" s="1">
        <v>40340</v>
      </c>
      <c r="B9931">
        <v>2243.6000979999999</v>
      </c>
      <c r="C9931">
        <f t="shared" si="327"/>
        <v>1.1218292357952716E-2</v>
      </c>
      <c r="D9931">
        <f t="shared" si="326"/>
        <v>0.86023930683234806</v>
      </c>
    </row>
    <row r="9932" spans="1:4" x14ac:dyDescent="0.3">
      <c r="A9932" s="1">
        <v>40343</v>
      </c>
      <c r="B9932">
        <v>2243.959961</v>
      </c>
      <c r="C9932">
        <f t="shared" si="327"/>
        <v>1.6039533975815157E-4</v>
      </c>
      <c r="D9932">
        <f t="shared" si="326"/>
        <v>-2.4346984278982239E-2</v>
      </c>
    </row>
    <row r="9933" spans="1:4" x14ac:dyDescent="0.3">
      <c r="A9933" s="1">
        <v>40344</v>
      </c>
      <c r="B9933">
        <v>2305.8798830000001</v>
      </c>
      <c r="C9933">
        <f t="shared" si="327"/>
        <v>2.7594040480297163E-2</v>
      </c>
      <c r="D9933">
        <f t="shared" si="326"/>
        <v>2.1702318191412675</v>
      </c>
    </row>
    <row r="9934" spans="1:4" x14ac:dyDescent="0.3">
      <c r="A9934" s="1">
        <v>40345</v>
      </c>
      <c r="B9934">
        <v>2305.929932</v>
      </c>
      <c r="C9934">
        <f t="shared" si="327"/>
        <v>2.1704946718573068E-5</v>
      </c>
      <c r="D9934">
        <f t="shared" si="326"/>
        <v>-3.5441645423844675E-2</v>
      </c>
    </row>
    <row r="9935" spans="1:4" x14ac:dyDescent="0.3">
      <c r="A9935" s="1">
        <v>40346</v>
      </c>
      <c r="B9935">
        <v>2307.1599120000001</v>
      </c>
      <c r="C9935">
        <f t="shared" si="327"/>
        <v>5.3339868784879824E-4</v>
      </c>
      <c r="D9935">
        <f t="shared" si="326"/>
        <v>5.4917497693373332E-3</v>
      </c>
    </row>
    <row r="9936" spans="1:4" x14ac:dyDescent="0.3">
      <c r="A9936" s="1">
        <v>40347</v>
      </c>
      <c r="B9936">
        <v>2309.8000489999999</v>
      </c>
      <c r="C9936">
        <f t="shared" si="327"/>
        <v>1.1443233675602577E-3</v>
      </c>
      <c r="D9936">
        <f t="shared" si="326"/>
        <v>5.4363212008960507E-2</v>
      </c>
    </row>
    <row r="9937" spans="1:4" x14ac:dyDescent="0.3">
      <c r="A9937" s="1">
        <v>40350</v>
      </c>
      <c r="B9937">
        <v>2289.0900879999999</v>
      </c>
      <c r="C9937">
        <f t="shared" si="327"/>
        <v>-8.9661271801280591E-3</v>
      </c>
      <c r="D9937">
        <f t="shared" si="326"/>
        <v>-0.75443125738503569</v>
      </c>
    </row>
    <row r="9938" spans="1:4" x14ac:dyDescent="0.3">
      <c r="A9938" s="1">
        <v>40351</v>
      </c>
      <c r="B9938">
        <v>2261.8000489999999</v>
      </c>
      <c r="C9938">
        <f t="shared" si="327"/>
        <v>-1.192178461785379E-2</v>
      </c>
      <c r="D9938">
        <f t="shared" si="326"/>
        <v>-0.99087169866708891</v>
      </c>
    </row>
    <row r="9939" spans="1:4" x14ac:dyDescent="0.3">
      <c r="A9939" s="1">
        <v>40352</v>
      </c>
      <c r="B9939">
        <v>2254.2299800000001</v>
      </c>
      <c r="C9939">
        <f t="shared" si="327"/>
        <v>-3.3469222902116386E-3</v>
      </c>
      <c r="D9939">
        <f t="shared" si="326"/>
        <v>-0.30491797250029512</v>
      </c>
    </row>
    <row r="9940" spans="1:4" x14ac:dyDescent="0.3">
      <c r="A9940" s="1">
        <v>40353</v>
      </c>
      <c r="B9940">
        <v>2217.419922</v>
      </c>
      <c r="C9940">
        <f t="shared" si="327"/>
        <v>-1.6329326788564857E-2</v>
      </c>
      <c r="D9940">
        <f t="shared" si="326"/>
        <v>-1.3434569484022738</v>
      </c>
    </row>
    <row r="9941" spans="1:4" x14ac:dyDescent="0.3">
      <c r="A9941" s="1">
        <v>40354</v>
      </c>
      <c r="B9941">
        <v>2223.4799800000001</v>
      </c>
      <c r="C9941">
        <f t="shared" si="327"/>
        <v>2.7329320621121513E-3</v>
      </c>
      <c r="D9941">
        <f t="shared" si="326"/>
        <v>0.18144537517512738</v>
      </c>
    </row>
    <row r="9942" spans="1:4" x14ac:dyDescent="0.3">
      <c r="A9942" s="1">
        <v>40357</v>
      </c>
      <c r="B9942">
        <v>2220.6499020000001</v>
      </c>
      <c r="C9942">
        <f t="shared" si="327"/>
        <v>-1.2728146983360549E-3</v>
      </c>
      <c r="D9942">
        <f t="shared" si="326"/>
        <v>-0.1389978939316277</v>
      </c>
    </row>
    <row r="9943" spans="1:4" x14ac:dyDescent="0.3">
      <c r="A9943" s="1">
        <v>40358</v>
      </c>
      <c r="B9943">
        <v>2135.179932</v>
      </c>
      <c r="C9943">
        <f t="shared" si="327"/>
        <v>-3.8488718966021011E-2</v>
      </c>
      <c r="D9943">
        <f t="shared" si="326"/>
        <v>-3.116117202633669</v>
      </c>
    </row>
    <row r="9944" spans="1:4" x14ac:dyDescent="0.3">
      <c r="A9944" s="1">
        <v>40359</v>
      </c>
      <c r="B9944">
        <v>2109.23999</v>
      </c>
      <c r="C9944">
        <f t="shared" si="327"/>
        <v>-1.2148831867158994E-2</v>
      </c>
      <c r="D9944">
        <f t="shared" si="326"/>
        <v>-1.0090345449876374</v>
      </c>
    </row>
    <row r="9945" spans="1:4" x14ac:dyDescent="0.3">
      <c r="A9945" s="1">
        <v>40360</v>
      </c>
      <c r="B9945">
        <v>2101.360107</v>
      </c>
      <c r="C9945">
        <f t="shared" si="327"/>
        <v>-3.7358873515384388E-3</v>
      </c>
      <c r="D9945">
        <f t="shared" si="326"/>
        <v>-0.33603357797254996</v>
      </c>
    </row>
    <row r="9946" spans="1:4" x14ac:dyDescent="0.3">
      <c r="A9946" s="1">
        <v>40361</v>
      </c>
      <c r="B9946">
        <v>2091.790039</v>
      </c>
      <c r="C9946">
        <f t="shared" si="327"/>
        <v>-4.5542256027990696E-3</v>
      </c>
      <c r="D9946">
        <f t="shared" si="326"/>
        <v>-0.40149727304640442</v>
      </c>
    </row>
    <row r="9947" spans="1:4" x14ac:dyDescent="0.3">
      <c r="A9947" s="1">
        <v>40365</v>
      </c>
      <c r="B9947">
        <v>2093.8798830000001</v>
      </c>
      <c r="C9947">
        <f t="shared" si="327"/>
        <v>9.9906967766189123E-4</v>
      </c>
      <c r="D9947">
        <f t="shared" si="326"/>
        <v>4.274351410383298E-2</v>
      </c>
    </row>
    <row r="9948" spans="1:4" x14ac:dyDescent="0.3">
      <c r="A9948" s="1">
        <v>40366</v>
      </c>
      <c r="B9948">
        <v>2159.469971</v>
      </c>
      <c r="C9948">
        <f t="shared" si="327"/>
        <v>3.1324666009984264E-2</v>
      </c>
      <c r="D9948">
        <f t="shared" si="326"/>
        <v>2.4686665210923948</v>
      </c>
    </row>
    <row r="9949" spans="1:4" x14ac:dyDescent="0.3">
      <c r="A9949" s="1">
        <v>40367</v>
      </c>
      <c r="B9949">
        <v>2175.3999020000001</v>
      </c>
      <c r="C9949">
        <f t="shared" si="327"/>
        <v>7.376778197394125E-3</v>
      </c>
      <c r="D9949">
        <f t="shared" si="326"/>
        <v>0.55293397038827619</v>
      </c>
    </row>
    <row r="9950" spans="1:4" x14ac:dyDescent="0.3">
      <c r="A9950" s="1">
        <v>40368</v>
      </c>
      <c r="B9950">
        <v>2196.4499510000001</v>
      </c>
      <c r="C9950">
        <f t="shared" si="327"/>
        <v>9.6764043156603689E-3</v>
      </c>
      <c r="D9950">
        <f t="shared" si="326"/>
        <v>0.736894603730475</v>
      </c>
    </row>
    <row r="9951" spans="1:4" x14ac:dyDescent="0.3">
      <c r="A9951" s="1">
        <v>40371</v>
      </c>
      <c r="B9951">
        <v>2198.360107</v>
      </c>
      <c r="C9951">
        <f t="shared" si="327"/>
        <v>8.696560552769524E-4</v>
      </c>
      <c r="D9951">
        <f t="shared" si="326"/>
        <v>3.2390956465032851E-2</v>
      </c>
    </row>
    <row r="9952" spans="1:4" x14ac:dyDescent="0.3">
      <c r="A9952" s="1">
        <v>40372</v>
      </c>
      <c r="B9952">
        <v>2242.030029</v>
      </c>
      <c r="C9952">
        <f t="shared" si="327"/>
        <v>1.9864771863784571E-2</v>
      </c>
      <c r="D9952">
        <f t="shared" si="326"/>
        <v>1.5519221127627216</v>
      </c>
    </row>
    <row r="9953" spans="1:4" x14ac:dyDescent="0.3">
      <c r="A9953" s="1">
        <v>40373</v>
      </c>
      <c r="B9953">
        <v>2249.8400879999999</v>
      </c>
      <c r="C9953">
        <f t="shared" si="327"/>
        <v>3.4834765364330942E-3</v>
      </c>
      <c r="D9953">
        <f t="shared" si="326"/>
        <v>0.24148584686348329</v>
      </c>
    </row>
    <row r="9954" spans="1:4" x14ac:dyDescent="0.3">
      <c r="A9954" s="1">
        <v>40374</v>
      </c>
      <c r="B9954">
        <v>2249.080078</v>
      </c>
      <c r="C9954">
        <f t="shared" si="327"/>
        <v>-3.3780623078664144E-4</v>
      </c>
      <c r="D9954">
        <f t="shared" si="326"/>
        <v>-6.4201061305466628E-2</v>
      </c>
    </row>
    <row r="9955" spans="1:4" x14ac:dyDescent="0.3">
      <c r="A9955" s="1">
        <v>40375</v>
      </c>
      <c r="B9955">
        <v>2179.0500489999999</v>
      </c>
      <c r="C9955">
        <f t="shared" si="327"/>
        <v>-3.1137187904076047E-2</v>
      </c>
      <c r="D9955">
        <f t="shared" si="326"/>
        <v>-2.5280249473544276</v>
      </c>
    </row>
    <row r="9956" spans="1:4" x14ac:dyDescent="0.3">
      <c r="A9956" s="1">
        <v>40378</v>
      </c>
      <c r="B9956">
        <v>2198.2299800000001</v>
      </c>
      <c r="C9956">
        <f t="shared" si="327"/>
        <v>8.8019690088357964E-3</v>
      </c>
      <c r="D9956">
        <f t="shared" si="326"/>
        <v>0.66694337488397593</v>
      </c>
    </row>
    <row r="9957" spans="1:4" x14ac:dyDescent="0.3">
      <c r="A9957" s="1">
        <v>40379</v>
      </c>
      <c r="B9957">
        <v>2222.48999</v>
      </c>
      <c r="C9957">
        <f t="shared" si="327"/>
        <v>1.1036156462573568E-2</v>
      </c>
      <c r="D9957">
        <f t="shared" si="326"/>
        <v>0.84566918414929326</v>
      </c>
    </row>
    <row r="9958" spans="1:4" x14ac:dyDescent="0.3">
      <c r="A9958" s="1">
        <v>40380</v>
      </c>
      <c r="B9958">
        <v>2187.330078</v>
      </c>
      <c r="C9958">
        <f t="shared" si="327"/>
        <v>-1.5820054154664642E-2</v>
      </c>
      <c r="D9958">
        <f t="shared" si="326"/>
        <v>-1.3027172318318401</v>
      </c>
    </row>
    <row r="9959" spans="1:4" x14ac:dyDescent="0.3">
      <c r="A9959" s="1">
        <v>40381</v>
      </c>
      <c r="B9959">
        <v>2245.889893</v>
      </c>
      <c r="C9959">
        <f t="shared" si="327"/>
        <v>2.6772280776911656E-2</v>
      </c>
      <c r="D9959">
        <f t="shared" si="326"/>
        <v>2.104494421966518</v>
      </c>
    </row>
    <row r="9960" spans="1:4" x14ac:dyDescent="0.3">
      <c r="A9960" s="1">
        <v>40382</v>
      </c>
      <c r="B9960">
        <v>2269.469971</v>
      </c>
      <c r="C9960">
        <f t="shared" si="327"/>
        <v>1.0499213729708858E-2</v>
      </c>
      <c r="D9960">
        <f t="shared" si="326"/>
        <v>0.80271597344182677</v>
      </c>
    </row>
    <row r="9961" spans="1:4" x14ac:dyDescent="0.3">
      <c r="A9961" s="1">
        <v>40385</v>
      </c>
      <c r="B9961">
        <v>2296.429932</v>
      </c>
      <c r="C9961">
        <f t="shared" si="327"/>
        <v>1.1879408559929354E-2</v>
      </c>
      <c r="D9961">
        <f t="shared" si="326"/>
        <v>0.91312588446441278</v>
      </c>
    </row>
    <row r="9962" spans="1:4" x14ac:dyDescent="0.3">
      <c r="A9962" s="1">
        <v>40386</v>
      </c>
      <c r="B9962">
        <v>2288.25</v>
      </c>
      <c r="C9962">
        <f t="shared" si="327"/>
        <v>-3.5620211555403153E-3</v>
      </c>
      <c r="D9962">
        <f t="shared" si="326"/>
        <v>-0.32212499723477001</v>
      </c>
    </row>
    <row r="9963" spans="1:4" x14ac:dyDescent="0.3">
      <c r="A9963" s="1">
        <v>40387</v>
      </c>
      <c r="B9963">
        <v>2264.5600589999999</v>
      </c>
      <c r="C9963">
        <f t="shared" si="327"/>
        <v>-1.0352863979023311E-2</v>
      </c>
      <c r="D9963">
        <f t="shared" si="326"/>
        <v>-0.86536449900086621</v>
      </c>
    </row>
    <row r="9964" spans="1:4" x14ac:dyDescent="0.3">
      <c r="A9964" s="1">
        <v>40388</v>
      </c>
      <c r="B9964">
        <v>2251.6899410000001</v>
      </c>
      <c r="C9964">
        <f t="shared" si="327"/>
        <v>-5.6832751901855477E-3</v>
      </c>
      <c r="D9964">
        <f t="shared" si="326"/>
        <v>-0.49181659735767824</v>
      </c>
    </row>
    <row r="9965" spans="1:4" x14ac:dyDescent="0.3">
      <c r="A9965" s="1">
        <v>40389</v>
      </c>
      <c r="B9965">
        <v>2254.6999510000001</v>
      </c>
      <c r="C9965">
        <f t="shared" si="327"/>
        <v>1.3367781883251596E-3</v>
      </c>
      <c r="D9965">
        <f t="shared" si="326"/>
        <v>6.9758806291201E-2</v>
      </c>
    </row>
    <row r="9966" spans="1:4" x14ac:dyDescent="0.3">
      <c r="A9966" s="1">
        <v>40392</v>
      </c>
      <c r="B9966">
        <v>2295.360107</v>
      </c>
      <c r="C9966">
        <f t="shared" si="327"/>
        <v>1.8033510836759633E-2</v>
      </c>
      <c r="D9966">
        <f t="shared" si="326"/>
        <v>1.4054287607910645</v>
      </c>
    </row>
    <row r="9967" spans="1:4" x14ac:dyDescent="0.3">
      <c r="A9967" s="1">
        <v>40393</v>
      </c>
      <c r="B9967">
        <v>2283.5200199999999</v>
      </c>
      <c r="C9967">
        <f t="shared" si="327"/>
        <v>-5.1582699219578443E-3</v>
      </c>
      <c r="D9967">
        <f t="shared" si="326"/>
        <v>-0.44981833473402449</v>
      </c>
    </row>
    <row r="9968" spans="1:4" x14ac:dyDescent="0.3">
      <c r="A9968" s="1">
        <v>40394</v>
      </c>
      <c r="B9968">
        <v>2303.570068</v>
      </c>
      <c r="C9968">
        <f t="shared" si="327"/>
        <v>8.7803250352059808E-3</v>
      </c>
      <c r="D9968">
        <f t="shared" si="326"/>
        <v>0.66521194599414213</v>
      </c>
    </row>
    <row r="9969" spans="1:4" x14ac:dyDescent="0.3">
      <c r="A9969" s="1">
        <v>40395</v>
      </c>
      <c r="B9969">
        <v>2293.0600589999999</v>
      </c>
      <c r="C9969">
        <f t="shared" si="327"/>
        <v>-4.5624872218994654E-3</v>
      </c>
      <c r="D9969">
        <f t="shared" si="326"/>
        <v>-0.40215816860245535</v>
      </c>
    </row>
    <row r="9970" spans="1:4" x14ac:dyDescent="0.3">
      <c r="A9970" s="1">
        <v>40396</v>
      </c>
      <c r="B9970">
        <v>2288.469971</v>
      </c>
      <c r="C9970">
        <f t="shared" si="327"/>
        <v>-2.0017303872981217E-3</v>
      </c>
      <c r="D9970">
        <f t="shared" si="326"/>
        <v>-0.19730815172937036</v>
      </c>
    </row>
    <row r="9971" spans="1:4" x14ac:dyDescent="0.3">
      <c r="A9971" s="1">
        <v>40399</v>
      </c>
      <c r="B9971">
        <v>2305.6899410000001</v>
      </c>
      <c r="C9971">
        <f t="shared" si="327"/>
        <v>7.5246650461729403E-3</v>
      </c>
      <c r="D9971">
        <f t="shared" si="326"/>
        <v>0.56476431017622564</v>
      </c>
    </row>
    <row r="9972" spans="1:4" x14ac:dyDescent="0.3">
      <c r="A9972" s="1">
        <v>40400</v>
      </c>
      <c r="B9972">
        <v>2277.169922</v>
      </c>
      <c r="C9972">
        <f t="shared" si="327"/>
        <v>-1.2369407739026107E-2</v>
      </c>
      <c r="D9972">
        <f t="shared" si="326"/>
        <v>-1.0266797077236016</v>
      </c>
    </row>
    <row r="9973" spans="1:4" x14ac:dyDescent="0.3">
      <c r="A9973" s="1">
        <v>40401</v>
      </c>
      <c r="B9973">
        <v>2208.6298830000001</v>
      </c>
      <c r="C9973">
        <f t="shared" si="327"/>
        <v>-3.0098781095704276E-2</v>
      </c>
      <c r="D9973">
        <f t="shared" si="326"/>
        <v>-2.4449566726389964</v>
      </c>
    </row>
    <row r="9974" spans="1:4" x14ac:dyDescent="0.3">
      <c r="A9974" s="1">
        <v>40402</v>
      </c>
      <c r="B9974">
        <v>2190.2700199999999</v>
      </c>
      <c r="C9974">
        <f t="shared" si="327"/>
        <v>-8.3127839305795221E-3</v>
      </c>
      <c r="D9974">
        <f t="shared" si="326"/>
        <v>-0.70216648398464776</v>
      </c>
    </row>
    <row r="9975" spans="1:4" x14ac:dyDescent="0.3">
      <c r="A9975" s="1">
        <v>40403</v>
      </c>
      <c r="B9975">
        <v>2173.4799800000001</v>
      </c>
      <c r="C9975">
        <f t="shared" si="327"/>
        <v>-7.6657397702954736E-3</v>
      </c>
      <c r="D9975">
        <f t="shared" si="326"/>
        <v>-0.65040561182340917</v>
      </c>
    </row>
    <row r="9976" spans="1:4" x14ac:dyDescent="0.3">
      <c r="A9976" s="1">
        <v>40406</v>
      </c>
      <c r="B9976">
        <v>2181.8701169999999</v>
      </c>
      <c r="C9976">
        <f t="shared" si="327"/>
        <v>3.8602320137312088E-3</v>
      </c>
      <c r="D9976">
        <f t="shared" si="326"/>
        <v>0.27162473581955277</v>
      </c>
    </row>
    <row r="9977" spans="1:4" x14ac:dyDescent="0.3">
      <c r="A9977" s="1">
        <v>40407</v>
      </c>
      <c r="B9977">
        <v>2209.4399410000001</v>
      </c>
      <c r="C9977">
        <f t="shared" si="327"/>
        <v>1.2635868553856799E-2</v>
      </c>
      <c r="D9977">
        <f t="shared" si="326"/>
        <v>0.97363957339652696</v>
      </c>
    </row>
    <row r="9978" spans="1:4" x14ac:dyDescent="0.3">
      <c r="A9978" s="1">
        <v>40408</v>
      </c>
      <c r="B9978">
        <v>2215.6999510000001</v>
      </c>
      <c r="C9978">
        <f t="shared" si="327"/>
        <v>2.8333017267564483E-3</v>
      </c>
      <c r="D9978">
        <f t="shared" si="326"/>
        <v>0.18947453562414399</v>
      </c>
    </row>
    <row r="9979" spans="1:4" x14ac:dyDescent="0.3">
      <c r="A9979" s="1">
        <v>40409</v>
      </c>
      <c r="B9979">
        <v>2178.9499510000001</v>
      </c>
      <c r="C9979">
        <f t="shared" si="327"/>
        <v>-1.6586180806392046E-2</v>
      </c>
      <c r="D9979">
        <f t="shared" si="326"/>
        <v>-1.3640042136384165</v>
      </c>
    </row>
    <row r="9980" spans="1:4" x14ac:dyDescent="0.3">
      <c r="A9980" s="1">
        <v>40410</v>
      </c>
      <c r="B9980">
        <v>2179.76001</v>
      </c>
      <c r="C9980">
        <f t="shared" si="327"/>
        <v>3.7176576709719488E-4</v>
      </c>
      <c r="D9980">
        <f t="shared" si="326"/>
        <v>-7.4382192522494334E-3</v>
      </c>
    </row>
    <row r="9981" spans="1:4" x14ac:dyDescent="0.3">
      <c r="A9981" s="1">
        <v>40413</v>
      </c>
      <c r="B9981">
        <v>2159.6298830000001</v>
      </c>
      <c r="C9981">
        <f t="shared" si="327"/>
        <v>-9.2350198680816713E-3</v>
      </c>
      <c r="D9981">
        <f t="shared" si="326"/>
        <v>-0.77594156672798509</v>
      </c>
    </row>
    <row r="9982" spans="1:4" x14ac:dyDescent="0.3">
      <c r="A9982" s="1">
        <v>40414</v>
      </c>
      <c r="B9982">
        <v>2123.76001</v>
      </c>
      <c r="C9982">
        <f t="shared" si="327"/>
        <v>-1.6609268691064921E-2</v>
      </c>
      <c r="D9982">
        <f t="shared" si="326"/>
        <v>-1.3658511494742973</v>
      </c>
    </row>
    <row r="9983" spans="1:4" x14ac:dyDescent="0.3">
      <c r="A9983" s="1">
        <v>40415</v>
      </c>
      <c r="B9983">
        <v>2141.540039</v>
      </c>
      <c r="C9983">
        <f t="shared" si="327"/>
        <v>8.3719577147514015E-3</v>
      </c>
      <c r="D9983">
        <f t="shared" si="326"/>
        <v>0.63254423957423112</v>
      </c>
    </row>
    <row r="9984" spans="1:4" x14ac:dyDescent="0.3">
      <c r="A9984" s="1">
        <v>40416</v>
      </c>
      <c r="B9984">
        <v>2118.6899410000001</v>
      </c>
      <c r="C9984">
        <f t="shared" si="327"/>
        <v>-1.066993732728426E-2</v>
      </c>
      <c r="D9984">
        <f t="shared" si="326"/>
        <v>-0.89072906304834354</v>
      </c>
    </row>
    <row r="9985" spans="1:4" x14ac:dyDescent="0.3">
      <c r="A9985" s="1">
        <v>40417</v>
      </c>
      <c r="B9985">
        <v>2153.6298830000001</v>
      </c>
      <c r="C9985">
        <f t="shared" si="327"/>
        <v>1.6491295551962017E-2</v>
      </c>
      <c r="D9985">
        <f t="shared" si="326"/>
        <v>1.2820578796343989</v>
      </c>
    </row>
    <row r="9986" spans="1:4" x14ac:dyDescent="0.3">
      <c r="A9986" s="1">
        <v>40420</v>
      </c>
      <c r="B9986">
        <v>2119.969971</v>
      </c>
      <c r="C9986">
        <f t="shared" si="327"/>
        <v>-1.5629385655213848E-2</v>
      </c>
      <c r="D9986">
        <f t="shared" si="326"/>
        <v>-1.2874645359093311</v>
      </c>
    </row>
    <row r="9987" spans="1:4" x14ac:dyDescent="0.3">
      <c r="A9987" s="1">
        <v>40421</v>
      </c>
      <c r="B9987">
        <v>2114.030029</v>
      </c>
      <c r="C9987">
        <f t="shared" si="327"/>
        <v>-2.8018991218059916E-3</v>
      </c>
      <c r="D9987">
        <f t="shared" ref="D9987:D10050" si="328">(C9987-avrtn)/sdrtn</f>
        <v>-0.26131836017650323</v>
      </c>
    </row>
    <row r="9988" spans="1:4" x14ac:dyDescent="0.3">
      <c r="A9988" s="1">
        <v>40422</v>
      </c>
      <c r="B9988">
        <v>2176.8400879999999</v>
      </c>
      <c r="C9988">
        <f t="shared" ref="C9988:C10051" si="329">(B9988-B9987)/B9987</f>
        <v>2.9711053361768453E-2</v>
      </c>
      <c r="D9988">
        <f t="shared" si="328"/>
        <v>2.3395841444499865</v>
      </c>
    </row>
    <row r="9989" spans="1:4" x14ac:dyDescent="0.3">
      <c r="A9989" s="1">
        <v>40423</v>
      </c>
      <c r="B9989">
        <v>2200.01001</v>
      </c>
      <c r="C9989">
        <f t="shared" si="329"/>
        <v>1.0643832832611838E-2</v>
      </c>
      <c r="D9989">
        <f t="shared" si="328"/>
        <v>0.8142849069967607</v>
      </c>
    </row>
    <row r="9990" spans="1:4" x14ac:dyDescent="0.3">
      <c r="A9990" s="1">
        <v>40424</v>
      </c>
      <c r="B9990">
        <v>2233.75</v>
      </c>
      <c r="C9990">
        <f t="shared" si="329"/>
        <v>1.5336289310792743E-2</v>
      </c>
      <c r="D9990">
        <f t="shared" si="328"/>
        <v>1.1896621297548997</v>
      </c>
    </row>
    <row r="9991" spans="1:4" x14ac:dyDescent="0.3">
      <c r="A9991" s="1">
        <v>40428</v>
      </c>
      <c r="B9991">
        <v>2208.889893</v>
      </c>
      <c r="C9991">
        <f t="shared" si="329"/>
        <v>-1.1129314829322874E-2</v>
      </c>
      <c r="D9991">
        <f t="shared" si="328"/>
        <v>-0.92747737423985721</v>
      </c>
    </row>
    <row r="9992" spans="1:4" x14ac:dyDescent="0.3">
      <c r="A9992" s="1">
        <v>40429</v>
      </c>
      <c r="B9992">
        <v>2228.8701169999999</v>
      </c>
      <c r="C9992">
        <f t="shared" si="329"/>
        <v>9.0453689264084602E-3</v>
      </c>
      <c r="D9992">
        <f t="shared" si="328"/>
        <v>0.6864143674233476</v>
      </c>
    </row>
    <row r="9993" spans="1:4" x14ac:dyDescent="0.3">
      <c r="A9993" s="1">
        <v>40430</v>
      </c>
      <c r="B9993">
        <v>2236.1999510000001</v>
      </c>
      <c r="C9993">
        <f t="shared" si="329"/>
        <v>3.2885873178944503E-3</v>
      </c>
      <c r="D9993">
        <f t="shared" si="328"/>
        <v>0.2258955107696469</v>
      </c>
    </row>
    <row r="9994" spans="1:4" x14ac:dyDescent="0.3">
      <c r="A9994" s="1">
        <v>40431</v>
      </c>
      <c r="B9994">
        <v>2242.4799800000001</v>
      </c>
      <c r="C9994">
        <f t="shared" si="329"/>
        <v>2.8083485992349048E-3</v>
      </c>
      <c r="D9994">
        <f t="shared" si="328"/>
        <v>0.18747838803029399</v>
      </c>
    </row>
    <row r="9995" spans="1:4" x14ac:dyDescent="0.3">
      <c r="A9995" s="1">
        <v>40434</v>
      </c>
      <c r="B9995">
        <v>2285.709961</v>
      </c>
      <c r="C9995">
        <f t="shared" si="329"/>
        <v>1.927775560341901E-2</v>
      </c>
      <c r="D9995">
        <f t="shared" si="328"/>
        <v>1.5049632257587626</v>
      </c>
    </row>
    <row r="9996" spans="1:4" x14ac:dyDescent="0.3">
      <c r="A9996" s="1">
        <v>40435</v>
      </c>
      <c r="B9996">
        <v>2289.7700199999999</v>
      </c>
      <c r="C9996">
        <f t="shared" si="329"/>
        <v>1.776279173331174E-3</v>
      </c>
      <c r="D9996">
        <f t="shared" si="328"/>
        <v>0.10491707785283313</v>
      </c>
    </row>
    <row r="9997" spans="1:4" x14ac:dyDescent="0.3">
      <c r="A9997" s="1">
        <v>40436</v>
      </c>
      <c r="B9997">
        <v>2301.320068</v>
      </c>
      <c r="C9997">
        <f t="shared" si="329"/>
        <v>5.0441956611869962E-3</v>
      </c>
      <c r="D9997">
        <f t="shared" si="328"/>
        <v>0.36633695912840708</v>
      </c>
    </row>
    <row r="9998" spans="1:4" x14ac:dyDescent="0.3">
      <c r="A9998" s="1">
        <v>40437</v>
      </c>
      <c r="B9998">
        <v>2303.25</v>
      </c>
      <c r="C9998">
        <f t="shared" si="329"/>
        <v>8.3861955007294886E-4</v>
      </c>
      <c r="D9998">
        <f t="shared" si="328"/>
        <v>2.9908163671584543E-2</v>
      </c>
    </row>
    <row r="9999" spans="1:4" x14ac:dyDescent="0.3">
      <c r="A9999" s="1">
        <v>40438</v>
      </c>
      <c r="B9999">
        <v>2315.610107</v>
      </c>
      <c r="C9999">
        <f t="shared" si="329"/>
        <v>5.3663766417019303E-3</v>
      </c>
      <c r="D9999">
        <f t="shared" si="328"/>
        <v>0.39211011275349383</v>
      </c>
    </row>
    <row r="10000" spans="1:4" x14ac:dyDescent="0.3">
      <c r="A10000" s="1">
        <v>40441</v>
      </c>
      <c r="B10000">
        <v>2355.830078</v>
      </c>
      <c r="C10000">
        <f t="shared" si="329"/>
        <v>1.7369060049624317E-2</v>
      </c>
      <c r="D10000">
        <f t="shared" si="328"/>
        <v>1.3522754300582016</v>
      </c>
    </row>
    <row r="10001" spans="1:4" x14ac:dyDescent="0.3">
      <c r="A10001" s="1">
        <v>40442</v>
      </c>
      <c r="B10001">
        <v>2349.3500979999999</v>
      </c>
      <c r="C10001">
        <f t="shared" si="329"/>
        <v>-2.7506143420587014E-3</v>
      </c>
      <c r="D10001">
        <f t="shared" si="328"/>
        <v>-0.25721578868099443</v>
      </c>
    </row>
    <row r="10002" spans="1:4" x14ac:dyDescent="0.3">
      <c r="A10002" s="1">
        <v>40443</v>
      </c>
      <c r="B10002">
        <v>2334.5500489999999</v>
      </c>
      <c r="C10002">
        <f t="shared" si="329"/>
        <v>-6.2996353811205982E-3</v>
      </c>
      <c r="D10002">
        <f t="shared" si="328"/>
        <v>-0.54112287814423299</v>
      </c>
    </row>
    <row r="10003" spans="1:4" x14ac:dyDescent="0.3">
      <c r="A10003" s="1">
        <v>40444</v>
      </c>
      <c r="B10003">
        <v>2327.080078</v>
      </c>
      <c r="C10003">
        <f t="shared" si="329"/>
        <v>-3.1997476358237575E-3</v>
      </c>
      <c r="D10003">
        <f t="shared" si="328"/>
        <v>-0.29314460533505959</v>
      </c>
    </row>
    <row r="10004" spans="1:4" x14ac:dyDescent="0.3">
      <c r="A10004" s="1">
        <v>40445</v>
      </c>
      <c r="B10004">
        <v>2381.219971</v>
      </c>
      <c r="C10004">
        <f t="shared" si="329"/>
        <v>2.326516113984799E-2</v>
      </c>
      <c r="D10004">
        <f t="shared" si="328"/>
        <v>1.8239392723635435</v>
      </c>
    </row>
    <row r="10005" spans="1:4" x14ac:dyDescent="0.3">
      <c r="A10005" s="1">
        <v>40448</v>
      </c>
      <c r="B10005">
        <v>2369.7700199999999</v>
      </c>
      <c r="C10005">
        <f t="shared" si="329"/>
        <v>-4.8084390100220841E-3</v>
      </c>
      <c r="D10005">
        <f t="shared" si="328"/>
        <v>-0.42183330029246902</v>
      </c>
    </row>
    <row r="10006" spans="1:4" x14ac:dyDescent="0.3">
      <c r="A10006" s="1">
        <v>40449</v>
      </c>
      <c r="B10006">
        <v>2379.5900879999999</v>
      </c>
      <c r="C10006">
        <f t="shared" si="329"/>
        <v>4.1438907223579407E-3</v>
      </c>
      <c r="D10006">
        <f t="shared" si="328"/>
        <v>0.2943162660981119</v>
      </c>
    </row>
    <row r="10007" spans="1:4" x14ac:dyDescent="0.3">
      <c r="A10007" s="1">
        <v>40450</v>
      </c>
      <c r="B10007">
        <v>2376.5600589999999</v>
      </c>
      <c r="C10007">
        <f t="shared" si="329"/>
        <v>-1.2733407385079061E-3</v>
      </c>
      <c r="D10007">
        <f t="shared" si="328"/>
        <v>-0.13903997498228568</v>
      </c>
    </row>
    <row r="10008" spans="1:4" x14ac:dyDescent="0.3">
      <c r="A10008" s="1">
        <v>40451</v>
      </c>
      <c r="B10008">
        <v>2368.6201169999999</v>
      </c>
      <c r="C10008">
        <f t="shared" si="329"/>
        <v>-3.3409389213335987E-3</v>
      </c>
      <c r="D10008">
        <f t="shared" si="328"/>
        <v>-0.30443932759381176</v>
      </c>
    </row>
    <row r="10009" spans="1:4" x14ac:dyDescent="0.3">
      <c r="A10009" s="1">
        <v>40452</v>
      </c>
      <c r="B10009">
        <v>2370.75</v>
      </c>
      <c r="C10009">
        <f t="shared" si="329"/>
        <v>8.9920835541061291E-4</v>
      </c>
      <c r="D10009">
        <f t="shared" si="328"/>
        <v>3.4755018955941436E-2</v>
      </c>
    </row>
    <row r="10010" spans="1:4" x14ac:dyDescent="0.3">
      <c r="A10010" s="1">
        <v>40455</v>
      </c>
      <c r="B10010">
        <v>2344.5200199999999</v>
      </c>
      <c r="C10010">
        <f t="shared" si="329"/>
        <v>-1.1064000843614918E-2</v>
      </c>
      <c r="D10010">
        <f t="shared" si="328"/>
        <v>-0.92225252395593482</v>
      </c>
    </row>
    <row r="10011" spans="1:4" x14ac:dyDescent="0.3">
      <c r="A10011" s="1">
        <v>40456</v>
      </c>
      <c r="B10011">
        <v>2399.830078</v>
      </c>
      <c r="C10011">
        <f t="shared" si="329"/>
        <v>2.3591207380690239E-2</v>
      </c>
      <c r="D10011">
        <f t="shared" si="328"/>
        <v>1.85002163092077</v>
      </c>
    </row>
    <row r="10012" spans="1:4" x14ac:dyDescent="0.3">
      <c r="A10012" s="1">
        <v>40457</v>
      </c>
      <c r="B10012">
        <v>2380.6599120000001</v>
      </c>
      <c r="C10012">
        <f t="shared" si="329"/>
        <v>-7.9881347332625106E-3</v>
      </c>
      <c r="D10012">
        <f t="shared" si="328"/>
        <v>-0.67619588316476298</v>
      </c>
    </row>
    <row r="10013" spans="1:4" x14ac:dyDescent="0.3">
      <c r="A10013" s="1">
        <v>40458</v>
      </c>
      <c r="B10013">
        <v>2383.669922</v>
      </c>
      <c r="C10013">
        <f t="shared" si="329"/>
        <v>1.2643595100785506E-3</v>
      </c>
      <c r="D10013">
        <f t="shared" si="328"/>
        <v>6.3965609818856586E-2</v>
      </c>
    </row>
    <row r="10014" spans="1:4" x14ac:dyDescent="0.3">
      <c r="A10014" s="1">
        <v>40459</v>
      </c>
      <c r="B10014">
        <v>2401.9099120000001</v>
      </c>
      <c r="C10014">
        <f t="shared" si="329"/>
        <v>7.6520619871294554E-3</v>
      </c>
      <c r="D10014">
        <f t="shared" si="328"/>
        <v>0.57495554159339546</v>
      </c>
    </row>
    <row r="10015" spans="1:4" x14ac:dyDescent="0.3">
      <c r="A10015" s="1">
        <v>40462</v>
      </c>
      <c r="B10015">
        <v>2402.330078</v>
      </c>
      <c r="C10015">
        <f t="shared" si="329"/>
        <v>1.7492995798914918E-4</v>
      </c>
      <c r="D10015">
        <f t="shared" si="328"/>
        <v>-2.3184274587209716E-2</v>
      </c>
    </row>
    <row r="10016" spans="1:4" x14ac:dyDescent="0.3">
      <c r="A10016" s="1">
        <v>40463</v>
      </c>
      <c r="B10016">
        <v>2417.919922</v>
      </c>
      <c r="C10016">
        <f t="shared" si="329"/>
        <v>6.4894679306429955E-3</v>
      </c>
      <c r="D10016">
        <f t="shared" si="328"/>
        <v>0.4819527976898042</v>
      </c>
    </row>
    <row r="10017" spans="1:4" x14ac:dyDescent="0.3">
      <c r="A10017" s="1">
        <v>40464</v>
      </c>
      <c r="B10017">
        <v>2441.2299800000001</v>
      </c>
      <c r="C10017">
        <f t="shared" si="329"/>
        <v>9.6405417681156881E-3</v>
      </c>
      <c r="D10017">
        <f t="shared" si="328"/>
        <v>0.73402574739457715</v>
      </c>
    </row>
    <row r="10018" spans="1:4" x14ac:dyDescent="0.3">
      <c r="A10018" s="1">
        <v>40465</v>
      </c>
      <c r="B10018">
        <v>2435.3798830000001</v>
      </c>
      <c r="C10018">
        <f t="shared" si="329"/>
        <v>-2.3963727497726393E-3</v>
      </c>
      <c r="D10018">
        <f t="shared" si="328"/>
        <v>-0.22887791794824078</v>
      </c>
    </row>
    <row r="10019" spans="1:4" x14ac:dyDescent="0.3">
      <c r="A10019" s="1">
        <v>40466</v>
      </c>
      <c r="B10019">
        <v>2468.7700199999999</v>
      </c>
      <c r="C10019">
        <f t="shared" si="329"/>
        <v>1.3710442971578026E-2</v>
      </c>
      <c r="D10019">
        <f t="shared" si="328"/>
        <v>1.0596011081378167</v>
      </c>
    </row>
    <row r="10020" spans="1:4" x14ac:dyDescent="0.3">
      <c r="A10020" s="1">
        <v>40469</v>
      </c>
      <c r="B10020">
        <v>2480.6599120000001</v>
      </c>
      <c r="C10020">
        <f t="shared" si="329"/>
        <v>4.8161197291273598E-3</v>
      </c>
      <c r="D10020">
        <f t="shared" si="328"/>
        <v>0.34809182241747272</v>
      </c>
    </row>
    <row r="10021" spans="1:4" x14ac:dyDescent="0.3">
      <c r="A10021" s="1">
        <v>40470</v>
      </c>
      <c r="B10021">
        <v>2436.9499510000001</v>
      </c>
      <c r="C10021">
        <f t="shared" si="329"/>
        <v>-1.7620295627206482E-2</v>
      </c>
      <c r="D10021">
        <f t="shared" si="328"/>
        <v>-1.4467291469980197</v>
      </c>
    </row>
    <row r="10022" spans="1:4" x14ac:dyDescent="0.3">
      <c r="A10022" s="1">
        <v>40471</v>
      </c>
      <c r="B10022">
        <v>2457.389893</v>
      </c>
      <c r="C10022">
        <f t="shared" si="329"/>
        <v>8.3875099657309184E-3</v>
      </c>
      <c r="D10022">
        <f t="shared" si="328"/>
        <v>0.63378835570135439</v>
      </c>
    </row>
    <row r="10023" spans="1:4" x14ac:dyDescent="0.3">
      <c r="A10023" s="1">
        <v>40472</v>
      </c>
      <c r="B10023">
        <v>2459.669922</v>
      </c>
      <c r="C10023">
        <f t="shared" si="329"/>
        <v>9.2782549749015884E-4</v>
      </c>
      <c r="D10023">
        <f t="shared" si="328"/>
        <v>3.7044272647913747E-2</v>
      </c>
    </row>
    <row r="10024" spans="1:4" x14ac:dyDescent="0.3">
      <c r="A10024" s="1">
        <v>40473</v>
      </c>
      <c r="B10024">
        <v>2479.389893</v>
      </c>
      <c r="C10024">
        <f t="shared" si="329"/>
        <v>8.0173241228909849E-3</v>
      </c>
      <c r="D10024">
        <f t="shared" si="328"/>
        <v>0.60417501048744093</v>
      </c>
    </row>
    <row r="10025" spans="1:4" x14ac:dyDescent="0.3">
      <c r="A10025" s="1">
        <v>40476</v>
      </c>
      <c r="B10025">
        <v>2490.8500979999999</v>
      </c>
      <c r="C10025">
        <f t="shared" si="329"/>
        <v>4.6221875116758248E-3</v>
      </c>
      <c r="D10025">
        <f t="shared" si="328"/>
        <v>0.33257804247539302</v>
      </c>
    </row>
    <row r="10026" spans="1:4" x14ac:dyDescent="0.3">
      <c r="A10026" s="1">
        <v>40477</v>
      </c>
      <c r="B10026">
        <v>2497.290039</v>
      </c>
      <c r="C10026">
        <f t="shared" si="329"/>
        <v>2.58543900541063E-3</v>
      </c>
      <c r="D10026">
        <f t="shared" si="328"/>
        <v>0.16964653713407876</v>
      </c>
    </row>
    <row r="10027" spans="1:4" x14ac:dyDescent="0.3">
      <c r="A10027" s="1">
        <v>40478</v>
      </c>
      <c r="B10027">
        <v>2503.26001</v>
      </c>
      <c r="C10027">
        <f t="shared" si="329"/>
        <v>2.3905797511572049E-3</v>
      </c>
      <c r="D10027">
        <f t="shared" si="328"/>
        <v>0.15405859805984601</v>
      </c>
    </row>
    <row r="10028" spans="1:4" x14ac:dyDescent="0.3">
      <c r="A10028" s="1">
        <v>40479</v>
      </c>
      <c r="B10028">
        <v>2507.3701169999999</v>
      </c>
      <c r="C10028">
        <f t="shared" si="329"/>
        <v>1.6419017535457578E-3</v>
      </c>
      <c r="D10028">
        <f t="shared" si="328"/>
        <v>9.4167436833251683E-2</v>
      </c>
    </row>
    <row r="10029" spans="1:4" x14ac:dyDescent="0.3">
      <c r="A10029" s="1">
        <v>40480</v>
      </c>
      <c r="B10029">
        <v>2507.4099120000001</v>
      </c>
      <c r="C10029">
        <f t="shared" si="329"/>
        <v>1.5871210927469204E-5</v>
      </c>
      <c r="D10029">
        <f t="shared" si="328"/>
        <v>-3.5908320298668077E-2</v>
      </c>
    </row>
    <row r="10030" spans="1:4" x14ac:dyDescent="0.3">
      <c r="A10030" s="1">
        <v>40483</v>
      </c>
      <c r="B10030">
        <v>2504.8400879999999</v>
      </c>
      <c r="C10030">
        <f t="shared" si="329"/>
        <v>-1.024891856613253E-3</v>
      </c>
      <c r="D10030">
        <f t="shared" si="328"/>
        <v>-0.11916508605862024</v>
      </c>
    </row>
    <row r="10031" spans="1:4" x14ac:dyDescent="0.3">
      <c r="A10031" s="1">
        <v>40484</v>
      </c>
      <c r="B10031">
        <v>2533.5200199999999</v>
      </c>
      <c r="C10031">
        <f t="shared" si="329"/>
        <v>1.1449805573376789E-2</v>
      </c>
      <c r="D10031">
        <f t="shared" si="328"/>
        <v>0.87875941207824382</v>
      </c>
    </row>
    <row r="10032" spans="1:4" x14ac:dyDescent="0.3">
      <c r="A10032" s="1">
        <v>40485</v>
      </c>
      <c r="B10032">
        <v>2540.2700199999999</v>
      </c>
      <c r="C10032">
        <f t="shared" si="329"/>
        <v>2.664277348003747E-3</v>
      </c>
      <c r="D10032">
        <f t="shared" si="328"/>
        <v>0.17595328035632629</v>
      </c>
    </row>
    <row r="10033" spans="1:4" x14ac:dyDescent="0.3">
      <c r="A10033" s="1">
        <v>40486</v>
      </c>
      <c r="B10033">
        <v>2577.3400879999999</v>
      </c>
      <c r="C10033">
        <f t="shared" si="329"/>
        <v>1.4592963625181858E-2</v>
      </c>
      <c r="D10033">
        <f t="shared" si="328"/>
        <v>1.1301991314795119</v>
      </c>
    </row>
    <row r="10034" spans="1:4" x14ac:dyDescent="0.3">
      <c r="A10034" s="1">
        <v>40487</v>
      </c>
      <c r="B10034">
        <v>2578.9799800000001</v>
      </c>
      <c r="C10034">
        <f t="shared" si="329"/>
        <v>6.3627303499271275E-4</v>
      </c>
      <c r="D10034">
        <f t="shared" si="328"/>
        <v>1.3721274519007383E-2</v>
      </c>
    </row>
    <row r="10035" spans="1:4" x14ac:dyDescent="0.3">
      <c r="A10035" s="1">
        <v>40490</v>
      </c>
      <c r="B10035">
        <v>2580.0500489999999</v>
      </c>
      <c r="C10035">
        <f t="shared" si="329"/>
        <v>4.1491946750198339E-4</v>
      </c>
      <c r="D10035">
        <f t="shared" si="328"/>
        <v>-3.9861006689427174E-3</v>
      </c>
    </row>
    <row r="10036" spans="1:4" x14ac:dyDescent="0.3">
      <c r="A10036" s="1">
        <v>40491</v>
      </c>
      <c r="B10036">
        <v>2562.9799800000001</v>
      </c>
      <c r="C10036">
        <f t="shared" si="329"/>
        <v>-6.6161774678037948E-3</v>
      </c>
      <c r="D10036">
        <f t="shared" si="328"/>
        <v>-0.5664449434500507</v>
      </c>
    </row>
    <row r="10037" spans="1:4" x14ac:dyDescent="0.3">
      <c r="A10037" s="1">
        <v>40492</v>
      </c>
      <c r="B10037">
        <v>2578.780029</v>
      </c>
      <c r="C10037">
        <f t="shared" si="329"/>
        <v>6.1647180716565501E-3</v>
      </c>
      <c r="D10037">
        <f t="shared" si="328"/>
        <v>0.45597414435028794</v>
      </c>
    </row>
    <row r="10038" spans="1:4" x14ac:dyDescent="0.3">
      <c r="A10038" s="1">
        <v>40493</v>
      </c>
      <c r="B10038">
        <v>2555.5200199999999</v>
      </c>
      <c r="C10038">
        <f t="shared" si="329"/>
        <v>-9.0197724266617083E-3</v>
      </c>
      <c r="D10038">
        <f t="shared" si="328"/>
        <v>-0.75872265651715587</v>
      </c>
    </row>
    <row r="10039" spans="1:4" x14ac:dyDescent="0.3">
      <c r="A10039" s="1">
        <v>40494</v>
      </c>
      <c r="B10039">
        <v>2518.209961</v>
      </c>
      <c r="C10039">
        <f t="shared" si="329"/>
        <v>-1.4599791317619931E-2</v>
      </c>
      <c r="D10039">
        <f t="shared" si="328"/>
        <v>-1.2051012226190312</v>
      </c>
    </row>
    <row r="10040" spans="1:4" x14ac:dyDescent="0.3">
      <c r="A10040" s="1">
        <v>40497</v>
      </c>
      <c r="B10040">
        <v>2513.820068</v>
      </c>
      <c r="C10040">
        <f t="shared" si="329"/>
        <v>-1.743259326262362E-3</v>
      </c>
      <c r="D10040">
        <f t="shared" si="328"/>
        <v>-0.17663152968586326</v>
      </c>
    </row>
    <row r="10041" spans="1:4" x14ac:dyDescent="0.3">
      <c r="A10041" s="1">
        <v>40498</v>
      </c>
      <c r="B10041">
        <v>2469.8400879999999</v>
      </c>
      <c r="C10041">
        <f t="shared" si="329"/>
        <v>-1.749527762939319E-2</v>
      </c>
      <c r="D10041">
        <f t="shared" si="328"/>
        <v>-1.4367282212500352</v>
      </c>
    </row>
    <row r="10042" spans="1:4" x14ac:dyDescent="0.3">
      <c r="A10042" s="1">
        <v>40499</v>
      </c>
      <c r="B10042">
        <v>2476.01001</v>
      </c>
      <c r="C10042">
        <f t="shared" si="329"/>
        <v>2.4981058611759171E-3</v>
      </c>
      <c r="D10042">
        <f t="shared" si="328"/>
        <v>0.16266024471133664</v>
      </c>
    </row>
    <row r="10043" spans="1:4" x14ac:dyDescent="0.3">
      <c r="A10043" s="1">
        <v>40500</v>
      </c>
      <c r="B10043">
        <v>2514.3999020000001</v>
      </c>
      <c r="C10043">
        <f t="shared" si="329"/>
        <v>1.5504740225181944E-2</v>
      </c>
      <c r="D10043">
        <f t="shared" si="328"/>
        <v>1.203137510231737</v>
      </c>
    </row>
    <row r="10044" spans="1:4" x14ac:dyDescent="0.3">
      <c r="A10044" s="1">
        <v>40501</v>
      </c>
      <c r="B10044">
        <v>2518.1201169999999</v>
      </c>
      <c r="C10044">
        <f t="shared" si="329"/>
        <v>1.4795637706797149E-3</v>
      </c>
      <c r="D10044">
        <f t="shared" si="328"/>
        <v>8.1181065741742497E-2</v>
      </c>
    </row>
    <row r="10045" spans="1:4" x14ac:dyDescent="0.3">
      <c r="A10045" s="1">
        <v>40504</v>
      </c>
      <c r="B10045">
        <v>2532.0200199999999</v>
      </c>
      <c r="C10045">
        <f t="shared" si="329"/>
        <v>5.5199523271986933E-3</v>
      </c>
      <c r="D10045">
        <f t="shared" si="328"/>
        <v>0.40439553608624274</v>
      </c>
    </row>
    <row r="10046" spans="1:4" x14ac:dyDescent="0.3">
      <c r="A10046" s="1">
        <v>40505</v>
      </c>
      <c r="B10046">
        <v>2494.9499510000001</v>
      </c>
      <c r="C10046">
        <f t="shared" si="329"/>
        <v>-1.4640511807643558E-2</v>
      </c>
      <c r="D10046">
        <f t="shared" si="328"/>
        <v>-1.208358694377266</v>
      </c>
    </row>
    <row r="10047" spans="1:4" x14ac:dyDescent="0.3">
      <c r="A10047" s="1">
        <v>40506</v>
      </c>
      <c r="B10047">
        <v>2543.1201169999999</v>
      </c>
      <c r="C10047">
        <f t="shared" si="329"/>
        <v>1.9307067053867279E-2</v>
      </c>
      <c r="D10047">
        <f t="shared" si="328"/>
        <v>1.5073080212652197</v>
      </c>
    </row>
    <row r="10048" spans="1:4" x14ac:dyDescent="0.3">
      <c r="A10048" s="1">
        <v>40508</v>
      </c>
      <c r="B10048">
        <v>2534.5600589999999</v>
      </c>
      <c r="C10048">
        <f t="shared" si="329"/>
        <v>-3.3659668463076478E-3</v>
      </c>
      <c r="D10048">
        <f t="shared" si="328"/>
        <v>-0.3064414586762933</v>
      </c>
    </row>
    <row r="10049" spans="1:4" x14ac:dyDescent="0.3">
      <c r="A10049" s="1">
        <v>40511</v>
      </c>
      <c r="B10049">
        <v>2525.219971</v>
      </c>
      <c r="C10049">
        <f t="shared" si="329"/>
        <v>-3.685092395752901E-3</v>
      </c>
      <c r="D10049">
        <f t="shared" si="328"/>
        <v>-0.33197019037981318</v>
      </c>
    </row>
    <row r="10050" spans="1:4" x14ac:dyDescent="0.3">
      <c r="A10050" s="1">
        <v>40512</v>
      </c>
      <c r="B10050">
        <v>2498.2299800000001</v>
      </c>
      <c r="C10050">
        <f t="shared" si="329"/>
        <v>-1.0688174222426945E-2</v>
      </c>
      <c r="D10050">
        <f t="shared" si="328"/>
        <v>-0.89218793966919741</v>
      </c>
    </row>
    <row r="10051" spans="1:4" x14ac:dyDescent="0.3">
      <c r="A10051" s="1">
        <v>40513</v>
      </c>
      <c r="B10051">
        <v>2549.429932</v>
      </c>
      <c r="C10051">
        <f t="shared" si="329"/>
        <v>2.0494491063628953E-2</v>
      </c>
      <c r="D10051">
        <f t="shared" ref="D10051:D10114" si="330">(C10051-avrtn)/sdrtn</f>
        <v>1.6022970593294501</v>
      </c>
    </row>
    <row r="10052" spans="1:4" x14ac:dyDescent="0.3">
      <c r="A10052" s="1">
        <v>40514</v>
      </c>
      <c r="B10052">
        <v>2579.3500979999999</v>
      </c>
      <c r="C10052">
        <f t="shared" ref="C10052:C10115" si="331">(B10052-B10051)/B10051</f>
        <v>1.1736022090447426E-2</v>
      </c>
      <c r="D10052">
        <f t="shared" si="330"/>
        <v>0.9016555565145441</v>
      </c>
    </row>
    <row r="10053" spans="1:4" x14ac:dyDescent="0.3">
      <c r="A10053" s="1">
        <v>40515</v>
      </c>
      <c r="B10053">
        <v>2591.459961</v>
      </c>
      <c r="C10053">
        <f t="shared" si="331"/>
        <v>4.6949280012007636E-3</v>
      </c>
      <c r="D10053">
        <f t="shared" si="330"/>
        <v>0.33839698252670797</v>
      </c>
    </row>
    <row r="10054" spans="1:4" x14ac:dyDescent="0.3">
      <c r="A10054" s="1">
        <v>40518</v>
      </c>
      <c r="B10054">
        <v>2594.919922</v>
      </c>
      <c r="C10054">
        <f t="shared" si="331"/>
        <v>1.3351396711006414E-3</v>
      </c>
      <c r="D10054">
        <f t="shared" si="330"/>
        <v>6.9627731650862626E-2</v>
      </c>
    </row>
    <row r="10055" spans="1:4" x14ac:dyDescent="0.3">
      <c r="A10055" s="1">
        <v>40519</v>
      </c>
      <c r="B10055">
        <v>2598.48999</v>
      </c>
      <c r="C10055">
        <f t="shared" si="331"/>
        <v>1.3757912025464006E-3</v>
      </c>
      <c r="D10055">
        <f t="shared" si="330"/>
        <v>7.2879687006427232E-2</v>
      </c>
    </row>
    <row r="10056" spans="1:4" x14ac:dyDescent="0.3">
      <c r="A10056" s="1">
        <v>40520</v>
      </c>
      <c r="B10056">
        <v>2609.1599120000001</v>
      </c>
      <c r="C10056">
        <f t="shared" si="331"/>
        <v>4.1062009247917258E-3</v>
      </c>
      <c r="D10056">
        <f t="shared" si="330"/>
        <v>0.29130123727418833</v>
      </c>
    </row>
    <row r="10057" spans="1:4" x14ac:dyDescent="0.3">
      <c r="A10057" s="1">
        <v>40521</v>
      </c>
      <c r="B10057">
        <v>2616.669922</v>
      </c>
      <c r="C10057">
        <f t="shared" si="331"/>
        <v>2.8783249219260444E-3</v>
      </c>
      <c r="D10057">
        <f t="shared" si="330"/>
        <v>0.19307620610122692</v>
      </c>
    </row>
    <row r="10058" spans="1:4" x14ac:dyDescent="0.3">
      <c r="A10058" s="1">
        <v>40522</v>
      </c>
      <c r="B10058">
        <v>2637.540039</v>
      </c>
      <c r="C10058">
        <f t="shared" si="331"/>
        <v>7.9758309691763778E-3</v>
      </c>
      <c r="D10058">
        <f t="shared" si="330"/>
        <v>0.60085572881113991</v>
      </c>
    </row>
    <row r="10059" spans="1:4" x14ac:dyDescent="0.3">
      <c r="A10059" s="1">
        <v>40525</v>
      </c>
      <c r="B10059">
        <v>2624.9099120000001</v>
      </c>
      <c r="C10059">
        <f t="shared" si="331"/>
        <v>-4.7886010499345833E-3</v>
      </c>
      <c r="D10059">
        <f t="shared" si="330"/>
        <v>-0.42024634505964825</v>
      </c>
    </row>
    <row r="10060" spans="1:4" x14ac:dyDescent="0.3">
      <c r="A10060" s="1">
        <v>40526</v>
      </c>
      <c r="B10060">
        <v>2627.719971</v>
      </c>
      <c r="C10060">
        <f t="shared" si="331"/>
        <v>1.0705354066261419E-3</v>
      </c>
      <c r="D10060">
        <f t="shared" si="330"/>
        <v>4.8460478552139599E-2</v>
      </c>
    </row>
    <row r="10061" spans="1:4" x14ac:dyDescent="0.3">
      <c r="A10061" s="1">
        <v>40527</v>
      </c>
      <c r="B10061">
        <v>2617.219971</v>
      </c>
      <c r="C10061">
        <f t="shared" si="331"/>
        <v>-3.9958595725115035E-3</v>
      </c>
      <c r="D10061">
        <f t="shared" si="330"/>
        <v>-0.35683028663823491</v>
      </c>
    </row>
    <row r="10062" spans="1:4" x14ac:dyDescent="0.3">
      <c r="A10062" s="1">
        <v>40528</v>
      </c>
      <c r="B10062">
        <v>2637.3100589999999</v>
      </c>
      <c r="C10062">
        <f t="shared" si="331"/>
        <v>7.6761174920745414E-3</v>
      </c>
      <c r="D10062">
        <f t="shared" si="330"/>
        <v>0.57687988307217497</v>
      </c>
    </row>
    <row r="10063" spans="1:4" x14ac:dyDescent="0.3">
      <c r="A10063" s="1">
        <v>40529</v>
      </c>
      <c r="B10063">
        <v>2642.969971</v>
      </c>
      <c r="C10063">
        <f t="shared" si="331"/>
        <v>2.1460927510913029E-3</v>
      </c>
      <c r="D10063">
        <f t="shared" si="330"/>
        <v>0.13450064339112525</v>
      </c>
    </row>
    <row r="10064" spans="1:4" x14ac:dyDescent="0.3">
      <c r="A10064" s="1">
        <v>40532</v>
      </c>
      <c r="B10064">
        <v>2649.5600589999999</v>
      </c>
      <c r="C10064">
        <f t="shared" si="331"/>
        <v>2.4934403615287704E-3</v>
      </c>
      <c r="D10064">
        <f t="shared" si="330"/>
        <v>0.16228702392421407</v>
      </c>
    </row>
    <row r="10065" spans="1:4" x14ac:dyDescent="0.3">
      <c r="A10065" s="1">
        <v>40533</v>
      </c>
      <c r="B10065">
        <v>2667.610107</v>
      </c>
      <c r="C10065">
        <f t="shared" si="331"/>
        <v>6.8124698433190195E-3</v>
      </c>
      <c r="D10065">
        <f t="shared" si="330"/>
        <v>0.50779162251208498</v>
      </c>
    </row>
    <row r="10066" spans="1:4" x14ac:dyDescent="0.3">
      <c r="A10066" s="1">
        <v>40534</v>
      </c>
      <c r="B10066">
        <v>2671.4799800000001</v>
      </c>
      <c r="C10066">
        <f t="shared" si="331"/>
        <v>1.4506891355094487E-3</v>
      </c>
      <c r="D10066">
        <f t="shared" si="330"/>
        <v>7.8871213661330486E-2</v>
      </c>
    </row>
    <row r="10067" spans="1:4" x14ac:dyDescent="0.3">
      <c r="A10067" s="1">
        <v>40535</v>
      </c>
      <c r="B10067">
        <v>2665.6000979999999</v>
      </c>
      <c r="C10067">
        <f t="shared" si="331"/>
        <v>-2.2009829922065068E-3</v>
      </c>
      <c r="D10067">
        <f t="shared" si="330"/>
        <v>-0.21324754079043406</v>
      </c>
    </row>
    <row r="10068" spans="1:4" x14ac:dyDescent="0.3">
      <c r="A10068" s="1">
        <v>40539</v>
      </c>
      <c r="B10068">
        <v>2667.2700199999999</v>
      </c>
      <c r="C10068">
        <f t="shared" si="331"/>
        <v>6.2647131550339638E-4</v>
      </c>
      <c r="D10068">
        <f t="shared" si="330"/>
        <v>1.2937177264773446E-2</v>
      </c>
    </row>
    <row r="10069" spans="1:4" x14ac:dyDescent="0.3">
      <c r="A10069" s="1">
        <v>40540</v>
      </c>
      <c r="B10069">
        <v>2662.8798830000001</v>
      </c>
      <c r="C10069">
        <f t="shared" si="331"/>
        <v>-1.6459289712257433E-3</v>
      </c>
      <c r="D10069">
        <f t="shared" si="330"/>
        <v>-0.1688455015077451</v>
      </c>
    </row>
    <row r="10070" spans="1:4" x14ac:dyDescent="0.3">
      <c r="A10070" s="1">
        <v>40541</v>
      </c>
      <c r="B10070">
        <v>2666.929932</v>
      </c>
      <c r="C10070">
        <f t="shared" si="331"/>
        <v>1.5209281597175011E-3</v>
      </c>
      <c r="D10070">
        <f t="shared" si="330"/>
        <v>8.449004677338133E-2</v>
      </c>
    </row>
    <row r="10071" spans="1:4" x14ac:dyDescent="0.3">
      <c r="A10071" s="1">
        <v>40542</v>
      </c>
      <c r="B10071">
        <v>2662.9799800000001</v>
      </c>
      <c r="C10071">
        <f t="shared" si="331"/>
        <v>-1.4810857805468355E-3</v>
      </c>
      <c r="D10071">
        <f t="shared" si="330"/>
        <v>-0.1556587240926828</v>
      </c>
    </row>
    <row r="10072" spans="1:4" x14ac:dyDescent="0.3">
      <c r="A10072" s="1">
        <v>40543</v>
      </c>
      <c r="B10072">
        <v>2652.8701169999999</v>
      </c>
      <c r="C10072">
        <f t="shared" si="331"/>
        <v>-3.7964472417851718E-3</v>
      </c>
      <c r="D10072">
        <f t="shared" si="330"/>
        <v>-0.34087812016853192</v>
      </c>
    </row>
    <row r="10073" spans="1:4" x14ac:dyDescent="0.3">
      <c r="A10073" s="1">
        <v>40546</v>
      </c>
      <c r="B10073">
        <v>2691.5200199999999</v>
      </c>
      <c r="C10073">
        <f t="shared" si="331"/>
        <v>1.4569089814207438E-2</v>
      </c>
      <c r="D10073">
        <f t="shared" si="330"/>
        <v>1.1282893247712555</v>
      </c>
    </row>
    <row r="10074" spans="1:4" x14ac:dyDescent="0.3">
      <c r="A10074" s="1">
        <v>40547</v>
      </c>
      <c r="B10074">
        <v>2681.25</v>
      </c>
      <c r="C10074">
        <f t="shared" si="331"/>
        <v>-3.81569519219104E-3</v>
      </c>
      <c r="D10074">
        <f t="shared" si="330"/>
        <v>-0.3424178770529564</v>
      </c>
    </row>
    <row r="10075" spans="1:4" x14ac:dyDescent="0.3">
      <c r="A10075" s="1">
        <v>40548</v>
      </c>
      <c r="B10075">
        <v>2702.1999510000001</v>
      </c>
      <c r="C10075">
        <f t="shared" si="331"/>
        <v>7.8135015384615588E-3</v>
      </c>
      <c r="D10075">
        <f t="shared" si="330"/>
        <v>0.587870041856562</v>
      </c>
    </row>
    <row r="10076" spans="1:4" x14ac:dyDescent="0.3">
      <c r="A10076" s="1">
        <v>40549</v>
      </c>
      <c r="B10076">
        <v>2709.889893</v>
      </c>
      <c r="C10076">
        <f t="shared" si="331"/>
        <v>2.8458079118660949E-3</v>
      </c>
      <c r="D10076">
        <f t="shared" si="330"/>
        <v>0.19047497900717528</v>
      </c>
    </row>
    <row r="10077" spans="1:4" x14ac:dyDescent="0.3">
      <c r="A10077" s="1">
        <v>40550</v>
      </c>
      <c r="B10077">
        <v>2703.169922</v>
      </c>
      <c r="C10077">
        <f t="shared" si="331"/>
        <v>-2.479794849731183E-3</v>
      </c>
      <c r="D10077">
        <f t="shared" si="330"/>
        <v>-0.23555134291119953</v>
      </c>
    </row>
    <row r="10078" spans="1:4" x14ac:dyDescent="0.3">
      <c r="A10078" s="1">
        <v>40553</v>
      </c>
      <c r="B10078">
        <v>2707.8000489999999</v>
      </c>
      <c r="C10078">
        <f t="shared" si="331"/>
        <v>1.7128508875143892E-3</v>
      </c>
      <c r="D10078">
        <f t="shared" si="330"/>
        <v>9.9843075806160073E-2</v>
      </c>
    </row>
    <row r="10079" spans="1:4" x14ac:dyDescent="0.3">
      <c r="A10079" s="1">
        <v>40554</v>
      </c>
      <c r="B10079">
        <v>2716.830078</v>
      </c>
      <c r="C10079">
        <f t="shared" si="331"/>
        <v>3.3348211967626023E-3</v>
      </c>
      <c r="D10079">
        <f t="shared" si="330"/>
        <v>0.22959403096425315</v>
      </c>
    </row>
    <row r="10080" spans="1:4" x14ac:dyDescent="0.3">
      <c r="A10080" s="1">
        <v>40555</v>
      </c>
      <c r="B10080">
        <v>2737.330078</v>
      </c>
      <c r="C10080">
        <f t="shared" si="331"/>
        <v>7.545558393954147E-3</v>
      </c>
      <c r="D10080">
        <f t="shared" si="330"/>
        <v>0.56643569208476274</v>
      </c>
    </row>
    <row r="10081" spans="1:4" x14ac:dyDescent="0.3">
      <c r="A10081" s="1">
        <v>40556</v>
      </c>
      <c r="B10081">
        <v>2735.290039</v>
      </c>
      <c r="C10081">
        <f t="shared" si="331"/>
        <v>-7.4526598615045757E-4</v>
      </c>
      <c r="D10081">
        <f t="shared" si="330"/>
        <v>-9.6796166250046459E-2</v>
      </c>
    </row>
    <row r="10082" spans="1:4" x14ac:dyDescent="0.3">
      <c r="A10082" s="1">
        <v>40557</v>
      </c>
      <c r="B10082">
        <v>2755.3000489999999</v>
      </c>
      <c r="C10082">
        <f t="shared" si="331"/>
        <v>7.315498435155149E-3</v>
      </c>
      <c r="D10082">
        <f t="shared" si="330"/>
        <v>0.54803184139304617</v>
      </c>
    </row>
    <row r="10083" spans="1:4" x14ac:dyDescent="0.3">
      <c r="A10083" s="1">
        <v>40561</v>
      </c>
      <c r="B10083">
        <v>2765.8500979999999</v>
      </c>
      <c r="C10083">
        <f t="shared" si="331"/>
        <v>3.8290018554708576E-3</v>
      </c>
      <c r="D10083">
        <f t="shared" si="330"/>
        <v>0.26912645157790283</v>
      </c>
    </row>
    <row r="10084" spans="1:4" x14ac:dyDescent="0.3">
      <c r="A10084" s="1">
        <v>40562</v>
      </c>
      <c r="B10084">
        <v>2725.360107</v>
      </c>
      <c r="C10084">
        <f t="shared" si="331"/>
        <v>-1.4639257214003909E-2</v>
      </c>
      <c r="D10084">
        <f t="shared" si="330"/>
        <v>-1.2082583320450138</v>
      </c>
    </row>
    <row r="10085" spans="1:4" x14ac:dyDescent="0.3">
      <c r="A10085" s="1">
        <v>40563</v>
      </c>
      <c r="B10085">
        <v>2704.290039</v>
      </c>
      <c r="C10085">
        <f t="shared" si="331"/>
        <v>-7.7311133842027698E-3</v>
      </c>
      <c r="D10085">
        <f t="shared" si="330"/>
        <v>-0.65563523211808616</v>
      </c>
    </row>
    <row r="10086" spans="1:4" x14ac:dyDescent="0.3">
      <c r="A10086" s="1">
        <v>40564</v>
      </c>
      <c r="B10086">
        <v>2689.540039</v>
      </c>
      <c r="C10086">
        <f t="shared" si="331"/>
        <v>-5.454296612893747E-3</v>
      </c>
      <c r="D10086">
        <f t="shared" si="330"/>
        <v>-0.47349925273987009</v>
      </c>
    </row>
    <row r="10087" spans="1:4" x14ac:dyDescent="0.3">
      <c r="A10087" s="1">
        <v>40567</v>
      </c>
      <c r="B10087">
        <v>2717.5500489999999</v>
      </c>
      <c r="C10087">
        <f t="shared" si="331"/>
        <v>1.0414423876885057E-2</v>
      </c>
      <c r="D10087">
        <f t="shared" si="330"/>
        <v>0.79593313387388087</v>
      </c>
    </row>
    <row r="10088" spans="1:4" x14ac:dyDescent="0.3">
      <c r="A10088" s="1">
        <v>40568</v>
      </c>
      <c r="B10088">
        <v>2719.25</v>
      </c>
      <c r="C10088">
        <f t="shared" si="331"/>
        <v>6.2554542486737308E-4</v>
      </c>
      <c r="D10088">
        <f t="shared" si="330"/>
        <v>1.2863109821176626E-2</v>
      </c>
    </row>
    <row r="10089" spans="1:4" x14ac:dyDescent="0.3">
      <c r="A10089" s="1">
        <v>40569</v>
      </c>
      <c r="B10089">
        <v>2739.5</v>
      </c>
      <c r="C10089">
        <f t="shared" si="331"/>
        <v>7.4469063160798018E-3</v>
      </c>
      <c r="D10089">
        <f t="shared" si="330"/>
        <v>0.55854393151458326</v>
      </c>
    </row>
    <row r="10090" spans="1:4" x14ac:dyDescent="0.3">
      <c r="A10090" s="1">
        <v>40570</v>
      </c>
      <c r="B10090">
        <v>2755.280029</v>
      </c>
      <c r="C10090">
        <f t="shared" si="331"/>
        <v>5.7601858003285319E-3</v>
      </c>
      <c r="D10090">
        <f t="shared" si="330"/>
        <v>0.42361322609068569</v>
      </c>
    </row>
    <row r="10091" spans="1:4" x14ac:dyDescent="0.3">
      <c r="A10091" s="1">
        <v>40571</v>
      </c>
      <c r="B10091">
        <v>2686.889893</v>
      </c>
      <c r="C10091">
        <f t="shared" si="331"/>
        <v>-2.4821482854801319E-2</v>
      </c>
      <c r="D10091">
        <f t="shared" si="330"/>
        <v>-2.0227945137467915</v>
      </c>
    </row>
    <row r="10092" spans="1:4" x14ac:dyDescent="0.3">
      <c r="A10092" s="1">
        <v>40574</v>
      </c>
      <c r="B10092">
        <v>2700.080078</v>
      </c>
      <c r="C10092">
        <f t="shared" si="331"/>
        <v>4.9090902587275945E-3</v>
      </c>
      <c r="D10092">
        <f t="shared" si="330"/>
        <v>0.35552908248838944</v>
      </c>
    </row>
    <row r="10093" spans="1:4" x14ac:dyDescent="0.3">
      <c r="A10093" s="1">
        <v>40575</v>
      </c>
      <c r="B10093">
        <v>2751.1899410000001</v>
      </c>
      <c r="C10093">
        <f t="shared" si="331"/>
        <v>1.8929017482273401E-2</v>
      </c>
      <c r="D10093">
        <f t="shared" si="330"/>
        <v>1.4770656100868367</v>
      </c>
    </row>
    <row r="10094" spans="1:4" x14ac:dyDescent="0.3">
      <c r="A10094" s="1">
        <v>40576</v>
      </c>
      <c r="B10094">
        <v>2749.5600589999999</v>
      </c>
      <c r="C10094">
        <f t="shared" si="331"/>
        <v>-5.9242801658679789E-4</v>
      </c>
      <c r="D10094">
        <f t="shared" si="330"/>
        <v>-8.4569757158439812E-2</v>
      </c>
    </row>
    <row r="10095" spans="1:4" x14ac:dyDescent="0.3">
      <c r="A10095" s="1">
        <v>40577</v>
      </c>
      <c r="B10095">
        <v>2753.8798830000001</v>
      </c>
      <c r="C10095">
        <f t="shared" si="331"/>
        <v>1.5710964326312079E-3</v>
      </c>
      <c r="D10095">
        <f t="shared" si="330"/>
        <v>8.8503302313306997E-2</v>
      </c>
    </row>
    <row r="10096" spans="1:4" x14ac:dyDescent="0.3">
      <c r="A10096" s="1">
        <v>40578</v>
      </c>
      <c r="B10096">
        <v>2769.3000489999999</v>
      </c>
      <c r="C10096">
        <f t="shared" si="331"/>
        <v>5.5994330381619918E-3</v>
      </c>
      <c r="D10096">
        <f t="shared" si="330"/>
        <v>0.41075366613667025</v>
      </c>
    </row>
    <row r="10097" spans="1:4" x14ac:dyDescent="0.3">
      <c r="A10097" s="1">
        <v>40581</v>
      </c>
      <c r="B10097">
        <v>2783.98999</v>
      </c>
      <c r="C10097">
        <f t="shared" si="331"/>
        <v>5.3045682086000964E-3</v>
      </c>
      <c r="D10097">
        <f t="shared" si="330"/>
        <v>0.38716569226314268</v>
      </c>
    </row>
    <row r="10098" spans="1:4" x14ac:dyDescent="0.3">
      <c r="A10098" s="1">
        <v>40582</v>
      </c>
      <c r="B10098">
        <v>2797.0500489999999</v>
      </c>
      <c r="C10098">
        <f t="shared" si="331"/>
        <v>4.6911300137253403E-3</v>
      </c>
      <c r="D10098">
        <f t="shared" si="330"/>
        <v>0.33809315914609189</v>
      </c>
    </row>
    <row r="10099" spans="1:4" x14ac:dyDescent="0.3">
      <c r="A10099" s="1">
        <v>40583</v>
      </c>
      <c r="B10099">
        <v>2789.070068</v>
      </c>
      <c r="C10099">
        <f t="shared" si="331"/>
        <v>-2.8529990025930895E-3</v>
      </c>
      <c r="D10099">
        <f t="shared" si="330"/>
        <v>-0.26540614051550576</v>
      </c>
    </row>
    <row r="10100" spans="1:4" x14ac:dyDescent="0.3">
      <c r="A10100" s="1">
        <v>40584</v>
      </c>
      <c r="B10100">
        <v>2790.4499510000001</v>
      </c>
      <c r="C10100">
        <f t="shared" si="331"/>
        <v>4.9474662391309394E-4</v>
      </c>
      <c r="D10100">
        <f t="shared" si="330"/>
        <v>2.3997435927175861E-3</v>
      </c>
    </row>
    <row r="10101" spans="1:4" x14ac:dyDescent="0.3">
      <c r="A10101" s="1">
        <v>40585</v>
      </c>
      <c r="B10101">
        <v>2809.4399410000001</v>
      </c>
      <c r="C10101">
        <f t="shared" si="331"/>
        <v>6.8053505110151442E-3</v>
      </c>
      <c r="D10101">
        <f t="shared" si="330"/>
        <v>0.50722210520264432</v>
      </c>
    </row>
    <row r="10102" spans="1:4" x14ac:dyDescent="0.3">
      <c r="A10102" s="1">
        <v>40588</v>
      </c>
      <c r="B10102">
        <v>2817.179932</v>
      </c>
      <c r="C10102">
        <f t="shared" si="331"/>
        <v>2.7549942915828709E-3</v>
      </c>
      <c r="D10102">
        <f t="shared" si="330"/>
        <v>0.18321026281235528</v>
      </c>
    </row>
    <row r="10103" spans="1:4" x14ac:dyDescent="0.3">
      <c r="A10103" s="1">
        <v>40589</v>
      </c>
      <c r="B10103">
        <v>2804.3500979999999</v>
      </c>
      <c r="C10103">
        <f t="shared" si="331"/>
        <v>-4.5541407754143117E-3</v>
      </c>
      <c r="D10103">
        <f t="shared" si="330"/>
        <v>-0.40149048720443609</v>
      </c>
    </row>
    <row r="10104" spans="1:4" x14ac:dyDescent="0.3">
      <c r="A10104" s="1">
        <v>40590</v>
      </c>
      <c r="B10104">
        <v>2825.5600589999999</v>
      </c>
      <c r="C10104">
        <f t="shared" si="331"/>
        <v>7.563235779700435E-3</v>
      </c>
      <c r="D10104">
        <f t="shared" si="330"/>
        <v>0.56784981025462122</v>
      </c>
    </row>
    <row r="10105" spans="1:4" x14ac:dyDescent="0.3">
      <c r="A10105" s="1">
        <v>40591</v>
      </c>
      <c r="B10105">
        <v>2831.580078</v>
      </c>
      <c r="C10105">
        <f t="shared" si="331"/>
        <v>2.1305577918349417E-3</v>
      </c>
      <c r="D10105">
        <f t="shared" si="330"/>
        <v>0.13325791053075053</v>
      </c>
    </row>
    <row r="10106" spans="1:4" x14ac:dyDescent="0.3">
      <c r="A10106" s="1">
        <v>40592</v>
      </c>
      <c r="B10106">
        <v>2833.9499510000001</v>
      </c>
      <c r="C10106">
        <f t="shared" si="331"/>
        <v>8.3694366209624744E-4</v>
      </c>
      <c r="D10106">
        <f t="shared" si="330"/>
        <v>2.9774099524740968E-2</v>
      </c>
    </row>
    <row r="10107" spans="1:4" x14ac:dyDescent="0.3">
      <c r="A10107" s="1">
        <v>40596</v>
      </c>
      <c r="B10107">
        <v>2756.419922</v>
      </c>
      <c r="C10107">
        <f t="shared" si="331"/>
        <v>-2.7357585822093446E-2</v>
      </c>
      <c r="D10107">
        <f t="shared" si="330"/>
        <v>-2.2256723226124473</v>
      </c>
    </row>
    <row r="10108" spans="1:4" x14ac:dyDescent="0.3">
      <c r="A10108" s="1">
        <v>40597</v>
      </c>
      <c r="B10108">
        <v>2722.98999</v>
      </c>
      <c r="C10108">
        <f t="shared" si="331"/>
        <v>-1.2128025825522243E-2</v>
      </c>
      <c r="D10108">
        <f t="shared" si="330"/>
        <v>-1.0073701472116519</v>
      </c>
    </row>
    <row r="10109" spans="1:4" x14ac:dyDescent="0.3">
      <c r="A10109" s="1">
        <v>40598</v>
      </c>
      <c r="B10109">
        <v>2737.8999020000001</v>
      </c>
      <c r="C10109">
        <f t="shared" si="331"/>
        <v>5.4755662175607475E-3</v>
      </c>
      <c r="D10109">
        <f t="shared" si="330"/>
        <v>0.40084482983198044</v>
      </c>
    </row>
    <row r="10110" spans="1:4" x14ac:dyDescent="0.3">
      <c r="A10110" s="1">
        <v>40599</v>
      </c>
      <c r="B10110">
        <v>2781.0500489999999</v>
      </c>
      <c r="C10110">
        <f t="shared" si="331"/>
        <v>1.5760308464337652E-2</v>
      </c>
      <c r="D10110">
        <f t="shared" si="330"/>
        <v>1.2235819184613148</v>
      </c>
    </row>
    <row r="10111" spans="1:4" x14ac:dyDescent="0.3">
      <c r="A10111" s="1">
        <v>40602</v>
      </c>
      <c r="B10111">
        <v>2782.2700199999999</v>
      </c>
      <c r="C10111">
        <f t="shared" si="331"/>
        <v>4.3867279570846258E-4</v>
      </c>
      <c r="D10111">
        <f t="shared" si="330"/>
        <v>-2.0859320866935933E-3</v>
      </c>
    </row>
    <row r="10112" spans="1:4" x14ac:dyDescent="0.3">
      <c r="A10112" s="1">
        <v>40603</v>
      </c>
      <c r="B10112">
        <v>2737.4099120000001</v>
      </c>
      <c r="C10112">
        <f t="shared" si="331"/>
        <v>-1.6123563736635402E-2</v>
      </c>
      <c r="D10112">
        <f t="shared" si="330"/>
        <v>-1.3269967503506426</v>
      </c>
    </row>
    <row r="10113" spans="1:4" x14ac:dyDescent="0.3">
      <c r="A10113" s="1">
        <v>40604</v>
      </c>
      <c r="B10113">
        <v>2748.070068</v>
      </c>
      <c r="C10113">
        <f t="shared" si="331"/>
        <v>3.8942490685333338E-3</v>
      </c>
      <c r="D10113">
        <f t="shared" si="330"/>
        <v>0.27434596032475761</v>
      </c>
    </row>
    <row r="10114" spans="1:4" x14ac:dyDescent="0.3">
      <c r="A10114" s="1">
        <v>40605</v>
      </c>
      <c r="B10114">
        <v>2798.73999</v>
      </c>
      <c r="C10114">
        <f t="shared" si="331"/>
        <v>1.8438366106464227E-2</v>
      </c>
      <c r="D10114">
        <f t="shared" si="330"/>
        <v>1.4378155175926155</v>
      </c>
    </row>
    <row r="10115" spans="1:4" x14ac:dyDescent="0.3">
      <c r="A10115" s="1">
        <v>40606</v>
      </c>
      <c r="B10115">
        <v>2784.669922</v>
      </c>
      <c r="C10115">
        <f t="shared" si="331"/>
        <v>-5.0272865826310621E-3</v>
      </c>
      <c r="D10115">
        <f t="shared" ref="D10115:D10178" si="332">(C10115-avrtn)/sdrtn</f>
        <v>-0.43934020619459152</v>
      </c>
    </row>
    <row r="10116" spans="1:4" x14ac:dyDescent="0.3">
      <c r="A10116" s="1">
        <v>40609</v>
      </c>
      <c r="B10116">
        <v>2745.6298830000001</v>
      </c>
      <c r="C10116">
        <f t="shared" ref="C10116:C10179" si="333">(B10116-B10115)/B10115</f>
        <v>-1.401962893036914E-2</v>
      </c>
      <c r="D10116">
        <f t="shared" si="332"/>
        <v>-1.158690617280959</v>
      </c>
    </row>
    <row r="10117" spans="1:4" x14ac:dyDescent="0.3">
      <c r="A10117" s="1">
        <v>40610</v>
      </c>
      <c r="B10117">
        <v>2765.7700199999999</v>
      </c>
      <c r="C10117">
        <f t="shared" si="333"/>
        <v>7.3353430208130737E-3</v>
      </c>
      <c r="D10117">
        <f t="shared" si="332"/>
        <v>0.54961932664425628</v>
      </c>
    </row>
    <row r="10118" spans="1:4" x14ac:dyDescent="0.3">
      <c r="A10118" s="1">
        <v>40611</v>
      </c>
      <c r="B10118">
        <v>2751.719971</v>
      </c>
      <c r="C10118">
        <f t="shared" si="333"/>
        <v>-5.0799773294237767E-3</v>
      </c>
      <c r="D10118">
        <f t="shared" si="332"/>
        <v>-0.44355524927236323</v>
      </c>
    </row>
    <row r="10119" spans="1:4" x14ac:dyDescent="0.3">
      <c r="A10119" s="1">
        <v>40612</v>
      </c>
      <c r="B10119">
        <v>2701.0200199999999</v>
      </c>
      <c r="C10119">
        <f t="shared" si="333"/>
        <v>-1.8424822123733482E-2</v>
      </c>
      <c r="D10119">
        <f t="shared" si="332"/>
        <v>-1.5110879584874586</v>
      </c>
    </row>
    <row r="10120" spans="1:4" x14ac:dyDescent="0.3">
      <c r="A10120" s="1">
        <v>40613</v>
      </c>
      <c r="B10120">
        <v>2715.610107</v>
      </c>
      <c r="C10120">
        <f t="shared" si="333"/>
        <v>5.4016952454873099E-3</v>
      </c>
      <c r="D10120">
        <f t="shared" si="332"/>
        <v>0.39493545582535766</v>
      </c>
    </row>
    <row r="10121" spans="1:4" x14ac:dyDescent="0.3">
      <c r="A10121" s="1">
        <v>40616</v>
      </c>
      <c r="B10121">
        <v>2700.969971</v>
      </c>
      <c r="C10121">
        <f t="shared" si="333"/>
        <v>-5.3911038120907926E-3</v>
      </c>
      <c r="D10121">
        <f t="shared" si="332"/>
        <v>-0.46844408852598329</v>
      </c>
    </row>
    <row r="10122" spans="1:4" x14ac:dyDescent="0.3">
      <c r="A10122" s="1">
        <v>40617</v>
      </c>
      <c r="B10122">
        <v>2667.330078</v>
      </c>
      <c r="C10122">
        <f t="shared" si="333"/>
        <v>-1.2454745280838973E-2</v>
      </c>
      <c r="D10122">
        <f t="shared" si="332"/>
        <v>-1.0335063601585623</v>
      </c>
    </row>
    <row r="10123" spans="1:4" x14ac:dyDescent="0.3">
      <c r="A10123" s="1">
        <v>40618</v>
      </c>
      <c r="B10123">
        <v>2616.820068</v>
      </c>
      <c r="C10123">
        <f t="shared" si="333"/>
        <v>-1.8936542731101753E-2</v>
      </c>
      <c r="D10123">
        <f t="shared" si="332"/>
        <v>-1.5520235028692095</v>
      </c>
    </row>
    <row r="10124" spans="1:4" x14ac:dyDescent="0.3">
      <c r="A10124" s="1">
        <v>40619</v>
      </c>
      <c r="B10124">
        <v>2636.0500489999999</v>
      </c>
      <c r="C10124">
        <f t="shared" si="333"/>
        <v>7.348606514890099E-3</v>
      </c>
      <c r="D10124">
        <f t="shared" si="332"/>
        <v>0.5506803516306048</v>
      </c>
    </row>
    <row r="10125" spans="1:4" x14ac:dyDescent="0.3">
      <c r="A10125" s="1">
        <v>40620</v>
      </c>
      <c r="B10125">
        <v>2643.669922</v>
      </c>
      <c r="C10125">
        <f t="shared" si="333"/>
        <v>2.8906404879872213E-3</v>
      </c>
      <c r="D10125">
        <f t="shared" si="332"/>
        <v>0.19406140074421083</v>
      </c>
    </row>
    <row r="10126" spans="1:4" x14ac:dyDescent="0.3">
      <c r="A10126" s="1">
        <v>40623</v>
      </c>
      <c r="B10126">
        <v>2692.0900879999999</v>
      </c>
      <c r="C10126">
        <f t="shared" si="333"/>
        <v>1.8315511175226014E-2</v>
      </c>
      <c r="D10126">
        <f t="shared" si="332"/>
        <v>1.4279876282760542</v>
      </c>
    </row>
    <row r="10127" spans="1:4" x14ac:dyDescent="0.3">
      <c r="A10127" s="1">
        <v>40624</v>
      </c>
      <c r="B10127">
        <v>2683.8701169999999</v>
      </c>
      <c r="C10127">
        <f t="shared" si="333"/>
        <v>-3.0533788734041752E-3</v>
      </c>
      <c r="D10127">
        <f t="shared" si="332"/>
        <v>-0.28143570621344044</v>
      </c>
    </row>
    <row r="10128" spans="1:4" x14ac:dyDescent="0.3">
      <c r="A10128" s="1">
        <v>40625</v>
      </c>
      <c r="B10128">
        <v>2698.3000489999999</v>
      </c>
      <c r="C10128">
        <f t="shared" si="333"/>
        <v>5.3765388677338918E-3</v>
      </c>
      <c r="D10128">
        <f t="shared" si="332"/>
        <v>0.39292304904872766</v>
      </c>
    </row>
    <row r="10129" spans="1:4" x14ac:dyDescent="0.3">
      <c r="A10129" s="1">
        <v>40626</v>
      </c>
      <c r="B10129">
        <v>2736.419922</v>
      </c>
      <c r="C10129">
        <f t="shared" si="333"/>
        <v>1.4127366233465201E-2</v>
      </c>
      <c r="D10129">
        <f t="shared" si="332"/>
        <v>1.092953254690094</v>
      </c>
    </row>
    <row r="10130" spans="1:4" x14ac:dyDescent="0.3">
      <c r="A10130" s="1">
        <v>40627</v>
      </c>
      <c r="B10130">
        <v>2743.0600589999999</v>
      </c>
      <c r="C10130">
        <f t="shared" si="333"/>
        <v>2.4265782260299842E-3</v>
      </c>
      <c r="D10130">
        <f t="shared" si="332"/>
        <v>0.15693832802305518</v>
      </c>
    </row>
    <row r="10131" spans="1:4" x14ac:dyDescent="0.3">
      <c r="A10131" s="1">
        <v>40630</v>
      </c>
      <c r="B10131">
        <v>2730.679932</v>
      </c>
      <c r="C10131">
        <f t="shared" si="333"/>
        <v>-4.5132540789184017E-3</v>
      </c>
      <c r="D10131">
        <f t="shared" si="332"/>
        <v>-0.39821971961186386</v>
      </c>
    </row>
    <row r="10132" spans="1:4" x14ac:dyDescent="0.3">
      <c r="A10132" s="1">
        <v>40631</v>
      </c>
      <c r="B10132">
        <v>2756.889893</v>
      </c>
      <c r="C10132">
        <f t="shared" si="333"/>
        <v>9.598327761834528E-3</v>
      </c>
      <c r="D10132">
        <f t="shared" si="332"/>
        <v>0.73064880047711533</v>
      </c>
    </row>
    <row r="10133" spans="1:4" x14ac:dyDescent="0.3">
      <c r="A10133" s="1">
        <v>40632</v>
      </c>
      <c r="B10133">
        <v>2776.790039</v>
      </c>
      <c r="C10133">
        <f t="shared" si="333"/>
        <v>7.2183318058977519E-3</v>
      </c>
      <c r="D10133">
        <f t="shared" si="332"/>
        <v>0.54025891060402131</v>
      </c>
    </row>
    <row r="10134" spans="1:4" x14ac:dyDescent="0.3">
      <c r="A10134" s="1">
        <v>40633</v>
      </c>
      <c r="B10134">
        <v>2781.070068</v>
      </c>
      <c r="C10134">
        <f t="shared" si="333"/>
        <v>1.5413585254509814E-3</v>
      </c>
      <c r="D10134">
        <f t="shared" si="332"/>
        <v>8.6124392021893884E-2</v>
      </c>
    </row>
    <row r="10135" spans="1:4" x14ac:dyDescent="0.3">
      <c r="A10135" s="1">
        <v>40634</v>
      </c>
      <c r="B10135">
        <v>2789.6000979999999</v>
      </c>
      <c r="C10135">
        <f t="shared" si="333"/>
        <v>3.0671755085028289E-3</v>
      </c>
      <c r="D10135">
        <f t="shared" si="332"/>
        <v>0.20818347646911756</v>
      </c>
    </row>
    <row r="10136" spans="1:4" x14ac:dyDescent="0.3">
      <c r="A10136" s="1">
        <v>40637</v>
      </c>
      <c r="B10136">
        <v>2789.1899410000001</v>
      </c>
      <c r="C10136">
        <f t="shared" si="333"/>
        <v>-1.4703075193245823E-4</v>
      </c>
      <c r="D10136">
        <f t="shared" si="332"/>
        <v>-4.8939807470588438E-2</v>
      </c>
    </row>
    <row r="10137" spans="1:4" x14ac:dyDescent="0.3">
      <c r="A10137" s="1">
        <v>40638</v>
      </c>
      <c r="B10137">
        <v>2791.1899410000001</v>
      </c>
      <c r="C10137">
        <f t="shared" si="333"/>
        <v>7.1705407028785785E-4</v>
      </c>
      <c r="D10137">
        <f t="shared" si="332"/>
        <v>2.0183425169017041E-2</v>
      </c>
    </row>
    <row r="10138" spans="1:4" x14ac:dyDescent="0.3">
      <c r="A10138" s="1">
        <v>40639</v>
      </c>
      <c r="B10138">
        <v>2799.820068</v>
      </c>
      <c r="C10138">
        <f t="shared" si="333"/>
        <v>3.0919167747172323E-3</v>
      </c>
      <c r="D10138">
        <f t="shared" si="332"/>
        <v>0.21016267602957525</v>
      </c>
    </row>
    <row r="10139" spans="1:4" x14ac:dyDescent="0.3">
      <c r="A10139" s="1">
        <v>40640</v>
      </c>
      <c r="B10139">
        <v>2796.139893</v>
      </c>
      <c r="C10139">
        <f t="shared" si="333"/>
        <v>-1.3144326816075822E-3</v>
      </c>
      <c r="D10139">
        <f t="shared" si="332"/>
        <v>-0.14232716145918009</v>
      </c>
    </row>
    <row r="10140" spans="1:4" x14ac:dyDescent="0.3">
      <c r="A10140" s="1">
        <v>40641</v>
      </c>
      <c r="B10140">
        <v>2780.419922</v>
      </c>
      <c r="C10140">
        <f t="shared" si="333"/>
        <v>-5.6220259363110436E-3</v>
      </c>
      <c r="D10140">
        <f t="shared" si="332"/>
        <v>-0.48691690890615474</v>
      </c>
    </row>
    <row r="10141" spans="1:4" x14ac:dyDescent="0.3">
      <c r="A10141" s="1">
        <v>40644</v>
      </c>
      <c r="B10141">
        <v>2771.51001</v>
      </c>
      <c r="C10141">
        <f t="shared" si="333"/>
        <v>-3.2045202703018458E-3</v>
      </c>
      <c r="D10141">
        <f t="shared" si="332"/>
        <v>-0.29352639646811646</v>
      </c>
    </row>
    <row r="10142" spans="1:4" x14ac:dyDescent="0.3">
      <c r="A10142" s="1">
        <v>40645</v>
      </c>
      <c r="B10142">
        <v>2744.790039</v>
      </c>
      <c r="C10142">
        <f t="shared" si="333"/>
        <v>-9.6409433498672401E-3</v>
      </c>
      <c r="D10142">
        <f t="shared" si="332"/>
        <v>-0.80841377610349985</v>
      </c>
    </row>
    <row r="10143" spans="1:4" x14ac:dyDescent="0.3">
      <c r="A10143" s="1">
        <v>40646</v>
      </c>
      <c r="B10143">
        <v>2761.5200199999999</v>
      </c>
      <c r="C10143">
        <f t="shared" si="333"/>
        <v>6.0951769579049948E-3</v>
      </c>
      <c r="D10143">
        <f t="shared" si="332"/>
        <v>0.45041114120493192</v>
      </c>
    </row>
    <row r="10144" spans="1:4" x14ac:dyDescent="0.3">
      <c r="A10144" s="1">
        <v>40647</v>
      </c>
      <c r="B10144">
        <v>2760.219971</v>
      </c>
      <c r="C10144">
        <f t="shared" si="333"/>
        <v>-4.7077297668837633E-4</v>
      </c>
      <c r="D10144">
        <f t="shared" si="332"/>
        <v>-7.4837854215079241E-2</v>
      </c>
    </row>
    <row r="10145" spans="1:4" x14ac:dyDescent="0.3">
      <c r="A10145" s="1">
        <v>40648</v>
      </c>
      <c r="B10145">
        <v>2764.6499020000001</v>
      </c>
      <c r="C10145">
        <f t="shared" si="333"/>
        <v>1.6049195522613382E-3</v>
      </c>
      <c r="D10145">
        <f t="shared" si="332"/>
        <v>9.1209012802218464E-2</v>
      </c>
    </row>
    <row r="10146" spans="1:4" x14ac:dyDescent="0.3">
      <c r="A10146" s="1">
        <v>40651</v>
      </c>
      <c r="B10146">
        <v>2735.3798830000001</v>
      </c>
      <c r="C10146">
        <f t="shared" si="333"/>
        <v>-1.0587242521675371E-2</v>
      </c>
      <c r="D10146">
        <f t="shared" si="332"/>
        <v>-0.884113818642705</v>
      </c>
    </row>
    <row r="10147" spans="1:4" x14ac:dyDescent="0.3">
      <c r="A10147" s="1">
        <v>40652</v>
      </c>
      <c r="B10147">
        <v>2744.969971</v>
      </c>
      <c r="C10147">
        <f t="shared" si="333"/>
        <v>3.5059437482892111E-3</v>
      </c>
      <c r="D10147">
        <f t="shared" si="332"/>
        <v>0.24328313142624544</v>
      </c>
    </row>
    <row r="10148" spans="1:4" x14ac:dyDescent="0.3">
      <c r="A10148" s="1">
        <v>40653</v>
      </c>
      <c r="B10148">
        <v>2802.51001</v>
      </c>
      <c r="C10148">
        <f t="shared" si="333"/>
        <v>2.0961992155796878E-2</v>
      </c>
      <c r="D10148">
        <f t="shared" si="332"/>
        <v>1.6396952243269065</v>
      </c>
    </row>
    <row r="10149" spans="1:4" x14ac:dyDescent="0.3">
      <c r="A10149" s="1">
        <v>40654</v>
      </c>
      <c r="B10149">
        <v>2820.1599120000001</v>
      </c>
      <c r="C10149">
        <f t="shared" si="333"/>
        <v>6.2978907968289869E-3</v>
      </c>
      <c r="D10149">
        <f t="shared" si="332"/>
        <v>0.46662741475456487</v>
      </c>
    </row>
    <row r="10150" spans="1:4" x14ac:dyDescent="0.3">
      <c r="A10150" s="1">
        <v>40658</v>
      </c>
      <c r="B10150">
        <v>2825.8798830000001</v>
      </c>
      <c r="C10150">
        <f t="shared" si="333"/>
        <v>2.0282434962858188E-3</v>
      </c>
      <c r="D10150">
        <f t="shared" si="332"/>
        <v>0.12507318760571787</v>
      </c>
    </row>
    <row r="10151" spans="1:4" x14ac:dyDescent="0.3">
      <c r="A10151" s="1">
        <v>40659</v>
      </c>
      <c r="B10151">
        <v>2847.540039</v>
      </c>
      <c r="C10151">
        <f t="shared" si="333"/>
        <v>7.6649245179540824E-3</v>
      </c>
      <c r="D10151">
        <f t="shared" si="332"/>
        <v>0.57598449116832284</v>
      </c>
    </row>
    <row r="10152" spans="1:4" x14ac:dyDescent="0.3">
      <c r="A10152" s="1">
        <v>40660</v>
      </c>
      <c r="B10152">
        <v>2869.8798830000001</v>
      </c>
      <c r="C10152">
        <f t="shared" si="333"/>
        <v>7.8453133912193898E-3</v>
      </c>
      <c r="D10152">
        <f t="shared" si="332"/>
        <v>0.59041485926606829</v>
      </c>
    </row>
    <row r="10153" spans="1:4" x14ac:dyDescent="0.3">
      <c r="A10153" s="1">
        <v>40661</v>
      </c>
      <c r="B10153">
        <v>2872.530029</v>
      </c>
      <c r="C10153">
        <f t="shared" si="333"/>
        <v>9.234344669609121E-4</v>
      </c>
      <c r="D10153">
        <f t="shared" si="332"/>
        <v>3.6693008261599429E-2</v>
      </c>
    </row>
    <row r="10154" spans="1:4" x14ac:dyDescent="0.3">
      <c r="A10154" s="1">
        <v>40662</v>
      </c>
      <c r="B10154">
        <v>2873.540039</v>
      </c>
      <c r="C10154">
        <f t="shared" si="333"/>
        <v>3.516099013076551E-4</v>
      </c>
      <c r="D10154">
        <f t="shared" si="332"/>
        <v>-9.0506056339972538E-3</v>
      </c>
    </row>
    <row r="10155" spans="1:4" x14ac:dyDescent="0.3">
      <c r="A10155" s="1">
        <v>40665</v>
      </c>
      <c r="B10155">
        <v>2864.080078</v>
      </c>
      <c r="C10155">
        <f t="shared" si="333"/>
        <v>-3.2920929834310275E-3</v>
      </c>
      <c r="D10155">
        <f t="shared" si="332"/>
        <v>-0.30053185341730293</v>
      </c>
    </row>
    <row r="10156" spans="1:4" x14ac:dyDescent="0.3">
      <c r="A10156" s="1">
        <v>40666</v>
      </c>
      <c r="B10156">
        <v>2841.6201169999999</v>
      </c>
      <c r="C10156">
        <f t="shared" si="333"/>
        <v>-7.8419458912908305E-3</v>
      </c>
      <c r="D10156">
        <f t="shared" si="332"/>
        <v>-0.66450137693913869</v>
      </c>
    </row>
    <row r="10157" spans="1:4" x14ac:dyDescent="0.3">
      <c r="A10157" s="1">
        <v>40667</v>
      </c>
      <c r="B10157">
        <v>2828.2299800000001</v>
      </c>
      <c r="C10157">
        <f t="shared" si="333"/>
        <v>-4.7121488618036373E-3</v>
      </c>
      <c r="D10157">
        <f t="shared" si="332"/>
        <v>-0.41413048438244859</v>
      </c>
    </row>
    <row r="10158" spans="1:4" x14ac:dyDescent="0.3">
      <c r="A10158" s="1">
        <v>40668</v>
      </c>
      <c r="B10158">
        <v>2814.719971</v>
      </c>
      <c r="C10158">
        <f t="shared" si="333"/>
        <v>-4.776842440514714E-3</v>
      </c>
      <c r="D10158">
        <f t="shared" si="332"/>
        <v>-0.41930570465774952</v>
      </c>
    </row>
    <row r="10159" spans="1:4" x14ac:dyDescent="0.3">
      <c r="A10159" s="1">
        <v>40669</v>
      </c>
      <c r="B10159">
        <v>2827.5600589999999</v>
      </c>
      <c r="C10159">
        <f t="shared" si="333"/>
        <v>4.561763916940611E-3</v>
      </c>
      <c r="D10159">
        <f t="shared" si="332"/>
        <v>0.32774440335988214</v>
      </c>
    </row>
    <row r="10160" spans="1:4" x14ac:dyDescent="0.3">
      <c r="A10160" s="1">
        <v>40672</v>
      </c>
      <c r="B10160">
        <v>2843.25</v>
      </c>
      <c r="C10160">
        <f t="shared" si="333"/>
        <v>5.5489328865216125E-3</v>
      </c>
      <c r="D10160">
        <f t="shared" si="332"/>
        <v>0.40671386166330425</v>
      </c>
    </row>
    <row r="10161" spans="1:4" x14ac:dyDescent="0.3">
      <c r="A10161" s="1">
        <v>40673</v>
      </c>
      <c r="B10161">
        <v>2871.889893</v>
      </c>
      <c r="C10161">
        <f t="shared" si="333"/>
        <v>1.007294223160117E-2</v>
      </c>
      <c r="D10161">
        <f t="shared" si="332"/>
        <v>0.76861600643208561</v>
      </c>
    </row>
    <row r="10162" spans="1:4" x14ac:dyDescent="0.3">
      <c r="A10162" s="1">
        <v>40674</v>
      </c>
      <c r="B10162">
        <v>2845.0600589999999</v>
      </c>
      <c r="C10162">
        <f t="shared" si="333"/>
        <v>-9.3422223691081181E-3</v>
      </c>
      <c r="D10162">
        <f t="shared" si="332"/>
        <v>-0.78451732599078261</v>
      </c>
    </row>
    <row r="10163" spans="1:4" x14ac:dyDescent="0.3">
      <c r="A10163" s="1">
        <v>40675</v>
      </c>
      <c r="B10163">
        <v>2863.040039</v>
      </c>
      <c r="C10163">
        <f t="shared" si="333"/>
        <v>6.3197189609838283E-3</v>
      </c>
      <c r="D10163">
        <f t="shared" si="332"/>
        <v>0.46837357812900487</v>
      </c>
    </row>
    <row r="10164" spans="1:4" x14ac:dyDescent="0.3">
      <c r="A10164" s="1">
        <v>40676</v>
      </c>
      <c r="B10164">
        <v>2828.469971</v>
      </c>
      <c r="C10164">
        <f t="shared" si="333"/>
        <v>-1.2074601657360892E-2</v>
      </c>
      <c r="D10164">
        <f t="shared" si="332"/>
        <v>-1.0030964334402357</v>
      </c>
    </row>
    <row r="10165" spans="1:4" x14ac:dyDescent="0.3">
      <c r="A10165" s="1">
        <v>40679</v>
      </c>
      <c r="B10165">
        <v>2782.3100589999999</v>
      </c>
      <c r="C10165">
        <f t="shared" si="333"/>
        <v>-1.6319746178418974E-2</v>
      </c>
      <c r="D10165">
        <f t="shared" si="332"/>
        <v>-1.3426905389863073</v>
      </c>
    </row>
    <row r="10166" spans="1:4" x14ac:dyDescent="0.3">
      <c r="A10166" s="1">
        <v>40680</v>
      </c>
      <c r="B10166">
        <v>2783.209961</v>
      </c>
      <c r="C10166">
        <f t="shared" si="333"/>
        <v>3.2343699333191788E-4</v>
      </c>
      <c r="D10166">
        <f t="shared" si="332"/>
        <v>-1.1304322424366417E-2</v>
      </c>
    </row>
    <row r="10167" spans="1:4" x14ac:dyDescent="0.3">
      <c r="A10167" s="1">
        <v>40681</v>
      </c>
      <c r="B10167">
        <v>2815</v>
      </c>
      <c r="C10167">
        <f t="shared" si="333"/>
        <v>1.1422077186220583E-2</v>
      </c>
      <c r="D10167">
        <f t="shared" si="332"/>
        <v>0.87654125512555658</v>
      </c>
    </row>
    <row r="10168" spans="1:4" x14ac:dyDescent="0.3">
      <c r="A10168" s="1">
        <v>40682</v>
      </c>
      <c r="B10168">
        <v>2823.3100589999999</v>
      </c>
      <c r="C10168">
        <f t="shared" si="333"/>
        <v>2.9520635879218154E-3</v>
      </c>
      <c r="D10168">
        <f t="shared" si="332"/>
        <v>0.19897499616568223</v>
      </c>
    </row>
    <row r="10169" spans="1:4" x14ac:dyDescent="0.3">
      <c r="A10169" s="1">
        <v>40683</v>
      </c>
      <c r="B10169">
        <v>2803.320068</v>
      </c>
      <c r="C10169">
        <f t="shared" si="333"/>
        <v>-7.0803385325238621E-3</v>
      </c>
      <c r="D10169">
        <f t="shared" si="332"/>
        <v>-0.60357591998595339</v>
      </c>
    </row>
    <row r="10170" spans="1:4" x14ac:dyDescent="0.3">
      <c r="A10170" s="1">
        <v>40686</v>
      </c>
      <c r="B10170">
        <v>2758.8999020000001</v>
      </c>
      <c r="C10170">
        <f t="shared" si="333"/>
        <v>-1.5845556312694253E-2</v>
      </c>
      <c r="D10170">
        <f t="shared" si="332"/>
        <v>-1.3047572996087085</v>
      </c>
    </row>
    <row r="10171" spans="1:4" x14ac:dyDescent="0.3">
      <c r="A10171" s="1">
        <v>40687</v>
      </c>
      <c r="B10171">
        <v>2746.1599120000001</v>
      </c>
      <c r="C10171">
        <f t="shared" si="333"/>
        <v>-4.6177789889239821E-3</v>
      </c>
      <c r="D10171">
        <f t="shared" si="332"/>
        <v>-0.40658128260331217</v>
      </c>
    </row>
    <row r="10172" spans="1:4" x14ac:dyDescent="0.3">
      <c r="A10172" s="1">
        <v>40688</v>
      </c>
      <c r="B10172">
        <v>2761.3798830000001</v>
      </c>
      <c r="C10172">
        <f t="shared" si="333"/>
        <v>5.5422741164826914E-3</v>
      </c>
      <c r="D10172">
        <f t="shared" si="332"/>
        <v>0.40618118744121656</v>
      </c>
    </row>
    <row r="10173" spans="1:4" x14ac:dyDescent="0.3">
      <c r="A10173" s="1">
        <v>40689</v>
      </c>
      <c r="B10173">
        <v>2782.919922</v>
      </c>
      <c r="C10173">
        <f t="shared" si="333"/>
        <v>7.8004620561654093E-3</v>
      </c>
      <c r="D10173">
        <f t="shared" si="332"/>
        <v>0.58682693689154164</v>
      </c>
    </row>
    <row r="10174" spans="1:4" x14ac:dyDescent="0.3">
      <c r="A10174" s="1">
        <v>40690</v>
      </c>
      <c r="B10174">
        <v>2796.860107</v>
      </c>
      <c r="C10174">
        <f t="shared" si="333"/>
        <v>5.0091937212413716E-3</v>
      </c>
      <c r="D10174">
        <f t="shared" si="332"/>
        <v>0.36353694786159418</v>
      </c>
    </row>
    <row r="10175" spans="1:4" x14ac:dyDescent="0.3">
      <c r="A10175" s="1">
        <v>40694</v>
      </c>
      <c r="B10175">
        <v>2835.3000489999999</v>
      </c>
      <c r="C10175">
        <f t="shared" si="333"/>
        <v>1.3743963061932284E-2</v>
      </c>
      <c r="D10175">
        <f t="shared" si="332"/>
        <v>1.0622825775307223</v>
      </c>
    </row>
    <row r="10176" spans="1:4" x14ac:dyDescent="0.3">
      <c r="A10176" s="1">
        <v>40695</v>
      </c>
      <c r="B10176">
        <v>2769.1899410000001</v>
      </c>
      <c r="C10176">
        <f t="shared" si="333"/>
        <v>-2.331679429248296E-2</v>
      </c>
      <c r="D10176">
        <f t="shared" si="332"/>
        <v>-1.9024256160776616</v>
      </c>
    </row>
    <row r="10177" spans="1:4" x14ac:dyDescent="0.3">
      <c r="A10177" s="1">
        <v>40696</v>
      </c>
      <c r="B10177">
        <v>2773.3100589999999</v>
      </c>
      <c r="C10177">
        <f t="shared" si="333"/>
        <v>1.4878423249334706E-3</v>
      </c>
      <c r="D10177">
        <f t="shared" si="332"/>
        <v>8.1843316040424455E-2</v>
      </c>
    </row>
    <row r="10178" spans="1:4" x14ac:dyDescent="0.3">
      <c r="A10178" s="1">
        <v>40697</v>
      </c>
      <c r="B10178">
        <v>2732.780029</v>
      </c>
      <c r="C10178">
        <f t="shared" si="333"/>
        <v>-1.4614316155696711E-2</v>
      </c>
      <c r="D10178">
        <f t="shared" si="332"/>
        <v>-1.2062631499386827</v>
      </c>
    </row>
    <row r="10179" spans="1:4" x14ac:dyDescent="0.3">
      <c r="A10179" s="1">
        <v>40700</v>
      </c>
      <c r="B10179">
        <v>2702.5600589999999</v>
      </c>
      <c r="C10179">
        <f t="shared" si="333"/>
        <v>-1.1058325104585322E-2</v>
      </c>
      <c r="D10179">
        <f t="shared" ref="D10179:D10242" si="334">(C10179-avrtn)/sdrtn</f>
        <v>-0.92179848817234544</v>
      </c>
    </row>
    <row r="10180" spans="1:4" x14ac:dyDescent="0.3">
      <c r="A10180" s="1">
        <v>40701</v>
      </c>
      <c r="B10180">
        <v>2701.5600589999999</v>
      </c>
      <c r="C10180">
        <f t="shared" ref="C10180:C10243" si="335">(B10180-B10179)/B10179</f>
        <v>-3.7001952895360246E-4</v>
      </c>
      <c r="D10180">
        <f t="shared" si="334"/>
        <v>-6.6777992696949964E-2</v>
      </c>
    </row>
    <row r="10181" spans="1:4" x14ac:dyDescent="0.3">
      <c r="A10181" s="1">
        <v>40702</v>
      </c>
      <c r="B10181">
        <v>2675.3798830000001</v>
      </c>
      <c r="C10181">
        <f t="shared" si="335"/>
        <v>-9.6907621626929914E-3</v>
      </c>
      <c r="D10181">
        <f t="shared" si="334"/>
        <v>-0.81239907627337749</v>
      </c>
    </row>
    <row r="10182" spans="1:4" x14ac:dyDescent="0.3">
      <c r="A10182" s="1">
        <v>40703</v>
      </c>
      <c r="B10182">
        <v>2684.8701169999999</v>
      </c>
      <c r="C10182">
        <f t="shared" si="335"/>
        <v>3.5472472751638287E-3</v>
      </c>
      <c r="D10182">
        <f t="shared" si="334"/>
        <v>0.24658724373509749</v>
      </c>
    </row>
    <row r="10183" spans="1:4" x14ac:dyDescent="0.3">
      <c r="A10183" s="1">
        <v>40704</v>
      </c>
      <c r="B10183">
        <v>2643.7299800000001</v>
      </c>
      <c r="C10183">
        <f t="shared" si="335"/>
        <v>-1.5322952398892475E-2</v>
      </c>
      <c r="D10183">
        <f t="shared" si="334"/>
        <v>-1.2629511354647005</v>
      </c>
    </row>
    <row r="10184" spans="1:4" x14ac:dyDescent="0.3">
      <c r="A10184" s="1">
        <v>40707</v>
      </c>
      <c r="B10184">
        <v>2639.6899410000001</v>
      </c>
      <c r="C10184">
        <f t="shared" si="335"/>
        <v>-1.5281587115791525E-3</v>
      </c>
      <c r="D10184">
        <f t="shared" si="334"/>
        <v>-0.15942436501021917</v>
      </c>
    </row>
    <row r="10185" spans="1:4" x14ac:dyDescent="0.3">
      <c r="A10185" s="1">
        <v>40708</v>
      </c>
      <c r="B10185">
        <v>2678.719971</v>
      </c>
      <c r="C10185">
        <f t="shared" si="335"/>
        <v>1.4785838819090267E-2</v>
      </c>
      <c r="D10185">
        <f t="shared" si="334"/>
        <v>1.1456283538846483</v>
      </c>
    </row>
    <row r="10186" spans="1:4" x14ac:dyDescent="0.3">
      <c r="A10186" s="1">
        <v>40709</v>
      </c>
      <c r="B10186">
        <v>2631.459961</v>
      </c>
      <c r="C10186">
        <f t="shared" si="335"/>
        <v>-1.7642758672664544E-2</v>
      </c>
      <c r="D10186">
        <f t="shared" si="334"/>
        <v>-1.4485260982660697</v>
      </c>
    </row>
    <row r="10187" spans="1:4" x14ac:dyDescent="0.3">
      <c r="A10187" s="1">
        <v>40710</v>
      </c>
      <c r="B10187">
        <v>2623.6999510000001</v>
      </c>
      <c r="C10187">
        <f t="shared" si="335"/>
        <v>-2.948937135661767E-3</v>
      </c>
      <c r="D10187">
        <f t="shared" si="334"/>
        <v>-0.27308079666103952</v>
      </c>
    </row>
    <row r="10188" spans="1:4" x14ac:dyDescent="0.3">
      <c r="A10188" s="1">
        <v>40711</v>
      </c>
      <c r="B10188">
        <v>2616.4799800000001</v>
      </c>
      <c r="C10188">
        <f t="shared" si="335"/>
        <v>-2.7518280042838584E-3</v>
      </c>
      <c r="D10188">
        <f t="shared" si="334"/>
        <v>-0.25731287666839808</v>
      </c>
    </row>
    <row r="10189" spans="1:4" x14ac:dyDescent="0.3">
      <c r="A10189" s="1">
        <v>40714</v>
      </c>
      <c r="B10189">
        <v>2629.6599120000001</v>
      </c>
      <c r="C10189">
        <f t="shared" si="335"/>
        <v>5.0372760734825146E-3</v>
      </c>
      <c r="D10189">
        <f t="shared" si="334"/>
        <v>0.36578342056556323</v>
      </c>
    </row>
    <row r="10190" spans="1:4" x14ac:dyDescent="0.3">
      <c r="A10190" s="1">
        <v>40715</v>
      </c>
      <c r="B10190">
        <v>2687.26001</v>
      </c>
      <c r="C10190">
        <f t="shared" si="335"/>
        <v>2.1904010376836855E-2</v>
      </c>
      <c r="D10190">
        <f t="shared" si="334"/>
        <v>1.7150528084080341</v>
      </c>
    </row>
    <row r="10191" spans="1:4" x14ac:dyDescent="0.3">
      <c r="A10191" s="1">
        <v>40716</v>
      </c>
      <c r="B10191">
        <v>2669.1899410000001</v>
      </c>
      <c r="C10191">
        <f t="shared" si="335"/>
        <v>-6.7243470794625029E-3</v>
      </c>
      <c r="D10191">
        <f t="shared" si="334"/>
        <v>-0.5750980675866465</v>
      </c>
    </row>
    <row r="10192" spans="1:4" x14ac:dyDescent="0.3">
      <c r="A10192" s="1">
        <v>40717</v>
      </c>
      <c r="B10192">
        <v>2686.75</v>
      </c>
      <c r="C10192">
        <f t="shared" si="335"/>
        <v>6.5787970838152915E-3</v>
      </c>
      <c r="D10192">
        <f t="shared" si="334"/>
        <v>0.48909876261991519</v>
      </c>
    </row>
    <row r="10193" spans="1:4" x14ac:dyDescent="0.3">
      <c r="A10193" s="1">
        <v>40718</v>
      </c>
      <c r="B10193">
        <v>2652.889893</v>
      </c>
      <c r="C10193">
        <f t="shared" si="335"/>
        <v>-1.2602626593467933E-2</v>
      </c>
      <c r="D10193">
        <f t="shared" si="334"/>
        <v>-1.0453362570772882</v>
      </c>
    </row>
    <row r="10194" spans="1:4" x14ac:dyDescent="0.3">
      <c r="A10194" s="1">
        <v>40721</v>
      </c>
      <c r="B10194">
        <v>2688.280029</v>
      </c>
      <c r="C10194">
        <f t="shared" si="335"/>
        <v>1.3340220449171873E-2</v>
      </c>
      <c r="D10194">
        <f t="shared" si="334"/>
        <v>1.0299848287094331</v>
      </c>
    </row>
    <row r="10195" spans="1:4" x14ac:dyDescent="0.3">
      <c r="A10195" s="1">
        <v>40722</v>
      </c>
      <c r="B10195">
        <v>2729.3100589999999</v>
      </c>
      <c r="C10195">
        <f t="shared" si="335"/>
        <v>1.5262558051016157E-2</v>
      </c>
      <c r="D10195">
        <f t="shared" si="334"/>
        <v>1.1837639321575246</v>
      </c>
    </row>
    <row r="10196" spans="1:4" x14ac:dyDescent="0.3">
      <c r="A10196" s="1">
        <v>40723</v>
      </c>
      <c r="B10196">
        <v>2740.48999</v>
      </c>
      <c r="C10196">
        <f t="shared" si="335"/>
        <v>4.0962480474264519E-3</v>
      </c>
      <c r="D10196">
        <f t="shared" si="334"/>
        <v>0.29050504801144272</v>
      </c>
    </row>
    <row r="10197" spans="1:4" x14ac:dyDescent="0.3">
      <c r="A10197" s="1">
        <v>40724</v>
      </c>
      <c r="B10197">
        <v>2773.5200199999999</v>
      </c>
      <c r="C10197">
        <f t="shared" si="335"/>
        <v>1.2052600126446694E-2</v>
      </c>
      <c r="D10197">
        <f t="shared" si="334"/>
        <v>0.92698049761782308</v>
      </c>
    </row>
    <row r="10198" spans="1:4" x14ac:dyDescent="0.3">
      <c r="A10198" s="1">
        <v>40725</v>
      </c>
      <c r="B10198">
        <v>2816.030029</v>
      </c>
      <c r="C10198">
        <f t="shared" si="335"/>
        <v>1.5327096503164985E-2</v>
      </c>
      <c r="D10198">
        <f t="shared" si="334"/>
        <v>1.18892674294573</v>
      </c>
    </row>
    <row r="10199" spans="1:4" x14ac:dyDescent="0.3">
      <c r="A10199" s="1">
        <v>40729</v>
      </c>
      <c r="B10199">
        <v>2825.7700199999999</v>
      </c>
      <c r="C10199">
        <f t="shared" si="335"/>
        <v>3.4587667388826407E-3</v>
      </c>
      <c r="D10199">
        <f t="shared" si="334"/>
        <v>0.23950916466674166</v>
      </c>
    </row>
    <row r="10200" spans="1:4" x14ac:dyDescent="0.3">
      <c r="A10200" s="1">
        <v>40730</v>
      </c>
      <c r="B10200">
        <v>2834.0200199999999</v>
      </c>
      <c r="C10200">
        <f t="shared" si="335"/>
        <v>2.9195581882491628E-3</v>
      </c>
      <c r="D10200">
        <f t="shared" si="334"/>
        <v>0.19637469785487216</v>
      </c>
    </row>
    <row r="10201" spans="1:4" x14ac:dyDescent="0.3">
      <c r="A10201" s="1">
        <v>40731</v>
      </c>
      <c r="B10201">
        <v>2872.6599120000001</v>
      </c>
      <c r="C10201">
        <f t="shared" si="335"/>
        <v>1.3634304531130358E-2</v>
      </c>
      <c r="D10201">
        <f t="shared" si="334"/>
        <v>1.0535103459851412</v>
      </c>
    </row>
    <row r="10202" spans="1:4" x14ac:dyDescent="0.3">
      <c r="A10202" s="1">
        <v>40732</v>
      </c>
      <c r="B10202">
        <v>2859.8100589999999</v>
      </c>
      <c r="C10202">
        <f t="shared" si="335"/>
        <v>-4.4731549830602313E-3</v>
      </c>
      <c r="D10202">
        <f t="shared" si="334"/>
        <v>-0.39501195683167767</v>
      </c>
    </row>
    <row r="10203" spans="1:4" x14ac:dyDescent="0.3">
      <c r="A10203" s="1">
        <v>40735</v>
      </c>
      <c r="B10203">
        <v>2802.6201169999999</v>
      </c>
      <c r="C10203">
        <f t="shared" si="335"/>
        <v>-1.9997811330168477E-2</v>
      </c>
      <c r="D10203">
        <f t="shared" si="334"/>
        <v>-1.6369206268319922</v>
      </c>
    </row>
    <row r="10204" spans="1:4" x14ac:dyDescent="0.3">
      <c r="A10204" s="1">
        <v>40736</v>
      </c>
      <c r="B10204">
        <v>2781.9099120000001</v>
      </c>
      <c r="C10204">
        <f t="shared" si="335"/>
        <v>-7.389586934874578E-3</v>
      </c>
      <c r="D10204">
        <f t="shared" si="334"/>
        <v>-0.62831452053698189</v>
      </c>
    </row>
    <row r="10205" spans="1:4" x14ac:dyDescent="0.3">
      <c r="A10205" s="1">
        <v>40737</v>
      </c>
      <c r="B10205">
        <v>2796.919922</v>
      </c>
      <c r="C10205">
        <f t="shared" si="335"/>
        <v>5.3955773101253346E-3</v>
      </c>
      <c r="D10205">
        <f t="shared" si="334"/>
        <v>0.39444604615350015</v>
      </c>
    </row>
    <row r="10206" spans="1:4" x14ac:dyDescent="0.3">
      <c r="A10206" s="1">
        <v>40738</v>
      </c>
      <c r="B10206">
        <v>2762.669922</v>
      </c>
      <c r="C10206">
        <f t="shared" si="335"/>
        <v>-1.2245613372980937E-2</v>
      </c>
      <c r="D10206">
        <f t="shared" si="334"/>
        <v>-1.016776667485463</v>
      </c>
    </row>
    <row r="10207" spans="1:4" x14ac:dyDescent="0.3">
      <c r="A10207" s="1">
        <v>40739</v>
      </c>
      <c r="B10207">
        <v>2789.8000489999999</v>
      </c>
      <c r="C10207">
        <f t="shared" si="335"/>
        <v>9.8202564062953232E-3</v>
      </c>
      <c r="D10207">
        <f t="shared" si="334"/>
        <v>0.74840217945794008</v>
      </c>
    </row>
    <row r="10208" spans="1:4" x14ac:dyDescent="0.3">
      <c r="A10208" s="1">
        <v>40742</v>
      </c>
      <c r="B10208">
        <v>2765.110107</v>
      </c>
      <c r="C10208">
        <f t="shared" si="335"/>
        <v>-8.8500758356678828E-3</v>
      </c>
      <c r="D10208">
        <f t="shared" si="334"/>
        <v>-0.74514762703420145</v>
      </c>
    </row>
    <row r="10209" spans="1:4" x14ac:dyDescent="0.3">
      <c r="A10209" s="1">
        <v>40743</v>
      </c>
      <c r="B10209">
        <v>2826.5200199999999</v>
      </c>
      <c r="C10209">
        <f t="shared" si="335"/>
        <v>2.2208849059767284E-2</v>
      </c>
      <c r="D10209">
        <f t="shared" si="334"/>
        <v>1.7394386495383141</v>
      </c>
    </row>
    <row r="10210" spans="1:4" x14ac:dyDescent="0.3">
      <c r="A10210" s="1">
        <v>40744</v>
      </c>
      <c r="B10210">
        <v>2814.2299800000001</v>
      </c>
      <c r="C10210">
        <f t="shared" si="335"/>
        <v>-4.3481170885178669E-3</v>
      </c>
      <c r="D10210">
        <f t="shared" si="334"/>
        <v>-0.38500943942718308</v>
      </c>
    </row>
    <row r="10211" spans="1:4" x14ac:dyDescent="0.3">
      <c r="A10211" s="1">
        <v>40745</v>
      </c>
      <c r="B10211">
        <v>2834.429932</v>
      </c>
      <c r="C10211">
        <f t="shared" si="335"/>
        <v>7.1777900681734398E-3</v>
      </c>
      <c r="D10211">
        <f t="shared" si="334"/>
        <v>0.53701573829469795</v>
      </c>
    </row>
    <row r="10212" spans="1:4" x14ac:dyDescent="0.3">
      <c r="A10212" s="1">
        <v>40746</v>
      </c>
      <c r="B10212">
        <v>2858.830078</v>
      </c>
      <c r="C10212">
        <f t="shared" si="335"/>
        <v>8.6084844520333513E-3</v>
      </c>
      <c r="D10212">
        <f t="shared" si="334"/>
        <v>0.65146540595303193</v>
      </c>
    </row>
    <row r="10213" spans="1:4" x14ac:dyDescent="0.3">
      <c r="A10213" s="1">
        <v>40749</v>
      </c>
      <c r="B10213">
        <v>2842.8000489999999</v>
      </c>
      <c r="C10213">
        <f t="shared" si="335"/>
        <v>-5.6071989459458927E-3</v>
      </c>
      <c r="D10213">
        <f t="shared" si="334"/>
        <v>-0.48573081064589135</v>
      </c>
    </row>
    <row r="10214" spans="1:4" x14ac:dyDescent="0.3">
      <c r="A10214" s="1">
        <v>40750</v>
      </c>
      <c r="B10214">
        <v>2839.959961</v>
      </c>
      <c r="C10214">
        <f t="shared" si="335"/>
        <v>-9.9904599375498439E-4</v>
      </c>
      <c r="D10214">
        <f t="shared" si="334"/>
        <v>-0.11709752330878187</v>
      </c>
    </row>
    <row r="10215" spans="1:4" x14ac:dyDescent="0.3">
      <c r="A10215" s="1">
        <v>40751</v>
      </c>
      <c r="B10215">
        <v>2764.790039</v>
      </c>
      <c r="C10215">
        <f t="shared" si="335"/>
        <v>-2.6468655555809802E-2</v>
      </c>
      <c r="D10215">
        <f t="shared" si="334"/>
        <v>-2.154561556612852</v>
      </c>
    </row>
    <row r="10216" spans="1:4" x14ac:dyDescent="0.3">
      <c r="A10216" s="1">
        <v>40752</v>
      </c>
      <c r="B10216">
        <v>2766.25</v>
      </c>
      <c r="C10216">
        <f t="shared" si="335"/>
        <v>5.280549261990527E-4</v>
      </c>
      <c r="D10216">
        <f t="shared" si="334"/>
        <v>5.0642708110368913E-3</v>
      </c>
    </row>
    <row r="10217" spans="1:4" x14ac:dyDescent="0.3">
      <c r="A10217" s="1">
        <v>40753</v>
      </c>
      <c r="B10217">
        <v>2756.3798830000001</v>
      </c>
      <c r="C10217">
        <f t="shared" si="335"/>
        <v>-3.5680495255309306E-3</v>
      </c>
      <c r="D10217">
        <f t="shared" si="334"/>
        <v>-0.32260724204521368</v>
      </c>
    </row>
    <row r="10218" spans="1:4" x14ac:dyDescent="0.3">
      <c r="A10218" s="1">
        <v>40756</v>
      </c>
      <c r="B10218">
        <v>2744.610107</v>
      </c>
      <c r="C10218">
        <f t="shared" si="335"/>
        <v>-4.2700122985914607E-3</v>
      </c>
      <c r="D10218">
        <f t="shared" si="334"/>
        <v>-0.37876137740188581</v>
      </c>
    </row>
    <row r="10219" spans="1:4" x14ac:dyDescent="0.3">
      <c r="A10219" s="1">
        <v>40757</v>
      </c>
      <c r="B10219">
        <v>2669.23999</v>
      </c>
      <c r="C10219">
        <f t="shared" si="335"/>
        <v>-2.7461138034787516E-2</v>
      </c>
      <c r="D10219">
        <f t="shared" si="334"/>
        <v>-2.2339560738187298</v>
      </c>
    </row>
    <row r="10220" spans="1:4" x14ac:dyDescent="0.3">
      <c r="A10220" s="1">
        <v>40758</v>
      </c>
      <c r="B10220">
        <v>2693.070068</v>
      </c>
      <c r="C10220">
        <f t="shared" si="335"/>
        <v>8.927664087634157E-3</v>
      </c>
      <c r="D10220">
        <f t="shared" si="334"/>
        <v>0.67699846432659239</v>
      </c>
    </row>
    <row r="10221" spans="1:4" x14ac:dyDescent="0.3">
      <c r="A10221" s="1">
        <v>40759</v>
      </c>
      <c r="B10221">
        <v>2556.389893</v>
      </c>
      <c r="C10221">
        <f t="shared" si="335"/>
        <v>-5.075255063879755E-2</v>
      </c>
      <c r="D10221">
        <f t="shared" si="334"/>
        <v>-4.0971733072786272</v>
      </c>
    </row>
    <row r="10222" spans="1:4" x14ac:dyDescent="0.3">
      <c r="A10222" s="1">
        <v>40760</v>
      </c>
      <c r="B10222">
        <v>2532.4099120000001</v>
      </c>
      <c r="C10222">
        <f t="shared" si="335"/>
        <v>-9.3804083116048962E-3</v>
      </c>
      <c r="D10222">
        <f t="shared" si="334"/>
        <v>-0.78757204436899109</v>
      </c>
    </row>
    <row r="10223" spans="1:4" x14ac:dyDescent="0.3">
      <c r="A10223" s="1">
        <v>40763</v>
      </c>
      <c r="B10223">
        <v>2357.6899410000001</v>
      </c>
      <c r="C10223">
        <f t="shared" si="335"/>
        <v>-6.8993558338275834E-2</v>
      </c>
      <c r="D10223">
        <f t="shared" si="334"/>
        <v>-5.5563789157650429</v>
      </c>
    </row>
    <row r="10224" spans="1:4" x14ac:dyDescent="0.3">
      <c r="A10224" s="1">
        <v>40764</v>
      </c>
      <c r="B10224">
        <v>2482.5200199999999</v>
      </c>
      <c r="C10224">
        <f t="shared" si="335"/>
        <v>5.2945926785883439E-2</v>
      </c>
      <c r="D10224">
        <f t="shared" si="334"/>
        <v>4.1982784760087775</v>
      </c>
    </row>
    <row r="10225" spans="1:4" x14ac:dyDescent="0.3">
      <c r="A10225" s="1">
        <v>40765</v>
      </c>
      <c r="B10225">
        <v>2381.0500489999999</v>
      </c>
      <c r="C10225">
        <f t="shared" si="335"/>
        <v>-4.087377752546785E-2</v>
      </c>
      <c r="D10225">
        <f t="shared" si="334"/>
        <v>-3.3069120799700178</v>
      </c>
    </row>
    <row r="10226" spans="1:4" x14ac:dyDescent="0.3">
      <c r="A10226" s="1">
        <v>40766</v>
      </c>
      <c r="B10226">
        <v>2492.679932</v>
      </c>
      <c r="C10226">
        <f t="shared" si="335"/>
        <v>4.6882627707419543E-2</v>
      </c>
      <c r="D10226">
        <f t="shared" si="334"/>
        <v>3.7132394821664536</v>
      </c>
    </row>
    <row r="10227" spans="1:4" x14ac:dyDescent="0.3">
      <c r="A10227" s="1">
        <v>40767</v>
      </c>
      <c r="B10227">
        <v>2507.9799800000001</v>
      </c>
      <c r="C10227">
        <f t="shared" si="335"/>
        <v>6.1379914057895424E-3</v>
      </c>
      <c r="D10227">
        <f t="shared" si="334"/>
        <v>0.45383612098163406</v>
      </c>
    </row>
    <row r="10228" spans="1:4" x14ac:dyDescent="0.3">
      <c r="A10228" s="1">
        <v>40770</v>
      </c>
      <c r="B10228">
        <v>2555.1999510000001</v>
      </c>
      <c r="C10228">
        <f t="shared" si="335"/>
        <v>1.8827889925979387E-2</v>
      </c>
      <c r="D10228">
        <f t="shared" si="334"/>
        <v>1.4689758214223119</v>
      </c>
    </row>
    <row r="10229" spans="1:4" x14ac:dyDescent="0.3">
      <c r="A10229" s="1">
        <v>40771</v>
      </c>
      <c r="B10229">
        <v>2523.4499510000001</v>
      </c>
      <c r="C10229">
        <f t="shared" si="335"/>
        <v>-1.2425642066709635E-2</v>
      </c>
      <c r="D10229">
        <f t="shared" si="334"/>
        <v>-1.0311782227013468</v>
      </c>
    </row>
    <row r="10230" spans="1:4" x14ac:dyDescent="0.3">
      <c r="A10230" s="1">
        <v>40772</v>
      </c>
      <c r="B10230">
        <v>2511.4799800000001</v>
      </c>
      <c r="C10230">
        <f t="shared" si="335"/>
        <v>-4.7434945144271606E-3</v>
      </c>
      <c r="D10230">
        <f t="shared" si="334"/>
        <v>-0.41663800769823672</v>
      </c>
    </row>
    <row r="10231" spans="1:4" x14ac:dyDescent="0.3">
      <c r="A10231" s="1">
        <v>40773</v>
      </c>
      <c r="B10231">
        <v>2380.429932</v>
      </c>
      <c r="C10231">
        <f t="shared" si="335"/>
        <v>-5.2180407187637647E-2</v>
      </c>
      <c r="D10231">
        <f t="shared" si="334"/>
        <v>-4.2113959598046229</v>
      </c>
    </row>
    <row r="10232" spans="1:4" x14ac:dyDescent="0.3">
      <c r="A10232" s="1">
        <v>40774</v>
      </c>
      <c r="B10232">
        <v>2341.8400879999999</v>
      </c>
      <c r="C10232">
        <f t="shared" si="335"/>
        <v>-1.6211291700393593E-2</v>
      </c>
      <c r="D10232">
        <f t="shared" si="334"/>
        <v>-1.3340146267117552</v>
      </c>
    </row>
    <row r="10233" spans="1:4" x14ac:dyDescent="0.3">
      <c r="A10233" s="1">
        <v>40777</v>
      </c>
      <c r="B10233">
        <v>2345.3798830000001</v>
      </c>
      <c r="C10233">
        <f t="shared" si="335"/>
        <v>1.5115442844021126E-3</v>
      </c>
      <c r="D10233">
        <f t="shared" si="334"/>
        <v>8.3739375334876118E-2</v>
      </c>
    </row>
    <row r="10234" spans="1:4" x14ac:dyDescent="0.3">
      <c r="A10234" s="1">
        <v>40778</v>
      </c>
      <c r="B10234">
        <v>2446.0600589999999</v>
      </c>
      <c r="C10234">
        <f t="shared" si="335"/>
        <v>4.2927022922708273E-2</v>
      </c>
      <c r="D10234">
        <f t="shared" si="334"/>
        <v>3.396807364933617</v>
      </c>
    </row>
    <row r="10235" spans="1:4" x14ac:dyDescent="0.3">
      <c r="A10235" s="1">
        <v>40779</v>
      </c>
      <c r="B10235">
        <v>2467.6899410000001</v>
      </c>
      <c r="C10235">
        <f t="shared" si="335"/>
        <v>8.8427436278252815E-3</v>
      </c>
      <c r="D10235">
        <f t="shared" si="334"/>
        <v>0.67020517673689961</v>
      </c>
    </row>
    <row r="10236" spans="1:4" x14ac:dyDescent="0.3">
      <c r="A10236" s="1">
        <v>40780</v>
      </c>
      <c r="B10236">
        <v>2419.6298830000001</v>
      </c>
      <c r="C10236">
        <f t="shared" si="335"/>
        <v>-1.9475727967884125E-2</v>
      </c>
      <c r="D10236">
        <f t="shared" si="334"/>
        <v>-1.5951561046688576</v>
      </c>
    </row>
    <row r="10237" spans="1:4" x14ac:dyDescent="0.3">
      <c r="A10237" s="1">
        <v>40781</v>
      </c>
      <c r="B10237">
        <v>2479.8500979999999</v>
      </c>
      <c r="C10237">
        <f t="shared" si="335"/>
        <v>2.4888192786466683E-2</v>
      </c>
      <c r="D10237">
        <f t="shared" si="334"/>
        <v>1.9537751301470296</v>
      </c>
    </row>
    <row r="10238" spans="1:4" x14ac:dyDescent="0.3">
      <c r="A10238" s="1">
        <v>40784</v>
      </c>
      <c r="B10238">
        <v>2562.110107</v>
      </c>
      <c r="C10238">
        <f t="shared" si="335"/>
        <v>3.3171363489407205E-2</v>
      </c>
      <c r="D10238">
        <f t="shared" si="334"/>
        <v>2.6163947257808209</v>
      </c>
    </row>
    <row r="10239" spans="1:4" x14ac:dyDescent="0.3">
      <c r="A10239" s="1">
        <v>40785</v>
      </c>
      <c r="B10239">
        <v>2576.110107</v>
      </c>
      <c r="C10239">
        <f t="shared" si="335"/>
        <v>5.464246037572811E-3</v>
      </c>
      <c r="D10239">
        <f t="shared" si="334"/>
        <v>0.3999392619818038</v>
      </c>
    </row>
    <row r="10240" spans="1:4" x14ac:dyDescent="0.3">
      <c r="A10240" s="1">
        <v>40786</v>
      </c>
      <c r="B10240">
        <v>2579.459961</v>
      </c>
      <c r="C10240">
        <f t="shared" si="335"/>
        <v>1.3003535799566855E-3</v>
      </c>
      <c r="D10240">
        <f t="shared" si="334"/>
        <v>6.6844987400607653E-2</v>
      </c>
    </row>
    <row r="10241" spans="1:4" x14ac:dyDescent="0.3">
      <c r="A10241" s="1">
        <v>40787</v>
      </c>
      <c r="B10241">
        <v>2546.040039</v>
      </c>
      <c r="C10241">
        <f t="shared" si="335"/>
        <v>-1.2956170091914848E-2</v>
      </c>
      <c r="D10241">
        <f t="shared" si="334"/>
        <v>-1.0736182831734891</v>
      </c>
    </row>
    <row r="10242" spans="1:4" x14ac:dyDescent="0.3">
      <c r="A10242" s="1">
        <v>40788</v>
      </c>
      <c r="B10242">
        <v>2480.330078</v>
      </c>
      <c r="C10242">
        <f t="shared" si="335"/>
        <v>-2.5808691141325772E-2</v>
      </c>
      <c r="D10242">
        <f t="shared" si="334"/>
        <v>-2.1017671172440173</v>
      </c>
    </row>
    <row r="10243" spans="1:4" x14ac:dyDescent="0.3">
      <c r="A10243" s="1">
        <v>40792</v>
      </c>
      <c r="B10243">
        <v>2473.830078</v>
      </c>
      <c r="C10243">
        <f t="shared" si="335"/>
        <v>-2.6206189481205009E-3</v>
      </c>
      <c r="D10243">
        <f t="shared" ref="D10243:D10306" si="336">(C10243-avrtn)/sdrtn</f>
        <v>-0.2468166917101923</v>
      </c>
    </row>
    <row r="10244" spans="1:4" x14ac:dyDescent="0.3">
      <c r="A10244" s="1">
        <v>40793</v>
      </c>
      <c r="B10244">
        <v>2548.9399410000001</v>
      </c>
      <c r="C10244">
        <f t="shared" ref="C10244:C10307" si="337">(B10244-B10243)/B10243</f>
        <v>3.0361771274413349E-2</v>
      </c>
      <c r="D10244">
        <f t="shared" si="336"/>
        <v>2.3916389016935327</v>
      </c>
    </row>
    <row r="10245" spans="1:4" x14ac:dyDescent="0.3">
      <c r="A10245" s="1">
        <v>40794</v>
      </c>
      <c r="B10245">
        <v>2529.139893</v>
      </c>
      <c r="C10245">
        <f t="shared" si="337"/>
        <v>-7.7679539174360093E-3</v>
      </c>
      <c r="D10245">
        <f t="shared" si="336"/>
        <v>-0.65858232328756749</v>
      </c>
    </row>
    <row r="10246" spans="1:4" x14ac:dyDescent="0.3">
      <c r="A10246" s="1">
        <v>40795</v>
      </c>
      <c r="B10246">
        <v>2467.98999</v>
      </c>
      <c r="C10246">
        <f t="shared" si="337"/>
        <v>-2.417814181384232E-2</v>
      </c>
      <c r="D10246">
        <f t="shared" si="336"/>
        <v>-1.971329875904239</v>
      </c>
    </row>
    <row r="10247" spans="1:4" x14ac:dyDescent="0.3">
      <c r="A10247" s="1">
        <v>40798</v>
      </c>
      <c r="B10247">
        <v>2495.0900879999999</v>
      </c>
      <c r="C10247">
        <f t="shared" si="337"/>
        <v>1.0980635298281695E-2</v>
      </c>
      <c r="D10247">
        <f t="shared" si="336"/>
        <v>0.84122771931033513</v>
      </c>
    </row>
    <row r="10248" spans="1:4" x14ac:dyDescent="0.3">
      <c r="A10248" s="1">
        <v>40799</v>
      </c>
      <c r="B10248">
        <v>2532.1499020000001</v>
      </c>
      <c r="C10248">
        <f t="shared" si="337"/>
        <v>1.4853096558812584E-2</v>
      </c>
      <c r="D10248">
        <f t="shared" si="336"/>
        <v>1.1510086964969555</v>
      </c>
    </row>
    <row r="10249" spans="1:4" x14ac:dyDescent="0.3">
      <c r="A10249" s="1">
        <v>40800</v>
      </c>
      <c r="B10249">
        <v>2572.5500489999999</v>
      </c>
      <c r="C10249">
        <f t="shared" si="337"/>
        <v>1.5954879672838512E-2</v>
      </c>
      <c r="D10249">
        <f t="shared" si="336"/>
        <v>1.2391468150597935</v>
      </c>
    </row>
    <row r="10250" spans="1:4" x14ac:dyDescent="0.3">
      <c r="A10250" s="1">
        <v>40801</v>
      </c>
      <c r="B10250">
        <v>2607.070068</v>
      </c>
      <c r="C10250">
        <f t="shared" si="337"/>
        <v>1.3418599577263287E-2</v>
      </c>
      <c r="D10250">
        <f t="shared" si="336"/>
        <v>1.0362548366598459</v>
      </c>
    </row>
    <row r="10251" spans="1:4" x14ac:dyDescent="0.3">
      <c r="A10251" s="1">
        <v>40802</v>
      </c>
      <c r="B10251">
        <v>2622.3100589999999</v>
      </c>
      <c r="C10251">
        <f t="shared" si="337"/>
        <v>5.845639205121632E-3</v>
      </c>
      <c r="D10251">
        <f t="shared" si="336"/>
        <v>0.4304491470876336</v>
      </c>
    </row>
    <row r="10252" spans="1:4" x14ac:dyDescent="0.3">
      <c r="A10252" s="1">
        <v>40805</v>
      </c>
      <c r="B10252">
        <v>2612.830078</v>
      </c>
      <c r="C10252">
        <f t="shared" si="337"/>
        <v>-3.6151258953775584E-3</v>
      </c>
      <c r="D10252">
        <f t="shared" si="336"/>
        <v>-0.32637315805375439</v>
      </c>
    </row>
    <row r="10253" spans="1:4" x14ac:dyDescent="0.3">
      <c r="A10253" s="1">
        <v>40806</v>
      </c>
      <c r="B10253">
        <v>2590.23999</v>
      </c>
      <c r="C10253">
        <f t="shared" si="337"/>
        <v>-8.6458312732267638E-3</v>
      </c>
      <c r="D10253">
        <f t="shared" si="336"/>
        <v>-0.72880890189757108</v>
      </c>
    </row>
    <row r="10254" spans="1:4" x14ac:dyDescent="0.3">
      <c r="A10254" s="1">
        <v>40807</v>
      </c>
      <c r="B10254">
        <v>2538.1899410000001</v>
      </c>
      <c r="C10254">
        <f t="shared" si="337"/>
        <v>-2.0094682037551256E-2</v>
      </c>
      <c r="D10254">
        <f t="shared" si="336"/>
        <v>-1.6446698850878858</v>
      </c>
    </row>
    <row r="10255" spans="1:4" x14ac:dyDescent="0.3">
      <c r="A10255" s="1">
        <v>40808</v>
      </c>
      <c r="B10255">
        <v>2455.669922</v>
      </c>
      <c r="C10255">
        <f t="shared" si="337"/>
        <v>-3.2511364759206587E-2</v>
      </c>
      <c r="D10255">
        <f t="shared" si="336"/>
        <v>-2.6379534451158788</v>
      </c>
    </row>
    <row r="10256" spans="1:4" x14ac:dyDescent="0.3">
      <c r="A10256" s="1">
        <v>40809</v>
      </c>
      <c r="B10256">
        <v>2483.2299800000001</v>
      </c>
      <c r="C10256">
        <f t="shared" si="337"/>
        <v>1.1223030323861264E-2</v>
      </c>
      <c r="D10256">
        <f t="shared" si="336"/>
        <v>0.86061832462239973</v>
      </c>
    </row>
    <row r="10257" spans="1:4" x14ac:dyDescent="0.3">
      <c r="A10257" s="1">
        <v>40812</v>
      </c>
      <c r="B10257">
        <v>2516.6899410000001</v>
      </c>
      <c r="C10257">
        <f t="shared" si="337"/>
        <v>1.3474370585683739E-2</v>
      </c>
      <c r="D10257">
        <f t="shared" si="336"/>
        <v>1.0407162880017249</v>
      </c>
    </row>
    <row r="10258" spans="1:4" x14ac:dyDescent="0.3">
      <c r="A10258" s="1">
        <v>40813</v>
      </c>
      <c r="B10258">
        <v>2546.830078</v>
      </c>
      <c r="C10258">
        <f t="shared" si="337"/>
        <v>1.1976102621534604E-2</v>
      </c>
      <c r="D10258">
        <f t="shared" si="336"/>
        <v>0.92086101178447566</v>
      </c>
    </row>
    <row r="10259" spans="1:4" x14ac:dyDescent="0.3">
      <c r="A10259" s="1">
        <v>40814</v>
      </c>
      <c r="B10259">
        <v>2491.580078</v>
      </c>
      <c r="C10259">
        <f t="shared" si="337"/>
        <v>-2.1693634167925042E-2</v>
      </c>
      <c r="D10259">
        <f t="shared" si="336"/>
        <v>-1.7725794805873418</v>
      </c>
    </row>
    <row r="10260" spans="1:4" x14ac:dyDescent="0.3">
      <c r="A10260" s="1">
        <v>40815</v>
      </c>
      <c r="B10260">
        <v>2480.76001</v>
      </c>
      <c r="C10260">
        <f t="shared" si="337"/>
        <v>-4.3426531202181142E-3</v>
      </c>
      <c r="D10260">
        <f t="shared" si="336"/>
        <v>-0.38457234443117477</v>
      </c>
    </row>
    <row r="10261" spans="1:4" x14ac:dyDescent="0.3">
      <c r="A10261" s="1">
        <v>40816</v>
      </c>
      <c r="B10261">
        <v>2415.3999020000001</v>
      </c>
      <c r="C10261">
        <f t="shared" si="337"/>
        <v>-2.6346808129981043E-2</v>
      </c>
      <c r="D10261">
        <f t="shared" si="336"/>
        <v>-2.1448142635861598</v>
      </c>
    </row>
    <row r="10262" spans="1:4" x14ac:dyDescent="0.3">
      <c r="A10262" s="1">
        <v>40819</v>
      </c>
      <c r="B10262">
        <v>2335.830078</v>
      </c>
      <c r="C10262">
        <f t="shared" si="337"/>
        <v>-3.2942712274731285E-2</v>
      </c>
      <c r="D10262">
        <f t="shared" si="336"/>
        <v>-2.6724594726462723</v>
      </c>
    </row>
    <row r="10263" spans="1:4" x14ac:dyDescent="0.3">
      <c r="A10263" s="1">
        <v>40820</v>
      </c>
      <c r="B10263">
        <v>2404.820068</v>
      </c>
      <c r="C10263">
        <f t="shared" si="337"/>
        <v>2.9535534562116394E-2</v>
      </c>
      <c r="D10263">
        <f t="shared" si="336"/>
        <v>2.3255433622154382</v>
      </c>
    </row>
    <row r="10264" spans="1:4" x14ac:dyDescent="0.3">
      <c r="A10264" s="1">
        <v>40821</v>
      </c>
      <c r="B10264">
        <v>2460.51001</v>
      </c>
      <c r="C10264">
        <f t="shared" si="337"/>
        <v>2.3157633596394278E-2</v>
      </c>
      <c r="D10264">
        <f t="shared" si="336"/>
        <v>1.8153375110431471</v>
      </c>
    </row>
    <row r="10265" spans="1:4" x14ac:dyDescent="0.3">
      <c r="A10265" s="1">
        <v>40822</v>
      </c>
      <c r="B10265">
        <v>2506.820068</v>
      </c>
      <c r="C10265">
        <f t="shared" si="337"/>
        <v>1.8821324770794175E-2</v>
      </c>
      <c r="D10265">
        <f t="shared" si="336"/>
        <v>1.4684506360035743</v>
      </c>
    </row>
    <row r="10266" spans="1:4" x14ac:dyDescent="0.3">
      <c r="A10266" s="1">
        <v>40823</v>
      </c>
      <c r="B10266">
        <v>2479.3500979999999</v>
      </c>
      <c r="C10266">
        <f t="shared" si="337"/>
        <v>-1.095809402144937E-2</v>
      </c>
      <c r="D10266">
        <f t="shared" si="336"/>
        <v>-0.91378041367414586</v>
      </c>
    </row>
    <row r="10267" spans="1:4" x14ac:dyDescent="0.3">
      <c r="A10267" s="1">
        <v>40826</v>
      </c>
      <c r="B10267">
        <v>2566.0500489999999</v>
      </c>
      <c r="C10267">
        <f t="shared" si="337"/>
        <v>3.4968821494769015E-2</v>
      </c>
      <c r="D10267">
        <f t="shared" si="336"/>
        <v>2.7601839750182835</v>
      </c>
    </row>
    <row r="10268" spans="1:4" x14ac:dyDescent="0.3">
      <c r="A10268" s="1">
        <v>40827</v>
      </c>
      <c r="B10268">
        <v>2583.030029</v>
      </c>
      <c r="C10268">
        <f t="shared" si="337"/>
        <v>6.6171663357140033E-3</v>
      </c>
      <c r="D10268">
        <f t="shared" si="336"/>
        <v>0.49216814499650563</v>
      </c>
    </row>
    <row r="10269" spans="1:4" x14ac:dyDescent="0.3">
      <c r="A10269" s="1">
        <v>40828</v>
      </c>
      <c r="B10269">
        <v>2604.7299800000001</v>
      </c>
      <c r="C10269">
        <f t="shared" si="337"/>
        <v>8.4009673741195431E-3</v>
      </c>
      <c r="D10269">
        <f t="shared" si="336"/>
        <v>0.6348648930352504</v>
      </c>
    </row>
    <row r="10270" spans="1:4" x14ac:dyDescent="0.3">
      <c r="A10270" s="1">
        <v>40829</v>
      </c>
      <c r="B10270">
        <v>2620.23999</v>
      </c>
      <c r="C10270">
        <f t="shared" si="337"/>
        <v>5.954555796221137E-3</v>
      </c>
      <c r="D10270">
        <f t="shared" si="336"/>
        <v>0.43916202650789526</v>
      </c>
    </row>
    <row r="10271" spans="1:4" x14ac:dyDescent="0.3">
      <c r="A10271" s="1">
        <v>40830</v>
      </c>
      <c r="B10271">
        <v>2667.8500979999999</v>
      </c>
      <c r="C10271">
        <f t="shared" si="337"/>
        <v>1.8170132576291173E-2</v>
      </c>
      <c r="D10271">
        <f t="shared" si="336"/>
        <v>1.4163579381616378</v>
      </c>
    </row>
    <row r="10272" spans="1:4" x14ac:dyDescent="0.3">
      <c r="A10272" s="1">
        <v>40833</v>
      </c>
      <c r="B10272">
        <v>2614.919922</v>
      </c>
      <c r="C10272">
        <f t="shared" si="337"/>
        <v>-1.9840011265880295E-2</v>
      </c>
      <c r="D10272">
        <f t="shared" si="336"/>
        <v>-1.6242972705666794</v>
      </c>
    </row>
    <row r="10273" spans="1:4" x14ac:dyDescent="0.3">
      <c r="A10273" s="1">
        <v>40834</v>
      </c>
      <c r="B10273">
        <v>2657.429932</v>
      </c>
      <c r="C10273">
        <f t="shared" si="337"/>
        <v>1.6256715795521008E-2</v>
      </c>
      <c r="D10273">
        <f t="shared" si="336"/>
        <v>1.2632924637168403</v>
      </c>
    </row>
    <row r="10274" spans="1:4" x14ac:dyDescent="0.3">
      <c r="A10274" s="1">
        <v>40835</v>
      </c>
      <c r="B10274">
        <v>2604.040039</v>
      </c>
      <c r="C10274">
        <f t="shared" si="337"/>
        <v>-2.0090799895453284E-2</v>
      </c>
      <c r="D10274">
        <f t="shared" si="336"/>
        <v>-1.6443593296835117</v>
      </c>
    </row>
    <row r="10275" spans="1:4" x14ac:dyDescent="0.3">
      <c r="A10275" s="1">
        <v>40836</v>
      </c>
      <c r="B10275">
        <v>2598.6201169999999</v>
      </c>
      <c r="C10275">
        <f t="shared" si="337"/>
        <v>-2.0813512537546826E-3</v>
      </c>
      <c r="D10275">
        <f t="shared" si="336"/>
        <v>-0.20367749364293605</v>
      </c>
    </row>
    <row r="10276" spans="1:4" x14ac:dyDescent="0.3">
      <c r="A10276" s="1">
        <v>40837</v>
      </c>
      <c r="B10276">
        <v>2637.459961</v>
      </c>
      <c r="C10276">
        <f t="shared" si="337"/>
        <v>1.4946333920034102E-2</v>
      </c>
      <c r="D10276">
        <f t="shared" si="336"/>
        <v>1.1584673020003566</v>
      </c>
    </row>
    <row r="10277" spans="1:4" x14ac:dyDescent="0.3">
      <c r="A10277" s="1">
        <v>40840</v>
      </c>
      <c r="B10277">
        <v>2699.4399410000001</v>
      </c>
      <c r="C10277">
        <f t="shared" si="337"/>
        <v>2.3499875227110629E-2</v>
      </c>
      <c r="D10277">
        <f t="shared" si="336"/>
        <v>1.8427154341944607</v>
      </c>
    </row>
    <row r="10278" spans="1:4" x14ac:dyDescent="0.3">
      <c r="A10278" s="1">
        <v>40841</v>
      </c>
      <c r="B10278">
        <v>2638.419922</v>
      </c>
      <c r="C10278">
        <f t="shared" si="337"/>
        <v>-2.2604695912365937E-2</v>
      </c>
      <c r="D10278">
        <f t="shared" si="336"/>
        <v>-1.8454606738343353</v>
      </c>
    </row>
    <row r="10279" spans="1:4" x14ac:dyDescent="0.3">
      <c r="A10279" s="1">
        <v>40842</v>
      </c>
      <c r="B10279">
        <v>2650.669922</v>
      </c>
      <c r="C10279">
        <f t="shared" si="337"/>
        <v>4.6429303758114965E-3</v>
      </c>
      <c r="D10279">
        <f t="shared" si="336"/>
        <v>0.3342373863110798</v>
      </c>
    </row>
    <row r="10280" spans="1:4" x14ac:dyDescent="0.3">
      <c r="A10280" s="1">
        <v>40843</v>
      </c>
      <c r="B10280">
        <v>2738.6298830000001</v>
      </c>
      <c r="C10280">
        <f t="shared" si="337"/>
        <v>3.3184049160535203E-2</v>
      </c>
      <c r="D10280">
        <f t="shared" si="336"/>
        <v>2.6174095273072693</v>
      </c>
    </row>
    <row r="10281" spans="1:4" x14ac:dyDescent="0.3">
      <c r="A10281" s="1">
        <v>40844</v>
      </c>
      <c r="B10281">
        <v>2737.1499020000001</v>
      </c>
      <c r="C10281">
        <f t="shared" si="337"/>
        <v>-5.4040927881014885E-4</v>
      </c>
      <c r="D10281">
        <f t="shared" si="336"/>
        <v>-8.0408472038635742E-2</v>
      </c>
    </row>
    <row r="10282" spans="1:4" x14ac:dyDescent="0.3">
      <c r="A10282" s="1">
        <v>40847</v>
      </c>
      <c r="B10282">
        <v>2684.4099120000001</v>
      </c>
      <c r="C10282">
        <f t="shared" si="337"/>
        <v>-1.9268213977416293E-2</v>
      </c>
      <c r="D10282">
        <f t="shared" si="336"/>
        <v>-1.5785558387340586</v>
      </c>
    </row>
    <row r="10283" spans="1:4" x14ac:dyDescent="0.3">
      <c r="A10283" s="1">
        <v>40848</v>
      </c>
      <c r="B10283">
        <v>2606.959961</v>
      </c>
      <c r="C10283">
        <f t="shared" si="337"/>
        <v>-2.8851760177824905E-2</v>
      </c>
      <c r="D10283">
        <f t="shared" si="336"/>
        <v>-2.3452001269893006</v>
      </c>
    </row>
    <row r="10284" spans="1:4" x14ac:dyDescent="0.3">
      <c r="A10284" s="1">
        <v>40849</v>
      </c>
      <c r="B10284">
        <v>2639.9799800000001</v>
      </c>
      <c r="C10284">
        <f t="shared" si="337"/>
        <v>1.2666101318768988E-2</v>
      </c>
      <c r="D10284">
        <f t="shared" si="336"/>
        <v>0.97605807027162983</v>
      </c>
    </row>
    <row r="10285" spans="1:4" x14ac:dyDescent="0.3">
      <c r="A10285" s="1">
        <v>40850</v>
      </c>
      <c r="B10285">
        <v>2697.969971</v>
      </c>
      <c r="C10285">
        <f t="shared" si="337"/>
        <v>2.1966072257866107E-2</v>
      </c>
      <c r="D10285">
        <f t="shared" si="336"/>
        <v>1.7200175036903944</v>
      </c>
    </row>
    <row r="10286" spans="1:4" x14ac:dyDescent="0.3">
      <c r="A10286" s="1">
        <v>40851</v>
      </c>
      <c r="B10286">
        <v>2686.1499020000001</v>
      </c>
      <c r="C10286">
        <f t="shared" si="337"/>
        <v>-4.3810973165200866E-3</v>
      </c>
      <c r="D10286">
        <f t="shared" si="336"/>
        <v>-0.38764772205185277</v>
      </c>
    </row>
    <row r="10287" spans="1:4" x14ac:dyDescent="0.3">
      <c r="A10287" s="1">
        <v>40854</v>
      </c>
      <c r="B10287">
        <v>2695.25</v>
      </c>
      <c r="C10287">
        <f t="shared" si="337"/>
        <v>3.3877848712852245E-3</v>
      </c>
      <c r="D10287">
        <f t="shared" si="336"/>
        <v>0.23383090713813195</v>
      </c>
    </row>
    <row r="10288" spans="1:4" x14ac:dyDescent="0.3">
      <c r="A10288" s="1">
        <v>40855</v>
      </c>
      <c r="B10288">
        <v>2727.48999</v>
      </c>
      <c r="C10288">
        <f t="shared" si="337"/>
        <v>1.1961780910861714E-2</v>
      </c>
      <c r="D10288">
        <f t="shared" si="336"/>
        <v>0.91971533382187065</v>
      </c>
    </row>
    <row r="10289" spans="1:4" x14ac:dyDescent="0.3">
      <c r="A10289" s="1">
        <v>40856</v>
      </c>
      <c r="B10289">
        <v>2621.6499020000001</v>
      </c>
      <c r="C10289">
        <f t="shared" si="337"/>
        <v>-3.8804940948655844E-2</v>
      </c>
      <c r="D10289">
        <f t="shared" si="336"/>
        <v>-3.1414136609318932</v>
      </c>
    </row>
    <row r="10290" spans="1:4" x14ac:dyDescent="0.3">
      <c r="A10290" s="1">
        <v>40857</v>
      </c>
      <c r="B10290">
        <v>2625.1499020000001</v>
      </c>
      <c r="C10290">
        <f t="shared" si="337"/>
        <v>1.3350371448643565E-3</v>
      </c>
      <c r="D10290">
        <f t="shared" si="336"/>
        <v>6.961952997355024E-2</v>
      </c>
    </row>
    <row r="10291" spans="1:4" x14ac:dyDescent="0.3">
      <c r="A10291" s="1">
        <v>40858</v>
      </c>
      <c r="B10291">
        <v>2678.75</v>
      </c>
      <c r="C10291">
        <f t="shared" si="337"/>
        <v>2.0417918976422662E-2</v>
      </c>
      <c r="D10291">
        <f t="shared" si="336"/>
        <v>1.5961716072192509</v>
      </c>
    </row>
    <row r="10292" spans="1:4" x14ac:dyDescent="0.3">
      <c r="A10292" s="1">
        <v>40861</v>
      </c>
      <c r="B10292">
        <v>2657.219971</v>
      </c>
      <c r="C10292">
        <f t="shared" si="337"/>
        <v>-8.0373416705553005E-3</v>
      </c>
      <c r="D10292">
        <f t="shared" si="336"/>
        <v>-0.68013223580805093</v>
      </c>
    </row>
    <row r="10293" spans="1:4" x14ac:dyDescent="0.3">
      <c r="A10293" s="1">
        <v>40862</v>
      </c>
      <c r="B10293">
        <v>2686.1999510000001</v>
      </c>
      <c r="C10293">
        <f t="shared" si="337"/>
        <v>1.0906127575540516E-2</v>
      </c>
      <c r="D10293">
        <f t="shared" si="336"/>
        <v>0.83526740786862741</v>
      </c>
    </row>
    <row r="10294" spans="1:4" x14ac:dyDescent="0.3">
      <c r="A10294" s="1">
        <v>40863</v>
      </c>
      <c r="B10294">
        <v>2639.610107</v>
      </c>
      <c r="C10294">
        <f t="shared" si="337"/>
        <v>-1.7344145949617765E-2</v>
      </c>
      <c r="D10294">
        <f t="shared" si="336"/>
        <v>-1.4246383083251817</v>
      </c>
    </row>
    <row r="10295" spans="1:4" x14ac:dyDescent="0.3">
      <c r="A10295" s="1">
        <v>40864</v>
      </c>
      <c r="B10295">
        <v>2587.98999</v>
      </c>
      <c r="C10295">
        <f t="shared" si="337"/>
        <v>-1.9555962777649698E-2</v>
      </c>
      <c r="D10295">
        <f t="shared" si="336"/>
        <v>-1.6015745595225943</v>
      </c>
    </row>
    <row r="10296" spans="1:4" x14ac:dyDescent="0.3">
      <c r="A10296" s="1">
        <v>40865</v>
      </c>
      <c r="B10296">
        <v>2572.5</v>
      </c>
      <c r="C10296">
        <f t="shared" si="337"/>
        <v>-5.9853361333905442E-3</v>
      </c>
      <c r="D10296">
        <f t="shared" si="336"/>
        <v>-0.51598023073205779</v>
      </c>
    </row>
    <row r="10297" spans="1:4" x14ac:dyDescent="0.3">
      <c r="A10297" s="1">
        <v>40868</v>
      </c>
      <c r="B10297">
        <v>2523.139893</v>
      </c>
      <c r="C10297">
        <f t="shared" si="337"/>
        <v>-1.9187602332361504E-2</v>
      </c>
      <c r="D10297">
        <f t="shared" si="336"/>
        <v>-1.5721072386067407</v>
      </c>
    </row>
    <row r="10298" spans="1:4" x14ac:dyDescent="0.3">
      <c r="A10298" s="1">
        <v>40869</v>
      </c>
      <c r="B10298">
        <v>2521.280029</v>
      </c>
      <c r="C10298">
        <f t="shared" si="337"/>
        <v>-7.3712282270193413E-4</v>
      </c>
      <c r="D10298">
        <f t="shared" si="336"/>
        <v>-9.614474665905276E-2</v>
      </c>
    </row>
    <row r="10299" spans="1:4" x14ac:dyDescent="0.3">
      <c r="A10299" s="1">
        <v>40870</v>
      </c>
      <c r="B10299">
        <v>2460.080078</v>
      </c>
      <c r="C10299">
        <f t="shared" si="337"/>
        <v>-2.4273365233560915E-2</v>
      </c>
      <c r="D10299">
        <f t="shared" si="336"/>
        <v>-1.9789473579206849</v>
      </c>
    </row>
    <row r="10300" spans="1:4" x14ac:dyDescent="0.3">
      <c r="A10300" s="1">
        <v>40872</v>
      </c>
      <c r="B10300">
        <v>2441.51001</v>
      </c>
      <c r="C10300">
        <f t="shared" si="337"/>
        <v>-7.5485624090322768E-3</v>
      </c>
      <c r="D10300">
        <f t="shared" si="336"/>
        <v>-0.64103190475854188</v>
      </c>
    </row>
    <row r="10301" spans="1:4" x14ac:dyDescent="0.3">
      <c r="A10301" s="1">
        <v>40875</v>
      </c>
      <c r="B10301">
        <v>2527.3400879999999</v>
      </c>
      <c r="C10301">
        <f t="shared" si="337"/>
        <v>3.5154505878925296E-2</v>
      </c>
      <c r="D10301">
        <f t="shared" si="336"/>
        <v>2.775037962212036</v>
      </c>
    </row>
    <row r="10302" spans="1:4" x14ac:dyDescent="0.3">
      <c r="A10302" s="1">
        <v>40876</v>
      </c>
      <c r="B10302">
        <v>2515.51001</v>
      </c>
      <c r="C10302">
        <f t="shared" si="337"/>
        <v>-4.6808413541850006E-3</v>
      </c>
      <c r="D10302">
        <f t="shared" si="336"/>
        <v>-0.4116260125101982</v>
      </c>
    </row>
    <row r="10303" spans="1:4" x14ac:dyDescent="0.3">
      <c r="A10303" s="1">
        <v>40877</v>
      </c>
      <c r="B10303">
        <v>2620.3400879999999</v>
      </c>
      <c r="C10303">
        <f t="shared" si="337"/>
        <v>4.1673488709353203E-2</v>
      </c>
      <c r="D10303">
        <f t="shared" si="336"/>
        <v>3.2965297824286965</v>
      </c>
    </row>
    <row r="10304" spans="1:4" x14ac:dyDescent="0.3">
      <c r="A10304" s="1">
        <v>40878</v>
      </c>
      <c r="B10304">
        <v>2626.1999510000001</v>
      </c>
      <c r="C10304">
        <f t="shared" si="337"/>
        <v>2.2362986494904673E-3</v>
      </c>
      <c r="D10304">
        <f t="shared" si="336"/>
        <v>0.14171674433418779</v>
      </c>
    </row>
    <row r="10305" spans="1:4" x14ac:dyDescent="0.3">
      <c r="A10305" s="1">
        <v>40879</v>
      </c>
      <c r="B10305">
        <v>2626.929932</v>
      </c>
      <c r="C10305">
        <f t="shared" si="337"/>
        <v>2.7796093733152024E-4</v>
      </c>
      <c r="D10305">
        <f t="shared" si="336"/>
        <v>-1.4942219905738595E-2</v>
      </c>
    </row>
    <row r="10306" spans="1:4" x14ac:dyDescent="0.3">
      <c r="A10306" s="1">
        <v>40882</v>
      </c>
      <c r="B10306">
        <v>2655.76001</v>
      </c>
      <c r="C10306">
        <f t="shared" si="337"/>
        <v>1.0974818037133682E-2</v>
      </c>
      <c r="D10306">
        <f t="shared" si="336"/>
        <v>0.84076236233921486</v>
      </c>
    </row>
    <row r="10307" spans="1:4" x14ac:dyDescent="0.3">
      <c r="A10307" s="1">
        <v>40883</v>
      </c>
      <c r="B10307">
        <v>2649.5600589999999</v>
      </c>
      <c r="C10307">
        <f t="shared" si="337"/>
        <v>-2.3345298433046498E-3</v>
      </c>
      <c r="D10307">
        <f t="shared" ref="D10307:D10370" si="338">(C10307-avrtn)/sdrtn</f>
        <v>-0.22393073973035252</v>
      </c>
    </row>
    <row r="10308" spans="1:4" x14ac:dyDescent="0.3">
      <c r="A10308" s="1">
        <v>40884</v>
      </c>
      <c r="B10308">
        <v>2649.209961</v>
      </c>
      <c r="C10308">
        <f t="shared" ref="C10308:C10371" si="339">(B10308-B10307)/B10307</f>
        <v>-1.3213438918309456E-4</v>
      </c>
      <c r="D10308">
        <f t="shared" si="338"/>
        <v>-4.7748159704848976E-2</v>
      </c>
    </row>
    <row r="10309" spans="1:4" x14ac:dyDescent="0.3">
      <c r="A10309" s="1">
        <v>40885</v>
      </c>
      <c r="B10309">
        <v>2596.3798830000001</v>
      </c>
      <c r="C10309">
        <f t="shared" si="339"/>
        <v>-1.9941823705078524E-2</v>
      </c>
      <c r="D10309">
        <f t="shared" si="338"/>
        <v>-1.6324418470472861</v>
      </c>
    </row>
    <row r="10310" spans="1:4" x14ac:dyDescent="0.3">
      <c r="A10310" s="1">
        <v>40886</v>
      </c>
      <c r="B10310">
        <v>2646.8500979999999</v>
      </c>
      <c r="C10310">
        <f t="shared" si="339"/>
        <v>1.9438686661554228E-2</v>
      </c>
      <c r="D10310">
        <f t="shared" si="338"/>
        <v>1.5178370486571149</v>
      </c>
    </row>
    <row r="10311" spans="1:4" x14ac:dyDescent="0.3">
      <c r="A10311" s="1">
        <v>40889</v>
      </c>
      <c r="B10311">
        <v>2612.26001</v>
      </c>
      <c r="C10311">
        <f t="shared" si="339"/>
        <v>-1.3068397045279111E-2</v>
      </c>
      <c r="D10311">
        <f t="shared" si="338"/>
        <v>-1.0825959779626404</v>
      </c>
    </row>
    <row r="10312" spans="1:4" x14ac:dyDescent="0.3">
      <c r="A10312" s="1">
        <v>40890</v>
      </c>
      <c r="B10312">
        <v>2579.2700199999999</v>
      </c>
      <c r="C10312">
        <f t="shared" si="339"/>
        <v>-1.2628907487658565E-2</v>
      </c>
      <c r="D10312">
        <f t="shared" si="338"/>
        <v>-1.047438620544856</v>
      </c>
    </row>
    <row r="10313" spans="1:4" x14ac:dyDescent="0.3">
      <c r="A10313" s="1">
        <v>40891</v>
      </c>
      <c r="B10313">
        <v>2539.3100589999999</v>
      </c>
      <c r="C10313">
        <f t="shared" si="339"/>
        <v>-1.5492740461504695E-2</v>
      </c>
      <c r="D10313">
        <f t="shared" si="338"/>
        <v>-1.2765334823009926</v>
      </c>
    </row>
    <row r="10314" spans="1:4" x14ac:dyDescent="0.3">
      <c r="A10314" s="1">
        <v>40892</v>
      </c>
      <c r="B10314">
        <v>2541.01001</v>
      </c>
      <c r="C10314">
        <f t="shared" si="339"/>
        <v>6.6945389121543888E-4</v>
      </c>
      <c r="D10314">
        <f t="shared" si="338"/>
        <v>1.6375606576329423E-2</v>
      </c>
    </row>
    <row r="10315" spans="1:4" x14ac:dyDescent="0.3">
      <c r="A10315" s="1">
        <v>40893</v>
      </c>
      <c r="B10315">
        <v>2555.330078</v>
      </c>
      <c r="C10315">
        <f t="shared" si="339"/>
        <v>5.6355811050110708E-3</v>
      </c>
      <c r="D10315">
        <f t="shared" si="338"/>
        <v>0.41364536284285752</v>
      </c>
    </row>
    <row r="10316" spans="1:4" x14ac:dyDescent="0.3">
      <c r="A10316" s="1">
        <v>40896</v>
      </c>
      <c r="B10316">
        <v>2523.139893</v>
      </c>
      <c r="C10316">
        <f t="shared" si="339"/>
        <v>-1.2597270809411233E-2</v>
      </c>
      <c r="D10316">
        <f t="shared" si="338"/>
        <v>-1.0449078163758676</v>
      </c>
    </row>
    <row r="10317" spans="1:4" x14ac:dyDescent="0.3">
      <c r="A10317" s="1">
        <v>40897</v>
      </c>
      <c r="B10317">
        <v>2603.7299800000001</v>
      </c>
      <c r="C10317">
        <f t="shared" si="339"/>
        <v>3.1940395862941569E-2</v>
      </c>
      <c r="D10317">
        <f t="shared" si="338"/>
        <v>2.5179223774326953</v>
      </c>
    </row>
    <row r="10318" spans="1:4" x14ac:dyDescent="0.3">
      <c r="A10318" s="1">
        <v>40898</v>
      </c>
      <c r="B10318">
        <v>2577.969971</v>
      </c>
      <c r="C10318">
        <f t="shared" si="339"/>
        <v>-9.8935024744770499E-3</v>
      </c>
      <c r="D10318">
        <f t="shared" si="338"/>
        <v>-0.82861746754295873</v>
      </c>
    </row>
    <row r="10319" spans="1:4" x14ac:dyDescent="0.3">
      <c r="A10319" s="1">
        <v>40899</v>
      </c>
      <c r="B10319">
        <v>2599.4499510000001</v>
      </c>
      <c r="C10319">
        <f t="shared" si="339"/>
        <v>8.3321296375178256E-3</v>
      </c>
      <c r="D10319">
        <f t="shared" si="338"/>
        <v>0.62935815716957721</v>
      </c>
    </row>
    <row r="10320" spans="1:4" x14ac:dyDescent="0.3">
      <c r="A10320" s="1">
        <v>40900</v>
      </c>
      <c r="B10320">
        <v>2618.639893</v>
      </c>
      <c r="C10320">
        <f t="shared" si="339"/>
        <v>7.382308704430976E-3</v>
      </c>
      <c r="D10320">
        <f t="shared" si="338"/>
        <v>0.55337638820964352</v>
      </c>
    </row>
    <row r="10321" spans="1:4" x14ac:dyDescent="0.3">
      <c r="A10321" s="1">
        <v>40904</v>
      </c>
      <c r="B10321">
        <v>2625.1999510000001</v>
      </c>
      <c r="C10321">
        <f t="shared" si="339"/>
        <v>2.5051394113165398E-3</v>
      </c>
      <c r="D10321">
        <f t="shared" si="338"/>
        <v>0.16322289980045546</v>
      </c>
    </row>
    <row r="10322" spans="1:4" x14ac:dyDescent="0.3">
      <c r="A10322" s="1">
        <v>40905</v>
      </c>
      <c r="B10322">
        <v>2589.9799800000001</v>
      </c>
      <c r="C10322">
        <f t="shared" si="339"/>
        <v>-1.3416109880157462E-2</v>
      </c>
      <c r="D10322">
        <f t="shared" si="338"/>
        <v>-1.1104115749491879</v>
      </c>
    </row>
    <row r="10323" spans="1:4" x14ac:dyDescent="0.3">
      <c r="A10323" s="1">
        <v>40906</v>
      </c>
      <c r="B10323">
        <v>2613.73999</v>
      </c>
      <c r="C10323">
        <f t="shared" si="339"/>
        <v>9.1738199458977921E-3</v>
      </c>
      <c r="D10323">
        <f t="shared" si="338"/>
        <v>0.69668992078874592</v>
      </c>
    </row>
    <row r="10324" spans="1:4" x14ac:dyDescent="0.3">
      <c r="A10324" s="1">
        <v>40907</v>
      </c>
      <c r="B10324">
        <v>2605.1499020000001</v>
      </c>
      <c r="C10324">
        <f t="shared" si="339"/>
        <v>-3.2865120604440548E-3</v>
      </c>
      <c r="D10324">
        <f t="shared" si="338"/>
        <v>-0.30008540252723753</v>
      </c>
    </row>
    <row r="10325" spans="1:4" x14ac:dyDescent="0.3">
      <c r="A10325" s="1">
        <v>40911</v>
      </c>
      <c r="B10325">
        <v>2648.719971</v>
      </c>
      <c r="C10325">
        <f t="shared" si="339"/>
        <v>1.6724591919471003E-2</v>
      </c>
      <c r="D10325">
        <f t="shared" si="338"/>
        <v>1.3007206297147225</v>
      </c>
    </row>
    <row r="10326" spans="1:4" x14ac:dyDescent="0.3">
      <c r="A10326" s="1">
        <v>40912</v>
      </c>
      <c r="B10326">
        <v>2648.360107</v>
      </c>
      <c r="C10326">
        <f t="shared" si="339"/>
        <v>-1.3586336190312808E-4</v>
      </c>
      <c r="D10326">
        <f t="shared" si="338"/>
        <v>-4.8046462188824211E-2</v>
      </c>
    </row>
    <row r="10327" spans="1:4" x14ac:dyDescent="0.3">
      <c r="A10327" s="1">
        <v>40913</v>
      </c>
      <c r="B10327">
        <v>2669.860107</v>
      </c>
      <c r="C10327">
        <f t="shared" si="339"/>
        <v>8.1182313323525674E-3</v>
      </c>
      <c r="D10327">
        <f t="shared" si="338"/>
        <v>0.61224717231144288</v>
      </c>
    </row>
    <row r="10328" spans="1:4" x14ac:dyDescent="0.3">
      <c r="A10328" s="1">
        <v>40914</v>
      </c>
      <c r="B10328">
        <v>2674.219971</v>
      </c>
      <c r="C10328">
        <f t="shared" si="339"/>
        <v>1.6329934248498872E-3</v>
      </c>
      <c r="D10328">
        <f t="shared" si="338"/>
        <v>9.3454807168848519E-2</v>
      </c>
    </row>
    <row r="10329" spans="1:4" x14ac:dyDescent="0.3">
      <c r="A10329" s="1">
        <v>40917</v>
      </c>
      <c r="B10329">
        <v>2676.5600589999999</v>
      </c>
      <c r="C10329">
        <f t="shared" si="339"/>
        <v>8.7505441787754984E-4</v>
      </c>
      <c r="D10329">
        <f t="shared" si="338"/>
        <v>3.2822803274880991E-2</v>
      </c>
    </row>
    <row r="10330" spans="1:4" x14ac:dyDescent="0.3">
      <c r="A10330" s="1">
        <v>40918</v>
      </c>
      <c r="B10330">
        <v>2702.5</v>
      </c>
      <c r="C10330">
        <f t="shared" si="339"/>
        <v>9.6915221135338969E-3</v>
      </c>
      <c r="D10330">
        <f t="shared" si="338"/>
        <v>0.73810396539560086</v>
      </c>
    </row>
    <row r="10331" spans="1:4" x14ac:dyDescent="0.3">
      <c r="A10331" s="1">
        <v>40919</v>
      </c>
      <c r="B10331">
        <v>2710.76001</v>
      </c>
      <c r="C10331">
        <f t="shared" si="339"/>
        <v>3.0564329324699224E-3</v>
      </c>
      <c r="D10331">
        <f t="shared" si="338"/>
        <v>0.20732411456022162</v>
      </c>
    </row>
    <row r="10332" spans="1:4" x14ac:dyDescent="0.3">
      <c r="A10332" s="1">
        <v>40920</v>
      </c>
      <c r="B10332">
        <v>2724.6999510000001</v>
      </c>
      <c r="C10332">
        <f t="shared" si="339"/>
        <v>5.1424474865261463E-3</v>
      </c>
      <c r="D10332">
        <f t="shared" si="338"/>
        <v>0.37419670114161924</v>
      </c>
    </row>
    <row r="10333" spans="1:4" x14ac:dyDescent="0.3">
      <c r="A10333" s="1">
        <v>40921</v>
      </c>
      <c r="B10333">
        <v>2710.669922</v>
      </c>
      <c r="C10333">
        <f t="shared" si="339"/>
        <v>-5.1492014725697819E-3</v>
      </c>
      <c r="D10333">
        <f t="shared" si="338"/>
        <v>-0.44909289607266617</v>
      </c>
    </row>
    <row r="10334" spans="1:4" x14ac:dyDescent="0.3">
      <c r="A10334" s="1">
        <v>40925</v>
      </c>
      <c r="B10334">
        <v>2728.080078</v>
      </c>
      <c r="C10334">
        <f t="shared" si="339"/>
        <v>6.4228240623093891E-3</v>
      </c>
      <c r="D10334">
        <f t="shared" si="338"/>
        <v>0.47662156226433977</v>
      </c>
    </row>
    <row r="10335" spans="1:4" x14ac:dyDescent="0.3">
      <c r="A10335" s="1">
        <v>40926</v>
      </c>
      <c r="B10335">
        <v>2769.709961</v>
      </c>
      <c r="C10335">
        <f t="shared" si="339"/>
        <v>1.5259773104065042E-2</v>
      </c>
      <c r="D10335">
        <f t="shared" si="338"/>
        <v>1.1835411478532059</v>
      </c>
    </row>
    <row r="10336" spans="1:4" x14ac:dyDescent="0.3">
      <c r="A10336" s="1">
        <v>40927</v>
      </c>
      <c r="B10336">
        <v>2788.330078</v>
      </c>
      <c r="C10336">
        <f t="shared" si="339"/>
        <v>6.722767821247669E-3</v>
      </c>
      <c r="D10336">
        <f t="shared" si="338"/>
        <v>0.50061582960329565</v>
      </c>
    </row>
    <row r="10337" spans="1:4" x14ac:dyDescent="0.3">
      <c r="A10337" s="1">
        <v>40928</v>
      </c>
      <c r="B10337">
        <v>2786.6999510000001</v>
      </c>
      <c r="C10337">
        <f t="shared" si="339"/>
        <v>-5.846248307765456E-4</v>
      </c>
      <c r="D10337">
        <f t="shared" si="338"/>
        <v>-8.3945534380511388E-2</v>
      </c>
    </row>
    <row r="10338" spans="1:4" x14ac:dyDescent="0.3">
      <c r="A10338" s="1">
        <v>40931</v>
      </c>
      <c r="B10338">
        <v>2784.169922</v>
      </c>
      <c r="C10338">
        <f t="shared" si="339"/>
        <v>-9.0789429952518527E-4</v>
      </c>
      <c r="D10338">
        <f t="shared" si="338"/>
        <v>-0.10980576258840424</v>
      </c>
    </row>
    <row r="10339" spans="1:4" x14ac:dyDescent="0.3">
      <c r="A10339" s="1">
        <v>40932</v>
      </c>
      <c r="B10339">
        <v>2786.639893</v>
      </c>
      <c r="C10339">
        <f t="shared" si="339"/>
        <v>8.8714807974999267E-4</v>
      </c>
      <c r="D10339">
        <f t="shared" si="338"/>
        <v>3.3790246495241656E-2</v>
      </c>
    </row>
    <row r="10340" spans="1:4" x14ac:dyDescent="0.3">
      <c r="A10340" s="1">
        <v>40933</v>
      </c>
      <c r="B10340">
        <v>2818.3100589999999</v>
      </c>
      <c r="C10340">
        <f t="shared" si="339"/>
        <v>1.1365001297639817E-2</v>
      </c>
      <c r="D10340">
        <f t="shared" si="338"/>
        <v>0.87197541873655149</v>
      </c>
    </row>
    <row r="10341" spans="1:4" x14ac:dyDescent="0.3">
      <c r="A10341" s="1">
        <v>40934</v>
      </c>
      <c r="B10341">
        <v>2805.280029</v>
      </c>
      <c r="C10341">
        <f t="shared" si="339"/>
        <v>-4.623348647672657E-3</v>
      </c>
      <c r="D10341">
        <f t="shared" si="338"/>
        <v>-0.40702683240063253</v>
      </c>
    </row>
    <row r="10342" spans="1:4" x14ac:dyDescent="0.3">
      <c r="A10342" s="1">
        <v>40935</v>
      </c>
      <c r="B10342">
        <v>2816.5500489999999</v>
      </c>
      <c r="C10342">
        <f t="shared" si="339"/>
        <v>4.0174313735150931E-3</v>
      </c>
      <c r="D10342">
        <f t="shared" si="338"/>
        <v>0.28420003819463369</v>
      </c>
    </row>
    <row r="10343" spans="1:4" x14ac:dyDescent="0.3">
      <c r="A10343" s="1">
        <v>40938</v>
      </c>
      <c r="B10343">
        <v>2811.9399410000001</v>
      </c>
      <c r="C10343">
        <f t="shared" si="339"/>
        <v>-1.6367925013924915E-3</v>
      </c>
      <c r="D10343">
        <f t="shared" si="338"/>
        <v>-0.16811462149047343</v>
      </c>
    </row>
    <row r="10344" spans="1:4" x14ac:dyDescent="0.3">
      <c r="A10344" s="1">
        <v>40939</v>
      </c>
      <c r="B10344">
        <v>2813.8400879999999</v>
      </c>
      <c r="C10344">
        <f t="shared" si="339"/>
        <v>6.7574238421468243E-4</v>
      </c>
      <c r="D10344">
        <f t="shared" si="338"/>
        <v>1.6878660157831182E-2</v>
      </c>
    </row>
    <row r="10345" spans="1:4" x14ac:dyDescent="0.3">
      <c r="A10345" s="1">
        <v>40940</v>
      </c>
      <c r="B10345">
        <v>2848.2700199999999</v>
      </c>
      <c r="C10345">
        <f t="shared" si="339"/>
        <v>1.2235923479387152E-2</v>
      </c>
      <c r="D10345">
        <f t="shared" si="338"/>
        <v>0.94164561202292818</v>
      </c>
    </row>
    <row r="10346" spans="1:4" x14ac:dyDescent="0.3">
      <c r="A10346" s="1">
        <v>40941</v>
      </c>
      <c r="B10346">
        <v>2859.679932</v>
      </c>
      <c r="C10346">
        <f t="shared" si="339"/>
        <v>4.0059095239853969E-3</v>
      </c>
      <c r="D10346">
        <f t="shared" si="338"/>
        <v>0.28327833761038634</v>
      </c>
    </row>
    <row r="10347" spans="1:4" x14ac:dyDescent="0.3">
      <c r="A10347" s="1">
        <v>40942</v>
      </c>
      <c r="B10347">
        <v>2905.6599120000001</v>
      </c>
      <c r="C10347">
        <f t="shared" si="339"/>
        <v>1.6078715483324259E-2</v>
      </c>
      <c r="D10347">
        <f t="shared" si="338"/>
        <v>1.2490531706827579</v>
      </c>
    </row>
    <row r="10348" spans="1:4" x14ac:dyDescent="0.3">
      <c r="A10348" s="1">
        <v>40945</v>
      </c>
      <c r="B10348">
        <v>2901.98999</v>
      </c>
      <c r="C10348">
        <f t="shared" si="339"/>
        <v>-1.2630253061770025E-3</v>
      </c>
      <c r="D10348">
        <f t="shared" si="338"/>
        <v>-0.13821478281312458</v>
      </c>
    </row>
    <row r="10349" spans="1:4" x14ac:dyDescent="0.3">
      <c r="A10349" s="1">
        <v>40946</v>
      </c>
      <c r="B10349">
        <v>2904.080078</v>
      </c>
      <c r="C10349">
        <f t="shared" si="339"/>
        <v>7.202257785871699E-4</v>
      </c>
      <c r="D10349">
        <f t="shared" si="338"/>
        <v>2.0437148790819547E-2</v>
      </c>
    </row>
    <row r="10350" spans="1:4" x14ac:dyDescent="0.3">
      <c r="A10350" s="1">
        <v>40947</v>
      </c>
      <c r="B10350">
        <v>2915.860107</v>
      </c>
      <c r="C10350">
        <f t="shared" si="339"/>
        <v>4.0563719606908216E-3</v>
      </c>
      <c r="D10350">
        <f t="shared" si="338"/>
        <v>0.28731512504404072</v>
      </c>
    </row>
    <row r="10351" spans="1:4" x14ac:dyDescent="0.3">
      <c r="A10351" s="1">
        <v>40948</v>
      </c>
      <c r="B10351">
        <v>2927.2299800000001</v>
      </c>
      <c r="C10351">
        <f t="shared" si="339"/>
        <v>3.8993204690118207E-3</v>
      </c>
      <c r="D10351">
        <f t="shared" si="338"/>
        <v>0.27475165150931319</v>
      </c>
    </row>
    <row r="10352" spans="1:4" x14ac:dyDescent="0.3">
      <c r="A10352" s="1">
        <v>40949</v>
      </c>
      <c r="B10352">
        <v>2903.8798830000001</v>
      </c>
      <c r="C10352">
        <f t="shared" si="339"/>
        <v>-7.976857698075367E-3</v>
      </c>
      <c r="D10352">
        <f t="shared" si="338"/>
        <v>-0.6752937667212372</v>
      </c>
    </row>
    <row r="10353" spans="1:4" x14ac:dyDescent="0.3">
      <c r="A10353" s="1">
        <v>40952</v>
      </c>
      <c r="B10353">
        <v>2931.389893</v>
      </c>
      <c r="C10353">
        <f t="shared" si="339"/>
        <v>9.4735357894966919E-3</v>
      </c>
      <c r="D10353">
        <f t="shared" si="338"/>
        <v>0.72066595583774495</v>
      </c>
    </row>
    <row r="10354" spans="1:4" x14ac:dyDescent="0.3">
      <c r="A10354" s="1">
        <v>40953</v>
      </c>
      <c r="B10354">
        <v>2931.830078</v>
      </c>
      <c r="C10354">
        <f t="shared" si="339"/>
        <v>1.5016255635289815E-4</v>
      </c>
      <c r="D10354">
        <f t="shared" si="338"/>
        <v>-2.516556487394573E-2</v>
      </c>
    </row>
    <row r="10355" spans="1:4" x14ac:dyDescent="0.3">
      <c r="A10355" s="1">
        <v>40954</v>
      </c>
      <c r="B10355">
        <v>2915.830078</v>
      </c>
      <c r="C10355">
        <f t="shared" si="339"/>
        <v>-5.4573421973058839E-3</v>
      </c>
      <c r="D10355">
        <f t="shared" si="338"/>
        <v>-0.4737428869693231</v>
      </c>
    </row>
    <row r="10356" spans="1:4" x14ac:dyDescent="0.3">
      <c r="A10356" s="1">
        <v>40955</v>
      </c>
      <c r="B10356">
        <v>2959.8500979999999</v>
      </c>
      <c r="C10356">
        <f t="shared" si="339"/>
        <v>1.5096908538028989E-2</v>
      </c>
      <c r="D10356">
        <f t="shared" si="338"/>
        <v>1.1705126522734186</v>
      </c>
    </row>
    <row r="10357" spans="1:4" x14ac:dyDescent="0.3">
      <c r="A10357" s="1">
        <v>40956</v>
      </c>
      <c r="B10357">
        <v>2951.780029</v>
      </c>
      <c r="C10357">
        <f t="shared" si="339"/>
        <v>-2.7265127397677678E-3</v>
      </c>
      <c r="D10357">
        <f t="shared" si="338"/>
        <v>-0.25528775960410055</v>
      </c>
    </row>
    <row r="10358" spans="1:4" x14ac:dyDescent="0.3">
      <c r="A10358" s="1">
        <v>40960</v>
      </c>
      <c r="B10358">
        <v>2948.570068</v>
      </c>
      <c r="C10358">
        <f t="shared" si="339"/>
        <v>-1.0874661961472404E-3</v>
      </c>
      <c r="D10358">
        <f t="shared" si="338"/>
        <v>-0.1241707759141176</v>
      </c>
    </row>
    <row r="10359" spans="1:4" x14ac:dyDescent="0.3">
      <c r="A10359" s="1">
        <v>40961</v>
      </c>
      <c r="B10359">
        <v>2933.169922</v>
      </c>
      <c r="C10359">
        <f t="shared" si="339"/>
        <v>-5.2229201425916224E-3</v>
      </c>
      <c r="D10359">
        <f t="shared" si="338"/>
        <v>-0.45499008654143097</v>
      </c>
    </row>
    <row r="10360" spans="1:4" x14ac:dyDescent="0.3">
      <c r="A10360" s="1">
        <v>40962</v>
      </c>
      <c r="B10360">
        <v>2956.9799800000001</v>
      </c>
      <c r="C10360">
        <f t="shared" si="339"/>
        <v>8.1175174412551569E-3</v>
      </c>
      <c r="D10360">
        <f t="shared" si="338"/>
        <v>0.61219006395918785</v>
      </c>
    </row>
    <row r="10361" spans="1:4" x14ac:dyDescent="0.3">
      <c r="A10361" s="1">
        <v>40963</v>
      </c>
      <c r="B10361">
        <v>2963.75</v>
      </c>
      <c r="C10361">
        <f t="shared" si="339"/>
        <v>2.289504848118698E-3</v>
      </c>
      <c r="D10361">
        <f t="shared" si="338"/>
        <v>0.1459730214392502</v>
      </c>
    </row>
    <row r="10362" spans="1:4" x14ac:dyDescent="0.3">
      <c r="A10362" s="1">
        <v>40966</v>
      </c>
      <c r="B10362">
        <v>2966.1599120000001</v>
      </c>
      <c r="C10362">
        <f t="shared" si="339"/>
        <v>8.1312931252638606E-4</v>
      </c>
      <c r="D10362">
        <f t="shared" si="338"/>
        <v>2.7869049484342615E-2</v>
      </c>
    </row>
    <row r="10363" spans="1:4" x14ac:dyDescent="0.3">
      <c r="A10363" s="1">
        <v>40967</v>
      </c>
      <c r="B10363">
        <v>2986.76001</v>
      </c>
      <c r="C10363">
        <f t="shared" si="339"/>
        <v>6.9450395835569797E-3</v>
      </c>
      <c r="D10363">
        <f t="shared" si="338"/>
        <v>0.51839665660109269</v>
      </c>
    </row>
    <row r="10364" spans="1:4" x14ac:dyDescent="0.3">
      <c r="A10364" s="1">
        <v>40968</v>
      </c>
      <c r="B10364">
        <v>2966.889893</v>
      </c>
      <c r="C10364">
        <f t="shared" si="339"/>
        <v>-6.6527330396391427E-3</v>
      </c>
      <c r="D10364">
        <f t="shared" si="338"/>
        <v>-0.569369238879469</v>
      </c>
    </row>
    <row r="10365" spans="1:4" x14ac:dyDescent="0.3">
      <c r="A10365" s="1">
        <v>40969</v>
      </c>
      <c r="B10365">
        <v>2988.969971</v>
      </c>
      <c r="C10365">
        <f t="shared" si="339"/>
        <v>7.4421629370523988E-3</v>
      </c>
      <c r="D10365">
        <f t="shared" si="338"/>
        <v>0.55816448069728208</v>
      </c>
    </row>
    <row r="10366" spans="1:4" x14ac:dyDescent="0.3">
      <c r="A10366" s="1">
        <v>40970</v>
      </c>
      <c r="B10366">
        <v>2976.1899410000001</v>
      </c>
      <c r="C10366">
        <f t="shared" si="339"/>
        <v>-4.2757304770526571E-3</v>
      </c>
      <c r="D10366">
        <f t="shared" si="338"/>
        <v>-0.37921880816549119</v>
      </c>
    </row>
    <row r="10367" spans="1:4" x14ac:dyDescent="0.3">
      <c r="A10367" s="1">
        <v>40973</v>
      </c>
      <c r="B10367">
        <v>2950.4799800000001</v>
      </c>
      <c r="C10367">
        <f t="shared" si="339"/>
        <v>-8.6385484494183439E-3</v>
      </c>
      <c r="D10367">
        <f t="shared" si="338"/>
        <v>-0.72822630594004789</v>
      </c>
    </row>
    <row r="10368" spans="1:4" x14ac:dyDescent="0.3">
      <c r="A10368" s="1">
        <v>40974</v>
      </c>
      <c r="B10368">
        <v>2910.320068</v>
      </c>
      <c r="C10368">
        <f t="shared" si="339"/>
        <v>-1.3611314861387426E-2</v>
      </c>
      <c r="D10368">
        <f t="shared" si="338"/>
        <v>-1.1260271707599061</v>
      </c>
    </row>
    <row r="10369" spans="1:4" x14ac:dyDescent="0.3">
      <c r="A10369" s="1">
        <v>40975</v>
      </c>
      <c r="B10369">
        <v>2935.6899410000001</v>
      </c>
      <c r="C10369">
        <f t="shared" si="339"/>
        <v>8.71721061849892E-3</v>
      </c>
      <c r="D10369">
        <f t="shared" si="338"/>
        <v>0.66016305218560944</v>
      </c>
    </row>
    <row r="10370" spans="1:4" x14ac:dyDescent="0.3">
      <c r="A10370" s="1">
        <v>40976</v>
      </c>
      <c r="B10370">
        <v>2970.419922</v>
      </c>
      <c r="C10370">
        <f t="shared" si="339"/>
        <v>1.1830261947952749E-2</v>
      </c>
      <c r="D10370">
        <f t="shared" si="338"/>
        <v>0.90919435759836043</v>
      </c>
    </row>
    <row r="10371" spans="1:4" x14ac:dyDescent="0.3">
      <c r="A10371" s="1">
        <v>40977</v>
      </c>
      <c r="B10371">
        <v>2988.3400879999999</v>
      </c>
      <c r="C10371">
        <f t="shared" si="339"/>
        <v>6.0328729508163734E-3</v>
      </c>
      <c r="D10371">
        <f t="shared" ref="D10371:D10434" si="340">(C10371-avrtn)/sdrtn</f>
        <v>0.44542707683345018</v>
      </c>
    </row>
    <row r="10372" spans="1:4" x14ac:dyDescent="0.3">
      <c r="A10372" s="1">
        <v>40980</v>
      </c>
      <c r="B10372">
        <v>2983.6599120000001</v>
      </c>
      <c r="C10372">
        <f t="shared" ref="C10372:C10435" si="341">(B10372-B10371)/B10371</f>
        <v>-1.5661457070410411E-3</v>
      </c>
      <c r="D10372">
        <f t="shared" si="340"/>
        <v>-0.16246316844371156</v>
      </c>
    </row>
    <row r="10373" spans="1:4" x14ac:dyDescent="0.3">
      <c r="A10373" s="1">
        <v>40981</v>
      </c>
      <c r="B10373">
        <v>3039.8798830000001</v>
      </c>
      <c r="C10373">
        <f t="shared" si="341"/>
        <v>1.8842620358268225E-2</v>
      </c>
      <c r="D10373">
        <f t="shared" si="340"/>
        <v>1.4701541954335193</v>
      </c>
    </row>
    <row r="10374" spans="1:4" x14ac:dyDescent="0.3">
      <c r="A10374" s="1">
        <v>40982</v>
      </c>
      <c r="B10374">
        <v>3040.7299800000001</v>
      </c>
      <c r="C10374">
        <f t="shared" si="341"/>
        <v>2.7964822056095867E-4</v>
      </c>
      <c r="D10374">
        <f t="shared" si="340"/>
        <v>-1.4807244185533615E-2</v>
      </c>
    </row>
    <row r="10375" spans="1:4" x14ac:dyDescent="0.3">
      <c r="A10375" s="1">
        <v>40983</v>
      </c>
      <c r="B10375">
        <v>3056.3701169999999</v>
      </c>
      <c r="C10375">
        <f t="shared" si="341"/>
        <v>5.14354681371605E-3</v>
      </c>
      <c r="D10375">
        <f t="shared" si="340"/>
        <v>0.3742846427963511</v>
      </c>
    </row>
    <row r="10376" spans="1:4" x14ac:dyDescent="0.3">
      <c r="A10376" s="1">
        <v>40984</v>
      </c>
      <c r="B10376">
        <v>3055.26001</v>
      </c>
      <c r="C10376">
        <f t="shared" si="341"/>
        <v>-3.6321091932727169E-4</v>
      </c>
      <c r="D10376">
        <f t="shared" si="340"/>
        <v>-6.6233331924013567E-2</v>
      </c>
    </row>
    <row r="10377" spans="1:4" x14ac:dyDescent="0.3">
      <c r="A10377" s="1">
        <v>40987</v>
      </c>
      <c r="B10377">
        <v>3078.320068</v>
      </c>
      <c r="C10377">
        <f t="shared" si="341"/>
        <v>7.5476581124105466E-3</v>
      </c>
      <c r="D10377">
        <f t="shared" si="340"/>
        <v>0.56660366092718084</v>
      </c>
    </row>
    <row r="10378" spans="1:4" x14ac:dyDescent="0.3">
      <c r="A10378" s="1">
        <v>40988</v>
      </c>
      <c r="B10378">
        <v>3074.1499020000001</v>
      </c>
      <c r="C10378">
        <f t="shared" si="341"/>
        <v>-1.3546888913046845E-3</v>
      </c>
      <c r="D10378">
        <f t="shared" si="340"/>
        <v>-0.14554749270042489</v>
      </c>
    </row>
    <row r="10379" spans="1:4" x14ac:dyDescent="0.3">
      <c r="A10379" s="1">
        <v>40989</v>
      </c>
      <c r="B10379">
        <v>3075.320068</v>
      </c>
      <c r="C10379">
        <f t="shared" si="341"/>
        <v>3.8064702025056974E-4</v>
      </c>
      <c r="D10379">
        <f t="shared" si="340"/>
        <v>-6.7277555199106269E-3</v>
      </c>
    </row>
    <row r="10380" spans="1:4" x14ac:dyDescent="0.3">
      <c r="A10380" s="1">
        <v>40990</v>
      </c>
      <c r="B10380">
        <v>3063.320068</v>
      </c>
      <c r="C10380">
        <f t="shared" si="341"/>
        <v>-3.9020328728918501E-3</v>
      </c>
      <c r="D10380">
        <f t="shared" si="340"/>
        <v>-0.34932453648635681</v>
      </c>
    </row>
    <row r="10381" spans="1:4" x14ac:dyDescent="0.3">
      <c r="A10381" s="1">
        <v>40991</v>
      </c>
      <c r="B10381">
        <v>3067.919922</v>
      </c>
      <c r="C10381">
        <f t="shared" si="341"/>
        <v>1.5015910508506649E-3</v>
      </c>
      <c r="D10381">
        <f t="shared" si="340"/>
        <v>8.2943157578701215E-2</v>
      </c>
    </row>
    <row r="10382" spans="1:4" x14ac:dyDescent="0.3">
      <c r="A10382" s="1">
        <v>40994</v>
      </c>
      <c r="B10382">
        <v>3122.570068</v>
      </c>
      <c r="C10382">
        <f t="shared" si="341"/>
        <v>1.781341996839771E-2</v>
      </c>
      <c r="D10382">
        <f t="shared" si="340"/>
        <v>1.3878223963411689</v>
      </c>
    </row>
    <row r="10383" spans="1:4" x14ac:dyDescent="0.3">
      <c r="A10383" s="1">
        <v>40995</v>
      </c>
      <c r="B10383">
        <v>3120.3500979999999</v>
      </c>
      <c r="C10383">
        <f t="shared" si="341"/>
        <v>-7.1094321397309414E-4</v>
      </c>
      <c r="D10383">
        <f t="shared" si="340"/>
        <v>-9.4050485611939891E-2</v>
      </c>
    </row>
    <row r="10384" spans="1:4" x14ac:dyDescent="0.3">
      <c r="A10384" s="1">
        <v>40996</v>
      </c>
      <c r="B10384">
        <v>3104.959961</v>
      </c>
      <c r="C10384">
        <f t="shared" si="341"/>
        <v>-4.9321827732933671E-3</v>
      </c>
      <c r="D10384">
        <f t="shared" si="340"/>
        <v>-0.43173229251677664</v>
      </c>
    </row>
    <row r="10385" spans="1:4" x14ac:dyDescent="0.3">
      <c r="A10385" s="1">
        <v>40997</v>
      </c>
      <c r="B10385">
        <v>3095.360107</v>
      </c>
      <c r="C10385">
        <f t="shared" si="341"/>
        <v>-3.0917802872112623E-3</v>
      </c>
      <c r="D10385">
        <f t="shared" si="340"/>
        <v>-0.28450766141045031</v>
      </c>
    </row>
    <row r="10386" spans="1:4" x14ac:dyDescent="0.3">
      <c r="A10386" s="1">
        <v>40998</v>
      </c>
      <c r="B10386">
        <v>3091.570068</v>
      </c>
      <c r="C10386">
        <f t="shared" si="341"/>
        <v>-1.224425872592012E-3</v>
      </c>
      <c r="D10386">
        <f t="shared" si="340"/>
        <v>-0.13512698684814464</v>
      </c>
    </row>
    <row r="10387" spans="1:4" x14ac:dyDescent="0.3">
      <c r="A10387" s="1">
        <v>41001</v>
      </c>
      <c r="B10387">
        <v>3119.6999510000001</v>
      </c>
      <c r="C10387">
        <f t="shared" si="341"/>
        <v>9.0988987411816484E-3</v>
      </c>
      <c r="D10387">
        <f t="shared" si="340"/>
        <v>0.69069653248928908</v>
      </c>
    </row>
    <row r="10388" spans="1:4" x14ac:dyDescent="0.3">
      <c r="A10388" s="1">
        <v>41002</v>
      </c>
      <c r="B10388">
        <v>3113.570068</v>
      </c>
      <c r="C10388">
        <f t="shared" si="341"/>
        <v>-1.9648950528191561E-3</v>
      </c>
      <c r="D10388">
        <f t="shared" si="340"/>
        <v>-0.19436147643885354</v>
      </c>
    </row>
    <row r="10389" spans="1:4" x14ac:dyDescent="0.3">
      <c r="A10389" s="1">
        <v>41003</v>
      </c>
      <c r="B10389">
        <v>3068.0900879999999</v>
      </c>
      <c r="C10389">
        <f t="shared" si="341"/>
        <v>-1.4607019918204091E-2</v>
      </c>
      <c r="D10389">
        <f t="shared" si="340"/>
        <v>-1.2056794809415809</v>
      </c>
    </row>
    <row r="10390" spans="1:4" x14ac:dyDescent="0.3">
      <c r="A10390" s="1">
        <v>41004</v>
      </c>
      <c r="B10390">
        <v>3080.5</v>
      </c>
      <c r="C10390">
        <f t="shared" si="341"/>
        <v>4.0448329886198821E-3</v>
      </c>
      <c r="D10390">
        <f t="shared" si="340"/>
        <v>0.28639205472690221</v>
      </c>
    </row>
    <row r="10391" spans="1:4" x14ac:dyDescent="0.3">
      <c r="A10391" s="1">
        <v>41008</v>
      </c>
      <c r="B10391">
        <v>3047.080078</v>
      </c>
      <c r="C10391">
        <f t="shared" si="341"/>
        <v>-1.0848862846940446E-2</v>
      </c>
      <c r="D10391">
        <f t="shared" si="340"/>
        <v>-0.90504236887470535</v>
      </c>
    </row>
    <row r="10392" spans="1:4" x14ac:dyDescent="0.3">
      <c r="A10392" s="1">
        <v>41009</v>
      </c>
      <c r="B10392">
        <v>2991.219971</v>
      </c>
      <c r="C10392">
        <f t="shared" si="341"/>
        <v>-1.8332339672761291E-2</v>
      </c>
      <c r="D10392">
        <f t="shared" si="340"/>
        <v>-1.5036897426997939</v>
      </c>
    </row>
    <row r="10393" spans="1:4" x14ac:dyDescent="0.3">
      <c r="A10393" s="1">
        <v>41010</v>
      </c>
      <c r="B10393">
        <v>3016.459961</v>
      </c>
      <c r="C10393">
        <f t="shared" si="341"/>
        <v>8.4380253691479622E-3</v>
      </c>
      <c r="D10393">
        <f t="shared" si="340"/>
        <v>0.63782938025413782</v>
      </c>
    </row>
    <row r="10394" spans="1:4" x14ac:dyDescent="0.3">
      <c r="A10394" s="1">
        <v>41011</v>
      </c>
      <c r="B10394">
        <v>3055.5500489999999</v>
      </c>
      <c r="C10394">
        <f t="shared" si="341"/>
        <v>1.2958928182504699E-2</v>
      </c>
      <c r="D10394">
        <f t="shared" si="340"/>
        <v>0.99948301525922822</v>
      </c>
    </row>
    <row r="10395" spans="1:4" x14ac:dyDescent="0.3">
      <c r="A10395" s="1">
        <v>41012</v>
      </c>
      <c r="B10395">
        <v>3011.330078</v>
      </c>
      <c r="C10395">
        <f t="shared" si="341"/>
        <v>-1.4472016589769821E-2</v>
      </c>
      <c r="D10395">
        <f t="shared" si="340"/>
        <v>-1.1948797698038427</v>
      </c>
    </row>
    <row r="10396" spans="1:4" x14ac:dyDescent="0.3">
      <c r="A10396" s="1">
        <v>41015</v>
      </c>
      <c r="B10396">
        <v>2988.3999020000001</v>
      </c>
      <c r="C10396">
        <f t="shared" si="341"/>
        <v>-7.6146338681109026E-3</v>
      </c>
      <c r="D10396">
        <f t="shared" si="340"/>
        <v>-0.64631734979736888</v>
      </c>
    </row>
    <row r="10397" spans="1:4" x14ac:dyDescent="0.3">
      <c r="A10397" s="1">
        <v>41016</v>
      </c>
      <c r="B10397">
        <v>3042.820068</v>
      </c>
      <c r="C10397">
        <f t="shared" si="341"/>
        <v>1.8210469744554248E-2</v>
      </c>
      <c r="D10397">
        <f t="shared" si="340"/>
        <v>1.4195847457552568</v>
      </c>
    </row>
    <row r="10398" spans="1:4" x14ac:dyDescent="0.3">
      <c r="A10398" s="1">
        <v>41017</v>
      </c>
      <c r="B10398">
        <v>3031.4499510000001</v>
      </c>
      <c r="C10398">
        <f t="shared" si="341"/>
        <v>-3.7367036978539925E-3</v>
      </c>
      <c r="D10398">
        <f t="shared" si="340"/>
        <v>-0.33609888232095819</v>
      </c>
    </row>
    <row r="10399" spans="1:4" x14ac:dyDescent="0.3">
      <c r="A10399" s="1">
        <v>41018</v>
      </c>
      <c r="B10399">
        <v>3007.5600589999999</v>
      </c>
      <c r="C10399">
        <f t="shared" si="341"/>
        <v>-7.8806816494263621E-3</v>
      </c>
      <c r="D10399">
        <f t="shared" si="340"/>
        <v>-0.66760007830759194</v>
      </c>
    </row>
    <row r="10400" spans="1:4" x14ac:dyDescent="0.3">
      <c r="A10400" s="1">
        <v>41019</v>
      </c>
      <c r="B10400">
        <v>3000.4499510000001</v>
      </c>
      <c r="C10400">
        <f t="shared" si="341"/>
        <v>-2.3640784757475246E-3</v>
      </c>
      <c r="D10400">
        <f t="shared" si="340"/>
        <v>-0.22629450882107988</v>
      </c>
    </row>
    <row r="10401" spans="1:4" x14ac:dyDescent="0.3">
      <c r="A10401" s="1">
        <v>41022</v>
      </c>
      <c r="B10401">
        <v>2970.4499510000001</v>
      </c>
      <c r="C10401">
        <f t="shared" si="341"/>
        <v>-9.9985003882506022E-3</v>
      </c>
      <c r="D10401">
        <f t="shared" si="340"/>
        <v>-0.8370168688908417</v>
      </c>
    </row>
    <row r="10402" spans="1:4" x14ac:dyDescent="0.3">
      <c r="A10402" s="1">
        <v>41023</v>
      </c>
      <c r="B10402">
        <v>2961.6000979999999</v>
      </c>
      <c r="C10402">
        <f t="shared" si="341"/>
        <v>-2.9792971253465722E-3</v>
      </c>
      <c r="D10402">
        <f t="shared" si="340"/>
        <v>-0.27550947099480039</v>
      </c>
    </row>
    <row r="10403" spans="1:4" x14ac:dyDescent="0.3">
      <c r="A10403" s="1">
        <v>41024</v>
      </c>
      <c r="B10403">
        <v>3029.6298830000001</v>
      </c>
      <c r="C10403">
        <f t="shared" si="341"/>
        <v>2.2970618162101431E-2</v>
      </c>
      <c r="D10403">
        <f t="shared" si="340"/>
        <v>1.8003770453117802</v>
      </c>
    </row>
    <row r="10404" spans="1:4" x14ac:dyDescent="0.3">
      <c r="A10404" s="1">
        <v>41025</v>
      </c>
      <c r="B10404">
        <v>3050.610107</v>
      </c>
      <c r="C10404">
        <f t="shared" si="341"/>
        <v>6.9250122325915505E-3</v>
      </c>
      <c r="D10404">
        <f t="shared" si="340"/>
        <v>0.51679455087681758</v>
      </c>
    </row>
    <row r="10405" spans="1:4" x14ac:dyDescent="0.3">
      <c r="A10405" s="1">
        <v>41026</v>
      </c>
      <c r="B10405">
        <v>3069.1999510000001</v>
      </c>
      <c r="C10405">
        <f t="shared" si="341"/>
        <v>6.0938118435205479E-3</v>
      </c>
      <c r="D10405">
        <f t="shared" si="340"/>
        <v>0.45030193766756005</v>
      </c>
    </row>
    <row r="10406" spans="1:4" x14ac:dyDescent="0.3">
      <c r="A10406" s="1">
        <v>41029</v>
      </c>
      <c r="B10406">
        <v>3046.360107</v>
      </c>
      <c r="C10406">
        <f t="shared" si="341"/>
        <v>-7.4416279045483678E-3</v>
      </c>
      <c r="D10406">
        <f t="shared" si="340"/>
        <v>-0.63247758411713906</v>
      </c>
    </row>
    <row r="10407" spans="1:4" x14ac:dyDescent="0.3">
      <c r="A10407" s="1">
        <v>41030</v>
      </c>
      <c r="B10407">
        <v>3050.4399410000001</v>
      </c>
      <c r="C10407">
        <f t="shared" si="341"/>
        <v>1.3392487613743949E-3</v>
      </c>
      <c r="D10407">
        <f t="shared" si="340"/>
        <v>6.9956441976082737E-2</v>
      </c>
    </row>
    <row r="10408" spans="1:4" x14ac:dyDescent="0.3">
      <c r="A10408" s="1">
        <v>41031</v>
      </c>
      <c r="B10408">
        <v>3059.8500979999999</v>
      </c>
      <c r="C10408">
        <f t="shared" si="341"/>
        <v>3.0848524088348209E-3</v>
      </c>
      <c r="D10408">
        <f t="shared" si="340"/>
        <v>0.20959755580782841</v>
      </c>
    </row>
    <row r="10409" spans="1:4" x14ac:dyDescent="0.3">
      <c r="A10409" s="1">
        <v>41032</v>
      </c>
      <c r="B10409">
        <v>3024.3000489999999</v>
      </c>
      <c r="C10409">
        <f t="shared" si="341"/>
        <v>-1.1618232220995535E-2</v>
      </c>
      <c r="D10409">
        <f t="shared" si="340"/>
        <v>-0.96658875513334275</v>
      </c>
    </row>
    <row r="10410" spans="1:4" x14ac:dyDescent="0.3">
      <c r="A10410" s="1">
        <v>41033</v>
      </c>
      <c r="B10410">
        <v>2956.3400879999999</v>
      </c>
      <c r="C10410">
        <f t="shared" si="341"/>
        <v>-2.2471302416726582E-2</v>
      </c>
      <c r="D10410">
        <f t="shared" si="340"/>
        <v>-1.8347897427005184</v>
      </c>
    </row>
    <row r="10411" spans="1:4" x14ac:dyDescent="0.3">
      <c r="A10411" s="1">
        <v>41036</v>
      </c>
      <c r="B10411">
        <v>2957.76001</v>
      </c>
      <c r="C10411">
        <f t="shared" si="341"/>
        <v>4.8029724515241304E-4</v>
      </c>
      <c r="D10411">
        <f t="shared" si="340"/>
        <v>1.2438527080636042E-3</v>
      </c>
    </row>
    <row r="10412" spans="1:4" x14ac:dyDescent="0.3">
      <c r="A10412" s="1">
        <v>41037</v>
      </c>
      <c r="B10412">
        <v>2946.2700199999999</v>
      </c>
      <c r="C10412">
        <f t="shared" si="341"/>
        <v>-3.8846931330307742E-3</v>
      </c>
      <c r="D10412">
        <f t="shared" si="340"/>
        <v>-0.34793742859890708</v>
      </c>
    </row>
    <row r="10413" spans="1:4" x14ac:dyDescent="0.3">
      <c r="A10413" s="1">
        <v>41038</v>
      </c>
      <c r="B10413">
        <v>2934.709961</v>
      </c>
      <c r="C10413">
        <f t="shared" si="341"/>
        <v>-3.9236250993722258E-3</v>
      </c>
      <c r="D10413">
        <f t="shared" si="340"/>
        <v>-0.35105182581702105</v>
      </c>
    </row>
    <row r="10414" spans="1:4" x14ac:dyDescent="0.3">
      <c r="A10414" s="1">
        <v>41039</v>
      </c>
      <c r="B10414">
        <v>2933.639893</v>
      </c>
      <c r="C10414">
        <f t="shared" si="341"/>
        <v>-3.6462478889578829E-4</v>
      </c>
      <c r="D10414">
        <f t="shared" si="340"/>
        <v>-6.6346435675628493E-2</v>
      </c>
    </row>
    <row r="10415" spans="1:4" x14ac:dyDescent="0.3">
      <c r="A10415" s="1">
        <v>41040</v>
      </c>
      <c r="B10415">
        <v>2933.820068</v>
      </c>
      <c r="C10415">
        <f t="shared" si="341"/>
        <v>6.1416876839547011E-5</v>
      </c>
      <c r="D10415">
        <f t="shared" si="340"/>
        <v>-3.2264854310599153E-2</v>
      </c>
    </row>
    <row r="10416" spans="1:4" x14ac:dyDescent="0.3">
      <c r="A10416" s="1">
        <v>41043</v>
      </c>
      <c r="B10416">
        <v>2902.580078</v>
      </c>
      <c r="C10416">
        <f t="shared" si="341"/>
        <v>-1.0648229705953471E-2</v>
      </c>
      <c r="D10416">
        <f t="shared" si="340"/>
        <v>-0.88899254260415272</v>
      </c>
    </row>
    <row r="10417" spans="1:4" x14ac:dyDescent="0.3">
      <c r="A10417" s="1">
        <v>41044</v>
      </c>
      <c r="B10417">
        <v>2893.76001</v>
      </c>
      <c r="C10417">
        <f t="shared" si="341"/>
        <v>-3.0386992823561963E-3</v>
      </c>
      <c r="D10417">
        <f t="shared" si="340"/>
        <v>-0.2802613992924412</v>
      </c>
    </row>
    <row r="10418" spans="1:4" x14ac:dyDescent="0.3">
      <c r="A10418" s="1">
        <v>41045</v>
      </c>
      <c r="B10418">
        <v>2874.040039</v>
      </c>
      <c r="C10418">
        <f t="shared" si="341"/>
        <v>-6.8146532303485618E-3</v>
      </c>
      <c r="D10418">
        <f t="shared" si="340"/>
        <v>-0.58232218831641991</v>
      </c>
    </row>
    <row r="10419" spans="1:4" x14ac:dyDescent="0.3">
      <c r="A10419" s="1">
        <v>41046</v>
      </c>
      <c r="B10419">
        <v>2813.6899410000001</v>
      </c>
      <c r="C10419">
        <f t="shared" si="341"/>
        <v>-2.0998349772816054E-2</v>
      </c>
      <c r="D10419">
        <f t="shared" si="340"/>
        <v>-1.7169595880051387</v>
      </c>
    </row>
    <row r="10420" spans="1:4" x14ac:dyDescent="0.3">
      <c r="A10420" s="1">
        <v>41047</v>
      </c>
      <c r="B10420">
        <v>2778.790039</v>
      </c>
      <c r="C10420">
        <f t="shared" si="341"/>
        <v>-1.240360620104307E-2</v>
      </c>
      <c r="D10420">
        <f t="shared" si="340"/>
        <v>-1.0294154440600427</v>
      </c>
    </row>
    <row r="10421" spans="1:4" x14ac:dyDescent="0.3">
      <c r="A10421" s="1">
        <v>41050</v>
      </c>
      <c r="B10421">
        <v>2847.209961</v>
      </c>
      <c r="C10421">
        <f t="shared" si="341"/>
        <v>2.4622199244899497E-2</v>
      </c>
      <c r="D10421">
        <f t="shared" si="340"/>
        <v>1.9324967405936331</v>
      </c>
    </row>
    <row r="10422" spans="1:4" x14ac:dyDescent="0.3">
      <c r="A10422" s="1">
        <v>41051</v>
      </c>
      <c r="B10422">
        <v>2839.080078</v>
      </c>
      <c r="C10422">
        <f t="shared" si="341"/>
        <v>-2.855385837841294E-3</v>
      </c>
      <c r="D10422">
        <f t="shared" si="340"/>
        <v>-0.26559707752063694</v>
      </c>
    </row>
    <row r="10423" spans="1:4" x14ac:dyDescent="0.3">
      <c r="A10423" s="1">
        <v>41052</v>
      </c>
      <c r="B10423">
        <v>2850.1201169999999</v>
      </c>
      <c r="C10423">
        <f t="shared" si="341"/>
        <v>3.8885972556917709E-3</v>
      </c>
      <c r="D10423">
        <f t="shared" si="340"/>
        <v>0.2738938385378259</v>
      </c>
    </row>
    <row r="10424" spans="1:4" x14ac:dyDescent="0.3">
      <c r="A10424" s="1">
        <v>41053</v>
      </c>
      <c r="B10424">
        <v>2839.3798830000001</v>
      </c>
      <c r="C10424">
        <f t="shared" si="341"/>
        <v>-3.7683443360643012E-3</v>
      </c>
      <c r="D10424">
        <f t="shared" si="340"/>
        <v>-0.33863000327070114</v>
      </c>
    </row>
    <row r="10425" spans="1:4" x14ac:dyDescent="0.3">
      <c r="A10425" s="1">
        <v>41054</v>
      </c>
      <c r="B10425">
        <v>2837.530029</v>
      </c>
      <c r="C10425">
        <f t="shared" si="341"/>
        <v>-6.5149929781341991E-4</v>
      </c>
      <c r="D10425">
        <f t="shared" si="340"/>
        <v>-8.9295216754009768E-2</v>
      </c>
    </row>
    <row r="10426" spans="1:4" x14ac:dyDescent="0.3">
      <c r="A10426" s="1">
        <v>41058</v>
      </c>
      <c r="B10426">
        <v>2870.98999</v>
      </c>
      <c r="C10426">
        <f t="shared" si="341"/>
        <v>1.1791931947163201E-2</v>
      </c>
      <c r="D10426">
        <f t="shared" si="340"/>
        <v>0.90612811514910152</v>
      </c>
    </row>
    <row r="10427" spans="1:4" x14ac:dyDescent="0.3">
      <c r="A10427" s="1">
        <v>41059</v>
      </c>
      <c r="B10427">
        <v>2837.360107</v>
      </c>
      <c r="C10427">
        <f t="shared" si="341"/>
        <v>-1.1713688698719587E-2</v>
      </c>
      <c r="D10427">
        <f t="shared" si="340"/>
        <v>-0.97422488083188508</v>
      </c>
    </row>
    <row r="10428" spans="1:4" x14ac:dyDescent="0.3">
      <c r="A10428" s="1">
        <v>41060</v>
      </c>
      <c r="B10428">
        <v>2827.3400879999999</v>
      </c>
      <c r="C10428">
        <f t="shared" si="341"/>
        <v>-3.531458335260244E-3</v>
      </c>
      <c r="D10428">
        <f t="shared" si="340"/>
        <v>-0.31968009728743219</v>
      </c>
    </row>
    <row r="10429" spans="1:4" x14ac:dyDescent="0.3">
      <c r="A10429" s="1">
        <v>41061</v>
      </c>
      <c r="B10429">
        <v>2747.4799800000001</v>
      </c>
      <c r="C10429">
        <f t="shared" si="341"/>
        <v>-2.824566748759651E-2</v>
      </c>
      <c r="D10429">
        <f t="shared" si="340"/>
        <v>-2.2967152040390633</v>
      </c>
    </row>
    <row r="10430" spans="1:4" x14ac:dyDescent="0.3">
      <c r="A10430" s="1">
        <v>41064</v>
      </c>
      <c r="B10430">
        <v>2760.01001</v>
      </c>
      <c r="C10430">
        <f t="shared" si="341"/>
        <v>4.5605537041983821E-3</v>
      </c>
      <c r="D10430">
        <f t="shared" si="340"/>
        <v>0.32764759131692833</v>
      </c>
    </row>
    <row r="10431" spans="1:4" x14ac:dyDescent="0.3">
      <c r="A10431" s="1">
        <v>41065</v>
      </c>
      <c r="B10431">
        <v>2778.110107</v>
      </c>
      <c r="C10431">
        <f t="shared" si="341"/>
        <v>6.5579823748537804E-3</v>
      </c>
      <c r="D10431">
        <f t="shared" si="340"/>
        <v>0.48743367149358902</v>
      </c>
    </row>
    <row r="10432" spans="1:4" x14ac:dyDescent="0.3">
      <c r="A10432" s="1">
        <v>41066</v>
      </c>
      <c r="B10432">
        <v>2844.719971</v>
      </c>
      <c r="C10432">
        <f t="shared" si="341"/>
        <v>2.3976682505190576E-2</v>
      </c>
      <c r="D10432">
        <f t="shared" si="340"/>
        <v>1.8808580557976138</v>
      </c>
    </row>
    <row r="10433" spans="1:4" x14ac:dyDescent="0.3">
      <c r="A10433" s="1">
        <v>41067</v>
      </c>
      <c r="B10433">
        <v>2831.0200199999999</v>
      </c>
      <c r="C10433">
        <f t="shared" si="341"/>
        <v>-4.8159225300422569E-3</v>
      </c>
      <c r="D10433">
        <f t="shared" si="340"/>
        <v>-0.4224319511216646</v>
      </c>
    </row>
    <row r="10434" spans="1:4" x14ac:dyDescent="0.3">
      <c r="A10434" s="1">
        <v>41068</v>
      </c>
      <c r="B10434">
        <v>2858.419922</v>
      </c>
      <c r="C10434">
        <f t="shared" si="341"/>
        <v>9.6784557532023779E-3</v>
      </c>
      <c r="D10434">
        <f t="shared" si="340"/>
        <v>0.73705871029827408</v>
      </c>
    </row>
    <row r="10435" spans="1:4" x14ac:dyDescent="0.3">
      <c r="A10435" s="1">
        <v>41071</v>
      </c>
      <c r="B10435">
        <v>2809.7299800000001</v>
      </c>
      <c r="C10435">
        <f t="shared" si="341"/>
        <v>-1.7033866026910503E-2</v>
      </c>
      <c r="D10435">
        <f t="shared" ref="D10435:D10498" si="342">(C10435-avrtn)/sdrtn</f>
        <v>-1.3998171903872665</v>
      </c>
    </row>
    <row r="10436" spans="1:4" x14ac:dyDescent="0.3">
      <c r="A10436" s="1">
        <v>41072</v>
      </c>
      <c r="B10436">
        <v>2843.070068</v>
      </c>
      <c r="C10436">
        <f t="shared" ref="C10436:C10499" si="343">(B10436-B10435)/B10435</f>
        <v>1.1865940228178055E-2</v>
      </c>
      <c r="D10436">
        <f t="shared" si="342"/>
        <v>0.91204847330641992</v>
      </c>
    </row>
    <row r="10437" spans="1:4" x14ac:dyDescent="0.3">
      <c r="A10437" s="1">
        <v>41073</v>
      </c>
      <c r="B10437">
        <v>2818.610107</v>
      </c>
      <c r="C10437">
        <f t="shared" si="343"/>
        <v>-8.6033620047946072E-3</v>
      </c>
      <c r="D10437">
        <f t="shared" si="342"/>
        <v>-0.72541153505767386</v>
      </c>
    </row>
    <row r="10438" spans="1:4" x14ac:dyDescent="0.3">
      <c r="A10438" s="1">
        <v>41074</v>
      </c>
      <c r="B10438">
        <v>2836.330078</v>
      </c>
      <c r="C10438">
        <f t="shared" si="343"/>
        <v>6.2867762220792985E-3</v>
      </c>
      <c r="D10438">
        <f t="shared" si="342"/>
        <v>0.46573829447799431</v>
      </c>
    </row>
    <row r="10439" spans="1:4" x14ac:dyDescent="0.3">
      <c r="A10439" s="1">
        <v>41075</v>
      </c>
      <c r="B10439">
        <v>2872.8000489999999</v>
      </c>
      <c r="C10439">
        <f t="shared" si="343"/>
        <v>1.2858154727081799E-2</v>
      </c>
      <c r="D10439">
        <f t="shared" si="342"/>
        <v>0.99142155320832104</v>
      </c>
    </row>
    <row r="10440" spans="1:4" x14ac:dyDescent="0.3">
      <c r="A10440" s="1">
        <v>41078</v>
      </c>
      <c r="B10440">
        <v>2895.330078</v>
      </c>
      <c r="C10440">
        <f t="shared" si="343"/>
        <v>7.8425329350166727E-3</v>
      </c>
      <c r="D10440">
        <f t="shared" si="342"/>
        <v>0.59019243420315515</v>
      </c>
    </row>
    <row r="10441" spans="1:4" x14ac:dyDescent="0.3">
      <c r="A10441" s="1">
        <v>41079</v>
      </c>
      <c r="B10441">
        <v>2929.76001</v>
      </c>
      <c r="C10441">
        <f t="shared" si="343"/>
        <v>1.1891539504118677E-2</v>
      </c>
      <c r="D10441">
        <f t="shared" si="342"/>
        <v>0.91409631011681813</v>
      </c>
    </row>
    <row r="10442" spans="1:4" x14ac:dyDescent="0.3">
      <c r="A10442" s="1">
        <v>41080</v>
      </c>
      <c r="B10442">
        <v>2930.4499510000001</v>
      </c>
      <c r="C10442">
        <f t="shared" si="343"/>
        <v>2.3549403283721176E-4</v>
      </c>
      <c r="D10442">
        <f t="shared" si="342"/>
        <v>-1.8339397640328568E-2</v>
      </c>
    </row>
    <row r="10443" spans="1:4" x14ac:dyDescent="0.3">
      <c r="A10443" s="1">
        <v>41081</v>
      </c>
      <c r="B10443">
        <v>2859.0900879999999</v>
      </c>
      <c r="C10443">
        <f t="shared" si="343"/>
        <v>-2.4351162515384016E-2</v>
      </c>
      <c r="D10443">
        <f t="shared" si="342"/>
        <v>-1.9851708205621987</v>
      </c>
    </row>
    <row r="10444" spans="1:4" x14ac:dyDescent="0.3">
      <c r="A10444" s="1">
        <v>41082</v>
      </c>
      <c r="B10444">
        <v>2892.419922</v>
      </c>
      <c r="C10444">
        <f t="shared" si="343"/>
        <v>1.1657496956773095E-2</v>
      </c>
      <c r="D10444">
        <f t="shared" si="342"/>
        <v>0.89537386871787672</v>
      </c>
    </row>
    <row r="10445" spans="1:4" x14ac:dyDescent="0.3">
      <c r="A10445" s="1">
        <v>41085</v>
      </c>
      <c r="B10445">
        <v>2836.1599120000001</v>
      </c>
      <c r="C10445">
        <f t="shared" si="343"/>
        <v>-1.9450844454527983E-2</v>
      </c>
      <c r="D10445">
        <f t="shared" si="342"/>
        <v>-1.5931655259219846</v>
      </c>
    </row>
    <row r="10446" spans="1:4" x14ac:dyDescent="0.3">
      <c r="A10446" s="1">
        <v>41086</v>
      </c>
      <c r="B10446">
        <v>2854.0600589999999</v>
      </c>
      <c r="C10446">
        <f t="shared" si="343"/>
        <v>6.3114025849751992E-3</v>
      </c>
      <c r="D10446">
        <f t="shared" si="342"/>
        <v>0.46770830224545701</v>
      </c>
    </row>
    <row r="10447" spans="1:4" x14ac:dyDescent="0.3">
      <c r="A10447" s="1">
        <v>41087</v>
      </c>
      <c r="B10447">
        <v>2875.320068</v>
      </c>
      <c r="C10447">
        <f t="shared" si="343"/>
        <v>7.4490405108885915E-3</v>
      </c>
      <c r="D10447">
        <f t="shared" si="342"/>
        <v>0.55871465832342493</v>
      </c>
    </row>
    <row r="10448" spans="1:4" x14ac:dyDescent="0.3">
      <c r="A10448" s="1">
        <v>41088</v>
      </c>
      <c r="B10448">
        <v>2849.48999</v>
      </c>
      <c r="C10448">
        <f t="shared" si="343"/>
        <v>-8.9833748553658256E-3</v>
      </c>
      <c r="D10448">
        <f t="shared" si="342"/>
        <v>-0.75581100048119265</v>
      </c>
    </row>
    <row r="10449" spans="1:4" x14ac:dyDescent="0.3">
      <c r="A10449" s="1">
        <v>41089</v>
      </c>
      <c r="B10449">
        <v>2935.0500489999999</v>
      </c>
      <c r="C10449">
        <f t="shared" si="343"/>
        <v>3.0026446592289979E-2</v>
      </c>
      <c r="D10449">
        <f t="shared" si="342"/>
        <v>2.3648143059869953</v>
      </c>
    </row>
    <row r="10450" spans="1:4" x14ac:dyDescent="0.3">
      <c r="A10450" s="1">
        <v>41092</v>
      </c>
      <c r="B10450">
        <v>2951.2299800000001</v>
      </c>
      <c r="C10450">
        <f t="shared" si="343"/>
        <v>5.5126593175175275E-3</v>
      </c>
      <c r="D10450">
        <f t="shared" si="342"/>
        <v>0.40381212530078447</v>
      </c>
    </row>
    <row r="10451" spans="1:4" x14ac:dyDescent="0.3">
      <c r="A10451" s="1">
        <v>41093</v>
      </c>
      <c r="B10451">
        <v>2976.080078</v>
      </c>
      <c r="C10451">
        <f t="shared" si="343"/>
        <v>8.4202512743516821E-3</v>
      </c>
      <c r="D10451">
        <f t="shared" si="342"/>
        <v>0.6364075257579499</v>
      </c>
    </row>
    <row r="10452" spans="1:4" x14ac:dyDescent="0.3">
      <c r="A10452" s="1">
        <v>41095</v>
      </c>
      <c r="B10452">
        <v>2976.1201169999999</v>
      </c>
      <c r="C10452">
        <f t="shared" si="343"/>
        <v>1.3453603045145898E-5</v>
      </c>
      <c r="D10452">
        <f t="shared" si="342"/>
        <v>-3.6101718987990923E-2</v>
      </c>
    </row>
    <row r="10453" spans="1:4" x14ac:dyDescent="0.3">
      <c r="A10453" s="1">
        <v>41096</v>
      </c>
      <c r="B10453">
        <v>2937.330078</v>
      </c>
      <c r="C10453">
        <f t="shared" si="343"/>
        <v>-1.3033761231082724E-2</v>
      </c>
      <c r="D10453">
        <f t="shared" si="342"/>
        <v>-1.0798252552502483</v>
      </c>
    </row>
    <row r="10454" spans="1:4" x14ac:dyDescent="0.3">
      <c r="A10454" s="1">
        <v>41099</v>
      </c>
      <c r="B10454">
        <v>2931.7700199999999</v>
      </c>
      <c r="C10454">
        <f t="shared" si="343"/>
        <v>-1.8928951981405566E-3</v>
      </c>
      <c r="D10454">
        <f t="shared" si="342"/>
        <v>-0.18860178412973705</v>
      </c>
    </row>
    <row r="10455" spans="1:4" x14ac:dyDescent="0.3">
      <c r="A10455" s="1">
        <v>41100</v>
      </c>
      <c r="B10455">
        <v>2902.330078</v>
      </c>
      <c r="C10455">
        <f t="shared" si="343"/>
        <v>-1.0041695562464335E-2</v>
      </c>
      <c r="D10455">
        <f t="shared" si="342"/>
        <v>-0.84047230520832261</v>
      </c>
    </row>
    <row r="10456" spans="1:4" x14ac:dyDescent="0.3">
      <c r="A10456" s="1">
        <v>41101</v>
      </c>
      <c r="B10456">
        <v>2887.9799800000001</v>
      </c>
      <c r="C10456">
        <f t="shared" si="343"/>
        <v>-4.944337003146301E-3</v>
      </c>
      <c r="D10456">
        <f t="shared" si="342"/>
        <v>-0.43270458092651953</v>
      </c>
    </row>
    <row r="10457" spans="1:4" x14ac:dyDescent="0.3">
      <c r="A10457" s="1">
        <v>41102</v>
      </c>
      <c r="B10457">
        <v>2866.1899410000001</v>
      </c>
      <c r="C10457">
        <f t="shared" si="343"/>
        <v>-7.5450796580660432E-3</v>
      </c>
      <c r="D10457">
        <f t="shared" si="342"/>
        <v>-0.64075329900240086</v>
      </c>
    </row>
    <row r="10458" spans="1:4" x14ac:dyDescent="0.3">
      <c r="A10458" s="1">
        <v>41103</v>
      </c>
      <c r="B10458">
        <v>2908.469971</v>
      </c>
      <c r="C10458">
        <f t="shared" si="343"/>
        <v>1.4751300810597568E-2</v>
      </c>
      <c r="D10458">
        <f t="shared" si="342"/>
        <v>1.142865455226372</v>
      </c>
    </row>
    <row r="10459" spans="1:4" x14ac:dyDescent="0.3">
      <c r="A10459" s="1">
        <v>41106</v>
      </c>
      <c r="B10459">
        <v>2896.9399410000001</v>
      </c>
      <c r="C10459">
        <f t="shared" si="343"/>
        <v>-3.9642939810155932E-3</v>
      </c>
      <c r="D10459">
        <f t="shared" si="342"/>
        <v>-0.3543051691170499</v>
      </c>
    </row>
    <row r="10460" spans="1:4" x14ac:dyDescent="0.3">
      <c r="A10460" s="1">
        <v>41107</v>
      </c>
      <c r="B10460">
        <v>2910.040039</v>
      </c>
      <c r="C10460">
        <f t="shared" si="343"/>
        <v>4.5220468034549042E-3</v>
      </c>
      <c r="D10460">
        <f t="shared" si="342"/>
        <v>0.32456719759877206</v>
      </c>
    </row>
    <row r="10461" spans="1:4" x14ac:dyDescent="0.3">
      <c r="A10461" s="1">
        <v>41108</v>
      </c>
      <c r="B10461">
        <v>2942.6000979999999</v>
      </c>
      <c r="C10461">
        <f t="shared" si="343"/>
        <v>1.1188869762489171E-2</v>
      </c>
      <c r="D10461">
        <f t="shared" si="342"/>
        <v>0.8578856201817</v>
      </c>
    </row>
    <row r="10462" spans="1:4" x14ac:dyDescent="0.3">
      <c r="A10462" s="1">
        <v>41109</v>
      </c>
      <c r="B10462">
        <v>2965.8999020000001</v>
      </c>
      <c r="C10462">
        <f t="shared" si="343"/>
        <v>7.9181007354130195E-3</v>
      </c>
      <c r="D10462">
        <f t="shared" si="342"/>
        <v>0.59623754749821101</v>
      </c>
    </row>
    <row r="10463" spans="1:4" x14ac:dyDescent="0.3">
      <c r="A10463" s="1">
        <v>41110</v>
      </c>
      <c r="B10463">
        <v>2925.3000489999999</v>
      </c>
      <c r="C10463">
        <f t="shared" si="343"/>
        <v>-1.3688881736238773E-2</v>
      </c>
      <c r="D10463">
        <f t="shared" si="342"/>
        <v>-1.1322322017911186</v>
      </c>
    </row>
    <row r="10464" spans="1:4" x14ac:dyDescent="0.3">
      <c r="A10464" s="1">
        <v>41113</v>
      </c>
      <c r="B10464">
        <v>2890.1499020000001</v>
      </c>
      <c r="C10464">
        <f t="shared" si="343"/>
        <v>-1.2015911671014994E-2</v>
      </c>
      <c r="D10464">
        <f t="shared" si="342"/>
        <v>-0.99840147586722983</v>
      </c>
    </row>
    <row r="10465" spans="1:4" x14ac:dyDescent="0.3">
      <c r="A10465" s="1">
        <v>41114</v>
      </c>
      <c r="B10465">
        <v>2862.98999</v>
      </c>
      <c r="C10465">
        <f t="shared" si="343"/>
        <v>-9.3974059896357841E-3</v>
      </c>
      <c r="D10465">
        <f t="shared" si="342"/>
        <v>-0.78893178871659242</v>
      </c>
    </row>
    <row r="10466" spans="1:4" x14ac:dyDescent="0.3">
      <c r="A10466" s="1">
        <v>41115</v>
      </c>
      <c r="B10466">
        <v>2854.23999</v>
      </c>
      <c r="C10466">
        <f t="shared" si="343"/>
        <v>-3.0562454044765976E-3</v>
      </c>
      <c r="D10466">
        <f t="shared" si="342"/>
        <v>-0.28166501691198803</v>
      </c>
    </row>
    <row r="10467" spans="1:4" x14ac:dyDescent="0.3">
      <c r="A10467" s="1">
        <v>41116</v>
      </c>
      <c r="B10467">
        <v>2893.25</v>
      </c>
      <c r="C10467">
        <f t="shared" si="343"/>
        <v>1.3667389615685388E-2</v>
      </c>
      <c r="D10467">
        <f t="shared" si="342"/>
        <v>1.0561570167028631</v>
      </c>
    </row>
    <row r="10468" spans="1:4" x14ac:dyDescent="0.3">
      <c r="A10468" s="1">
        <v>41117</v>
      </c>
      <c r="B10468">
        <v>2958.0900879999999</v>
      </c>
      <c r="C10468">
        <f t="shared" si="343"/>
        <v>2.2410814136351827E-2</v>
      </c>
      <c r="D10468">
        <f t="shared" si="342"/>
        <v>1.7555950251797203</v>
      </c>
    </row>
    <row r="10469" spans="1:4" x14ac:dyDescent="0.3">
      <c r="A10469" s="1">
        <v>41120</v>
      </c>
      <c r="B10469">
        <v>2945.8400879999999</v>
      </c>
      <c r="C10469">
        <f t="shared" si="343"/>
        <v>-4.1411855743319747E-3</v>
      </c>
      <c r="D10469">
        <f t="shared" si="342"/>
        <v>-0.3684557691997824</v>
      </c>
    </row>
    <row r="10470" spans="1:4" x14ac:dyDescent="0.3">
      <c r="A10470" s="1">
        <v>41121</v>
      </c>
      <c r="B10470">
        <v>2939.5200199999999</v>
      </c>
      <c r="C10470">
        <f t="shared" si="343"/>
        <v>-2.1454212758340303E-3</v>
      </c>
      <c r="D10470">
        <f t="shared" si="342"/>
        <v>-0.20880283195177884</v>
      </c>
    </row>
    <row r="10471" spans="1:4" x14ac:dyDescent="0.3">
      <c r="A10471" s="1">
        <v>41122</v>
      </c>
      <c r="B10471">
        <v>2920.209961</v>
      </c>
      <c r="C10471">
        <f t="shared" si="343"/>
        <v>-6.5691197435695341E-3</v>
      </c>
      <c r="D10471">
        <f t="shared" si="342"/>
        <v>-0.56268051901382821</v>
      </c>
    </row>
    <row r="10472" spans="1:4" x14ac:dyDescent="0.3">
      <c r="A10472" s="1">
        <v>41123</v>
      </c>
      <c r="B10472">
        <v>2909.7700199999999</v>
      </c>
      <c r="C10472">
        <f t="shared" si="343"/>
        <v>-3.5750651971699406E-3</v>
      </c>
      <c r="D10472">
        <f t="shared" si="342"/>
        <v>-0.32316846692772033</v>
      </c>
    </row>
    <row r="10473" spans="1:4" x14ac:dyDescent="0.3">
      <c r="A10473" s="1">
        <v>41124</v>
      </c>
      <c r="B10473">
        <v>2967.8999020000001</v>
      </c>
      <c r="C10473">
        <f t="shared" si="343"/>
        <v>1.9977483306395528E-2</v>
      </c>
      <c r="D10473">
        <f t="shared" si="342"/>
        <v>1.5609385646993768</v>
      </c>
    </row>
    <row r="10474" spans="1:4" x14ac:dyDescent="0.3">
      <c r="A10474" s="1">
        <v>41127</v>
      </c>
      <c r="B10474">
        <v>2989.9099120000001</v>
      </c>
      <c r="C10474">
        <f t="shared" si="343"/>
        <v>7.4160216741703186E-3</v>
      </c>
      <c r="D10474">
        <f t="shared" si="342"/>
        <v>0.55607328716023097</v>
      </c>
    </row>
    <row r="10475" spans="1:4" x14ac:dyDescent="0.3">
      <c r="A10475" s="1">
        <v>41128</v>
      </c>
      <c r="B10475">
        <v>3015.860107</v>
      </c>
      <c r="C10475">
        <f t="shared" si="343"/>
        <v>8.6792564872435838E-3</v>
      </c>
      <c r="D10475">
        <f t="shared" si="342"/>
        <v>0.65712687775350287</v>
      </c>
    </row>
    <row r="10476" spans="1:4" x14ac:dyDescent="0.3">
      <c r="A10476" s="1">
        <v>41129</v>
      </c>
      <c r="B10476">
        <v>3011.25</v>
      </c>
      <c r="C10476">
        <f t="shared" si="343"/>
        <v>-1.5286209692882053E-3</v>
      </c>
      <c r="D10476">
        <f t="shared" si="342"/>
        <v>-0.15946134372612836</v>
      </c>
    </row>
    <row r="10477" spans="1:4" x14ac:dyDescent="0.3">
      <c r="A10477" s="1">
        <v>41130</v>
      </c>
      <c r="B10477">
        <v>3018.639893</v>
      </c>
      <c r="C10477">
        <f t="shared" si="343"/>
        <v>2.454094811124958E-3</v>
      </c>
      <c r="D10477">
        <f t="shared" si="342"/>
        <v>0.15913954168177907</v>
      </c>
    </row>
    <row r="10478" spans="1:4" x14ac:dyDescent="0.3">
      <c r="A10478" s="1">
        <v>41131</v>
      </c>
      <c r="B10478">
        <v>3020.860107</v>
      </c>
      <c r="C10478">
        <f t="shared" si="343"/>
        <v>7.355014439279266E-4</v>
      </c>
      <c r="D10478">
        <f t="shared" si="342"/>
        <v>2.1659139204168877E-2</v>
      </c>
    </row>
    <row r="10479" spans="1:4" x14ac:dyDescent="0.3">
      <c r="A10479" s="1">
        <v>41134</v>
      </c>
      <c r="B10479">
        <v>3022.5200199999999</v>
      </c>
      <c r="C10479">
        <f t="shared" si="343"/>
        <v>5.4948357130261527E-4</v>
      </c>
      <c r="D10479">
        <f t="shared" si="342"/>
        <v>6.7784743042067219E-3</v>
      </c>
    </row>
    <row r="10480" spans="1:4" x14ac:dyDescent="0.3">
      <c r="A10480" s="1">
        <v>41135</v>
      </c>
      <c r="B10480">
        <v>3016.9799800000001</v>
      </c>
      <c r="C10480">
        <f t="shared" si="343"/>
        <v>-1.8329208618442377E-3</v>
      </c>
      <c r="D10480">
        <f t="shared" si="342"/>
        <v>-0.183804083841976</v>
      </c>
    </row>
    <row r="10481" spans="1:4" x14ac:dyDescent="0.3">
      <c r="A10481" s="1">
        <v>41136</v>
      </c>
      <c r="B10481">
        <v>3030.929932</v>
      </c>
      <c r="C10481">
        <f t="shared" si="343"/>
        <v>4.6238132478426119E-3</v>
      </c>
      <c r="D10481">
        <f t="shared" si="342"/>
        <v>0.33270809468366896</v>
      </c>
    </row>
    <row r="10482" spans="1:4" x14ac:dyDescent="0.3">
      <c r="A10482" s="1">
        <v>41137</v>
      </c>
      <c r="B10482">
        <v>3062.389893</v>
      </c>
      <c r="C10482">
        <f t="shared" si="343"/>
        <v>1.0379639815441309E-2</v>
      </c>
      <c r="D10482">
        <f t="shared" si="342"/>
        <v>0.79315055199129636</v>
      </c>
    </row>
    <row r="10483" spans="1:4" x14ac:dyDescent="0.3">
      <c r="A10483" s="1">
        <v>41138</v>
      </c>
      <c r="B10483">
        <v>3076.5900879999999</v>
      </c>
      <c r="C10483">
        <f t="shared" si="343"/>
        <v>4.6369650815719608E-3</v>
      </c>
      <c r="D10483">
        <f t="shared" si="342"/>
        <v>0.33376018730135343</v>
      </c>
    </row>
    <row r="10484" spans="1:4" x14ac:dyDescent="0.3">
      <c r="A10484" s="1">
        <v>41141</v>
      </c>
      <c r="B10484">
        <v>3076.209961</v>
      </c>
      <c r="C10484">
        <f t="shared" si="343"/>
        <v>-1.2355464625676263E-4</v>
      </c>
      <c r="D10484">
        <f t="shared" si="342"/>
        <v>-4.7061815550856138E-2</v>
      </c>
    </row>
    <row r="10485" spans="1:4" x14ac:dyDescent="0.3">
      <c r="A10485" s="1">
        <v>41142</v>
      </c>
      <c r="B10485">
        <v>3067.26001</v>
      </c>
      <c r="C10485">
        <f t="shared" si="343"/>
        <v>-2.9094083672658831E-3</v>
      </c>
      <c r="D10485">
        <f t="shared" si="342"/>
        <v>-0.26991865773263568</v>
      </c>
    </row>
    <row r="10486" spans="1:4" x14ac:dyDescent="0.3">
      <c r="A10486" s="1">
        <v>41143</v>
      </c>
      <c r="B10486">
        <v>3073.669922</v>
      </c>
      <c r="C10486">
        <f t="shared" si="343"/>
        <v>2.0897843609939274E-3</v>
      </c>
      <c r="D10486">
        <f t="shared" si="342"/>
        <v>0.12999620372481882</v>
      </c>
    </row>
    <row r="10487" spans="1:4" x14ac:dyDescent="0.3">
      <c r="A10487" s="1">
        <v>41144</v>
      </c>
      <c r="B10487">
        <v>3053.3999020000001</v>
      </c>
      <c r="C10487">
        <f t="shared" si="343"/>
        <v>-6.5947289443527733E-3</v>
      </c>
      <c r="D10487">
        <f t="shared" si="342"/>
        <v>-0.56472914977082445</v>
      </c>
    </row>
    <row r="10488" spans="1:4" x14ac:dyDescent="0.3">
      <c r="A10488" s="1">
        <v>41145</v>
      </c>
      <c r="B10488">
        <v>3069.790039</v>
      </c>
      <c r="C10488">
        <f t="shared" si="343"/>
        <v>5.3678317698458702E-3</v>
      </c>
      <c r="D10488">
        <f t="shared" si="342"/>
        <v>0.39222651702148636</v>
      </c>
    </row>
    <row r="10489" spans="1:4" x14ac:dyDescent="0.3">
      <c r="A10489" s="1">
        <v>41148</v>
      </c>
      <c r="B10489">
        <v>3073.1899410000001</v>
      </c>
      <c r="C10489">
        <f t="shared" si="343"/>
        <v>1.1075356805534645E-3</v>
      </c>
      <c r="D10489">
        <f t="shared" si="342"/>
        <v>5.142034832028991E-2</v>
      </c>
    </row>
    <row r="10490" spans="1:4" x14ac:dyDescent="0.3">
      <c r="A10490" s="1">
        <v>41149</v>
      </c>
      <c r="B10490">
        <v>3077.139893</v>
      </c>
      <c r="C10490">
        <f t="shared" si="343"/>
        <v>1.2852938073572651E-3</v>
      </c>
      <c r="D10490">
        <f t="shared" si="342"/>
        <v>6.564026751880897E-2</v>
      </c>
    </row>
    <row r="10491" spans="1:4" x14ac:dyDescent="0.3">
      <c r="A10491" s="1">
        <v>41150</v>
      </c>
      <c r="B10491">
        <v>3081.1899410000001</v>
      </c>
      <c r="C10491">
        <f t="shared" si="343"/>
        <v>1.3161728555836122E-3</v>
      </c>
      <c r="D10491">
        <f t="shared" si="342"/>
        <v>6.8110464401511722E-2</v>
      </c>
    </row>
    <row r="10492" spans="1:4" x14ac:dyDescent="0.3">
      <c r="A10492" s="1">
        <v>41151</v>
      </c>
      <c r="B10492">
        <v>3048.709961</v>
      </c>
      <c r="C10492">
        <f t="shared" si="343"/>
        <v>-1.0541375449725989E-2</v>
      </c>
      <c r="D10492">
        <f t="shared" si="342"/>
        <v>-0.88044464149328128</v>
      </c>
    </row>
    <row r="10493" spans="1:4" x14ac:dyDescent="0.3">
      <c r="A10493" s="1">
        <v>41152</v>
      </c>
      <c r="B10493">
        <v>3066.959961</v>
      </c>
      <c r="C10493">
        <f t="shared" si="343"/>
        <v>5.9861384760962503E-3</v>
      </c>
      <c r="D10493">
        <f t="shared" si="342"/>
        <v>0.44168851102914869</v>
      </c>
    </row>
    <row r="10494" spans="1:4" x14ac:dyDescent="0.3">
      <c r="A10494" s="1">
        <v>41156</v>
      </c>
      <c r="B10494">
        <v>3075.0600589999999</v>
      </c>
      <c r="C10494">
        <f t="shared" si="343"/>
        <v>2.6410837125368943E-3</v>
      </c>
      <c r="D10494">
        <f t="shared" si="342"/>
        <v>0.17409788489177699</v>
      </c>
    </row>
    <row r="10495" spans="1:4" x14ac:dyDescent="0.3">
      <c r="A10495" s="1">
        <v>41157</v>
      </c>
      <c r="B10495">
        <v>3069.2700199999999</v>
      </c>
      <c r="C10495">
        <f t="shared" si="343"/>
        <v>-1.8829027365022853E-3</v>
      </c>
      <c r="D10495">
        <f t="shared" si="342"/>
        <v>-0.18780242828792312</v>
      </c>
    </row>
    <row r="10496" spans="1:4" x14ac:dyDescent="0.3">
      <c r="A10496" s="1">
        <v>41158</v>
      </c>
      <c r="B10496">
        <v>3135.8100589999999</v>
      </c>
      <c r="C10496">
        <f t="shared" si="343"/>
        <v>2.1679434708061295E-2</v>
      </c>
      <c r="D10496">
        <f t="shared" si="342"/>
        <v>1.6970876783666571</v>
      </c>
    </row>
    <row r="10497" spans="1:4" x14ac:dyDescent="0.3">
      <c r="A10497" s="1">
        <v>41159</v>
      </c>
      <c r="B10497">
        <v>3136.419922</v>
      </c>
      <c r="C10497">
        <f t="shared" si="343"/>
        <v>1.9448339935315329E-4</v>
      </c>
      <c r="D10497">
        <f t="shared" si="342"/>
        <v>-2.1620079682320711E-2</v>
      </c>
    </row>
    <row r="10498" spans="1:4" x14ac:dyDescent="0.3">
      <c r="A10498" s="1">
        <v>41162</v>
      </c>
      <c r="B10498">
        <v>3104.0200199999999</v>
      </c>
      <c r="C10498">
        <f t="shared" si="343"/>
        <v>-1.0330218148639891E-2</v>
      </c>
      <c r="D10498">
        <f t="shared" si="342"/>
        <v>-0.86355292569040365</v>
      </c>
    </row>
    <row r="10499" spans="1:4" x14ac:dyDescent="0.3">
      <c r="A10499" s="1">
        <v>41163</v>
      </c>
      <c r="B10499">
        <v>3104.530029</v>
      </c>
      <c r="C10499">
        <f t="shared" si="343"/>
        <v>1.6430596346478523E-4</v>
      </c>
      <c r="D10499">
        <f t="shared" ref="D10499:D10562" si="344">(C10499-avrtn)/sdrtn</f>
        <v>-2.4034150463032318E-2</v>
      </c>
    </row>
    <row r="10500" spans="1:4" x14ac:dyDescent="0.3">
      <c r="A10500" s="1">
        <v>41164</v>
      </c>
      <c r="B10500">
        <v>3114.3100589999999</v>
      </c>
      <c r="C10500">
        <f t="shared" ref="C10500:C10563" si="345">(B10500-B10499)/B10499</f>
        <v>3.150244935189157E-3</v>
      </c>
      <c r="D10500">
        <f t="shared" si="344"/>
        <v>0.21482868902050023</v>
      </c>
    </row>
    <row r="10501" spans="1:4" x14ac:dyDescent="0.3">
      <c r="A10501" s="1">
        <v>41165</v>
      </c>
      <c r="B10501">
        <v>3155.830078</v>
      </c>
      <c r="C10501">
        <f t="shared" si="345"/>
        <v>1.3332011974855213E-2</v>
      </c>
      <c r="D10501">
        <f t="shared" si="344"/>
        <v>1.0293281845175484</v>
      </c>
    </row>
    <row r="10502" spans="1:4" x14ac:dyDescent="0.3">
      <c r="A10502" s="1">
        <v>41166</v>
      </c>
      <c r="B10502">
        <v>3183.9499510000001</v>
      </c>
      <c r="C10502">
        <f t="shared" si="345"/>
        <v>8.9104521805625867E-3</v>
      </c>
      <c r="D10502">
        <f t="shared" si="344"/>
        <v>0.67562158253665161</v>
      </c>
    </row>
    <row r="10503" spans="1:4" x14ac:dyDescent="0.3">
      <c r="A10503" s="1">
        <v>41169</v>
      </c>
      <c r="B10503">
        <v>3178.669922</v>
      </c>
      <c r="C10503">
        <f t="shared" si="345"/>
        <v>-1.658326632408806E-3</v>
      </c>
      <c r="D10503">
        <f t="shared" si="344"/>
        <v>-0.16983726342290273</v>
      </c>
    </row>
    <row r="10504" spans="1:4" x14ac:dyDescent="0.3">
      <c r="A10504" s="1">
        <v>41170</v>
      </c>
      <c r="B10504">
        <v>3177.8000489999999</v>
      </c>
      <c r="C10504">
        <f t="shared" si="345"/>
        <v>-2.7365943031064355E-4</v>
      </c>
      <c r="D10504">
        <f t="shared" si="344"/>
        <v>-5.9069581040606466E-2</v>
      </c>
    </row>
    <row r="10505" spans="1:4" x14ac:dyDescent="0.3">
      <c r="A10505" s="1">
        <v>41171</v>
      </c>
      <c r="B10505">
        <v>3182.6201169999999</v>
      </c>
      <c r="C10505">
        <f t="shared" si="345"/>
        <v>1.5167939850453417E-3</v>
      </c>
      <c r="D10505">
        <f t="shared" si="344"/>
        <v>8.4159329799436411E-2</v>
      </c>
    </row>
    <row r="10506" spans="1:4" x14ac:dyDescent="0.3">
      <c r="A10506" s="1">
        <v>41172</v>
      </c>
      <c r="B10506">
        <v>3175.959961</v>
      </c>
      <c r="C10506">
        <f t="shared" si="345"/>
        <v>-2.0926644573207526E-3</v>
      </c>
      <c r="D10506">
        <f t="shared" si="344"/>
        <v>-0.20458250340805062</v>
      </c>
    </row>
    <row r="10507" spans="1:4" x14ac:dyDescent="0.3">
      <c r="A10507" s="1">
        <v>41173</v>
      </c>
      <c r="B10507">
        <v>3179.959961</v>
      </c>
      <c r="C10507">
        <f t="shared" si="345"/>
        <v>1.2594617215327042E-3</v>
      </c>
      <c r="D10507">
        <f t="shared" si="344"/>
        <v>6.3573806875015709E-2</v>
      </c>
    </row>
    <row r="10508" spans="1:4" x14ac:dyDescent="0.3">
      <c r="A10508" s="1">
        <v>41176</v>
      </c>
      <c r="B10508">
        <v>3160.780029</v>
      </c>
      <c r="C10508">
        <f t="shared" si="345"/>
        <v>-6.031501099142301E-3</v>
      </c>
      <c r="D10508">
        <f t="shared" si="344"/>
        <v>-0.51967323816072486</v>
      </c>
    </row>
    <row r="10509" spans="1:4" x14ac:dyDescent="0.3">
      <c r="A10509" s="1">
        <v>41177</v>
      </c>
      <c r="B10509">
        <v>3117.7299800000001</v>
      </c>
      <c r="C10509">
        <f t="shared" si="345"/>
        <v>-1.3620071186548219E-2</v>
      </c>
      <c r="D10509">
        <f t="shared" si="344"/>
        <v>-1.1267276407665452</v>
      </c>
    </row>
    <row r="10510" spans="1:4" x14ac:dyDescent="0.3">
      <c r="A10510" s="1">
        <v>41178</v>
      </c>
      <c r="B10510">
        <v>3093.6999510000001</v>
      </c>
      <c r="C10510">
        <f t="shared" si="345"/>
        <v>-7.7075401507349312E-3</v>
      </c>
      <c r="D10510">
        <f t="shared" si="344"/>
        <v>-0.65374947037437436</v>
      </c>
    </row>
    <row r="10511" spans="1:4" x14ac:dyDescent="0.3">
      <c r="A10511" s="1">
        <v>41179</v>
      </c>
      <c r="B10511">
        <v>3136.6000979999999</v>
      </c>
      <c r="C10511">
        <f t="shared" si="345"/>
        <v>1.3866938513585616E-2</v>
      </c>
      <c r="D10511">
        <f t="shared" si="344"/>
        <v>1.0721201079849101</v>
      </c>
    </row>
    <row r="10512" spans="1:4" x14ac:dyDescent="0.3">
      <c r="A10512" s="1">
        <v>41180</v>
      </c>
      <c r="B10512">
        <v>3116.2299800000001</v>
      </c>
      <c r="C10512">
        <f t="shared" si="345"/>
        <v>-6.4943306011462799E-3</v>
      </c>
      <c r="D10512">
        <f t="shared" si="344"/>
        <v>-0.55669769515475909</v>
      </c>
    </row>
    <row r="10513" spans="1:4" x14ac:dyDescent="0.3">
      <c r="A10513" s="1">
        <v>41183</v>
      </c>
      <c r="B10513">
        <v>3113.530029</v>
      </c>
      <c r="C10513">
        <f t="shared" si="345"/>
        <v>-8.6641583494426666E-4</v>
      </c>
      <c r="D10513">
        <f t="shared" si="344"/>
        <v>-0.10648765598239625</v>
      </c>
    </row>
    <row r="10514" spans="1:4" x14ac:dyDescent="0.3">
      <c r="A10514" s="1">
        <v>41184</v>
      </c>
      <c r="B10514">
        <v>3120.040039</v>
      </c>
      <c r="C10514">
        <f t="shared" si="345"/>
        <v>2.0908775375103232E-3</v>
      </c>
      <c r="D10514">
        <f t="shared" si="344"/>
        <v>0.13008365335096178</v>
      </c>
    </row>
    <row r="10515" spans="1:4" x14ac:dyDescent="0.3">
      <c r="A10515" s="1">
        <v>41185</v>
      </c>
      <c r="B10515">
        <v>3135.2299800000001</v>
      </c>
      <c r="C10515">
        <f t="shared" si="345"/>
        <v>4.8685083557032166E-3</v>
      </c>
      <c r="D10515">
        <f t="shared" si="344"/>
        <v>0.35228269712022153</v>
      </c>
    </row>
    <row r="10516" spans="1:4" x14ac:dyDescent="0.3">
      <c r="A10516" s="1">
        <v>41186</v>
      </c>
      <c r="B10516">
        <v>3149.459961</v>
      </c>
      <c r="C10516">
        <f t="shared" si="345"/>
        <v>4.5387359430646779E-3</v>
      </c>
      <c r="D10516">
        <f t="shared" si="344"/>
        <v>0.32590226014140183</v>
      </c>
    </row>
    <row r="10517" spans="1:4" x14ac:dyDescent="0.3">
      <c r="A10517" s="1">
        <v>41187</v>
      </c>
      <c r="B10517">
        <v>3136.1899410000001</v>
      </c>
      <c r="C10517">
        <f t="shared" si="345"/>
        <v>-4.2134271158622717E-3</v>
      </c>
      <c r="D10517">
        <f t="shared" si="344"/>
        <v>-0.37423479546321242</v>
      </c>
    </row>
    <row r="10518" spans="1:4" x14ac:dyDescent="0.3">
      <c r="A10518" s="1">
        <v>41190</v>
      </c>
      <c r="B10518">
        <v>3112.3500979999999</v>
      </c>
      <c r="C10518">
        <f t="shared" si="345"/>
        <v>-7.6015303436623707E-3</v>
      </c>
      <c r="D10518">
        <f t="shared" si="344"/>
        <v>-0.64526912172350082</v>
      </c>
    </row>
    <row r="10519" spans="1:4" x14ac:dyDescent="0.3">
      <c r="A10519" s="1">
        <v>41191</v>
      </c>
      <c r="B10519">
        <v>3065.0200199999999</v>
      </c>
      <c r="C10519">
        <f t="shared" si="345"/>
        <v>-1.5207183160536574E-2</v>
      </c>
      <c r="D10519">
        <f t="shared" si="344"/>
        <v>-1.2536900724421809</v>
      </c>
    </row>
    <row r="10520" spans="1:4" x14ac:dyDescent="0.3">
      <c r="A10520" s="1">
        <v>41192</v>
      </c>
      <c r="B10520">
        <v>3051.780029</v>
      </c>
      <c r="C10520">
        <f t="shared" si="345"/>
        <v>-4.3197078366881006E-3</v>
      </c>
      <c r="D10520">
        <f t="shared" si="344"/>
        <v>-0.38273681610034332</v>
      </c>
    </row>
    <row r="10521" spans="1:4" x14ac:dyDescent="0.3">
      <c r="A10521" s="1">
        <v>41193</v>
      </c>
      <c r="B10521">
        <v>3049.4099120000001</v>
      </c>
      <c r="C10521">
        <f t="shared" si="345"/>
        <v>-7.7663428473793733E-4</v>
      </c>
      <c r="D10521">
        <f t="shared" si="344"/>
        <v>-9.9305501149830319E-2</v>
      </c>
    </row>
    <row r="10522" spans="1:4" x14ac:dyDescent="0.3">
      <c r="A10522" s="1">
        <v>41194</v>
      </c>
      <c r="B10522">
        <v>3044.110107</v>
      </c>
      <c r="C10522">
        <f t="shared" si="345"/>
        <v>-1.7379772326260169E-3</v>
      </c>
      <c r="D10522">
        <f t="shared" si="344"/>
        <v>-0.17620898391505449</v>
      </c>
    </row>
    <row r="10523" spans="1:4" x14ac:dyDescent="0.3">
      <c r="A10523" s="1">
        <v>41197</v>
      </c>
      <c r="B10523">
        <v>3064.179932</v>
      </c>
      <c r="C10523">
        <f t="shared" si="345"/>
        <v>6.5930023207271711E-3</v>
      </c>
      <c r="D10523">
        <f t="shared" si="344"/>
        <v>0.49023512316058238</v>
      </c>
    </row>
    <row r="10524" spans="1:4" x14ac:dyDescent="0.3">
      <c r="A10524" s="1">
        <v>41198</v>
      </c>
      <c r="B10524">
        <v>3101.169922</v>
      </c>
      <c r="C10524">
        <f t="shared" si="345"/>
        <v>1.2071742136845257E-2</v>
      </c>
      <c r="D10524">
        <f t="shared" si="344"/>
        <v>0.92851177973729115</v>
      </c>
    </row>
    <row r="10525" spans="1:4" x14ac:dyDescent="0.3">
      <c r="A10525" s="1">
        <v>41199</v>
      </c>
      <c r="B10525">
        <v>3104.1201169999999</v>
      </c>
      <c r="C10525">
        <f t="shared" si="345"/>
        <v>9.5131678502068681E-4</v>
      </c>
      <c r="D10525">
        <f t="shared" si="344"/>
        <v>3.8923479053604472E-2</v>
      </c>
    </row>
    <row r="10526" spans="1:4" x14ac:dyDescent="0.3">
      <c r="A10526" s="1">
        <v>41200</v>
      </c>
      <c r="B10526">
        <v>3072.8701169999999</v>
      </c>
      <c r="C10526">
        <f t="shared" si="345"/>
        <v>-1.006726506131528E-2</v>
      </c>
      <c r="D10526">
        <f t="shared" si="344"/>
        <v>-0.8425177599739907</v>
      </c>
    </row>
    <row r="10527" spans="1:4" x14ac:dyDescent="0.3">
      <c r="A10527" s="1">
        <v>41201</v>
      </c>
      <c r="B10527">
        <v>3005.6201169999999</v>
      </c>
      <c r="C10527">
        <f t="shared" si="345"/>
        <v>-2.1885077285874754E-2</v>
      </c>
      <c r="D10527">
        <f t="shared" si="344"/>
        <v>-1.7878941428045139</v>
      </c>
    </row>
    <row r="10528" spans="1:4" x14ac:dyDescent="0.3">
      <c r="A10528" s="1">
        <v>41204</v>
      </c>
      <c r="B10528">
        <v>3016.959961</v>
      </c>
      <c r="C10528">
        <f t="shared" si="345"/>
        <v>3.7728799910078871E-3</v>
      </c>
      <c r="D10528">
        <f t="shared" si="344"/>
        <v>0.26463693319535075</v>
      </c>
    </row>
    <row r="10529" spans="1:4" x14ac:dyDescent="0.3">
      <c r="A10529" s="1">
        <v>41205</v>
      </c>
      <c r="B10529">
        <v>2990.459961</v>
      </c>
      <c r="C10529">
        <f t="shared" si="345"/>
        <v>-8.7836763969569957E-3</v>
      </c>
      <c r="D10529">
        <f t="shared" si="344"/>
        <v>-0.73983594497345395</v>
      </c>
    </row>
    <row r="10530" spans="1:4" x14ac:dyDescent="0.3">
      <c r="A10530" s="1">
        <v>41206</v>
      </c>
      <c r="B10530">
        <v>2981.6999510000001</v>
      </c>
      <c r="C10530">
        <f t="shared" si="345"/>
        <v>-2.9293186045770189E-3</v>
      </c>
      <c r="D10530">
        <f t="shared" si="344"/>
        <v>-0.27151139484614156</v>
      </c>
    </row>
    <row r="10531" spans="1:4" x14ac:dyDescent="0.3">
      <c r="A10531" s="1">
        <v>41207</v>
      </c>
      <c r="B10531">
        <v>2986.1201169999999</v>
      </c>
      <c r="C10531">
        <f t="shared" si="345"/>
        <v>1.4824315231710184E-3</v>
      </c>
      <c r="D10531">
        <f t="shared" si="344"/>
        <v>8.141047414877807E-2</v>
      </c>
    </row>
    <row r="10532" spans="1:4" x14ac:dyDescent="0.3">
      <c r="A10532" s="1">
        <v>41208</v>
      </c>
      <c r="B10532">
        <v>2987.9499510000001</v>
      </c>
      <c r="C10532">
        <f t="shared" si="345"/>
        <v>6.1277977050650542E-4</v>
      </c>
      <c r="D10532">
        <f t="shared" si="344"/>
        <v>1.1841909964991602E-2</v>
      </c>
    </row>
    <row r="10533" spans="1:4" x14ac:dyDescent="0.3">
      <c r="A10533" s="1">
        <v>41213</v>
      </c>
      <c r="B10533">
        <v>2977.2299800000001</v>
      </c>
      <c r="C10533">
        <f t="shared" si="345"/>
        <v>-3.5877344586753377E-3</v>
      </c>
      <c r="D10533">
        <f t="shared" si="344"/>
        <v>-0.3241819557518375</v>
      </c>
    </row>
    <row r="10534" spans="1:4" x14ac:dyDescent="0.3">
      <c r="A10534" s="1">
        <v>41214</v>
      </c>
      <c r="B10534">
        <v>3020.0600589999999</v>
      </c>
      <c r="C10534">
        <f t="shared" si="345"/>
        <v>1.4385881939829129E-2</v>
      </c>
      <c r="D10534">
        <f t="shared" si="344"/>
        <v>1.1136334481762717</v>
      </c>
    </row>
    <row r="10535" spans="1:4" x14ac:dyDescent="0.3">
      <c r="A10535" s="1">
        <v>41215</v>
      </c>
      <c r="B10535">
        <v>2982.1298830000001</v>
      </c>
      <c r="C10535">
        <f t="shared" si="345"/>
        <v>-1.2559411157061313E-2</v>
      </c>
      <c r="D10535">
        <f t="shared" si="344"/>
        <v>-1.0418791998676948</v>
      </c>
    </row>
    <row r="10536" spans="1:4" x14ac:dyDescent="0.3">
      <c r="A10536" s="1">
        <v>41218</v>
      </c>
      <c r="B10536">
        <v>2999.6599120000001</v>
      </c>
      <c r="C10536">
        <f t="shared" si="345"/>
        <v>5.8783586522948277E-3</v>
      </c>
      <c r="D10536">
        <f t="shared" si="344"/>
        <v>0.43306656831831852</v>
      </c>
    </row>
    <row r="10537" spans="1:4" x14ac:dyDescent="0.3">
      <c r="A10537" s="1">
        <v>41219</v>
      </c>
      <c r="B10537">
        <v>3011.929932</v>
      </c>
      <c r="C10537">
        <f t="shared" si="345"/>
        <v>4.0904703732960812E-3</v>
      </c>
      <c r="D10537">
        <f t="shared" si="344"/>
        <v>0.29004285783895101</v>
      </c>
    </row>
    <row r="10538" spans="1:4" x14ac:dyDescent="0.3">
      <c r="A10538" s="1">
        <v>41220</v>
      </c>
      <c r="B10538">
        <v>2937.290039</v>
      </c>
      <c r="C10538">
        <f t="shared" si="345"/>
        <v>-2.4781417458286353E-2</v>
      </c>
      <c r="D10538">
        <f t="shared" si="344"/>
        <v>-2.0195894467754889</v>
      </c>
    </row>
    <row r="10539" spans="1:4" x14ac:dyDescent="0.3">
      <c r="A10539" s="1">
        <v>41221</v>
      </c>
      <c r="B10539">
        <v>2895.580078</v>
      </c>
      <c r="C10539">
        <f t="shared" si="345"/>
        <v>-1.4200150630749482E-2</v>
      </c>
      <c r="D10539">
        <f t="shared" si="344"/>
        <v>-1.1731316110017189</v>
      </c>
    </row>
    <row r="10540" spans="1:4" x14ac:dyDescent="0.3">
      <c r="A10540" s="1">
        <v>41222</v>
      </c>
      <c r="B10540">
        <v>2904.8701169999999</v>
      </c>
      <c r="C10540">
        <f t="shared" si="345"/>
        <v>3.2083516082265224E-3</v>
      </c>
      <c r="D10540">
        <f t="shared" si="344"/>
        <v>0.21947698392742224</v>
      </c>
    </row>
    <row r="10541" spans="1:4" x14ac:dyDescent="0.3">
      <c r="A10541" s="1">
        <v>41225</v>
      </c>
      <c r="B10541">
        <v>2904.25</v>
      </c>
      <c r="C10541">
        <f t="shared" si="345"/>
        <v>-2.1347494897305818E-4</v>
      </c>
      <c r="D10541">
        <f t="shared" si="344"/>
        <v>-5.4255070013665654E-2</v>
      </c>
    </row>
    <row r="10542" spans="1:4" x14ac:dyDescent="0.3">
      <c r="A10542" s="1">
        <v>41226</v>
      </c>
      <c r="B10542">
        <v>2883.889893</v>
      </c>
      <c r="C10542">
        <f t="shared" si="345"/>
        <v>-7.0104526125505627E-3</v>
      </c>
      <c r="D10542">
        <f t="shared" si="344"/>
        <v>-0.5979853337607095</v>
      </c>
    </row>
    <row r="10543" spans="1:4" x14ac:dyDescent="0.3">
      <c r="A10543" s="1">
        <v>41227</v>
      </c>
      <c r="B10543">
        <v>2846.8100589999999</v>
      </c>
      <c r="C10543">
        <f t="shared" si="345"/>
        <v>-1.2857576182087656E-2</v>
      </c>
      <c r="D10543">
        <f t="shared" si="344"/>
        <v>-1.0657311758078933</v>
      </c>
    </row>
    <row r="10544" spans="1:4" x14ac:dyDescent="0.3">
      <c r="A10544" s="1">
        <v>41228</v>
      </c>
      <c r="B10544">
        <v>2836.9399410000001</v>
      </c>
      <c r="C10544">
        <f t="shared" si="345"/>
        <v>-3.4670799229460712E-3</v>
      </c>
      <c r="D10544">
        <f t="shared" si="344"/>
        <v>-0.31453008902791157</v>
      </c>
    </row>
    <row r="10545" spans="1:4" x14ac:dyDescent="0.3">
      <c r="A10545" s="1">
        <v>41229</v>
      </c>
      <c r="B10545">
        <v>2853.1298830000001</v>
      </c>
      <c r="C10545">
        <f t="shared" si="345"/>
        <v>5.7068328328068662E-3</v>
      </c>
      <c r="D10545">
        <f t="shared" si="344"/>
        <v>0.41934520807766579</v>
      </c>
    </row>
    <row r="10546" spans="1:4" x14ac:dyDescent="0.3">
      <c r="A10546" s="1">
        <v>41232</v>
      </c>
      <c r="B10546">
        <v>2916.070068</v>
      </c>
      <c r="C10546">
        <f t="shared" si="345"/>
        <v>2.2060048992168482E-2</v>
      </c>
      <c r="D10546">
        <f t="shared" si="344"/>
        <v>1.727535255999944</v>
      </c>
    </row>
    <row r="10547" spans="1:4" x14ac:dyDescent="0.3">
      <c r="A10547" s="1">
        <v>41233</v>
      </c>
      <c r="B10547">
        <v>2916.679932</v>
      </c>
      <c r="C10547">
        <f t="shared" si="345"/>
        <v>2.0913900756105424E-4</v>
      </c>
      <c r="D10547">
        <f t="shared" si="344"/>
        <v>-2.044769128990968E-2</v>
      </c>
    </row>
    <row r="10548" spans="1:4" x14ac:dyDescent="0.3">
      <c r="A10548" s="1">
        <v>41234</v>
      </c>
      <c r="B10548">
        <v>2926.5500489999999</v>
      </c>
      <c r="C10548">
        <f t="shared" si="345"/>
        <v>3.384024723354505E-3</v>
      </c>
      <c r="D10548">
        <f t="shared" si="344"/>
        <v>0.23353011076549507</v>
      </c>
    </row>
    <row r="10549" spans="1:4" x14ac:dyDescent="0.3">
      <c r="A10549" s="1">
        <v>41236</v>
      </c>
      <c r="B10549">
        <v>2966.8500979999999</v>
      </c>
      <c r="C10549">
        <f t="shared" si="345"/>
        <v>1.3770497112725081E-2</v>
      </c>
      <c r="D10549">
        <f t="shared" si="344"/>
        <v>1.0644051924854772</v>
      </c>
    </row>
    <row r="10550" spans="1:4" x14ac:dyDescent="0.3">
      <c r="A10550" s="1">
        <v>41239</v>
      </c>
      <c r="B10550">
        <v>2976.780029</v>
      </c>
      <c r="C10550">
        <f t="shared" si="345"/>
        <v>3.3469608075898565E-3</v>
      </c>
      <c r="D10550">
        <f t="shared" si="344"/>
        <v>0.23056514991205548</v>
      </c>
    </row>
    <row r="10551" spans="1:4" x14ac:dyDescent="0.3">
      <c r="A10551" s="1">
        <v>41240</v>
      </c>
      <c r="B10551">
        <v>2967.790039</v>
      </c>
      <c r="C10551">
        <f t="shared" si="345"/>
        <v>-3.0200384013662146E-3</v>
      </c>
      <c r="D10551">
        <f t="shared" si="344"/>
        <v>-0.27876860554724381</v>
      </c>
    </row>
    <row r="10552" spans="1:4" x14ac:dyDescent="0.3">
      <c r="A10552" s="1">
        <v>41241</v>
      </c>
      <c r="B10552">
        <v>2991.780029</v>
      </c>
      <c r="C10552">
        <f t="shared" si="345"/>
        <v>8.0834525639433327E-3</v>
      </c>
      <c r="D10552">
        <f t="shared" si="344"/>
        <v>0.60946501384985441</v>
      </c>
    </row>
    <row r="10553" spans="1:4" x14ac:dyDescent="0.3">
      <c r="A10553" s="1">
        <v>41242</v>
      </c>
      <c r="B10553">
        <v>3012.030029</v>
      </c>
      <c r="C10553">
        <f t="shared" si="345"/>
        <v>6.7685457499255201E-3</v>
      </c>
      <c r="D10553">
        <f t="shared" si="344"/>
        <v>0.50427787565755633</v>
      </c>
    </row>
    <row r="10554" spans="1:4" x14ac:dyDescent="0.3">
      <c r="A10554" s="1">
        <v>41243</v>
      </c>
      <c r="B10554">
        <v>3010.23999</v>
      </c>
      <c r="C10554">
        <f t="shared" si="345"/>
        <v>-5.942965318291582E-4</v>
      </c>
      <c r="D10554">
        <f t="shared" si="344"/>
        <v>-8.4719230694448033E-2</v>
      </c>
    </row>
    <row r="10555" spans="1:4" x14ac:dyDescent="0.3">
      <c r="A10555" s="1">
        <v>41246</v>
      </c>
      <c r="B10555">
        <v>3002.1999510000001</v>
      </c>
      <c r="C10555">
        <f t="shared" si="345"/>
        <v>-2.670896349363819E-3</v>
      </c>
      <c r="D10555">
        <f t="shared" si="344"/>
        <v>-0.25083867706774848</v>
      </c>
    </row>
    <row r="10556" spans="1:4" x14ac:dyDescent="0.3">
      <c r="A10556" s="1">
        <v>41247</v>
      </c>
      <c r="B10556">
        <v>2996.6899410000001</v>
      </c>
      <c r="C10556">
        <f t="shared" si="345"/>
        <v>-1.8353241256181625E-3</v>
      </c>
      <c r="D10556">
        <f t="shared" si="344"/>
        <v>-0.18399633506161028</v>
      </c>
    </row>
    <row r="10557" spans="1:4" x14ac:dyDescent="0.3">
      <c r="A10557" s="1">
        <v>41248</v>
      </c>
      <c r="B10557">
        <v>2973.6999510000001</v>
      </c>
      <c r="C10557">
        <f t="shared" si="345"/>
        <v>-7.671794697695097E-3</v>
      </c>
      <c r="D10557">
        <f t="shared" si="344"/>
        <v>-0.65088998111736873</v>
      </c>
    </row>
    <row r="10558" spans="1:4" x14ac:dyDescent="0.3">
      <c r="A10558" s="1">
        <v>41249</v>
      </c>
      <c r="B10558">
        <v>2989.2700199999999</v>
      </c>
      <c r="C10558">
        <f t="shared" si="345"/>
        <v>5.2359246919864762E-3</v>
      </c>
      <c r="D10558">
        <f t="shared" si="344"/>
        <v>0.38167449319787999</v>
      </c>
    </row>
    <row r="10559" spans="1:4" x14ac:dyDescent="0.3">
      <c r="A10559" s="1">
        <v>41250</v>
      </c>
      <c r="B10559">
        <v>2978.040039</v>
      </c>
      <c r="C10559">
        <f t="shared" si="345"/>
        <v>-3.7567636663348174E-3</v>
      </c>
      <c r="D10559">
        <f t="shared" si="344"/>
        <v>-0.33770359731234084</v>
      </c>
    </row>
    <row r="10560" spans="1:4" x14ac:dyDescent="0.3">
      <c r="A10560" s="1">
        <v>41253</v>
      </c>
      <c r="B10560">
        <v>2986.959961</v>
      </c>
      <c r="C10560">
        <f t="shared" si="345"/>
        <v>2.9952323955306105E-3</v>
      </c>
      <c r="D10560">
        <f t="shared" si="344"/>
        <v>0.20242832326318827</v>
      </c>
    </row>
    <row r="10561" spans="1:4" x14ac:dyDescent="0.3">
      <c r="A10561" s="1">
        <v>41254</v>
      </c>
      <c r="B10561">
        <v>3022.3000489999999</v>
      </c>
      <c r="C10561">
        <f t="shared" si="345"/>
        <v>1.1831456886408503E-2</v>
      </c>
      <c r="D10561">
        <f t="shared" si="344"/>
        <v>0.90928994776120442</v>
      </c>
    </row>
    <row r="10562" spans="1:4" x14ac:dyDescent="0.3">
      <c r="A10562" s="1">
        <v>41255</v>
      </c>
      <c r="B10562">
        <v>3013.8100589999999</v>
      </c>
      <c r="C10562">
        <f t="shared" si="345"/>
        <v>-2.8091155286878778E-3</v>
      </c>
      <c r="D10562">
        <f t="shared" si="344"/>
        <v>-0.26189564305301172</v>
      </c>
    </row>
    <row r="10563" spans="1:4" x14ac:dyDescent="0.3">
      <c r="A10563" s="1">
        <v>41256</v>
      </c>
      <c r="B10563">
        <v>2992.1599120000001</v>
      </c>
      <c r="C10563">
        <f t="shared" si="345"/>
        <v>-7.1836468045977262E-3</v>
      </c>
      <c r="D10563">
        <f t="shared" ref="D10563:D10626" si="346">(C10563-avrtn)/sdrtn</f>
        <v>-0.61184015694570948</v>
      </c>
    </row>
    <row r="10564" spans="1:4" x14ac:dyDescent="0.3">
      <c r="A10564" s="1">
        <v>41257</v>
      </c>
      <c r="B10564">
        <v>2971.330078</v>
      </c>
      <c r="C10564">
        <f t="shared" ref="C10564:C10627" si="347">(B10564-B10563)/B10563</f>
        <v>-6.9614708480193414E-3</v>
      </c>
      <c r="D10564">
        <f t="shared" si="346"/>
        <v>-0.59406699401243102</v>
      </c>
    </row>
    <row r="10565" spans="1:4" x14ac:dyDescent="0.3">
      <c r="A10565" s="1">
        <v>41260</v>
      </c>
      <c r="B10565">
        <v>3010.6000979999999</v>
      </c>
      <c r="C10565">
        <f t="shared" si="347"/>
        <v>1.3216310194131159E-2</v>
      </c>
      <c r="D10565">
        <f t="shared" si="346"/>
        <v>1.0200725178281893</v>
      </c>
    </row>
    <row r="10566" spans="1:4" x14ac:dyDescent="0.3">
      <c r="A10566" s="1">
        <v>41261</v>
      </c>
      <c r="B10566">
        <v>3054.530029</v>
      </c>
      <c r="C10566">
        <f t="shared" si="347"/>
        <v>1.4591752331763901E-2</v>
      </c>
      <c r="D10566">
        <f t="shared" si="346"/>
        <v>1.1301022329869437</v>
      </c>
    </row>
    <row r="10567" spans="1:4" x14ac:dyDescent="0.3">
      <c r="A10567" s="1">
        <v>41262</v>
      </c>
      <c r="B10567">
        <v>3044.360107</v>
      </c>
      <c r="C10567">
        <f t="shared" si="347"/>
        <v>-3.3294555638497024E-3</v>
      </c>
      <c r="D10567">
        <f t="shared" si="346"/>
        <v>-0.3035207062149482</v>
      </c>
    </row>
    <row r="10568" spans="1:4" x14ac:dyDescent="0.3">
      <c r="A10568" s="1">
        <v>41263</v>
      </c>
      <c r="B10568">
        <v>3050.389893</v>
      </c>
      <c r="C10568">
        <f t="shared" si="347"/>
        <v>1.9806415102259314E-3</v>
      </c>
      <c r="D10568">
        <f t="shared" si="346"/>
        <v>0.12126522446146316</v>
      </c>
    </row>
    <row r="10569" spans="1:4" x14ac:dyDescent="0.3">
      <c r="A10569" s="1">
        <v>41264</v>
      </c>
      <c r="B10569">
        <v>3021.01001</v>
      </c>
      <c r="C10569">
        <f t="shared" si="347"/>
        <v>-9.6315172914192664E-3</v>
      </c>
      <c r="D10569">
        <f t="shared" si="346"/>
        <v>-0.80765973018784587</v>
      </c>
    </row>
    <row r="10570" spans="1:4" x14ac:dyDescent="0.3">
      <c r="A10570" s="1">
        <v>41267</v>
      </c>
      <c r="B10570">
        <v>3012.6000979999999</v>
      </c>
      <c r="C10570">
        <f t="shared" si="347"/>
        <v>-2.7838080549756525E-3</v>
      </c>
      <c r="D10570">
        <f t="shared" si="346"/>
        <v>-0.25987114922098742</v>
      </c>
    </row>
    <row r="10571" spans="1:4" x14ac:dyDescent="0.3">
      <c r="A10571" s="1">
        <v>41269</v>
      </c>
      <c r="B10571">
        <v>2990.1599120000001</v>
      </c>
      <c r="C10571">
        <f t="shared" si="347"/>
        <v>-7.4487768937196034E-3</v>
      </c>
      <c r="D10571">
        <f t="shared" si="346"/>
        <v>-0.63304947385401888</v>
      </c>
    </row>
    <row r="10572" spans="1:4" x14ac:dyDescent="0.3">
      <c r="A10572" s="1">
        <v>41270</v>
      </c>
      <c r="B10572">
        <v>2985.9099120000001</v>
      </c>
      <c r="C10572">
        <f t="shared" si="347"/>
        <v>-1.421328666384716E-3</v>
      </c>
      <c r="D10572">
        <f t="shared" si="346"/>
        <v>-0.15087840068243494</v>
      </c>
    </row>
    <row r="10573" spans="1:4" x14ac:dyDescent="0.3">
      <c r="A10573" s="1">
        <v>41271</v>
      </c>
      <c r="B10573">
        <v>2960.3100589999999</v>
      </c>
      <c r="C10573">
        <f t="shared" si="347"/>
        <v>-8.5735516993053085E-3</v>
      </c>
      <c r="D10573">
        <f t="shared" si="346"/>
        <v>-0.72302683319923855</v>
      </c>
    </row>
    <row r="10574" spans="1:4" x14ac:dyDescent="0.3">
      <c r="A10574" s="1">
        <v>41274</v>
      </c>
      <c r="B10574">
        <v>3019.51001</v>
      </c>
      <c r="C10574">
        <f t="shared" si="347"/>
        <v>1.9997888673863422E-2</v>
      </c>
      <c r="D10574">
        <f t="shared" si="346"/>
        <v>1.5625709101894361</v>
      </c>
    </row>
    <row r="10575" spans="1:4" x14ac:dyDescent="0.3">
      <c r="A10575" s="1">
        <v>41276</v>
      </c>
      <c r="B10575">
        <v>3112.26001</v>
      </c>
      <c r="C10575">
        <f t="shared" si="347"/>
        <v>3.0716904296667659E-2</v>
      </c>
      <c r="D10575">
        <f t="shared" si="346"/>
        <v>2.4200480831581643</v>
      </c>
    </row>
    <row r="10576" spans="1:4" x14ac:dyDescent="0.3">
      <c r="A10576" s="1">
        <v>41277</v>
      </c>
      <c r="B10576">
        <v>3100.570068</v>
      </c>
      <c r="C10576">
        <f t="shared" si="347"/>
        <v>-3.7560942731131174E-3</v>
      </c>
      <c r="D10576">
        <f t="shared" si="346"/>
        <v>-0.33765004860716624</v>
      </c>
    </row>
    <row r="10577" spans="1:4" x14ac:dyDescent="0.3">
      <c r="A10577" s="1">
        <v>41278</v>
      </c>
      <c r="B10577">
        <v>3101.6599120000001</v>
      </c>
      <c r="C10577">
        <f t="shared" si="347"/>
        <v>3.5149794266803346E-4</v>
      </c>
      <c r="D10577">
        <f t="shared" si="346"/>
        <v>-9.0595618647903078E-3</v>
      </c>
    </row>
    <row r="10578" spans="1:4" x14ac:dyDescent="0.3">
      <c r="A10578" s="1">
        <v>41281</v>
      </c>
      <c r="B10578">
        <v>3098.8100589999999</v>
      </c>
      <c r="C10578">
        <f t="shared" si="347"/>
        <v>-9.1881543459177491E-4</v>
      </c>
      <c r="D10578">
        <f t="shared" si="346"/>
        <v>-0.11067940848575569</v>
      </c>
    </row>
    <row r="10579" spans="1:4" x14ac:dyDescent="0.3">
      <c r="A10579" s="1">
        <v>41282</v>
      </c>
      <c r="B10579">
        <v>3091.8100589999999</v>
      </c>
      <c r="C10579">
        <f t="shared" si="347"/>
        <v>-2.258931611400194E-3</v>
      </c>
      <c r="D10579">
        <f t="shared" si="346"/>
        <v>-0.2178831920397831</v>
      </c>
    </row>
    <row r="10580" spans="1:4" x14ac:dyDescent="0.3">
      <c r="A10580" s="1">
        <v>41283</v>
      </c>
      <c r="B10580">
        <v>3105.8100589999999</v>
      </c>
      <c r="C10580">
        <f t="shared" si="347"/>
        <v>4.5280918726708884E-3</v>
      </c>
      <c r="D10580">
        <f t="shared" si="346"/>
        <v>0.32505077827857765</v>
      </c>
    </row>
    <row r="10581" spans="1:4" x14ac:dyDescent="0.3">
      <c r="A10581" s="1">
        <v>41284</v>
      </c>
      <c r="B10581">
        <v>3121.76001</v>
      </c>
      <c r="C10581">
        <f t="shared" si="347"/>
        <v>5.1355204268787695E-3</v>
      </c>
      <c r="D10581">
        <f t="shared" si="346"/>
        <v>0.37364256485406855</v>
      </c>
    </row>
    <row r="10582" spans="1:4" x14ac:dyDescent="0.3">
      <c r="A10582" s="1">
        <v>41285</v>
      </c>
      <c r="B10582">
        <v>3125.6298830000001</v>
      </c>
      <c r="C10582">
        <f t="shared" si="347"/>
        <v>1.2396446195747435E-3</v>
      </c>
      <c r="D10582">
        <f t="shared" si="346"/>
        <v>6.1988520206789022E-2</v>
      </c>
    </row>
    <row r="10583" spans="1:4" x14ac:dyDescent="0.3">
      <c r="A10583" s="1">
        <v>41288</v>
      </c>
      <c r="B10583">
        <v>3117.5</v>
      </c>
      <c r="C10583">
        <f t="shared" si="347"/>
        <v>-2.6010382880640201E-3</v>
      </c>
      <c r="D10583">
        <f t="shared" si="346"/>
        <v>-0.24525031942182909</v>
      </c>
    </row>
    <row r="10584" spans="1:4" x14ac:dyDescent="0.3">
      <c r="A10584" s="1">
        <v>41289</v>
      </c>
      <c r="B10584">
        <v>3110.780029</v>
      </c>
      <c r="C10584">
        <f t="shared" si="347"/>
        <v>-2.1555640737770609E-3</v>
      </c>
      <c r="D10584">
        <f t="shared" si="346"/>
        <v>-0.20961421407978695</v>
      </c>
    </row>
    <row r="10585" spans="1:4" x14ac:dyDescent="0.3">
      <c r="A10585" s="1">
        <v>41290</v>
      </c>
      <c r="B10585">
        <v>3117.540039</v>
      </c>
      <c r="C10585">
        <f t="shared" si="347"/>
        <v>2.1730916159227939E-3</v>
      </c>
      <c r="D10585">
        <f t="shared" si="346"/>
        <v>0.13666044155764898</v>
      </c>
    </row>
    <row r="10586" spans="1:4" x14ac:dyDescent="0.3">
      <c r="A10586" s="1">
        <v>41291</v>
      </c>
      <c r="B10586">
        <v>3136</v>
      </c>
      <c r="C10586">
        <f t="shared" si="347"/>
        <v>5.9213228279567966E-3</v>
      </c>
      <c r="D10586">
        <f t="shared" si="346"/>
        <v>0.43650352570153006</v>
      </c>
    </row>
    <row r="10587" spans="1:4" x14ac:dyDescent="0.3">
      <c r="A10587" s="1">
        <v>41292</v>
      </c>
      <c r="B10587">
        <v>3134.709961</v>
      </c>
      <c r="C10587">
        <f t="shared" si="347"/>
        <v>-4.1136447704080958E-4</v>
      </c>
      <c r="D10587">
        <f t="shared" si="346"/>
        <v>-7.0085418532484137E-2</v>
      </c>
    </row>
    <row r="10588" spans="1:4" x14ac:dyDescent="0.3">
      <c r="A10588" s="1">
        <v>41296</v>
      </c>
      <c r="B10588">
        <v>3143.179932</v>
      </c>
      <c r="C10588">
        <f t="shared" si="347"/>
        <v>2.7019951145011169E-3</v>
      </c>
      <c r="D10588">
        <f t="shared" si="346"/>
        <v>0.17897054657973333</v>
      </c>
    </row>
    <row r="10589" spans="1:4" x14ac:dyDescent="0.3">
      <c r="A10589" s="1">
        <v>41297</v>
      </c>
      <c r="B10589">
        <v>3153.669922</v>
      </c>
      <c r="C10589">
        <f t="shared" si="347"/>
        <v>3.3373813230365311E-3</v>
      </c>
      <c r="D10589">
        <f t="shared" si="346"/>
        <v>0.22979883053886532</v>
      </c>
    </row>
    <row r="10590" spans="1:4" x14ac:dyDescent="0.3">
      <c r="A10590" s="1">
        <v>41298</v>
      </c>
      <c r="B10590">
        <v>3130.3798830000001</v>
      </c>
      <c r="C10590">
        <f t="shared" si="347"/>
        <v>-7.3850591774138052E-3</v>
      </c>
      <c r="D10590">
        <f t="shared" si="346"/>
        <v>-0.62795231855836997</v>
      </c>
    </row>
    <row r="10591" spans="1:4" x14ac:dyDescent="0.3">
      <c r="A10591" s="1">
        <v>41299</v>
      </c>
      <c r="B10591">
        <v>3149.709961</v>
      </c>
      <c r="C10591">
        <f t="shared" si="347"/>
        <v>6.1749943209687937E-3</v>
      </c>
      <c r="D10591">
        <f t="shared" si="346"/>
        <v>0.45679620203907778</v>
      </c>
    </row>
    <row r="10592" spans="1:4" x14ac:dyDescent="0.3">
      <c r="A10592" s="1">
        <v>41302</v>
      </c>
      <c r="B10592">
        <v>3154.3000489999999</v>
      </c>
      <c r="C10592">
        <f t="shared" si="347"/>
        <v>1.4573049762787106E-3</v>
      </c>
      <c r="D10592">
        <f t="shared" si="346"/>
        <v>7.9400453718371636E-2</v>
      </c>
    </row>
    <row r="10593" spans="1:4" x14ac:dyDescent="0.3">
      <c r="A10593" s="1">
        <v>41303</v>
      </c>
      <c r="B10593">
        <v>3153.6599120000001</v>
      </c>
      <c r="C10593">
        <f t="shared" si="347"/>
        <v>-2.029410614259125E-4</v>
      </c>
      <c r="D10593">
        <f t="shared" si="346"/>
        <v>-5.3412402325498404E-2</v>
      </c>
    </row>
    <row r="10594" spans="1:4" x14ac:dyDescent="0.3">
      <c r="A10594" s="1">
        <v>41304</v>
      </c>
      <c r="B10594">
        <v>3142.3100589999999</v>
      </c>
      <c r="C10594">
        <f t="shared" si="347"/>
        <v>-3.5989464040852375E-3</v>
      </c>
      <c r="D10594">
        <f t="shared" si="346"/>
        <v>-0.32507886528083446</v>
      </c>
    </row>
    <row r="10595" spans="1:4" x14ac:dyDescent="0.3">
      <c r="A10595" s="1">
        <v>41305</v>
      </c>
      <c r="B10595">
        <v>3142.1298830000001</v>
      </c>
      <c r="C10595">
        <f t="shared" si="347"/>
        <v>-5.7338708344136289E-5</v>
      </c>
      <c r="D10595">
        <f t="shared" si="346"/>
        <v>-4.1764812799409683E-2</v>
      </c>
    </row>
    <row r="10596" spans="1:4" x14ac:dyDescent="0.3">
      <c r="A10596" s="1">
        <v>41306</v>
      </c>
      <c r="B10596">
        <v>3179.1000979999999</v>
      </c>
      <c r="C10596">
        <f t="shared" si="347"/>
        <v>1.1765972883559449E-2</v>
      </c>
      <c r="D10596">
        <f t="shared" si="346"/>
        <v>0.90405149680510877</v>
      </c>
    </row>
    <row r="10597" spans="1:4" x14ac:dyDescent="0.3">
      <c r="A10597" s="1">
        <v>41309</v>
      </c>
      <c r="B10597">
        <v>3131.169922</v>
      </c>
      <c r="C10597">
        <f t="shared" si="347"/>
        <v>-1.5076648901414946E-2</v>
      </c>
      <c r="D10597">
        <f t="shared" si="346"/>
        <v>-1.2432478684725312</v>
      </c>
    </row>
    <row r="10598" spans="1:4" x14ac:dyDescent="0.3">
      <c r="A10598" s="1">
        <v>41310</v>
      </c>
      <c r="B10598">
        <v>3171.580078</v>
      </c>
      <c r="C10598">
        <f t="shared" si="347"/>
        <v>1.2905769091633448E-2</v>
      </c>
      <c r="D10598">
        <f t="shared" si="346"/>
        <v>0.99523050658101597</v>
      </c>
    </row>
    <row r="10599" spans="1:4" x14ac:dyDescent="0.3">
      <c r="A10599" s="1">
        <v>41311</v>
      </c>
      <c r="B10599">
        <v>3168.4799800000001</v>
      </c>
      <c r="C10599">
        <f t="shared" si="347"/>
        <v>-9.7746168274420882E-4</v>
      </c>
      <c r="D10599">
        <f t="shared" si="346"/>
        <v>-0.11537086718313704</v>
      </c>
    </row>
    <row r="10600" spans="1:4" x14ac:dyDescent="0.3">
      <c r="A10600" s="1">
        <v>41312</v>
      </c>
      <c r="B10600">
        <v>3165.1298830000001</v>
      </c>
      <c r="C10600">
        <f t="shared" si="347"/>
        <v>-1.057319920323437E-3</v>
      </c>
      <c r="D10600">
        <f t="shared" si="346"/>
        <v>-0.12175919781044021</v>
      </c>
    </row>
    <row r="10601" spans="1:4" x14ac:dyDescent="0.3">
      <c r="A10601" s="1">
        <v>41313</v>
      </c>
      <c r="B10601">
        <v>3193.8701169999999</v>
      </c>
      <c r="C10601">
        <f t="shared" si="347"/>
        <v>9.0802700244196812E-3</v>
      </c>
      <c r="D10601">
        <f t="shared" si="346"/>
        <v>0.68920631175007274</v>
      </c>
    </row>
    <row r="10602" spans="1:4" x14ac:dyDescent="0.3">
      <c r="A10602" s="1">
        <v>41316</v>
      </c>
      <c r="B10602">
        <v>3192</v>
      </c>
      <c r="C10602">
        <f t="shared" si="347"/>
        <v>-5.8553320313367541E-4</v>
      </c>
      <c r="D10602">
        <f t="shared" si="346"/>
        <v>-8.4018200433832332E-2</v>
      </c>
    </row>
    <row r="10603" spans="1:4" x14ac:dyDescent="0.3">
      <c r="A10603" s="1">
        <v>41317</v>
      </c>
      <c r="B10603">
        <v>3186.48999</v>
      </c>
      <c r="C10603">
        <f t="shared" si="347"/>
        <v>-1.7261936090225457E-3</v>
      </c>
      <c r="D10603">
        <f t="shared" si="346"/>
        <v>-0.17526634248132655</v>
      </c>
    </row>
    <row r="10604" spans="1:4" x14ac:dyDescent="0.3">
      <c r="A10604" s="1">
        <v>41318</v>
      </c>
      <c r="B10604">
        <v>3196.8798830000001</v>
      </c>
      <c r="C10604">
        <f t="shared" si="347"/>
        <v>3.2606074497663899E-3</v>
      </c>
      <c r="D10604">
        <f t="shared" si="346"/>
        <v>0.22365723637330728</v>
      </c>
    </row>
    <row r="10605" spans="1:4" x14ac:dyDescent="0.3">
      <c r="A10605" s="1">
        <v>41319</v>
      </c>
      <c r="B10605">
        <v>3198.6599120000001</v>
      </c>
      <c r="C10605">
        <f t="shared" si="347"/>
        <v>5.568019647737303E-4</v>
      </c>
      <c r="D10605">
        <f t="shared" si="346"/>
        <v>7.3639156884821571E-3</v>
      </c>
    </row>
    <row r="10606" spans="1:4" x14ac:dyDescent="0.3">
      <c r="A10606" s="1">
        <v>41320</v>
      </c>
      <c r="B10606">
        <v>3192.030029</v>
      </c>
      <c r="C10606">
        <f t="shared" si="347"/>
        <v>-2.0727064403213316E-3</v>
      </c>
      <c r="D10606">
        <f t="shared" si="346"/>
        <v>-0.20298594411595319</v>
      </c>
    </row>
    <row r="10607" spans="1:4" x14ac:dyDescent="0.3">
      <c r="A10607" s="1">
        <v>41324</v>
      </c>
      <c r="B10607">
        <v>3213.5900879999999</v>
      </c>
      <c r="C10607">
        <f t="shared" si="347"/>
        <v>6.7543409066092809E-3</v>
      </c>
      <c r="D10607">
        <f t="shared" si="346"/>
        <v>0.50314154660292187</v>
      </c>
    </row>
    <row r="10608" spans="1:4" x14ac:dyDescent="0.3">
      <c r="A10608" s="1">
        <v>41325</v>
      </c>
      <c r="B10608">
        <v>3164.4099120000001</v>
      </c>
      <c r="C10608">
        <f t="shared" si="347"/>
        <v>-1.5303811205929961E-2</v>
      </c>
      <c r="D10608">
        <f t="shared" si="346"/>
        <v>-1.261419918736755</v>
      </c>
    </row>
    <row r="10609" spans="1:4" x14ac:dyDescent="0.3">
      <c r="A10609" s="1">
        <v>41326</v>
      </c>
      <c r="B10609">
        <v>3131.48999</v>
      </c>
      <c r="C10609">
        <f t="shared" si="347"/>
        <v>-1.0403178764913451E-2</v>
      </c>
      <c r="D10609">
        <f t="shared" si="346"/>
        <v>-0.86938947497644159</v>
      </c>
    </row>
    <row r="10610" spans="1:4" x14ac:dyDescent="0.3">
      <c r="A10610" s="1">
        <v>41327</v>
      </c>
      <c r="B10610">
        <v>3161.820068</v>
      </c>
      <c r="C10610">
        <f t="shared" si="347"/>
        <v>9.6855101235689915E-3</v>
      </c>
      <c r="D10610">
        <f t="shared" si="346"/>
        <v>0.73762303091985892</v>
      </c>
    </row>
    <row r="10611" spans="1:4" x14ac:dyDescent="0.3">
      <c r="A10611" s="1">
        <v>41330</v>
      </c>
      <c r="B10611">
        <v>3116.25</v>
      </c>
      <c r="C10611">
        <f t="shared" si="347"/>
        <v>-1.4412606353284741E-2</v>
      </c>
      <c r="D10611">
        <f t="shared" si="346"/>
        <v>-1.1901271951813885</v>
      </c>
    </row>
    <row r="10612" spans="1:4" x14ac:dyDescent="0.3">
      <c r="A10612" s="1">
        <v>41331</v>
      </c>
      <c r="B10612">
        <v>3129.6499020000001</v>
      </c>
      <c r="C10612">
        <f t="shared" si="347"/>
        <v>4.3000086642599631E-3</v>
      </c>
      <c r="D10612">
        <f t="shared" si="346"/>
        <v>0.30680505948946074</v>
      </c>
    </row>
    <row r="10613" spans="1:4" x14ac:dyDescent="0.3">
      <c r="A10613" s="1">
        <v>41332</v>
      </c>
      <c r="B10613">
        <v>3162.26001</v>
      </c>
      <c r="C10613">
        <f t="shared" si="347"/>
        <v>1.0419730328034581E-2</v>
      </c>
      <c r="D10613">
        <f t="shared" si="346"/>
        <v>0.79635762814558531</v>
      </c>
    </row>
    <row r="10614" spans="1:4" x14ac:dyDescent="0.3">
      <c r="A10614" s="1">
        <v>41333</v>
      </c>
      <c r="B10614">
        <v>3160.1899410000001</v>
      </c>
      <c r="C10614">
        <f t="shared" si="347"/>
        <v>-6.546169490977043E-4</v>
      </c>
      <c r="D10614">
        <f t="shared" si="346"/>
        <v>-8.9544616036893829E-2</v>
      </c>
    </row>
    <row r="10615" spans="1:4" x14ac:dyDescent="0.3">
      <c r="A10615" s="1">
        <v>41334</v>
      </c>
      <c r="B10615">
        <v>3169.73999</v>
      </c>
      <c r="C10615">
        <f t="shared" si="347"/>
        <v>3.0219857598109937E-3</v>
      </c>
      <c r="D10615">
        <f t="shared" si="346"/>
        <v>0.20456848239512768</v>
      </c>
    </row>
    <row r="10616" spans="1:4" x14ac:dyDescent="0.3">
      <c r="A10616" s="1">
        <v>41337</v>
      </c>
      <c r="B10616">
        <v>3182.030029</v>
      </c>
      <c r="C10616">
        <f t="shared" si="347"/>
        <v>3.8773019360493284E-3</v>
      </c>
      <c r="D10616">
        <f t="shared" si="346"/>
        <v>0.27299025941306237</v>
      </c>
    </row>
    <row r="10617" spans="1:4" x14ac:dyDescent="0.3">
      <c r="A10617" s="1">
        <v>41338</v>
      </c>
      <c r="B10617">
        <v>3224.1298830000001</v>
      </c>
      <c r="C10617">
        <f t="shared" si="347"/>
        <v>1.3230501791722736E-2</v>
      </c>
      <c r="D10617">
        <f t="shared" si="346"/>
        <v>1.0212077872793175</v>
      </c>
    </row>
    <row r="10618" spans="1:4" x14ac:dyDescent="0.3">
      <c r="A10618" s="1">
        <v>41339</v>
      </c>
      <c r="B10618">
        <v>3222.3701169999999</v>
      </c>
      <c r="C10618">
        <f t="shared" si="347"/>
        <v>-5.4581113784494737E-4</v>
      </c>
      <c r="D10618">
        <f t="shared" si="346"/>
        <v>-8.084059854884254E-2</v>
      </c>
    </row>
    <row r="10619" spans="1:4" x14ac:dyDescent="0.3">
      <c r="A10619" s="1">
        <v>41340</v>
      </c>
      <c r="B10619">
        <v>3232.0900879999999</v>
      </c>
      <c r="C10619">
        <f t="shared" si="347"/>
        <v>3.0164042760703106E-3</v>
      </c>
      <c r="D10619">
        <f t="shared" si="346"/>
        <v>0.20412198664707132</v>
      </c>
    </row>
    <row r="10620" spans="1:4" x14ac:dyDescent="0.3">
      <c r="A10620" s="1">
        <v>41341</v>
      </c>
      <c r="B10620">
        <v>3244.3701169999999</v>
      </c>
      <c r="C10620">
        <f t="shared" si="347"/>
        <v>3.7994080194710257E-3</v>
      </c>
      <c r="D10620">
        <f t="shared" si="346"/>
        <v>0.266759066388497</v>
      </c>
    </row>
    <row r="10621" spans="1:4" x14ac:dyDescent="0.3">
      <c r="A10621" s="1">
        <v>41344</v>
      </c>
      <c r="B10621">
        <v>3252.8701169999999</v>
      </c>
      <c r="C10621">
        <f t="shared" si="347"/>
        <v>2.619923033892252E-3</v>
      </c>
      <c r="D10621">
        <f t="shared" si="346"/>
        <v>0.17240511761343613</v>
      </c>
    </row>
    <row r="10622" spans="1:4" x14ac:dyDescent="0.3">
      <c r="A10622" s="1">
        <v>41345</v>
      </c>
      <c r="B10622">
        <v>3242.320068</v>
      </c>
      <c r="C10622">
        <f t="shared" si="347"/>
        <v>-3.2433047187662872E-3</v>
      </c>
      <c r="D10622">
        <f t="shared" si="346"/>
        <v>-0.2966289928626667</v>
      </c>
    </row>
    <row r="10623" spans="1:4" x14ac:dyDescent="0.3">
      <c r="A10623" s="1">
        <v>41346</v>
      </c>
      <c r="B10623">
        <v>3245.1201169999999</v>
      </c>
      <c r="C10623">
        <f t="shared" si="347"/>
        <v>8.6359426005932008E-4</v>
      </c>
      <c r="D10623">
        <f t="shared" si="346"/>
        <v>3.1906037773873144E-2</v>
      </c>
    </row>
    <row r="10624" spans="1:4" x14ac:dyDescent="0.3">
      <c r="A10624" s="1">
        <v>41347</v>
      </c>
      <c r="B10624">
        <v>3258.929932</v>
      </c>
      <c r="C10624">
        <f t="shared" si="347"/>
        <v>4.2555635853525082E-3</v>
      </c>
      <c r="D10624">
        <f t="shared" si="346"/>
        <v>0.30324963593612081</v>
      </c>
    </row>
    <row r="10625" spans="1:4" x14ac:dyDescent="0.3">
      <c r="A10625" s="1">
        <v>41348</v>
      </c>
      <c r="B10625">
        <v>3249.070068</v>
      </c>
      <c r="C10625">
        <f t="shared" si="347"/>
        <v>-3.0254912519549117E-3</v>
      </c>
      <c r="D10625">
        <f t="shared" si="346"/>
        <v>-0.27920481117208396</v>
      </c>
    </row>
    <row r="10626" spans="1:4" x14ac:dyDescent="0.3">
      <c r="A10626" s="1">
        <v>41351</v>
      </c>
      <c r="B10626">
        <v>3237.5900879999999</v>
      </c>
      <c r="C10626">
        <f t="shared" si="347"/>
        <v>-3.5333125355054883E-3</v>
      </c>
      <c r="D10626">
        <f t="shared" si="346"/>
        <v>-0.31982842568253478</v>
      </c>
    </row>
    <row r="10627" spans="1:4" x14ac:dyDescent="0.3">
      <c r="A10627" s="1">
        <v>41352</v>
      </c>
      <c r="B10627">
        <v>3229.1000979999999</v>
      </c>
      <c r="C10627">
        <f t="shared" si="347"/>
        <v>-2.6223177639034191E-3</v>
      </c>
      <c r="D10627">
        <f t="shared" ref="D10627:D10690" si="348">(C10627-avrtn)/sdrtn</f>
        <v>-0.24695258998725353</v>
      </c>
    </row>
    <row r="10628" spans="1:4" x14ac:dyDescent="0.3">
      <c r="A10628" s="1">
        <v>41353</v>
      </c>
      <c r="B10628">
        <v>3254.1899410000001</v>
      </c>
      <c r="C10628">
        <f t="shared" ref="C10628:C10691" si="349">(B10628-B10627)/B10627</f>
        <v>7.7699180076641287E-3</v>
      </c>
      <c r="D10628">
        <f t="shared" si="348"/>
        <v>0.58438353860931713</v>
      </c>
    </row>
    <row r="10629" spans="1:4" x14ac:dyDescent="0.3">
      <c r="A10629" s="1">
        <v>41354</v>
      </c>
      <c r="B10629">
        <v>3222.6000979999999</v>
      </c>
      <c r="C10629">
        <f t="shared" si="349"/>
        <v>-9.7074367423964081E-3</v>
      </c>
      <c r="D10629">
        <f t="shared" si="348"/>
        <v>-0.81373297408336942</v>
      </c>
    </row>
    <row r="10630" spans="1:4" x14ac:dyDescent="0.3">
      <c r="A10630" s="1">
        <v>41355</v>
      </c>
      <c r="B10630">
        <v>3245</v>
      </c>
      <c r="C10630">
        <f t="shared" si="349"/>
        <v>6.9508785821429933E-3</v>
      </c>
      <c r="D10630">
        <f t="shared" si="348"/>
        <v>0.51886375247786809</v>
      </c>
    </row>
    <row r="10631" spans="1:4" x14ac:dyDescent="0.3">
      <c r="A10631" s="1">
        <v>41358</v>
      </c>
      <c r="B10631">
        <v>3235.3000489999999</v>
      </c>
      <c r="C10631">
        <f t="shared" si="349"/>
        <v>-2.9891990755007876E-3</v>
      </c>
      <c r="D10631">
        <f t="shared" si="348"/>
        <v>-0.27630158629007534</v>
      </c>
    </row>
    <row r="10632" spans="1:4" x14ac:dyDescent="0.3">
      <c r="A10632" s="1">
        <v>41359</v>
      </c>
      <c r="B10632">
        <v>3252.4799800000001</v>
      </c>
      <c r="C10632">
        <f t="shared" si="349"/>
        <v>5.3101507556649269E-3</v>
      </c>
      <c r="D10632">
        <f t="shared" si="348"/>
        <v>0.38761227307275847</v>
      </c>
    </row>
    <row r="10633" spans="1:4" x14ac:dyDescent="0.3">
      <c r="A10633" s="1">
        <v>41360</v>
      </c>
      <c r="B10633">
        <v>3256.5200199999999</v>
      </c>
      <c r="C10633">
        <f t="shared" si="349"/>
        <v>1.242141388984003E-3</v>
      </c>
      <c r="D10633">
        <f t="shared" si="348"/>
        <v>6.2188251492752616E-2</v>
      </c>
    </row>
    <row r="10634" spans="1:4" x14ac:dyDescent="0.3">
      <c r="A10634" s="1">
        <v>41361</v>
      </c>
      <c r="B10634">
        <v>3267.5200199999999</v>
      </c>
      <c r="C10634">
        <f t="shared" si="349"/>
        <v>3.3778388993291066E-3</v>
      </c>
      <c r="D10634">
        <f t="shared" si="348"/>
        <v>0.23303527027972359</v>
      </c>
    </row>
    <row r="10635" spans="1:4" x14ac:dyDescent="0.3">
      <c r="A10635" s="1">
        <v>41365</v>
      </c>
      <c r="B10635">
        <v>3239.169922</v>
      </c>
      <c r="C10635">
        <f t="shared" si="349"/>
        <v>-8.6763349042923051E-3</v>
      </c>
      <c r="D10635">
        <f t="shared" si="348"/>
        <v>-0.7312490669511339</v>
      </c>
    </row>
    <row r="10636" spans="1:4" x14ac:dyDescent="0.3">
      <c r="A10636" s="1">
        <v>41366</v>
      </c>
      <c r="B10636">
        <v>3254.860107</v>
      </c>
      <c r="C10636">
        <f t="shared" si="349"/>
        <v>4.8438906812002464E-3</v>
      </c>
      <c r="D10636">
        <f t="shared" si="348"/>
        <v>0.35031338438846638</v>
      </c>
    </row>
    <row r="10637" spans="1:4" x14ac:dyDescent="0.3">
      <c r="A10637" s="1">
        <v>41367</v>
      </c>
      <c r="B10637">
        <v>3218.6000979999999</v>
      </c>
      <c r="C10637">
        <f t="shared" si="349"/>
        <v>-1.114026649625224E-2</v>
      </c>
      <c r="D10637">
        <f t="shared" si="348"/>
        <v>-0.92835346256068296</v>
      </c>
    </row>
    <row r="10638" spans="1:4" x14ac:dyDescent="0.3">
      <c r="A10638" s="1">
        <v>41368</v>
      </c>
      <c r="B10638">
        <v>3224.9799800000001</v>
      </c>
      <c r="C10638">
        <f t="shared" si="349"/>
        <v>1.9821915757613265E-3</v>
      </c>
      <c r="D10638">
        <f t="shared" si="348"/>
        <v>0.12138922333038721</v>
      </c>
    </row>
    <row r="10639" spans="1:4" x14ac:dyDescent="0.3">
      <c r="A10639" s="1">
        <v>41369</v>
      </c>
      <c r="B10639">
        <v>3203.860107</v>
      </c>
      <c r="C10639">
        <f t="shared" si="349"/>
        <v>-6.5488384830221791E-3</v>
      </c>
      <c r="D10639">
        <f t="shared" si="348"/>
        <v>-0.56105810156708147</v>
      </c>
    </row>
    <row r="10640" spans="1:4" x14ac:dyDescent="0.3">
      <c r="A10640" s="1">
        <v>41372</v>
      </c>
      <c r="B10640">
        <v>3222.25</v>
      </c>
      <c r="C10640">
        <f t="shared" si="349"/>
        <v>5.7399175949725788E-3</v>
      </c>
      <c r="D10640">
        <f t="shared" si="348"/>
        <v>0.42199185300556785</v>
      </c>
    </row>
    <row r="10641" spans="1:4" x14ac:dyDescent="0.3">
      <c r="A10641" s="1">
        <v>41373</v>
      </c>
      <c r="B10641">
        <v>3237.860107</v>
      </c>
      <c r="C10641">
        <f t="shared" si="349"/>
        <v>4.8444742028085873E-3</v>
      </c>
      <c r="D10641">
        <f t="shared" si="348"/>
        <v>0.35036006371767847</v>
      </c>
    </row>
    <row r="10642" spans="1:4" x14ac:dyDescent="0.3">
      <c r="A10642" s="1">
        <v>41374</v>
      </c>
      <c r="B10642">
        <v>3297.25</v>
      </c>
      <c r="C10642">
        <f t="shared" si="349"/>
        <v>1.8342328277742369E-2</v>
      </c>
      <c r="D10642">
        <f t="shared" si="348"/>
        <v>1.4301328862047782</v>
      </c>
    </row>
    <row r="10643" spans="1:4" x14ac:dyDescent="0.3">
      <c r="A10643" s="1">
        <v>41375</v>
      </c>
      <c r="B10643">
        <v>3300.1599120000001</v>
      </c>
      <c r="C10643">
        <f t="shared" si="349"/>
        <v>8.8252695428010515E-4</v>
      </c>
      <c r="D10643">
        <f t="shared" si="348"/>
        <v>3.3420575459832132E-2</v>
      </c>
    </row>
    <row r="10644" spans="1:4" x14ac:dyDescent="0.3">
      <c r="A10644" s="1">
        <v>41376</v>
      </c>
      <c r="B10644">
        <v>3294.9499510000001</v>
      </c>
      <c r="C10644">
        <f t="shared" si="349"/>
        <v>-1.578699559695767E-3</v>
      </c>
      <c r="D10644">
        <f t="shared" si="348"/>
        <v>-0.16346742503433909</v>
      </c>
    </row>
    <row r="10645" spans="1:4" x14ac:dyDescent="0.3">
      <c r="A10645" s="1">
        <v>41379</v>
      </c>
      <c r="B10645">
        <v>3216.48999</v>
      </c>
      <c r="C10645">
        <f t="shared" si="349"/>
        <v>-2.3812185971500973E-2</v>
      </c>
      <c r="D10645">
        <f t="shared" si="348"/>
        <v>-1.9420549133363465</v>
      </c>
    </row>
    <row r="10646" spans="1:4" x14ac:dyDescent="0.3">
      <c r="A10646" s="1">
        <v>41380</v>
      </c>
      <c r="B10646">
        <v>3264.6298830000001</v>
      </c>
      <c r="C10646">
        <f t="shared" si="349"/>
        <v>1.496659189043521E-2</v>
      </c>
      <c r="D10646">
        <f t="shared" si="348"/>
        <v>1.1600878563311732</v>
      </c>
    </row>
    <row r="10647" spans="1:4" x14ac:dyDescent="0.3">
      <c r="A10647" s="1">
        <v>41381</v>
      </c>
      <c r="B10647">
        <v>3204.669922</v>
      </c>
      <c r="C10647">
        <f t="shared" si="349"/>
        <v>-1.8366541736394446E-2</v>
      </c>
      <c r="D10647">
        <f t="shared" si="348"/>
        <v>-1.5064257671507202</v>
      </c>
    </row>
    <row r="10648" spans="1:4" x14ac:dyDescent="0.3">
      <c r="A10648" s="1">
        <v>41382</v>
      </c>
      <c r="B10648">
        <v>3166.360107</v>
      </c>
      <c r="C10648">
        <f t="shared" si="349"/>
        <v>-1.1954371567880952E-2</v>
      </c>
      <c r="D10648">
        <f t="shared" si="348"/>
        <v>-0.99347852067092268</v>
      </c>
    </row>
    <row r="10649" spans="1:4" x14ac:dyDescent="0.3">
      <c r="A10649" s="1">
        <v>41383</v>
      </c>
      <c r="B10649">
        <v>3206.0600589999999</v>
      </c>
      <c r="C10649">
        <f t="shared" si="349"/>
        <v>1.2538040733975159E-2</v>
      </c>
      <c r="D10649">
        <f t="shared" si="348"/>
        <v>0.96581375007639469</v>
      </c>
    </row>
    <row r="10650" spans="1:4" x14ac:dyDescent="0.3">
      <c r="A10650" s="1">
        <v>41386</v>
      </c>
      <c r="B10650">
        <v>3233.5500489999999</v>
      </c>
      <c r="C10650">
        <f t="shared" si="349"/>
        <v>8.5743839772528842E-3</v>
      </c>
      <c r="D10650">
        <f t="shared" si="348"/>
        <v>0.64873750819258469</v>
      </c>
    </row>
    <row r="10651" spans="1:4" x14ac:dyDescent="0.3">
      <c r="A10651" s="1">
        <v>41387</v>
      </c>
      <c r="B10651">
        <v>3269.330078</v>
      </c>
      <c r="C10651">
        <f t="shared" si="349"/>
        <v>1.1065246697222225E-2</v>
      </c>
      <c r="D10651">
        <f t="shared" si="348"/>
        <v>0.84799628330142618</v>
      </c>
    </row>
    <row r="10652" spans="1:4" x14ac:dyDescent="0.3">
      <c r="A10652" s="1">
        <v>41388</v>
      </c>
      <c r="B10652">
        <v>3269.6499020000001</v>
      </c>
      <c r="C10652">
        <f t="shared" si="349"/>
        <v>9.7825546020059386E-5</v>
      </c>
      <c r="D10652">
        <f t="shared" si="348"/>
        <v>-2.9352310489500408E-2</v>
      </c>
    </row>
    <row r="10653" spans="1:4" x14ac:dyDescent="0.3">
      <c r="A10653" s="1">
        <v>41389</v>
      </c>
      <c r="B10653">
        <v>3289.98999</v>
      </c>
      <c r="C10653">
        <f t="shared" si="349"/>
        <v>6.2208764270321936E-3</v>
      </c>
      <c r="D10653">
        <f t="shared" si="348"/>
        <v>0.4604665818558023</v>
      </c>
    </row>
    <row r="10654" spans="1:4" x14ac:dyDescent="0.3">
      <c r="A10654" s="1">
        <v>41390</v>
      </c>
      <c r="B10654">
        <v>3279.26001</v>
      </c>
      <c r="C10654">
        <f t="shared" si="349"/>
        <v>-3.261402020253584E-3</v>
      </c>
      <c r="D10654">
        <f t="shared" si="348"/>
        <v>-0.2980767025651021</v>
      </c>
    </row>
    <row r="10655" spans="1:4" x14ac:dyDescent="0.3">
      <c r="A10655" s="1">
        <v>41393</v>
      </c>
      <c r="B10655">
        <v>3307.0200199999999</v>
      </c>
      <c r="C10655">
        <f t="shared" si="349"/>
        <v>8.4653275175944238E-3</v>
      </c>
      <c r="D10655">
        <f t="shared" si="348"/>
        <v>0.6400134398627495</v>
      </c>
    </row>
    <row r="10656" spans="1:4" x14ac:dyDescent="0.3">
      <c r="A10656" s="1">
        <v>41394</v>
      </c>
      <c r="B10656">
        <v>3328.790039</v>
      </c>
      <c r="C10656">
        <f t="shared" si="349"/>
        <v>6.5829716386174306E-3</v>
      </c>
      <c r="D10656">
        <f t="shared" si="348"/>
        <v>0.48943270983821441</v>
      </c>
    </row>
    <row r="10657" spans="1:4" x14ac:dyDescent="0.3">
      <c r="A10657" s="1">
        <v>41395</v>
      </c>
      <c r="B10657">
        <v>3299.1298830000001</v>
      </c>
      <c r="C10657">
        <f t="shared" si="349"/>
        <v>-8.9101912864742016E-3</v>
      </c>
      <c r="D10657">
        <f t="shared" si="348"/>
        <v>-0.74995661590249618</v>
      </c>
    </row>
    <row r="10658" spans="1:4" x14ac:dyDescent="0.3">
      <c r="A10658" s="1">
        <v>41396</v>
      </c>
      <c r="B10658">
        <v>3340.6201169999999</v>
      </c>
      <c r="C10658">
        <f t="shared" si="349"/>
        <v>1.2576114148701393E-2</v>
      </c>
      <c r="D10658">
        <f t="shared" si="348"/>
        <v>0.96885946669567657</v>
      </c>
    </row>
    <row r="10659" spans="1:4" x14ac:dyDescent="0.3">
      <c r="A10659" s="1">
        <v>41397</v>
      </c>
      <c r="B10659">
        <v>3378.6298830000001</v>
      </c>
      <c r="C10659">
        <f t="shared" si="349"/>
        <v>1.1378056968097976E-2</v>
      </c>
      <c r="D10659">
        <f t="shared" si="348"/>
        <v>0.87301981868796652</v>
      </c>
    </row>
    <row r="10660" spans="1:4" x14ac:dyDescent="0.3">
      <c r="A10660" s="1">
        <v>41400</v>
      </c>
      <c r="B10660">
        <v>3392.969971</v>
      </c>
      <c r="C10660">
        <f t="shared" si="349"/>
        <v>4.2443500757966641E-3</v>
      </c>
      <c r="D10660">
        <f t="shared" si="348"/>
        <v>0.30235260128188013</v>
      </c>
    </row>
    <row r="10661" spans="1:4" x14ac:dyDescent="0.3">
      <c r="A10661" s="1">
        <v>41401</v>
      </c>
      <c r="B10661">
        <v>3396.6298830000001</v>
      </c>
      <c r="C10661">
        <f t="shared" si="349"/>
        <v>1.0786750343450289E-3</v>
      </c>
      <c r="D10661">
        <f t="shared" si="348"/>
        <v>4.911161529930138E-2</v>
      </c>
    </row>
    <row r="10662" spans="1:4" x14ac:dyDescent="0.3">
      <c r="A10662" s="1">
        <v>41402</v>
      </c>
      <c r="B10662">
        <v>3413.2700199999999</v>
      </c>
      <c r="C10662">
        <f t="shared" si="349"/>
        <v>4.8990138970640001E-3</v>
      </c>
      <c r="D10662">
        <f t="shared" si="348"/>
        <v>0.35472301498954861</v>
      </c>
    </row>
    <row r="10663" spans="1:4" x14ac:dyDescent="0.3">
      <c r="A10663" s="1">
        <v>41403</v>
      </c>
      <c r="B10663">
        <v>3409.169922</v>
      </c>
      <c r="C10663">
        <f t="shared" si="349"/>
        <v>-1.2012228672139713E-3</v>
      </c>
      <c r="D10663">
        <f t="shared" si="348"/>
        <v>-0.1332708418292296</v>
      </c>
    </row>
    <row r="10664" spans="1:4" x14ac:dyDescent="0.3">
      <c r="A10664" s="1">
        <v>41404</v>
      </c>
      <c r="B10664">
        <v>3436.580078</v>
      </c>
      <c r="C10664">
        <f t="shared" si="349"/>
        <v>8.0401260796996773E-3</v>
      </c>
      <c r="D10664">
        <f t="shared" si="348"/>
        <v>0.60599907326992974</v>
      </c>
    </row>
    <row r="10665" spans="1:4" x14ac:dyDescent="0.3">
      <c r="A10665" s="1">
        <v>41407</v>
      </c>
      <c r="B10665">
        <v>3438.790039</v>
      </c>
      <c r="C10665">
        <f t="shared" si="349"/>
        <v>6.430698397361836E-4</v>
      </c>
      <c r="D10665">
        <f t="shared" si="348"/>
        <v>1.4264990949856947E-2</v>
      </c>
    </row>
    <row r="10666" spans="1:4" x14ac:dyDescent="0.3">
      <c r="A10666" s="1">
        <v>41408</v>
      </c>
      <c r="B10666">
        <v>3462.610107</v>
      </c>
      <c r="C10666">
        <f t="shared" si="349"/>
        <v>6.9268747814934545E-3</v>
      </c>
      <c r="D10666">
        <f t="shared" si="348"/>
        <v>0.51694354713012303</v>
      </c>
    </row>
    <row r="10667" spans="1:4" x14ac:dyDescent="0.3">
      <c r="A10667" s="1">
        <v>41409</v>
      </c>
      <c r="B10667">
        <v>3471.6201169999999</v>
      </c>
      <c r="C10667">
        <f t="shared" si="349"/>
        <v>2.6020862071029489E-3</v>
      </c>
      <c r="D10667">
        <f t="shared" si="348"/>
        <v>0.1709782448157619</v>
      </c>
    </row>
    <row r="10668" spans="1:4" x14ac:dyDescent="0.3">
      <c r="A10668" s="1">
        <v>41410</v>
      </c>
      <c r="B10668">
        <v>3465.23999</v>
      </c>
      <c r="C10668">
        <f t="shared" si="349"/>
        <v>-1.8377952612837398E-3</v>
      </c>
      <c r="D10668">
        <f t="shared" si="348"/>
        <v>-0.1841940157534859</v>
      </c>
    </row>
    <row r="10669" spans="1:4" x14ac:dyDescent="0.3">
      <c r="A10669" s="1">
        <v>41411</v>
      </c>
      <c r="B10669">
        <v>3498.969971</v>
      </c>
      <c r="C10669">
        <f t="shared" si="349"/>
        <v>9.733808076017255E-3</v>
      </c>
      <c r="D10669">
        <f t="shared" si="348"/>
        <v>0.74148666851335288</v>
      </c>
    </row>
    <row r="10670" spans="1:4" x14ac:dyDescent="0.3">
      <c r="A10670" s="1">
        <v>41414</v>
      </c>
      <c r="B10670">
        <v>3496.429932</v>
      </c>
      <c r="C10670">
        <f t="shared" si="349"/>
        <v>-7.2593906808352514E-4</v>
      </c>
      <c r="D10670">
        <f t="shared" si="348"/>
        <v>-9.5250092277453818E-2</v>
      </c>
    </row>
    <row r="10671" spans="1:4" x14ac:dyDescent="0.3">
      <c r="A10671" s="1">
        <v>41415</v>
      </c>
      <c r="B10671">
        <v>3502.1201169999999</v>
      </c>
      <c r="C10671">
        <f t="shared" si="349"/>
        <v>1.6274271501688794E-3</v>
      </c>
      <c r="D10671">
        <f t="shared" si="348"/>
        <v>9.3009528083026149E-2</v>
      </c>
    </row>
    <row r="10672" spans="1:4" x14ac:dyDescent="0.3">
      <c r="A10672" s="1">
        <v>41416</v>
      </c>
      <c r="B10672">
        <v>3463.3000489999999</v>
      </c>
      <c r="C10672">
        <f t="shared" si="349"/>
        <v>-1.1084733448050376E-2</v>
      </c>
      <c r="D10672">
        <f t="shared" si="348"/>
        <v>-0.92391104705779259</v>
      </c>
    </row>
    <row r="10673" spans="1:4" x14ac:dyDescent="0.3">
      <c r="A10673" s="1">
        <v>41417</v>
      </c>
      <c r="B10673">
        <v>3459.419922</v>
      </c>
      <c r="C10673">
        <f t="shared" si="349"/>
        <v>-1.1203554254908574E-3</v>
      </c>
      <c r="D10673">
        <f t="shared" si="348"/>
        <v>-0.1268017790202878</v>
      </c>
    </row>
    <row r="10674" spans="1:4" x14ac:dyDescent="0.3">
      <c r="A10674" s="1">
        <v>41418</v>
      </c>
      <c r="B10674">
        <v>3459.139893</v>
      </c>
      <c r="C10674">
        <f t="shared" si="349"/>
        <v>-8.0946807937129397E-5</v>
      </c>
      <c r="D10674">
        <f t="shared" si="348"/>
        <v>-4.3653363689763545E-2</v>
      </c>
    </row>
    <row r="10675" spans="1:4" x14ac:dyDescent="0.3">
      <c r="A10675" s="1">
        <v>41422</v>
      </c>
      <c r="B10675">
        <v>3488.889893</v>
      </c>
      <c r="C10675">
        <f t="shared" si="349"/>
        <v>8.6004038345493996E-3</v>
      </c>
      <c r="D10675">
        <f t="shared" si="348"/>
        <v>0.65081898978201336</v>
      </c>
    </row>
    <row r="10676" spans="1:4" x14ac:dyDescent="0.3">
      <c r="A10676" s="1">
        <v>41423</v>
      </c>
      <c r="B10676">
        <v>3467.5200199999999</v>
      </c>
      <c r="C10676">
        <f t="shared" si="349"/>
        <v>-6.1251210715694828E-3</v>
      </c>
      <c r="D10676">
        <f t="shared" si="348"/>
        <v>-0.52716245098727255</v>
      </c>
    </row>
    <row r="10677" spans="1:4" x14ac:dyDescent="0.3">
      <c r="A10677" s="1">
        <v>41424</v>
      </c>
      <c r="B10677">
        <v>3491.3000489999999</v>
      </c>
      <c r="C10677">
        <f t="shared" si="349"/>
        <v>6.8579356032095855E-3</v>
      </c>
      <c r="D10677">
        <f t="shared" si="348"/>
        <v>0.51142869634700849</v>
      </c>
    </row>
    <row r="10678" spans="1:4" x14ac:dyDescent="0.3">
      <c r="A10678" s="1">
        <v>41425</v>
      </c>
      <c r="B10678">
        <v>3455.9099120000001</v>
      </c>
      <c r="C10678">
        <f t="shared" si="349"/>
        <v>-1.0136664423940456E-2</v>
      </c>
      <c r="D10678">
        <f t="shared" si="348"/>
        <v>-0.84806942361212045</v>
      </c>
    </row>
    <row r="10679" spans="1:4" x14ac:dyDescent="0.3">
      <c r="A10679" s="1">
        <v>41428</v>
      </c>
      <c r="B10679">
        <v>3465.3701169999999</v>
      </c>
      <c r="C10679">
        <f t="shared" si="349"/>
        <v>2.7373991917876879E-3</v>
      </c>
      <c r="D10679">
        <f t="shared" si="348"/>
        <v>0.18180272718022331</v>
      </c>
    </row>
    <row r="10680" spans="1:4" x14ac:dyDescent="0.3">
      <c r="A10680" s="1">
        <v>41429</v>
      </c>
      <c r="B10680">
        <v>3445.26001</v>
      </c>
      <c r="C10680">
        <f t="shared" si="349"/>
        <v>-5.8031628140804365E-3</v>
      </c>
      <c r="D10680">
        <f t="shared" si="348"/>
        <v>-0.50140711428841422</v>
      </c>
    </row>
    <row r="10681" spans="1:4" x14ac:dyDescent="0.3">
      <c r="A10681" s="1">
        <v>41430</v>
      </c>
      <c r="B10681">
        <v>3401.4799800000001</v>
      </c>
      <c r="C10681">
        <f t="shared" si="349"/>
        <v>-1.2707322487396212E-2</v>
      </c>
      <c r="D10681">
        <f t="shared" si="348"/>
        <v>-1.0537114980794622</v>
      </c>
    </row>
    <row r="10682" spans="1:4" x14ac:dyDescent="0.3">
      <c r="A10682" s="1">
        <v>41431</v>
      </c>
      <c r="B10682">
        <v>3424.0500489999999</v>
      </c>
      <c r="C10682">
        <f t="shared" si="349"/>
        <v>6.6353672909166663E-3</v>
      </c>
      <c r="D10682">
        <f t="shared" si="348"/>
        <v>0.49362414656994363</v>
      </c>
    </row>
    <row r="10683" spans="1:4" x14ac:dyDescent="0.3">
      <c r="A10683" s="1">
        <v>41432</v>
      </c>
      <c r="B10683">
        <v>3469.219971</v>
      </c>
      <c r="C10683">
        <f t="shared" si="349"/>
        <v>1.3191957288472462E-2</v>
      </c>
      <c r="D10683">
        <f t="shared" si="348"/>
        <v>1.01812438551524</v>
      </c>
    </row>
    <row r="10684" spans="1:4" x14ac:dyDescent="0.3">
      <c r="A10684" s="1">
        <v>41435</v>
      </c>
      <c r="B10684">
        <v>3473.7700199999999</v>
      </c>
      <c r="C10684">
        <f t="shared" si="349"/>
        <v>1.3115481399377498E-3</v>
      </c>
      <c r="D10684">
        <f t="shared" si="348"/>
        <v>6.774050616678709E-2</v>
      </c>
    </row>
    <row r="10685" spans="1:4" x14ac:dyDescent="0.3">
      <c r="A10685" s="1">
        <v>41436</v>
      </c>
      <c r="B10685">
        <v>3436.9499510000001</v>
      </c>
      <c r="C10685">
        <f t="shared" si="349"/>
        <v>-1.0599454997887246E-2</v>
      </c>
      <c r="D10685">
        <f t="shared" si="348"/>
        <v>-0.88509076652165275</v>
      </c>
    </row>
    <row r="10686" spans="1:4" x14ac:dyDescent="0.3">
      <c r="A10686" s="1">
        <v>41437</v>
      </c>
      <c r="B10686">
        <v>3400.429932</v>
      </c>
      <c r="C10686">
        <f t="shared" si="349"/>
        <v>-1.0625705791664013E-2</v>
      </c>
      <c r="D10686">
        <f t="shared" si="348"/>
        <v>-0.88719072207988503</v>
      </c>
    </row>
    <row r="10687" spans="1:4" x14ac:dyDescent="0.3">
      <c r="A10687" s="1">
        <v>41438</v>
      </c>
      <c r="B10687">
        <v>3445.360107</v>
      </c>
      <c r="C10687">
        <f t="shared" si="349"/>
        <v>1.3213086550374467E-2</v>
      </c>
      <c r="D10687">
        <f t="shared" si="348"/>
        <v>1.0198146395833563</v>
      </c>
    </row>
    <row r="10688" spans="1:4" x14ac:dyDescent="0.3">
      <c r="A10688" s="1">
        <v>41439</v>
      </c>
      <c r="B10688">
        <v>3423.5600589999999</v>
      </c>
      <c r="C10688">
        <f t="shared" si="349"/>
        <v>-6.3273641427810442E-3</v>
      </c>
      <c r="D10688">
        <f t="shared" si="348"/>
        <v>-0.54334106505571944</v>
      </c>
    </row>
    <row r="10689" spans="1:4" x14ac:dyDescent="0.3">
      <c r="A10689" s="1">
        <v>41442</v>
      </c>
      <c r="B10689">
        <v>3452.1298830000001</v>
      </c>
      <c r="C10689">
        <f t="shared" si="349"/>
        <v>8.3450628899862846E-3</v>
      </c>
      <c r="D10689">
        <f t="shared" si="348"/>
        <v>0.63039276418520207</v>
      </c>
    </row>
    <row r="10690" spans="1:4" x14ac:dyDescent="0.3">
      <c r="A10690" s="1">
        <v>41443</v>
      </c>
      <c r="B10690">
        <v>3482.179932</v>
      </c>
      <c r="C10690">
        <f t="shared" si="349"/>
        <v>8.7047851669722204E-3</v>
      </c>
      <c r="D10690">
        <f t="shared" si="348"/>
        <v>0.65916906715723544</v>
      </c>
    </row>
    <row r="10691" spans="1:4" x14ac:dyDescent="0.3">
      <c r="A10691" s="1">
        <v>41444</v>
      </c>
      <c r="B10691">
        <v>3443.1999510000001</v>
      </c>
      <c r="C10691">
        <f t="shared" si="349"/>
        <v>-1.1194131768375245E-2</v>
      </c>
      <c r="D10691">
        <f t="shared" ref="D10691:D10754" si="350">(C10691-avrtn)/sdrtn</f>
        <v>-0.93266246283520093</v>
      </c>
    </row>
    <row r="10692" spans="1:4" x14ac:dyDescent="0.3">
      <c r="A10692" s="1">
        <v>41445</v>
      </c>
      <c r="B10692">
        <v>3364.639893</v>
      </c>
      <c r="C10692">
        <f t="shared" ref="C10692:C10755" si="351">(B10692-B10691)/B10691</f>
        <v>-2.2816002299600412E-2</v>
      </c>
      <c r="D10692">
        <f t="shared" si="350"/>
        <v>-1.862364315916037</v>
      </c>
    </row>
    <row r="10693" spans="1:4" x14ac:dyDescent="0.3">
      <c r="A10693" s="1">
        <v>41446</v>
      </c>
      <c r="B10693">
        <v>3357.25</v>
      </c>
      <c r="C10693">
        <f t="shared" si="351"/>
        <v>-2.1963399457322042E-3</v>
      </c>
      <c r="D10693">
        <f t="shared" si="350"/>
        <v>-0.21287611616481106</v>
      </c>
    </row>
    <row r="10694" spans="1:4" x14ac:dyDescent="0.3">
      <c r="A10694" s="1">
        <v>41449</v>
      </c>
      <c r="B10694">
        <v>3320.76001</v>
      </c>
      <c r="C10694">
        <f t="shared" si="351"/>
        <v>-1.0869011840047668E-2</v>
      </c>
      <c r="D10694">
        <f t="shared" si="350"/>
        <v>-0.90665420547012843</v>
      </c>
    </row>
    <row r="10695" spans="1:4" x14ac:dyDescent="0.3">
      <c r="A10695" s="1">
        <v>41450</v>
      </c>
      <c r="B10695">
        <v>3347.889893</v>
      </c>
      <c r="C10695">
        <f t="shared" si="351"/>
        <v>8.1697812905185112E-3</v>
      </c>
      <c r="D10695">
        <f t="shared" si="350"/>
        <v>0.61637095699002387</v>
      </c>
    </row>
    <row r="10696" spans="1:4" x14ac:dyDescent="0.3">
      <c r="A10696" s="1">
        <v>41451</v>
      </c>
      <c r="B10696">
        <v>3376.219971</v>
      </c>
      <c r="C10696">
        <f t="shared" si="351"/>
        <v>8.4620698127601049E-3</v>
      </c>
      <c r="D10696">
        <f t="shared" si="350"/>
        <v>0.63975283687176632</v>
      </c>
    </row>
    <row r="10697" spans="1:4" x14ac:dyDescent="0.3">
      <c r="A10697" s="1">
        <v>41452</v>
      </c>
      <c r="B10697">
        <v>3401.860107</v>
      </c>
      <c r="C10697">
        <f t="shared" si="351"/>
        <v>7.5943321881381002E-3</v>
      </c>
      <c r="D10697">
        <f t="shared" si="350"/>
        <v>0.5703373950604389</v>
      </c>
    </row>
    <row r="10698" spans="1:4" x14ac:dyDescent="0.3">
      <c r="A10698" s="1">
        <v>41453</v>
      </c>
      <c r="B10698">
        <v>3403.25</v>
      </c>
      <c r="C10698">
        <f t="shared" si="351"/>
        <v>4.085685349435885E-4</v>
      </c>
      <c r="D10698">
        <f t="shared" si="350"/>
        <v>-4.4941491584235835E-3</v>
      </c>
    </row>
    <row r="10699" spans="1:4" x14ac:dyDescent="0.3">
      <c r="A10699" s="1">
        <v>41456</v>
      </c>
      <c r="B10699">
        <v>3434.48999</v>
      </c>
      <c r="C10699">
        <f t="shared" si="351"/>
        <v>9.1794578711525843E-3</v>
      </c>
      <c r="D10699">
        <f t="shared" si="350"/>
        <v>0.69714093162584212</v>
      </c>
    </row>
    <row r="10700" spans="1:4" x14ac:dyDescent="0.3">
      <c r="A10700" s="1">
        <v>41457</v>
      </c>
      <c r="B10700">
        <v>3433.3999020000001</v>
      </c>
      <c r="C10700">
        <f t="shared" si="351"/>
        <v>-3.1739443212059655E-4</v>
      </c>
      <c r="D10700">
        <f t="shared" si="350"/>
        <v>-6.2568201346000676E-2</v>
      </c>
    </row>
    <row r="10701" spans="1:4" x14ac:dyDescent="0.3">
      <c r="A10701" s="1">
        <v>41458</v>
      </c>
      <c r="B10701">
        <v>3443.669922</v>
      </c>
      <c r="C10701">
        <f t="shared" si="351"/>
        <v>2.9912099647983071E-3</v>
      </c>
      <c r="D10701">
        <f t="shared" si="350"/>
        <v>0.20210654534493802</v>
      </c>
    </row>
    <row r="10702" spans="1:4" x14ac:dyDescent="0.3">
      <c r="A10702" s="1">
        <v>41460</v>
      </c>
      <c r="B10702">
        <v>3479.3798830000001</v>
      </c>
      <c r="C10702">
        <f t="shared" si="351"/>
        <v>1.0369739785995674E-2</v>
      </c>
      <c r="D10702">
        <f t="shared" si="350"/>
        <v>0.79235859034480993</v>
      </c>
    </row>
    <row r="10703" spans="1:4" x14ac:dyDescent="0.3">
      <c r="A10703" s="1">
        <v>41463</v>
      </c>
      <c r="B10703">
        <v>3484.830078</v>
      </c>
      <c r="C10703">
        <f t="shared" si="351"/>
        <v>1.5664271172656816E-3</v>
      </c>
      <c r="D10703">
        <f t="shared" si="350"/>
        <v>8.812977628440441E-2</v>
      </c>
    </row>
    <row r="10704" spans="1:4" x14ac:dyDescent="0.3">
      <c r="A10704" s="1">
        <v>41464</v>
      </c>
      <c r="B10704">
        <v>3504.26001</v>
      </c>
      <c r="C10704">
        <f t="shared" si="351"/>
        <v>5.5755751543418606E-3</v>
      </c>
      <c r="D10704">
        <f t="shared" si="350"/>
        <v>0.40884513353526425</v>
      </c>
    </row>
    <row r="10705" spans="1:4" x14ac:dyDescent="0.3">
      <c r="A10705" s="1">
        <v>41465</v>
      </c>
      <c r="B10705">
        <v>3520.76001</v>
      </c>
      <c r="C10705">
        <f t="shared" si="351"/>
        <v>4.7085547170913266E-3</v>
      </c>
      <c r="D10705">
        <f t="shared" si="350"/>
        <v>0.33948706376456245</v>
      </c>
    </row>
    <row r="10706" spans="1:4" x14ac:dyDescent="0.3">
      <c r="A10706" s="1">
        <v>41466</v>
      </c>
      <c r="B10706">
        <v>3578.3000489999999</v>
      </c>
      <c r="C10706">
        <f t="shared" si="351"/>
        <v>1.6343073324103105E-2</v>
      </c>
      <c r="D10706">
        <f t="shared" si="350"/>
        <v>1.2702007108991289</v>
      </c>
    </row>
    <row r="10707" spans="1:4" x14ac:dyDescent="0.3">
      <c r="A10707" s="1">
        <v>41467</v>
      </c>
      <c r="B10707">
        <v>3600.080078</v>
      </c>
      <c r="C10707">
        <f t="shared" si="351"/>
        <v>6.0866972310180392E-3</v>
      </c>
      <c r="D10707">
        <f t="shared" si="350"/>
        <v>0.44973279792282078</v>
      </c>
    </row>
    <row r="10708" spans="1:4" x14ac:dyDescent="0.3">
      <c r="A10708" s="1">
        <v>41470</v>
      </c>
      <c r="B10708">
        <v>3607.48999</v>
      </c>
      <c r="C10708">
        <f t="shared" si="351"/>
        <v>2.058263105113096E-3</v>
      </c>
      <c r="D10708">
        <f t="shared" si="350"/>
        <v>0.12747463287053096</v>
      </c>
    </row>
    <row r="10709" spans="1:4" x14ac:dyDescent="0.3">
      <c r="A10709" s="1">
        <v>41471</v>
      </c>
      <c r="B10709">
        <v>3598.5</v>
      </c>
      <c r="C10709">
        <f t="shared" si="351"/>
        <v>-2.4920346348625724E-3</v>
      </c>
      <c r="D10709">
        <f t="shared" si="350"/>
        <v>-0.2365304753914135</v>
      </c>
    </row>
    <row r="10710" spans="1:4" x14ac:dyDescent="0.3">
      <c r="A10710" s="1">
        <v>41472</v>
      </c>
      <c r="B10710">
        <v>3610</v>
      </c>
      <c r="C10710">
        <f t="shared" si="351"/>
        <v>3.1957760177851883E-3</v>
      </c>
      <c r="D10710">
        <f t="shared" si="350"/>
        <v>0.21847098840325238</v>
      </c>
    </row>
    <row r="10711" spans="1:4" x14ac:dyDescent="0.3">
      <c r="A10711" s="1">
        <v>41473</v>
      </c>
      <c r="B10711">
        <v>3611.280029</v>
      </c>
      <c r="C10711">
        <f t="shared" si="351"/>
        <v>3.5457867036011446E-4</v>
      </c>
      <c r="D10711">
        <f t="shared" si="350"/>
        <v>-8.8131163174517916E-3</v>
      </c>
    </row>
    <row r="10712" spans="1:4" x14ac:dyDescent="0.3">
      <c r="A10712" s="1">
        <v>41474</v>
      </c>
      <c r="B10712">
        <v>3587.610107</v>
      </c>
      <c r="C10712">
        <f t="shared" si="351"/>
        <v>-6.5544410319668513E-3</v>
      </c>
      <c r="D10712">
        <f t="shared" si="350"/>
        <v>-0.56150628244483636</v>
      </c>
    </row>
    <row r="10713" spans="1:4" x14ac:dyDescent="0.3">
      <c r="A10713" s="1">
        <v>41477</v>
      </c>
      <c r="B10713">
        <v>3600.389893</v>
      </c>
      <c r="C10713">
        <f t="shared" si="351"/>
        <v>3.562200355903964E-3</v>
      </c>
      <c r="D10713">
        <f t="shared" si="350"/>
        <v>0.24778342870687292</v>
      </c>
    </row>
    <row r="10714" spans="1:4" x14ac:dyDescent="0.3">
      <c r="A10714" s="1">
        <v>41478</v>
      </c>
      <c r="B10714">
        <v>3579.2700199999999</v>
      </c>
      <c r="C10714">
        <f t="shared" si="351"/>
        <v>-5.8659960803306528E-3</v>
      </c>
      <c r="D10714">
        <f t="shared" si="350"/>
        <v>-0.50643351721649688</v>
      </c>
    </row>
    <row r="10715" spans="1:4" x14ac:dyDescent="0.3">
      <c r="A10715" s="1">
        <v>41479</v>
      </c>
      <c r="B10715">
        <v>3579.6000979999999</v>
      </c>
      <c r="C10715">
        <f t="shared" si="351"/>
        <v>9.2219362650923349E-5</v>
      </c>
      <c r="D10715">
        <f t="shared" si="350"/>
        <v>-2.9800782106267531E-2</v>
      </c>
    </row>
    <row r="10716" spans="1:4" x14ac:dyDescent="0.3">
      <c r="A10716" s="1">
        <v>41480</v>
      </c>
      <c r="B10716">
        <v>3605.1899410000001</v>
      </c>
      <c r="C10716">
        <f t="shared" si="351"/>
        <v>7.14879939083078E-3</v>
      </c>
      <c r="D10716">
        <f t="shared" si="350"/>
        <v>0.53469660331766267</v>
      </c>
    </row>
    <row r="10717" spans="1:4" x14ac:dyDescent="0.3">
      <c r="A10717" s="1">
        <v>41481</v>
      </c>
      <c r="B10717">
        <v>3613.1599120000001</v>
      </c>
      <c r="C10717">
        <f t="shared" si="351"/>
        <v>2.2106937860226286E-3</v>
      </c>
      <c r="D10717">
        <f t="shared" si="350"/>
        <v>0.1396684605445884</v>
      </c>
    </row>
    <row r="10718" spans="1:4" x14ac:dyDescent="0.3">
      <c r="A10718" s="1">
        <v>41484</v>
      </c>
      <c r="B10718">
        <v>3599.139893</v>
      </c>
      <c r="C10718">
        <f t="shared" si="351"/>
        <v>-3.8802652917289556E-3</v>
      </c>
      <c r="D10718">
        <f t="shared" si="350"/>
        <v>-0.34758321950215382</v>
      </c>
    </row>
    <row r="10719" spans="1:4" x14ac:dyDescent="0.3">
      <c r="A10719" s="1">
        <v>41485</v>
      </c>
      <c r="B10719">
        <v>3616.469971</v>
      </c>
      <c r="C10719">
        <f t="shared" si="351"/>
        <v>4.8150609632332947E-3</v>
      </c>
      <c r="D10719">
        <f t="shared" si="350"/>
        <v>0.34800712549961887</v>
      </c>
    </row>
    <row r="10720" spans="1:4" x14ac:dyDescent="0.3">
      <c r="A10720" s="1">
        <v>41486</v>
      </c>
      <c r="B10720">
        <v>3626.3701169999999</v>
      </c>
      <c r="C10720">
        <f t="shared" si="351"/>
        <v>2.7375164398952367E-3</v>
      </c>
      <c r="D10720">
        <f t="shared" si="350"/>
        <v>0.1818121065467001</v>
      </c>
    </row>
    <row r="10721" spans="1:4" x14ac:dyDescent="0.3">
      <c r="A10721" s="1">
        <v>41487</v>
      </c>
      <c r="B10721">
        <v>3675.73999</v>
      </c>
      <c r="C10721">
        <f t="shared" si="351"/>
        <v>1.3614129668827761E-2</v>
      </c>
      <c r="D10721">
        <f t="shared" si="350"/>
        <v>1.0518964399604629</v>
      </c>
    </row>
    <row r="10722" spans="1:4" x14ac:dyDescent="0.3">
      <c r="A10722" s="1">
        <v>41488</v>
      </c>
      <c r="B10722">
        <v>3689.5900879999999</v>
      </c>
      <c r="C10722">
        <f t="shared" si="351"/>
        <v>3.7679754383279675E-3</v>
      </c>
      <c r="D10722">
        <f t="shared" si="350"/>
        <v>0.26424458914859833</v>
      </c>
    </row>
    <row r="10723" spans="1:4" x14ac:dyDescent="0.3">
      <c r="A10723" s="1">
        <v>41491</v>
      </c>
      <c r="B10723">
        <v>3692.9499510000001</v>
      </c>
      <c r="C10723">
        <f t="shared" si="351"/>
        <v>9.1063313806260756E-4</v>
      </c>
      <c r="D10723">
        <f t="shared" si="350"/>
        <v>3.5668954589114031E-2</v>
      </c>
    </row>
    <row r="10724" spans="1:4" x14ac:dyDescent="0.3">
      <c r="A10724" s="1">
        <v>41492</v>
      </c>
      <c r="B10724">
        <v>3665.7700199999999</v>
      </c>
      <c r="C10724">
        <f t="shared" si="351"/>
        <v>-7.3599510853484956E-3</v>
      </c>
      <c r="D10724">
        <f t="shared" si="350"/>
        <v>-0.62594377443823668</v>
      </c>
    </row>
    <row r="10725" spans="1:4" x14ac:dyDescent="0.3">
      <c r="A10725" s="1">
        <v>41493</v>
      </c>
      <c r="B10725">
        <v>3654.01001</v>
      </c>
      <c r="C10725">
        <f t="shared" si="351"/>
        <v>-3.2080599535264805E-3</v>
      </c>
      <c r="D10725">
        <f t="shared" si="350"/>
        <v>-0.29380955657082281</v>
      </c>
    </row>
    <row r="10726" spans="1:4" x14ac:dyDescent="0.3">
      <c r="A10726" s="1">
        <v>41494</v>
      </c>
      <c r="B10726">
        <v>3669.1201169999999</v>
      </c>
      <c r="C10726">
        <f t="shared" si="351"/>
        <v>4.1352122623221745E-3</v>
      </c>
      <c r="D10726">
        <f t="shared" si="350"/>
        <v>0.29362202498129147</v>
      </c>
    </row>
    <row r="10727" spans="1:4" x14ac:dyDescent="0.3">
      <c r="A10727" s="1">
        <v>41495</v>
      </c>
      <c r="B10727">
        <v>3660.110107</v>
      </c>
      <c r="C10727">
        <f t="shared" si="351"/>
        <v>-2.4556323349170872E-3</v>
      </c>
      <c r="D10727">
        <f t="shared" si="350"/>
        <v>-0.23361844108292648</v>
      </c>
    </row>
    <row r="10728" spans="1:4" x14ac:dyDescent="0.3">
      <c r="A10728" s="1">
        <v>41498</v>
      </c>
      <c r="B10728">
        <v>3669.9499510000001</v>
      </c>
      <c r="C10728">
        <f t="shared" si="351"/>
        <v>2.6884010896779517E-3</v>
      </c>
      <c r="D10728">
        <f t="shared" si="350"/>
        <v>0.17788308049284418</v>
      </c>
    </row>
    <row r="10729" spans="1:4" x14ac:dyDescent="0.3">
      <c r="A10729" s="1">
        <v>41499</v>
      </c>
      <c r="B10729">
        <v>3684.4399410000001</v>
      </c>
      <c r="C10729">
        <f t="shared" si="351"/>
        <v>3.9482800020342931E-3</v>
      </c>
      <c r="D10729">
        <f t="shared" si="350"/>
        <v>0.27866821282830828</v>
      </c>
    </row>
    <row r="10730" spans="1:4" x14ac:dyDescent="0.3">
      <c r="A10730" s="1">
        <v>41500</v>
      </c>
      <c r="B10730">
        <v>3669.2700199999999</v>
      </c>
      <c r="C10730">
        <f t="shared" si="351"/>
        <v>-4.1172936030768534E-3</v>
      </c>
      <c r="D10730">
        <f t="shared" si="350"/>
        <v>-0.36654450974374553</v>
      </c>
    </row>
    <row r="10731" spans="1:4" x14ac:dyDescent="0.3">
      <c r="A10731" s="1">
        <v>41501</v>
      </c>
      <c r="B10731">
        <v>3606.1201169999999</v>
      </c>
      <c r="C10731">
        <f t="shared" si="351"/>
        <v>-1.7210481282595821E-2</v>
      </c>
      <c r="D10731">
        <f t="shared" si="350"/>
        <v>-1.4139456845958212</v>
      </c>
    </row>
    <row r="10732" spans="1:4" x14ac:dyDescent="0.3">
      <c r="A10732" s="1">
        <v>41502</v>
      </c>
      <c r="B10732">
        <v>3602.780029</v>
      </c>
      <c r="C10732">
        <f t="shared" si="351"/>
        <v>-9.262276051909791E-4</v>
      </c>
      <c r="D10732">
        <f t="shared" si="350"/>
        <v>-0.1112723516546644</v>
      </c>
    </row>
    <row r="10733" spans="1:4" x14ac:dyDescent="0.3">
      <c r="A10733" s="1">
        <v>41505</v>
      </c>
      <c r="B10733">
        <v>3589.0900879999999</v>
      </c>
      <c r="C10733">
        <f t="shared" si="351"/>
        <v>-3.7998270473925985E-3</v>
      </c>
      <c r="D10733">
        <f t="shared" si="350"/>
        <v>-0.34114849071928233</v>
      </c>
    </row>
    <row r="10734" spans="1:4" x14ac:dyDescent="0.3">
      <c r="A10734" s="1">
        <v>41506</v>
      </c>
      <c r="B10734">
        <v>3613.5900879999999</v>
      </c>
      <c r="C10734">
        <f t="shared" si="351"/>
        <v>6.8262426964190489E-3</v>
      </c>
      <c r="D10734">
        <f t="shared" si="350"/>
        <v>0.50889339412577694</v>
      </c>
    </row>
    <row r="10735" spans="1:4" x14ac:dyDescent="0.3">
      <c r="A10735" s="1">
        <v>41507</v>
      </c>
      <c r="B10735">
        <v>3599.790039</v>
      </c>
      <c r="C10735">
        <f t="shared" si="351"/>
        <v>-3.8189303888747951E-3</v>
      </c>
      <c r="D10735">
        <f t="shared" si="350"/>
        <v>-0.34267667948444858</v>
      </c>
    </row>
    <row r="10736" spans="1:4" x14ac:dyDescent="0.3">
      <c r="A10736" s="1">
        <v>41508</v>
      </c>
      <c r="B10736">
        <v>3638.709961</v>
      </c>
      <c r="C10736">
        <f t="shared" si="351"/>
        <v>1.0811720010984797E-2</v>
      </c>
      <c r="D10736">
        <f t="shared" si="350"/>
        <v>0.82771519091039492</v>
      </c>
    </row>
    <row r="10737" spans="1:4" x14ac:dyDescent="0.3">
      <c r="A10737" s="1">
        <v>41509</v>
      </c>
      <c r="B10737">
        <v>3657.790039</v>
      </c>
      <c r="C10737">
        <f t="shared" si="351"/>
        <v>5.2436380487870266E-3</v>
      </c>
      <c r="D10737">
        <f t="shared" si="350"/>
        <v>0.38229153002441135</v>
      </c>
    </row>
    <row r="10738" spans="1:4" x14ac:dyDescent="0.3">
      <c r="A10738" s="1">
        <v>41512</v>
      </c>
      <c r="B10738">
        <v>3657.570068</v>
      </c>
      <c r="C10738">
        <f t="shared" si="351"/>
        <v>-6.013767812111066E-5</v>
      </c>
      <c r="D10738">
        <f t="shared" si="350"/>
        <v>-4.1988718872135136E-2</v>
      </c>
    </row>
    <row r="10739" spans="1:4" x14ac:dyDescent="0.3">
      <c r="A10739" s="1">
        <v>41513</v>
      </c>
      <c r="B10739">
        <v>3578.5200199999999</v>
      </c>
      <c r="C10739">
        <f t="shared" si="351"/>
        <v>-2.1612722799655211E-2</v>
      </c>
      <c r="D10739">
        <f t="shared" si="350"/>
        <v>-1.7661069038352897</v>
      </c>
    </row>
    <row r="10740" spans="1:4" x14ac:dyDescent="0.3">
      <c r="A10740" s="1">
        <v>41514</v>
      </c>
      <c r="B10740">
        <v>3593.3500979999999</v>
      </c>
      <c r="C10740">
        <f t="shared" si="351"/>
        <v>4.1441931069593286E-3</v>
      </c>
      <c r="D10740">
        <f t="shared" si="350"/>
        <v>0.29434045562281003</v>
      </c>
    </row>
    <row r="10741" spans="1:4" x14ac:dyDescent="0.3">
      <c r="A10741" s="1">
        <v>41515</v>
      </c>
      <c r="B10741">
        <v>3620.3000489999999</v>
      </c>
      <c r="C10741">
        <f t="shared" si="351"/>
        <v>7.4999513726758654E-3</v>
      </c>
      <c r="D10741">
        <f t="shared" si="350"/>
        <v>0.56278731791969228</v>
      </c>
    </row>
    <row r="10742" spans="1:4" x14ac:dyDescent="0.3">
      <c r="A10742" s="1">
        <v>41516</v>
      </c>
      <c r="B10742">
        <v>3589.8701169999999</v>
      </c>
      <c r="C10742">
        <f t="shared" si="351"/>
        <v>-8.4053618728108931E-3</v>
      </c>
      <c r="D10742">
        <f t="shared" si="350"/>
        <v>-0.70957233868038427</v>
      </c>
    </row>
    <row r="10743" spans="1:4" x14ac:dyDescent="0.3">
      <c r="A10743" s="1">
        <v>41520</v>
      </c>
      <c r="B10743">
        <v>3612.610107</v>
      </c>
      <c r="C10743">
        <f t="shared" si="351"/>
        <v>6.3344882290625876E-3</v>
      </c>
      <c r="D10743">
        <f t="shared" si="350"/>
        <v>0.4695550588437124</v>
      </c>
    </row>
    <row r="10744" spans="1:4" x14ac:dyDescent="0.3">
      <c r="A10744" s="1">
        <v>41521</v>
      </c>
      <c r="B10744">
        <v>3649.040039</v>
      </c>
      <c r="C10744">
        <f t="shared" si="351"/>
        <v>1.0084102884341514E-2</v>
      </c>
      <c r="D10744">
        <f t="shared" si="350"/>
        <v>0.76950881275843486</v>
      </c>
    </row>
    <row r="10745" spans="1:4" x14ac:dyDescent="0.3">
      <c r="A10745" s="1">
        <v>41522</v>
      </c>
      <c r="B10745">
        <v>3658.780029</v>
      </c>
      <c r="C10745">
        <f t="shared" si="351"/>
        <v>2.669192416608623E-3</v>
      </c>
      <c r="D10745">
        <f t="shared" si="350"/>
        <v>0.17634646563383352</v>
      </c>
    </row>
    <row r="10746" spans="1:4" x14ac:dyDescent="0.3">
      <c r="A10746" s="1">
        <v>41523</v>
      </c>
      <c r="B10746">
        <v>3660.01001</v>
      </c>
      <c r="C10746">
        <f t="shared" si="351"/>
        <v>3.3617243732909653E-4</v>
      </c>
      <c r="D10746">
        <f t="shared" si="350"/>
        <v>-1.0285539273050755E-2</v>
      </c>
    </row>
    <row r="10747" spans="1:4" x14ac:dyDescent="0.3">
      <c r="A10747" s="1">
        <v>41526</v>
      </c>
      <c r="B10747">
        <v>3706.179932</v>
      </c>
      <c r="C10747">
        <f t="shared" si="351"/>
        <v>1.261469828603011E-2</v>
      </c>
      <c r="D10747">
        <f t="shared" si="350"/>
        <v>0.97194603902305321</v>
      </c>
    </row>
    <row r="10748" spans="1:4" x14ac:dyDescent="0.3">
      <c r="A10748" s="1">
        <v>41527</v>
      </c>
      <c r="B10748">
        <v>3729.0200199999999</v>
      </c>
      <c r="C10748">
        <f t="shared" si="351"/>
        <v>6.162703489594073E-3</v>
      </c>
      <c r="D10748">
        <f t="shared" si="350"/>
        <v>0.45581298606930071</v>
      </c>
    </row>
    <row r="10749" spans="1:4" x14ac:dyDescent="0.3">
      <c r="A10749" s="1">
        <v>41528</v>
      </c>
      <c r="B10749">
        <v>3725.01001</v>
      </c>
      <c r="C10749">
        <f t="shared" si="351"/>
        <v>-1.0753522315495548E-3</v>
      </c>
      <c r="D10749">
        <f t="shared" si="350"/>
        <v>-0.12320170855922283</v>
      </c>
    </row>
    <row r="10750" spans="1:4" x14ac:dyDescent="0.3">
      <c r="A10750" s="1">
        <v>41529</v>
      </c>
      <c r="B10750">
        <v>3715.969971</v>
      </c>
      <c r="C10750">
        <f t="shared" si="351"/>
        <v>-2.4268495858350671E-3</v>
      </c>
      <c r="D10750">
        <f t="shared" si="350"/>
        <v>-0.23131593951173629</v>
      </c>
    </row>
    <row r="10751" spans="1:4" x14ac:dyDescent="0.3">
      <c r="A10751" s="1">
        <v>41530</v>
      </c>
      <c r="B10751">
        <v>3722.179932</v>
      </c>
      <c r="C10751">
        <f t="shared" si="351"/>
        <v>1.6711547855508817E-3</v>
      </c>
      <c r="D10751">
        <f t="shared" si="350"/>
        <v>9.6507559104475241E-2</v>
      </c>
    </row>
    <row r="10752" spans="1:4" x14ac:dyDescent="0.3">
      <c r="A10752" s="1">
        <v>41533</v>
      </c>
      <c r="B10752">
        <v>3717.8500979999999</v>
      </c>
      <c r="C10752">
        <f t="shared" si="351"/>
        <v>-1.1632522014253122E-3</v>
      </c>
      <c r="D10752">
        <f t="shared" si="350"/>
        <v>-0.13023334470244755</v>
      </c>
    </row>
    <row r="10753" spans="1:4" x14ac:dyDescent="0.3">
      <c r="A10753" s="1">
        <v>41534</v>
      </c>
      <c r="B10753">
        <v>3745.6999510000001</v>
      </c>
      <c r="C10753">
        <f t="shared" si="351"/>
        <v>7.4908488147442699E-3</v>
      </c>
      <c r="D10753">
        <f t="shared" si="350"/>
        <v>0.56205915071510648</v>
      </c>
    </row>
    <row r="10754" spans="1:4" x14ac:dyDescent="0.3">
      <c r="A10754" s="1">
        <v>41535</v>
      </c>
      <c r="B10754">
        <v>3783.639893</v>
      </c>
      <c r="C10754">
        <f t="shared" si="351"/>
        <v>1.0128932508294221E-2</v>
      </c>
      <c r="D10754">
        <f t="shared" si="350"/>
        <v>0.77309499833413631</v>
      </c>
    </row>
    <row r="10755" spans="1:4" x14ac:dyDescent="0.3">
      <c r="A10755" s="1">
        <v>41536</v>
      </c>
      <c r="B10755">
        <v>3789.3798830000001</v>
      </c>
      <c r="C10755">
        <f t="shared" si="351"/>
        <v>1.5170550481348449E-3</v>
      </c>
      <c r="D10755">
        <f t="shared" ref="D10755:D10818" si="352">(C10755-avrtn)/sdrtn</f>
        <v>8.4180213773098825E-2</v>
      </c>
    </row>
    <row r="10756" spans="1:4" x14ac:dyDescent="0.3">
      <c r="A10756" s="1">
        <v>41537</v>
      </c>
      <c r="B10756">
        <v>3774.7299800000001</v>
      </c>
      <c r="C10756">
        <f t="shared" ref="C10756:C10819" si="353">(B10756-B10755)/B10755</f>
        <v>-3.8660423215214484E-3</v>
      </c>
      <c r="D10756">
        <f t="shared" si="352"/>
        <v>-0.34644544037075625</v>
      </c>
    </row>
    <row r="10757" spans="1:4" x14ac:dyDescent="0.3">
      <c r="A10757" s="1">
        <v>41540</v>
      </c>
      <c r="B10757">
        <v>3765.290039</v>
      </c>
      <c r="C10757">
        <f t="shared" si="353"/>
        <v>-2.500825502755588E-3</v>
      </c>
      <c r="D10757">
        <f t="shared" si="352"/>
        <v>-0.23723370867458995</v>
      </c>
    </row>
    <row r="10758" spans="1:4" x14ac:dyDescent="0.3">
      <c r="A10758" s="1">
        <v>41541</v>
      </c>
      <c r="B10758">
        <v>3768.25</v>
      </c>
      <c r="C10758">
        <f t="shared" si="353"/>
        <v>7.8611766141291437E-4</v>
      </c>
      <c r="D10758">
        <f t="shared" si="352"/>
        <v>2.5708228467837942E-2</v>
      </c>
    </row>
    <row r="10759" spans="1:4" x14ac:dyDescent="0.3">
      <c r="A10759" s="1">
        <v>41542</v>
      </c>
      <c r="B10759">
        <v>3761.1000979999999</v>
      </c>
      <c r="C10759">
        <f t="shared" si="353"/>
        <v>-1.8974064884230374E-3</v>
      </c>
      <c r="D10759">
        <f t="shared" si="352"/>
        <v>-0.18896266880179904</v>
      </c>
    </row>
    <row r="10760" spans="1:4" x14ac:dyDescent="0.3">
      <c r="A10760" s="1">
        <v>41543</v>
      </c>
      <c r="B10760">
        <v>3787.429932</v>
      </c>
      <c r="C10760">
        <f t="shared" si="353"/>
        <v>7.0005672047923568E-3</v>
      </c>
      <c r="D10760">
        <f t="shared" si="352"/>
        <v>0.52283863796898</v>
      </c>
    </row>
    <row r="10761" spans="1:4" x14ac:dyDescent="0.3">
      <c r="A10761" s="1">
        <v>41544</v>
      </c>
      <c r="B10761">
        <v>3781.5900879999999</v>
      </c>
      <c r="C10761">
        <f t="shared" si="353"/>
        <v>-1.5419015281732966E-3</v>
      </c>
      <c r="D10761">
        <f t="shared" si="352"/>
        <v>-0.16052373382695118</v>
      </c>
    </row>
    <row r="10762" spans="1:4" x14ac:dyDescent="0.3">
      <c r="A10762" s="1">
        <v>41547</v>
      </c>
      <c r="B10762">
        <v>3771.4799800000001</v>
      </c>
      <c r="C10762">
        <f t="shared" si="353"/>
        <v>-2.6735071133388941E-3</v>
      </c>
      <c r="D10762">
        <f t="shared" si="352"/>
        <v>-0.2510475274502289</v>
      </c>
    </row>
    <row r="10763" spans="1:4" x14ac:dyDescent="0.3">
      <c r="A10763" s="1">
        <v>41548</v>
      </c>
      <c r="B10763">
        <v>3817.9799800000001</v>
      </c>
      <c r="C10763">
        <f t="shared" si="353"/>
        <v>1.2329377392054988E-2</v>
      </c>
      <c r="D10763">
        <f t="shared" si="352"/>
        <v>0.94912154075156996</v>
      </c>
    </row>
    <row r="10764" spans="1:4" x14ac:dyDescent="0.3">
      <c r="A10764" s="1">
        <v>41549</v>
      </c>
      <c r="B10764">
        <v>3815.0200199999999</v>
      </c>
      <c r="C10764">
        <f t="shared" si="353"/>
        <v>-7.7526860159181279E-4</v>
      </c>
      <c r="D10764">
        <f t="shared" si="352"/>
        <v>-9.9196252113863001E-2</v>
      </c>
    </row>
    <row r="10765" spans="1:4" x14ac:dyDescent="0.3">
      <c r="A10765" s="1">
        <v>41550</v>
      </c>
      <c r="B10765">
        <v>3774.3400879999999</v>
      </c>
      <c r="C10765">
        <f t="shared" si="353"/>
        <v>-1.0663097909509794E-2</v>
      </c>
      <c r="D10765">
        <f t="shared" si="352"/>
        <v>-0.89018193775024013</v>
      </c>
    </row>
    <row r="10766" spans="1:4" x14ac:dyDescent="0.3">
      <c r="A10766" s="1">
        <v>41551</v>
      </c>
      <c r="B10766">
        <v>3807.75</v>
      </c>
      <c r="C10766">
        <f t="shared" si="353"/>
        <v>8.8518552173457651E-3</v>
      </c>
      <c r="D10766">
        <f t="shared" si="352"/>
        <v>0.67093406643145836</v>
      </c>
    </row>
    <row r="10767" spans="1:4" x14ac:dyDescent="0.3">
      <c r="A10767" s="1">
        <v>41554</v>
      </c>
      <c r="B10767">
        <v>3770.3798830000001</v>
      </c>
      <c r="C10767">
        <f t="shared" si="353"/>
        <v>-9.8142254612303692E-3</v>
      </c>
      <c r="D10767">
        <f t="shared" si="352"/>
        <v>-0.82227563247225066</v>
      </c>
    </row>
    <row r="10768" spans="1:4" x14ac:dyDescent="0.3">
      <c r="A10768" s="1">
        <v>41555</v>
      </c>
      <c r="B10768">
        <v>3694.830078</v>
      </c>
      <c r="C10768">
        <f t="shared" si="353"/>
        <v>-2.0037716979299961E-2</v>
      </c>
      <c r="D10768">
        <f t="shared" si="352"/>
        <v>-1.6401129146695015</v>
      </c>
    </row>
    <row r="10769" spans="1:4" x14ac:dyDescent="0.3">
      <c r="A10769" s="1">
        <v>41556</v>
      </c>
      <c r="B10769">
        <v>3677.780029</v>
      </c>
      <c r="C10769">
        <f t="shared" si="353"/>
        <v>-4.6145691791133958E-3</v>
      </c>
      <c r="D10769">
        <f t="shared" si="352"/>
        <v>-0.40632451101728206</v>
      </c>
    </row>
    <row r="10770" spans="1:4" x14ac:dyDescent="0.3">
      <c r="A10770" s="1">
        <v>41557</v>
      </c>
      <c r="B10770">
        <v>3760.75</v>
      </c>
      <c r="C10770">
        <f t="shared" si="353"/>
        <v>2.2559797036735715E-2</v>
      </c>
      <c r="D10770">
        <f t="shared" si="352"/>
        <v>1.7675130445890843</v>
      </c>
    </row>
    <row r="10771" spans="1:4" x14ac:dyDescent="0.3">
      <c r="A10771" s="1">
        <v>41558</v>
      </c>
      <c r="B10771">
        <v>3791.8701169999999</v>
      </c>
      <c r="C10771">
        <f t="shared" si="353"/>
        <v>8.2749762680316263E-3</v>
      </c>
      <c r="D10771">
        <f t="shared" si="352"/>
        <v>0.62478612262674083</v>
      </c>
    </row>
    <row r="10772" spans="1:4" x14ac:dyDescent="0.3">
      <c r="A10772" s="1">
        <v>41561</v>
      </c>
      <c r="B10772">
        <v>3815.280029</v>
      </c>
      <c r="C10772">
        <f t="shared" si="353"/>
        <v>6.1737114610141792E-3</v>
      </c>
      <c r="D10772">
        <f t="shared" si="352"/>
        <v>0.4566935785178603</v>
      </c>
    </row>
    <row r="10773" spans="1:4" x14ac:dyDescent="0.3">
      <c r="A10773" s="1">
        <v>41562</v>
      </c>
      <c r="B10773">
        <v>3794.01001</v>
      </c>
      <c r="C10773">
        <f t="shared" si="353"/>
        <v>-5.5749561862632148E-3</v>
      </c>
      <c r="D10773">
        <f t="shared" si="352"/>
        <v>-0.48315152245429716</v>
      </c>
    </row>
    <row r="10774" spans="1:4" x14ac:dyDescent="0.3">
      <c r="A10774" s="1">
        <v>41563</v>
      </c>
      <c r="B10774">
        <v>3839.429932</v>
      </c>
      <c r="C10774">
        <f t="shared" si="353"/>
        <v>1.1971481857002281E-2</v>
      </c>
      <c r="D10774">
        <f t="shared" si="352"/>
        <v>0.92049136962258715</v>
      </c>
    </row>
    <row r="10775" spans="1:4" x14ac:dyDescent="0.3">
      <c r="A10775" s="1">
        <v>41564</v>
      </c>
      <c r="B10775">
        <v>3863.1499020000001</v>
      </c>
      <c r="C10775">
        <f t="shared" si="353"/>
        <v>6.1779926760231613E-3</v>
      </c>
      <c r="D10775">
        <f t="shared" si="352"/>
        <v>0.45703605811411752</v>
      </c>
    </row>
    <row r="10776" spans="1:4" x14ac:dyDescent="0.3">
      <c r="A10776" s="1">
        <v>41565</v>
      </c>
      <c r="B10776">
        <v>3914.280029</v>
      </c>
      <c r="C10776">
        <f t="shared" si="353"/>
        <v>1.3235346361664405E-2</v>
      </c>
      <c r="D10776">
        <f t="shared" si="352"/>
        <v>1.0215953329536605</v>
      </c>
    </row>
    <row r="10777" spans="1:4" x14ac:dyDescent="0.3">
      <c r="A10777" s="1">
        <v>41568</v>
      </c>
      <c r="B10777">
        <v>3920.0500489999999</v>
      </c>
      <c r="C10777">
        <f t="shared" si="353"/>
        <v>1.4740948417719685E-3</v>
      </c>
      <c r="D10777">
        <f t="shared" si="352"/>
        <v>8.0743573917492831E-2</v>
      </c>
    </row>
    <row r="10778" spans="1:4" x14ac:dyDescent="0.3">
      <c r="A10778" s="1">
        <v>41569</v>
      </c>
      <c r="B10778">
        <v>3929.570068</v>
      </c>
      <c r="C10778">
        <f t="shared" si="353"/>
        <v>2.4285452688106858E-3</v>
      </c>
      <c r="D10778">
        <f t="shared" si="352"/>
        <v>0.15709568335698307</v>
      </c>
    </row>
    <row r="10779" spans="1:4" x14ac:dyDescent="0.3">
      <c r="A10779" s="1">
        <v>41570</v>
      </c>
      <c r="B10779">
        <v>3907.070068</v>
      </c>
      <c r="C10779">
        <f t="shared" si="353"/>
        <v>-5.7258172295300575E-3</v>
      </c>
      <c r="D10779">
        <f t="shared" si="352"/>
        <v>-0.49521978557132795</v>
      </c>
    </row>
    <row r="10780" spans="1:4" x14ac:dyDescent="0.3">
      <c r="A10780" s="1">
        <v>41571</v>
      </c>
      <c r="B10780">
        <v>3928.959961</v>
      </c>
      <c r="C10780">
        <f t="shared" si="353"/>
        <v>5.602636405035168E-3</v>
      </c>
      <c r="D10780">
        <f t="shared" si="352"/>
        <v>0.41100992231420108</v>
      </c>
    </row>
    <row r="10781" spans="1:4" x14ac:dyDescent="0.3">
      <c r="A10781" s="1">
        <v>41572</v>
      </c>
      <c r="B10781">
        <v>3943.360107</v>
      </c>
      <c r="C10781">
        <f t="shared" si="353"/>
        <v>3.6651292308753436E-3</v>
      </c>
      <c r="D10781">
        <f t="shared" si="352"/>
        <v>0.25601731545852041</v>
      </c>
    </row>
    <row r="10782" spans="1:4" x14ac:dyDescent="0.3">
      <c r="A10782" s="1">
        <v>41575</v>
      </c>
      <c r="B10782">
        <v>3940.1298830000001</v>
      </c>
      <c r="C10782">
        <f t="shared" si="353"/>
        <v>-8.1915521594536111E-4</v>
      </c>
      <c r="D10782">
        <f t="shared" si="352"/>
        <v>-0.10270700079931035</v>
      </c>
    </row>
    <row r="10783" spans="1:4" x14ac:dyDescent="0.3">
      <c r="A10783" s="1">
        <v>41576</v>
      </c>
      <c r="B10783">
        <v>3952.3400879999999</v>
      </c>
      <c r="C10783">
        <f t="shared" si="353"/>
        <v>3.0989346449419725E-3</v>
      </c>
      <c r="D10783">
        <f t="shared" si="352"/>
        <v>0.21072407678989966</v>
      </c>
    </row>
    <row r="10784" spans="1:4" x14ac:dyDescent="0.3">
      <c r="A10784" s="1">
        <v>41577</v>
      </c>
      <c r="B10784">
        <v>3930.6201169999999</v>
      </c>
      <c r="C10784">
        <f t="shared" si="353"/>
        <v>-5.4954711680671514E-3</v>
      </c>
      <c r="D10784">
        <f t="shared" si="352"/>
        <v>-0.47679304784295989</v>
      </c>
    </row>
    <row r="10785" spans="1:4" x14ac:dyDescent="0.3">
      <c r="A10785" s="1">
        <v>41578</v>
      </c>
      <c r="B10785">
        <v>3919.709961</v>
      </c>
      <c r="C10785">
        <f t="shared" si="353"/>
        <v>-2.7756831429252859E-3</v>
      </c>
      <c r="D10785">
        <f t="shared" si="352"/>
        <v>-0.25922118966679608</v>
      </c>
    </row>
    <row r="10786" spans="1:4" x14ac:dyDescent="0.3">
      <c r="A10786" s="1">
        <v>41579</v>
      </c>
      <c r="B10786">
        <v>3922.040039</v>
      </c>
      <c r="C10786">
        <f t="shared" si="353"/>
        <v>5.9445163626481847E-4</v>
      </c>
      <c r="D10786">
        <f t="shared" si="352"/>
        <v>1.0375734591394974E-2</v>
      </c>
    </row>
    <row r="10787" spans="1:4" x14ac:dyDescent="0.3">
      <c r="A10787" s="1">
        <v>41582</v>
      </c>
      <c r="B10787">
        <v>3936.5900879999999</v>
      </c>
      <c r="C10787">
        <f t="shared" si="353"/>
        <v>3.7098165381579738E-3</v>
      </c>
      <c r="D10787">
        <f t="shared" si="352"/>
        <v>0.25959211628582529</v>
      </c>
    </row>
    <row r="10788" spans="1:4" x14ac:dyDescent="0.3">
      <c r="A10788" s="1">
        <v>41583</v>
      </c>
      <c r="B10788">
        <v>3939.860107</v>
      </c>
      <c r="C10788">
        <f t="shared" si="353"/>
        <v>8.306729750623829E-4</v>
      </c>
      <c r="D10788">
        <f t="shared" si="352"/>
        <v>2.9272470347250962E-2</v>
      </c>
    </row>
    <row r="10789" spans="1:4" x14ac:dyDescent="0.3">
      <c r="A10789" s="1">
        <v>41584</v>
      </c>
      <c r="B10789">
        <v>3931.9499510000001</v>
      </c>
      <c r="C10789">
        <f t="shared" si="353"/>
        <v>-2.0077250930676041E-3</v>
      </c>
      <c r="D10789">
        <f t="shared" si="352"/>
        <v>-0.19778770354055153</v>
      </c>
    </row>
    <row r="10790" spans="1:4" x14ac:dyDescent="0.3">
      <c r="A10790" s="1">
        <v>41585</v>
      </c>
      <c r="B10790">
        <v>3857.330078</v>
      </c>
      <c r="C10790">
        <f t="shared" si="353"/>
        <v>-1.8977828794850826E-2</v>
      </c>
      <c r="D10790">
        <f t="shared" si="352"/>
        <v>-1.5553262181998269</v>
      </c>
    </row>
    <row r="10791" spans="1:4" x14ac:dyDescent="0.3">
      <c r="A10791" s="1">
        <v>41586</v>
      </c>
      <c r="B10791">
        <v>3919.2299800000001</v>
      </c>
      <c r="C10791">
        <f t="shared" si="353"/>
        <v>1.6047343822879374E-2</v>
      </c>
      <c r="D10791">
        <f t="shared" si="352"/>
        <v>1.2465435668482057</v>
      </c>
    </row>
    <row r="10792" spans="1:4" x14ac:dyDescent="0.3">
      <c r="A10792" s="1">
        <v>41589</v>
      </c>
      <c r="B10792">
        <v>3919.790039</v>
      </c>
      <c r="C10792">
        <f t="shared" si="353"/>
        <v>1.4290026430138457E-4</v>
      </c>
      <c r="D10792">
        <f t="shared" si="352"/>
        <v>-2.5746518375343461E-2</v>
      </c>
    </row>
    <row r="10793" spans="1:4" x14ac:dyDescent="0.3">
      <c r="A10793" s="1">
        <v>41590</v>
      </c>
      <c r="B10793">
        <v>3919.919922</v>
      </c>
      <c r="C10793">
        <f t="shared" si="353"/>
        <v>3.3135193137334129E-5</v>
      </c>
      <c r="D10793">
        <f t="shared" si="352"/>
        <v>-3.452727271179791E-2</v>
      </c>
    </row>
    <row r="10794" spans="1:4" x14ac:dyDescent="0.3">
      <c r="A10794" s="1">
        <v>41591</v>
      </c>
      <c r="B10794">
        <v>3965.580078</v>
      </c>
      <c r="C10794">
        <f t="shared" si="353"/>
        <v>1.1648236930488989E-2</v>
      </c>
      <c r="D10794">
        <f t="shared" si="352"/>
        <v>0.89463310469260382</v>
      </c>
    </row>
    <row r="10795" spans="1:4" x14ac:dyDescent="0.3">
      <c r="A10795" s="1">
        <v>41592</v>
      </c>
      <c r="B10795">
        <v>3972.73999</v>
      </c>
      <c r="C10795">
        <f t="shared" si="353"/>
        <v>1.8055144163451379E-3</v>
      </c>
      <c r="D10795">
        <f t="shared" si="352"/>
        <v>0.10725577707791265</v>
      </c>
    </row>
    <row r="10796" spans="1:4" x14ac:dyDescent="0.3">
      <c r="A10796" s="1">
        <v>41593</v>
      </c>
      <c r="B10796">
        <v>3985.969971</v>
      </c>
      <c r="C10796">
        <f t="shared" si="353"/>
        <v>3.3301905066281351E-3</v>
      </c>
      <c r="D10796">
        <f t="shared" si="352"/>
        <v>0.2292235947950074</v>
      </c>
    </row>
    <row r="10797" spans="1:4" x14ac:dyDescent="0.3">
      <c r="A10797" s="1">
        <v>41596</v>
      </c>
      <c r="B10797">
        <v>3949.070068</v>
      </c>
      <c r="C10797">
        <f t="shared" si="353"/>
        <v>-9.2574463100489821E-3</v>
      </c>
      <c r="D10797">
        <f t="shared" si="352"/>
        <v>-0.77773558986728952</v>
      </c>
    </row>
    <row r="10798" spans="1:4" x14ac:dyDescent="0.3">
      <c r="A10798" s="1">
        <v>41597</v>
      </c>
      <c r="B10798">
        <v>3931.5500489999999</v>
      </c>
      <c r="C10798">
        <f t="shared" si="353"/>
        <v>-4.4364923129543337E-3</v>
      </c>
      <c r="D10798">
        <f t="shared" si="352"/>
        <v>-0.39207909398100615</v>
      </c>
    </row>
    <row r="10799" spans="1:4" x14ac:dyDescent="0.3">
      <c r="A10799" s="1">
        <v>41598</v>
      </c>
      <c r="B10799">
        <v>3921.2700199999999</v>
      </c>
      <c r="C10799">
        <f t="shared" si="353"/>
        <v>-2.6147521643822809E-3</v>
      </c>
      <c r="D10799">
        <f t="shared" si="352"/>
        <v>-0.24634737313549357</v>
      </c>
    </row>
    <row r="10800" spans="1:4" x14ac:dyDescent="0.3">
      <c r="A10800" s="1">
        <v>41599</v>
      </c>
      <c r="B10800">
        <v>3969.1599120000001</v>
      </c>
      <c r="C10800">
        <f t="shared" si="353"/>
        <v>1.2212852406425239E-2</v>
      </c>
      <c r="D10800">
        <f t="shared" si="352"/>
        <v>0.93980002105479399</v>
      </c>
    </row>
    <row r="10801" spans="1:4" x14ac:dyDescent="0.3">
      <c r="A10801" s="1">
        <v>41600</v>
      </c>
      <c r="B10801">
        <v>3991.6499020000001</v>
      </c>
      <c r="C10801">
        <f t="shared" si="353"/>
        <v>5.6661839025446735E-3</v>
      </c>
      <c r="D10801">
        <f t="shared" si="352"/>
        <v>0.41609346080609039</v>
      </c>
    </row>
    <row r="10802" spans="1:4" x14ac:dyDescent="0.3">
      <c r="A10802" s="1">
        <v>41603</v>
      </c>
      <c r="B10802">
        <v>3994.570068</v>
      </c>
      <c r="C10802">
        <f t="shared" si="353"/>
        <v>7.3156866751684403E-4</v>
      </c>
      <c r="D10802">
        <f t="shared" si="352"/>
        <v>2.1344533262955503E-2</v>
      </c>
    </row>
    <row r="10803" spans="1:4" x14ac:dyDescent="0.3">
      <c r="A10803" s="1">
        <v>41604</v>
      </c>
      <c r="B10803">
        <v>4017.75</v>
      </c>
      <c r="C10803">
        <f t="shared" si="353"/>
        <v>5.8028602841871616E-3</v>
      </c>
      <c r="D10803">
        <f t="shared" si="352"/>
        <v>0.42702700932084992</v>
      </c>
    </row>
    <row r="10804" spans="1:4" x14ac:dyDescent="0.3">
      <c r="A10804" s="1">
        <v>41605</v>
      </c>
      <c r="B10804">
        <v>4044.75</v>
      </c>
      <c r="C10804">
        <f t="shared" si="353"/>
        <v>6.7201792047787944E-3</v>
      </c>
      <c r="D10804">
        <f t="shared" si="352"/>
        <v>0.50040875093024029</v>
      </c>
    </row>
    <row r="10805" spans="1:4" x14ac:dyDescent="0.3">
      <c r="A10805" s="1">
        <v>41607</v>
      </c>
      <c r="B10805">
        <v>4059.889893</v>
      </c>
      <c r="C10805">
        <f t="shared" si="353"/>
        <v>3.7430973484146187E-3</v>
      </c>
      <c r="D10805">
        <f t="shared" si="352"/>
        <v>0.2622544442548474</v>
      </c>
    </row>
    <row r="10806" spans="1:4" x14ac:dyDescent="0.3">
      <c r="A10806" s="1">
        <v>41610</v>
      </c>
      <c r="B10806">
        <v>4045.26001</v>
      </c>
      <c r="C10806">
        <f t="shared" si="353"/>
        <v>-3.6035171853366476E-3</v>
      </c>
      <c r="D10806">
        <f t="shared" si="352"/>
        <v>-0.32544450898578248</v>
      </c>
    </row>
    <row r="10807" spans="1:4" x14ac:dyDescent="0.3">
      <c r="A10807" s="1">
        <v>41611</v>
      </c>
      <c r="B10807">
        <v>4037.1999510000001</v>
      </c>
      <c r="C10807">
        <f t="shared" si="353"/>
        <v>-1.992469947562137E-3</v>
      </c>
      <c r="D10807">
        <f t="shared" si="352"/>
        <v>-0.19656735462964731</v>
      </c>
    </row>
    <row r="10808" spans="1:4" x14ac:dyDescent="0.3">
      <c r="A10808" s="1">
        <v>41612</v>
      </c>
      <c r="B10808">
        <v>4038</v>
      </c>
      <c r="C10808">
        <f t="shared" si="353"/>
        <v>1.9816927814084986E-4</v>
      </c>
      <c r="D10808">
        <f t="shared" si="352"/>
        <v>-2.1325224535729125E-2</v>
      </c>
    </row>
    <row r="10809" spans="1:4" x14ac:dyDescent="0.3">
      <c r="A10809" s="1">
        <v>41613</v>
      </c>
      <c r="B10809">
        <v>4033.169922</v>
      </c>
      <c r="C10809">
        <f t="shared" si="353"/>
        <v>-1.1961560178305986E-3</v>
      </c>
      <c r="D10809">
        <f t="shared" si="352"/>
        <v>-0.13286551471356894</v>
      </c>
    </row>
    <row r="10810" spans="1:4" x14ac:dyDescent="0.3">
      <c r="A10810" s="1">
        <v>41614</v>
      </c>
      <c r="B10810">
        <v>4062.5200199999999</v>
      </c>
      <c r="C10810">
        <f t="shared" si="353"/>
        <v>7.2771786380489345E-3</v>
      </c>
      <c r="D10810">
        <f t="shared" si="352"/>
        <v>0.54496641519649625</v>
      </c>
    </row>
    <row r="10811" spans="1:4" x14ac:dyDescent="0.3">
      <c r="A10811" s="1">
        <v>41617</v>
      </c>
      <c r="B10811">
        <v>4068.75</v>
      </c>
      <c r="C10811">
        <f t="shared" si="353"/>
        <v>1.5335259812455197E-3</v>
      </c>
      <c r="D10811">
        <f t="shared" si="352"/>
        <v>8.5497820693071172E-2</v>
      </c>
    </row>
    <row r="10812" spans="1:4" x14ac:dyDescent="0.3">
      <c r="A10812" s="1">
        <v>41618</v>
      </c>
      <c r="B10812">
        <v>4060.48999</v>
      </c>
      <c r="C10812">
        <f t="shared" si="353"/>
        <v>-2.0301099846390083E-3</v>
      </c>
      <c r="D10812">
        <f t="shared" si="352"/>
        <v>-0.19957840281903971</v>
      </c>
    </row>
    <row r="10813" spans="1:4" x14ac:dyDescent="0.3">
      <c r="A10813" s="1">
        <v>41619</v>
      </c>
      <c r="B10813">
        <v>4003.8100589999999</v>
      </c>
      <c r="C10813">
        <f t="shared" si="353"/>
        <v>-1.3958889478754786E-2</v>
      </c>
      <c r="D10813">
        <f t="shared" si="352"/>
        <v>-1.1538317109139282</v>
      </c>
    </row>
    <row r="10814" spans="1:4" x14ac:dyDescent="0.3">
      <c r="A10814" s="1">
        <v>41620</v>
      </c>
      <c r="B10814">
        <v>3998.3999020000001</v>
      </c>
      <c r="C10814">
        <f t="shared" si="353"/>
        <v>-1.3512521623843094E-3</v>
      </c>
      <c r="D10814">
        <f t="shared" si="352"/>
        <v>-0.14527256851870865</v>
      </c>
    </row>
    <row r="10815" spans="1:4" x14ac:dyDescent="0.3">
      <c r="A10815" s="1">
        <v>41621</v>
      </c>
      <c r="B10815">
        <v>4000.9799800000001</v>
      </c>
      <c r="C10815">
        <f t="shared" si="353"/>
        <v>6.4527762686003532E-4</v>
      </c>
      <c r="D10815">
        <f t="shared" si="352"/>
        <v>1.4441604841290185E-2</v>
      </c>
    </row>
    <row r="10816" spans="1:4" x14ac:dyDescent="0.3">
      <c r="A10816" s="1">
        <v>41624</v>
      </c>
      <c r="B10816">
        <v>4029.5200199999999</v>
      </c>
      <c r="C10816">
        <f t="shared" si="353"/>
        <v>7.1332623863816138E-3</v>
      </c>
      <c r="D10816">
        <f t="shared" si="352"/>
        <v>0.53345370685027349</v>
      </c>
    </row>
    <row r="10817" spans="1:4" x14ac:dyDescent="0.3">
      <c r="A10817" s="1">
        <v>41625</v>
      </c>
      <c r="B10817">
        <v>4023.679932</v>
      </c>
      <c r="C10817">
        <f t="shared" si="353"/>
        <v>-1.4493259671160346E-3</v>
      </c>
      <c r="D10817">
        <f t="shared" si="352"/>
        <v>-0.1531180696153519</v>
      </c>
    </row>
    <row r="10818" spans="1:4" x14ac:dyDescent="0.3">
      <c r="A10818" s="1">
        <v>41626</v>
      </c>
      <c r="B10818">
        <v>4070.0600589999999</v>
      </c>
      <c r="C10818">
        <f t="shared" si="353"/>
        <v>1.1526793329445147E-2</v>
      </c>
      <c r="D10818">
        <f t="shared" si="352"/>
        <v>0.88491811598816783</v>
      </c>
    </row>
    <row r="10819" spans="1:4" x14ac:dyDescent="0.3">
      <c r="A10819" s="1">
        <v>41627</v>
      </c>
      <c r="B10819">
        <v>4058.139893</v>
      </c>
      <c r="C10819">
        <f t="shared" si="353"/>
        <v>-2.9287444969371352E-3</v>
      </c>
      <c r="D10819">
        <f t="shared" ref="D10819:D10882" si="354">(C10819-avrtn)/sdrtn</f>
        <v>-0.27146546859569554</v>
      </c>
    </row>
    <row r="10820" spans="1:4" x14ac:dyDescent="0.3">
      <c r="A10820" s="1">
        <v>41628</v>
      </c>
      <c r="B10820">
        <v>4104.7402339999999</v>
      </c>
      <c r="C10820">
        <f t="shared" ref="C10820:C10883" si="355">(B10820-B10819)/B10819</f>
        <v>1.148317757117789E-2</v>
      </c>
      <c r="D10820">
        <f t="shared" si="354"/>
        <v>0.88142903467585698</v>
      </c>
    </row>
    <row r="10821" spans="1:4" x14ac:dyDescent="0.3">
      <c r="A10821" s="1">
        <v>41631</v>
      </c>
      <c r="B10821">
        <v>4148.8999020000001</v>
      </c>
      <c r="C10821">
        <f t="shared" si="355"/>
        <v>1.075821257438437E-2</v>
      </c>
      <c r="D10821">
        <f t="shared" si="354"/>
        <v>0.82343481600625479</v>
      </c>
    </row>
    <row r="10822" spans="1:4" x14ac:dyDescent="0.3">
      <c r="A10822" s="1">
        <v>41632</v>
      </c>
      <c r="B10822">
        <v>4155.419922</v>
      </c>
      <c r="C10822">
        <f t="shared" si="355"/>
        <v>1.5715057374261837E-3</v>
      </c>
      <c r="D10822">
        <f t="shared" si="354"/>
        <v>8.8536045013833692E-2</v>
      </c>
    </row>
    <row r="10823" spans="1:4" x14ac:dyDescent="0.3">
      <c r="A10823" s="1">
        <v>41634</v>
      </c>
      <c r="B10823">
        <v>4167.1801759999998</v>
      </c>
      <c r="C10823">
        <f t="shared" si="355"/>
        <v>2.8301000189505767E-3</v>
      </c>
      <c r="D10823">
        <f t="shared" si="354"/>
        <v>0.18921841216517543</v>
      </c>
    </row>
    <row r="10824" spans="1:4" x14ac:dyDescent="0.3">
      <c r="A10824" s="1">
        <v>41635</v>
      </c>
      <c r="B10824">
        <v>4156.5898440000001</v>
      </c>
      <c r="C10824">
        <f t="shared" si="355"/>
        <v>-2.5413664763027427E-3</v>
      </c>
      <c r="D10824">
        <f t="shared" si="354"/>
        <v>-0.24047681985288302</v>
      </c>
    </row>
    <row r="10825" spans="1:4" x14ac:dyDescent="0.3">
      <c r="A10825" s="1">
        <v>41638</v>
      </c>
      <c r="B10825">
        <v>4154.2001950000003</v>
      </c>
      <c r="C10825">
        <f t="shared" si="355"/>
        <v>-5.749061345201457E-4</v>
      </c>
      <c r="D10825">
        <f t="shared" si="354"/>
        <v>-8.3168078643517204E-2</v>
      </c>
    </row>
    <row r="10826" spans="1:4" x14ac:dyDescent="0.3">
      <c r="A10826" s="1">
        <v>41639</v>
      </c>
      <c r="B10826">
        <v>4176.5898440000001</v>
      </c>
      <c r="C10826">
        <f t="shared" si="355"/>
        <v>5.3896413145779398E-3</v>
      </c>
      <c r="D10826">
        <f t="shared" si="354"/>
        <v>0.39397119091866811</v>
      </c>
    </row>
    <row r="10827" spans="1:4" x14ac:dyDescent="0.3">
      <c r="A10827" s="1">
        <v>41641</v>
      </c>
      <c r="B10827">
        <v>4143.0698240000002</v>
      </c>
      <c r="C10827">
        <f t="shared" si="355"/>
        <v>-8.0256911145235102E-3</v>
      </c>
      <c r="D10827">
        <f t="shared" si="354"/>
        <v>-0.67920023923288042</v>
      </c>
    </row>
    <row r="10828" spans="1:4" x14ac:dyDescent="0.3">
      <c r="A10828" s="1">
        <v>41642</v>
      </c>
      <c r="B10828">
        <v>4131.9101559999999</v>
      </c>
      <c r="C10828">
        <f t="shared" si="355"/>
        <v>-2.6935746859380561E-3</v>
      </c>
      <c r="D10828">
        <f t="shared" si="354"/>
        <v>-0.25265285073981025</v>
      </c>
    </row>
    <row r="10829" spans="1:4" x14ac:dyDescent="0.3">
      <c r="A10829" s="1">
        <v>41645</v>
      </c>
      <c r="B10829">
        <v>4113.6801759999998</v>
      </c>
      <c r="C10829">
        <f t="shared" si="355"/>
        <v>-4.4119981586550425E-3</v>
      </c>
      <c r="D10829">
        <f t="shared" si="354"/>
        <v>-0.39011966235762718</v>
      </c>
    </row>
    <row r="10830" spans="1:4" x14ac:dyDescent="0.3">
      <c r="A10830" s="1">
        <v>41646</v>
      </c>
      <c r="B10830">
        <v>4153.1801759999998</v>
      </c>
      <c r="C10830">
        <f t="shared" si="355"/>
        <v>9.6021076773178879E-3</v>
      </c>
      <c r="D10830">
        <f t="shared" si="354"/>
        <v>0.73095117817267885</v>
      </c>
    </row>
    <row r="10831" spans="1:4" x14ac:dyDescent="0.3">
      <c r="A10831" s="1">
        <v>41647</v>
      </c>
      <c r="B10831">
        <v>4165.6098629999997</v>
      </c>
      <c r="C10831">
        <f t="shared" si="355"/>
        <v>2.9928118870997497E-3</v>
      </c>
      <c r="D10831">
        <f t="shared" si="354"/>
        <v>0.20223469254190957</v>
      </c>
    </row>
    <row r="10832" spans="1:4" x14ac:dyDescent="0.3">
      <c r="A10832" s="1">
        <v>41648</v>
      </c>
      <c r="B10832">
        <v>4156.1899409999996</v>
      </c>
      <c r="C10832">
        <f t="shared" si="355"/>
        <v>-2.2613548339392442E-3</v>
      </c>
      <c r="D10832">
        <f t="shared" si="354"/>
        <v>-0.21807703987855651</v>
      </c>
    </row>
    <row r="10833" spans="1:4" x14ac:dyDescent="0.3">
      <c r="A10833" s="1">
        <v>41649</v>
      </c>
      <c r="B10833">
        <v>4174.669922</v>
      </c>
      <c r="C10833">
        <f t="shared" si="355"/>
        <v>4.4463754694411377E-3</v>
      </c>
      <c r="D10833">
        <f t="shared" si="354"/>
        <v>0.31851380204005547</v>
      </c>
    </row>
    <row r="10834" spans="1:4" x14ac:dyDescent="0.3">
      <c r="A10834" s="1">
        <v>41652</v>
      </c>
      <c r="B10834">
        <v>4113.2998049999997</v>
      </c>
      <c r="C10834">
        <f t="shared" si="355"/>
        <v>-1.4700591459120487E-2</v>
      </c>
      <c r="D10834">
        <f t="shared" si="354"/>
        <v>-1.2131648194464171</v>
      </c>
    </row>
    <row r="10835" spans="1:4" x14ac:dyDescent="0.3">
      <c r="A10835" s="1">
        <v>41653</v>
      </c>
      <c r="B10835">
        <v>4183.0200199999999</v>
      </c>
      <c r="C10835">
        <f t="shared" si="355"/>
        <v>1.6949947318513119E-2</v>
      </c>
      <c r="D10835">
        <f t="shared" si="354"/>
        <v>1.3187481349711538</v>
      </c>
    </row>
    <row r="10836" spans="1:4" x14ac:dyDescent="0.3">
      <c r="A10836" s="1">
        <v>41654</v>
      </c>
      <c r="B10836">
        <v>4214.8798829999996</v>
      </c>
      <c r="C10836">
        <f t="shared" si="355"/>
        <v>7.6164739464956418E-3</v>
      </c>
      <c r="D10836">
        <f t="shared" si="354"/>
        <v>0.57210864468158784</v>
      </c>
    </row>
    <row r="10837" spans="1:4" x14ac:dyDescent="0.3">
      <c r="A10837" s="1">
        <v>41655</v>
      </c>
      <c r="B10837">
        <v>4218.6899409999996</v>
      </c>
      <c r="C10837">
        <f t="shared" si="355"/>
        <v>9.0395411156727061E-4</v>
      </c>
      <c r="D10837">
        <f t="shared" si="354"/>
        <v>3.5134659933808127E-2</v>
      </c>
    </row>
    <row r="10838" spans="1:4" x14ac:dyDescent="0.3">
      <c r="A10838" s="1">
        <v>41656</v>
      </c>
      <c r="B10838">
        <v>4197.580078</v>
      </c>
      <c r="C10838">
        <f t="shared" si="355"/>
        <v>-5.0038906142023292E-3</v>
      </c>
      <c r="D10838">
        <f t="shared" si="354"/>
        <v>-0.43746862492508992</v>
      </c>
    </row>
    <row r="10839" spans="1:4" x14ac:dyDescent="0.3">
      <c r="A10839" s="1">
        <v>41660</v>
      </c>
      <c r="B10839">
        <v>4225.7597660000001</v>
      </c>
      <c r="C10839">
        <f t="shared" si="355"/>
        <v>6.7133175487689095E-3</v>
      </c>
      <c r="D10839">
        <f t="shared" si="354"/>
        <v>0.49985984666474759</v>
      </c>
    </row>
    <row r="10840" spans="1:4" x14ac:dyDescent="0.3">
      <c r="A10840" s="1">
        <v>41661</v>
      </c>
      <c r="B10840">
        <v>4243</v>
      </c>
      <c r="C10840">
        <f t="shared" si="355"/>
        <v>4.0797951030517414E-3</v>
      </c>
      <c r="D10840">
        <f t="shared" si="354"/>
        <v>0.28918888011637739</v>
      </c>
    </row>
    <row r="10841" spans="1:4" x14ac:dyDescent="0.3">
      <c r="A10841" s="1">
        <v>41662</v>
      </c>
      <c r="B10841">
        <v>4218.8798829999996</v>
      </c>
      <c r="C10841">
        <f t="shared" si="355"/>
        <v>-5.6846846570823457E-3</v>
      </c>
      <c r="D10841">
        <f t="shared" si="354"/>
        <v>-0.49192934891365958</v>
      </c>
    </row>
    <row r="10842" spans="1:4" x14ac:dyDescent="0.3">
      <c r="A10842" s="1">
        <v>41663</v>
      </c>
      <c r="B10842">
        <v>4128.169922</v>
      </c>
      <c r="C10842">
        <f t="shared" si="355"/>
        <v>-2.1500958433425865E-2</v>
      </c>
      <c r="D10842">
        <f t="shared" si="354"/>
        <v>-1.7571662141147621</v>
      </c>
    </row>
    <row r="10843" spans="1:4" x14ac:dyDescent="0.3">
      <c r="A10843" s="1">
        <v>41666</v>
      </c>
      <c r="B10843">
        <v>4083.610107</v>
      </c>
      <c r="C10843">
        <f t="shared" si="355"/>
        <v>-1.0794084507648344E-2</v>
      </c>
      <c r="D10843">
        <f t="shared" si="354"/>
        <v>-0.90066032698121423</v>
      </c>
    </row>
    <row r="10844" spans="1:4" x14ac:dyDescent="0.3">
      <c r="A10844" s="1">
        <v>41667</v>
      </c>
      <c r="B10844">
        <v>4097.9599609999996</v>
      </c>
      <c r="C10844">
        <f t="shared" si="355"/>
        <v>3.5140117748757439E-3</v>
      </c>
      <c r="D10844">
        <f t="shared" si="354"/>
        <v>0.24392854037724451</v>
      </c>
    </row>
    <row r="10845" spans="1:4" x14ac:dyDescent="0.3">
      <c r="A10845" s="1">
        <v>41668</v>
      </c>
      <c r="B10845">
        <v>4051.429932</v>
      </c>
      <c r="C10845">
        <f t="shared" si="355"/>
        <v>-1.1354437193828787E-2</v>
      </c>
      <c r="D10845">
        <f t="shared" si="354"/>
        <v>-0.94548623769163609</v>
      </c>
    </row>
    <row r="10846" spans="1:4" x14ac:dyDescent="0.3">
      <c r="A10846" s="1">
        <v>41669</v>
      </c>
      <c r="B10846">
        <v>4123.1298829999996</v>
      </c>
      <c r="C10846">
        <f t="shared" si="355"/>
        <v>1.7697443175230903E-2</v>
      </c>
      <c r="D10846">
        <f t="shared" si="354"/>
        <v>1.3785447297872475</v>
      </c>
    </row>
    <row r="10847" spans="1:4" x14ac:dyDescent="0.3">
      <c r="A10847" s="1">
        <v>41670</v>
      </c>
      <c r="B10847">
        <v>4103.8798829999996</v>
      </c>
      <c r="C10847">
        <f t="shared" si="355"/>
        <v>-4.6687833141927735E-3</v>
      </c>
      <c r="D10847">
        <f t="shared" si="354"/>
        <v>-0.41066141889377678</v>
      </c>
    </row>
    <row r="10848" spans="1:4" x14ac:dyDescent="0.3">
      <c r="A10848" s="1">
        <v>41673</v>
      </c>
      <c r="B10848">
        <v>3996.959961</v>
      </c>
      <c r="C10848">
        <f t="shared" si="355"/>
        <v>-2.6053375110442919E-2</v>
      </c>
      <c r="D10848">
        <f t="shared" si="354"/>
        <v>-2.121340828626896</v>
      </c>
    </row>
    <row r="10849" spans="1:4" x14ac:dyDescent="0.3">
      <c r="A10849" s="1">
        <v>41674</v>
      </c>
      <c r="B10849">
        <v>4031.5200199999999</v>
      </c>
      <c r="C10849">
        <f t="shared" si="355"/>
        <v>8.6465862398464773E-3</v>
      </c>
      <c r="D10849">
        <f t="shared" si="354"/>
        <v>0.65451339230259431</v>
      </c>
    </row>
    <row r="10850" spans="1:4" x14ac:dyDescent="0.3">
      <c r="A10850" s="1">
        <v>41675</v>
      </c>
      <c r="B10850">
        <v>4011.5500489999999</v>
      </c>
      <c r="C10850">
        <f t="shared" si="355"/>
        <v>-4.9534594646512475E-3</v>
      </c>
      <c r="D10850">
        <f t="shared" si="354"/>
        <v>-0.4334343403351294</v>
      </c>
    </row>
    <row r="10851" spans="1:4" x14ac:dyDescent="0.3">
      <c r="A10851" s="1">
        <v>41676</v>
      </c>
      <c r="B10851">
        <v>4057.1201169999999</v>
      </c>
      <c r="C10851">
        <f t="shared" si="355"/>
        <v>1.1359715681812248E-2</v>
      </c>
      <c r="D10851">
        <f t="shared" si="354"/>
        <v>0.87155259120492823</v>
      </c>
    </row>
    <row r="10852" spans="1:4" x14ac:dyDescent="0.3">
      <c r="A10852" s="1">
        <v>41677</v>
      </c>
      <c r="B10852">
        <v>4125.8598629999997</v>
      </c>
      <c r="C10852">
        <f t="shared" si="355"/>
        <v>1.6942990105707965E-2</v>
      </c>
      <c r="D10852">
        <f t="shared" si="354"/>
        <v>1.3181915865549716</v>
      </c>
    </row>
    <row r="10853" spans="1:4" x14ac:dyDescent="0.3">
      <c r="A10853" s="1">
        <v>41680</v>
      </c>
      <c r="B10853">
        <v>4148.169922</v>
      </c>
      <c r="C10853">
        <f t="shared" si="355"/>
        <v>5.4073719759784207E-3</v>
      </c>
      <c r="D10853">
        <f t="shared" si="354"/>
        <v>0.39538957092179128</v>
      </c>
    </row>
    <row r="10854" spans="1:4" x14ac:dyDescent="0.3">
      <c r="A10854" s="1">
        <v>41681</v>
      </c>
      <c r="B10854">
        <v>4191.0498049999997</v>
      </c>
      <c r="C10854">
        <f t="shared" si="355"/>
        <v>1.0337060392001851E-2</v>
      </c>
      <c r="D10854">
        <f t="shared" si="354"/>
        <v>0.78974437320377511</v>
      </c>
    </row>
    <row r="10855" spans="1:4" x14ac:dyDescent="0.3">
      <c r="A10855" s="1">
        <v>41682</v>
      </c>
      <c r="B10855">
        <v>4201.2900390000004</v>
      </c>
      <c r="C10855">
        <f t="shared" si="355"/>
        <v>2.4433577448266051E-3</v>
      </c>
      <c r="D10855">
        <f t="shared" si="354"/>
        <v>0.15828062052899128</v>
      </c>
    </row>
    <row r="10856" spans="1:4" x14ac:dyDescent="0.3">
      <c r="A10856" s="1">
        <v>41683</v>
      </c>
      <c r="B10856">
        <v>4240.669922</v>
      </c>
      <c r="C10856">
        <f t="shared" si="355"/>
        <v>9.3732835949057423E-3</v>
      </c>
      <c r="D10856">
        <f t="shared" si="354"/>
        <v>0.71264619250995631</v>
      </c>
    </row>
    <row r="10857" spans="1:4" x14ac:dyDescent="0.3">
      <c r="A10857" s="1">
        <v>41684</v>
      </c>
      <c r="B10857">
        <v>4244.0200199999999</v>
      </c>
      <c r="C10857">
        <f t="shared" si="355"/>
        <v>7.8999263362141228E-4</v>
      </c>
      <c r="D10857">
        <f t="shared" si="354"/>
        <v>2.6018210310536846E-2</v>
      </c>
    </row>
    <row r="10858" spans="1:4" x14ac:dyDescent="0.3">
      <c r="A10858" s="1">
        <v>41688</v>
      </c>
      <c r="B10858">
        <v>4272.7797849999997</v>
      </c>
      <c r="C10858">
        <f t="shared" si="355"/>
        <v>6.7765384857915419E-3</v>
      </c>
      <c r="D10858">
        <f t="shared" si="354"/>
        <v>0.50491726166051176</v>
      </c>
    </row>
    <row r="10859" spans="1:4" x14ac:dyDescent="0.3">
      <c r="A10859" s="1">
        <v>41689</v>
      </c>
      <c r="B10859">
        <v>4237.9501950000003</v>
      </c>
      <c r="C10859">
        <f t="shared" si="355"/>
        <v>-8.1515059873368528E-3</v>
      </c>
      <c r="D10859">
        <f t="shared" si="354"/>
        <v>-0.68926491170409954</v>
      </c>
    </row>
    <row r="10860" spans="1:4" x14ac:dyDescent="0.3">
      <c r="A10860" s="1">
        <v>41690</v>
      </c>
      <c r="B10860">
        <v>4267.5498049999997</v>
      </c>
      <c r="C10860">
        <f t="shared" si="355"/>
        <v>6.9844166726927047E-3</v>
      </c>
      <c r="D10860">
        <f t="shared" si="354"/>
        <v>0.52154666181239262</v>
      </c>
    </row>
    <row r="10861" spans="1:4" x14ac:dyDescent="0.3">
      <c r="A10861" s="1">
        <v>41691</v>
      </c>
      <c r="B10861">
        <v>4263.4101559999999</v>
      </c>
      <c r="C10861">
        <f t="shared" si="355"/>
        <v>-9.7002945229826933E-4</v>
      </c>
      <c r="D10861">
        <f t="shared" si="354"/>
        <v>-0.11477631930897608</v>
      </c>
    </row>
    <row r="10862" spans="1:4" x14ac:dyDescent="0.3">
      <c r="A10862" s="1">
        <v>41694</v>
      </c>
      <c r="B10862">
        <v>4292.9702150000003</v>
      </c>
      <c r="C10862">
        <f t="shared" si="355"/>
        <v>6.9334307322976609E-3</v>
      </c>
      <c r="D10862">
        <f t="shared" si="354"/>
        <v>0.51746799623622874</v>
      </c>
    </row>
    <row r="10863" spans="1:4" x14ac:dyDescent="0.3">
      <c r="A10863" s="1">
        <v>41695</v>
      </c>
      <c r="B10863">
        <v>4287.5898440000001</v>
      </c>
      <c r="C10863">
        <f t="shared" si="355"/>
        <v>-1.2532980036061572E-3</v>
      </c>
      <c r="D10863">
        <f t="shared" si="354"/>
        <v>-0.13743663860636413</v>
      </c>
    </row>
    <row r="10864" spans="1:4" x14ac:dyDescent="0.3">
      <c r="A10864" s="1">
        <v>41696</v>
      </c>
      <c r="B10864">
        <v>4292.0600590000004</v>
      </c>
      <c r="C10864">
        <f t="shared" si="355"/>
        <v>1.0425938960219908E-3</v>
      </c>
      <c r="D10864">
        <f t="shared" si="354"/>
        <v>4.6225272599985649E-2</v>
      </c>
    </row>
    <row r="10865" spans="1:4" x14ac:dyDescent="0.3">
      <c r="A10865" s="1">
        <v>41697</v>
      </c>
      <c r="B10865">
        <v>4318.9301759999998</v>
      </c>
      <c r="C10865">
        <f t="shared" si="355"/>
        <v>6.2604242789323647E-3</v>
      </c>
      <c r="D10865">
        <f t="shared" si="354"/>
        <v>0.46363024738607728</v>
      </c>
    </row>
    <row r="10866" spans="1:4" x14ac:dyDescent="0.3">
      <c r="A10866" s="1">
        <v>41698</v>
      </c>
      <c r="B10866">
        <v>4308.1201170000004</v>
      </c>
      <c r="C10866">
        <f t="shared" si="355"/>
        <v>-2.5029483134666576E-3</v>
      </c>
      <c r="D10866">
        <f t="shared" si="354"/>
        <v>-0.23740352480242574</v>
      </c>
    </row>
    <row r="10867" spans="1:4" x14ac:dyDescent="0.3">
      <c r="A10867" s="1">
        <v>41701</v>
      </c>
      <c r="B10867">
        <v>4277.2998049999997</v>
      </c>
      <c r="C10867">
        <f t="shared" si="355"/>
        <v>-7.1540048009299129E-3</v>
      </c>
      <c r="D10867">
        <f t="shared" si="354"/>
        <v>-0.60946891854093177</v>
      </c>
    </row>
    <row r="10868" spans="1:4" x14ac:dyDescent="0.3">
      <c r="A10868" s="1">
        <v>41702</v>
      </c>
      <c r="B10868">
        <v>4351.9702150000003</v>
      </c>
      <c r="C10868">
        <f t="shared" si="355"/>
        <v>1.7457371099569356E-2</v>
      </c>
      <c r="D10868">
        <f t="shared" si="354"/>
        <v>1.3593399509165975</v>
      </c>
    </row>
    <row r="10869" spans="1:4" x14ac:dyDescent="0.3">
      <c r="A10869" s="1">
        <v>41703</v>
      </c>
      <c r="B10869">
        <v>4357.9702150000003</v>
      </c>
      <c r="C10869">
        <f t="shared" si="355"/>
        <v>1.3786859062866999E-3</v>
      </c>
      <c r="D10869">
        <f t="shared" si="354"/>
        <v>7.311125140255828E-2</v>
      </c>
    </row>
    <row r="10870" spans="1:4" x14ac:dyDescent="0.3">
      <c r="A10870" s="1">
        <v>41704</v>
      </c>
      <c r="B10870">
        <v>4352.1298829999996</v>
      </c>
      <c r="C10870">
        <f t="shared" si="355"/>
        <v>-1.3401495907196491E-3</v>
      </c>
      <c r="D10870">
        <f t="shared" si="354"/>
        <v>-0.14438440843958331</v>
      </c>
    </row>
    <row r="10871" spans="1:4" x14ac:dyDescent="0.3">
      <c r="A10871" s="1">
        <v>41705</v>
      </c>
      <c r="B10871">
        <v>4336.2202150000003</v>
      </c>
      <c r="C10871">
        <f t="shared" si="355"/>
        <v>-3.6556050549283042E-3</v>
      </c>
      <c r="D10871">
        <f t="shared" si="354"/>
        <v>-0.32961132436651541</v>
      </c>
    </row>
    <row r="10872" spans="1:4" x14ac:dyDescent="0.3">
      <c r="A10872" s="1">
        <v>41708</v>
      </c>
      <c r="B10872">
        <v>4334.4501950000003</v>
      </c>
      <c r="C10872">
        <f t="shared" si="355"/>
        <v>-4.0819421344815885E-4</v>
      </c>
      <c r="D10872">
        <f t="shared" si="354"/>
        <v>-6.9831810481273862E-2</v>
      </c>
    </row>
    <row r="10873" spans="1:4" x14ac:dyDescent="0.3">
      <c r="A10873" s="1">
        <v>41709</v>
      </c>
      <c r="B10873">
        <v>4307.1899409999996</v>
      </c>
      <c r="C10873">
        <f t="shared" si="355"/>
        <v>-6.2892068829044903E-3</v>
      </c>
      <c r="D10873">
        <f t="shared" si="354"/>
        <v>-0.54028864116918529</v>
      </c>
    </row>
    <row r="10874" spans="1:4" x14ac:dyDescent="0.3">
      <c r="A10874" s="1">
        <v>41710</v>
      </c>
      <c r="B10874">
        <v>4323.330078</v>
      </c>
      <c r="C10874">
        <f t="shared" si="355"/>
        <v>3.7472545258250369E-3</v>
      </c>
      <c r="D10874">
        <f t="shared" si="354"/>
        <v>0.26258700135326518</v>
      </c>
    </row>
    <row r="10875" spans="1:4" x14ac:dyDescent="0.3">
      <c r="A10875" s="1">
        <v>41711</v>
      </c>
      <c r="B10875">
        <v>4260.419922</v>
      </c>
      <c r="C10875">
        <f t="shared" si="355"/>
        <v>-1.4551319206490602E-2</v>
      </c>
      <c r="D10875">
        <f t="shared" si="354"/>
        <v>-1.2012236530471969</v>
      </c>
    </row>
    <row r="10876" spans="1:4" x14ac:dyDescent="0.3">
      <c r="A10876" s="1">
        <v>41712</v>
      </c>
      <c r="B10876">
        <v>4245.3999020000001</v>
      </c>
      <c r="C10876">
        <f t="shared" si="355"/>
        <v>-3.5254787732165549E-3</v>
      </c>
      <c r="D10876">
        <f t="shared" si="354"/>
        <v>-0.31920175691204311</v>
      </c>
    </row>
    <row r="10877" spans="1:4" x14ac:dyDescent="0.3">
      <c r="A10877" s="1">
        <v>41715</v>
      </c>
      <c r="B10877">
        <v>4279.9501950000003</v>
      </c>
      <c r="C10877">
        <f t="shared" si="355"/>
        <v>8.1382893950046158E-3</v>
      </c>
      <c r="D10877">
        <f t="shared" si="354"/>
        <v>0.61385173484436029</v>
      </c>
    </row>
    <row r="10878" spans="1:4" x14ac:dyDescent="0.3">
      <c r="A10878" s="1">
        <v>41716</v>
      </c>
      <c r="B10878">
        <v>4333.3100590000004</v>
      </c>
      <c r="C10878">
        <f t="shared" si="355"/>
        <v>1.2467403023132612E-2</v>
      </c>
      <c r="D10878">
        <f t="shared" si="354"/>
        <v>0.96016302367299355</v>
      </c>
    </row>
    <row r="10879" spans="1:4" x14ac:dyDescent="0.3">
      <c r="A10879" s="1">
        <v>41717</v>
      </c>
      <c r="B10879">
        <v>4307.6000979999999</v>
      </c>
      <c r="C10879">
        <f t="shared" si="355"/>
        <v>-5.9330997897560035E-3</v>
      </c>
      <c r="D10879">
        <f t="shared" si="354"/>
        <v>-0.51180153803842299</v>
      </c>
    </row>
    <row r="10880" spans="1:4" x14ac:dyDescent="0.3">
      <c r="A10880" s="1">
        <v>41718</v>
      </c>
      <c r="B10880">
        <v>4319.2900390000004</v>
      </c>
      <c r="C10880">
        <f t="shared" si="355"/>
        <v>2.7137943945697591E-3</v>
      </c>
      <c r="D10880">
        <f t="shared" si="354"/>
        <v>0.17991444046629515</v>
      </c>
    </row>
    <row r="10881" spans="1:4" x14ac:dyDescent="0.3">
      <c r="A10881" s="1">
        <v>41719</v>
      </c>
      <c r="B10881">
        <v>4276.7900390000004</v>
      </c>
      <c r="C10881">
        <f t="shared" si="355"/>
        <v>-9.8395800273323574E-3</v>
      </c>
      <c r="D10881">
        <f t="shared" si="354"/>
        <v>-0.82430389350181088</v>
      </c>
    </row>
    <row r="10882" spans="1:4" x14ac:dyDescent="0.3">
      <c r="A10882" s="1">
        <v>41722</v>
      </c>
      <c r="B10882">
        <v>4226.3901370000003</v>
      </c>
      <c r="C10882">
        <f t="shared" si="355"/>
        <v>-1.1784516317238857E-2</v>
      </c>
      <c r="D10882">
        <f t="shared" si="354"/>
        <v>-0.97989079906851906</v>
      </c>
    </row>
    <row r="10883" spans="1:4" x14ac:dyDescent="0.3">
      <c r="A10883" s="1">
        <v>41723</v>
      </c>
      <c r="B10883">
        <v>4234.2700199999999</v>
      </c>
      <c r="C10883">
        <f t="shared" si="355"/>
        <v>1.864447612399775E-3</v>
      </c>
      <c r="D10883">
        <f t="shared" ref="D10883:D10946" si="356">(C10883-avrtn)/sdrtn</f>
        <v>0.11197019042753344</v>
      </c>
    </row>
    <row r="10884" spans="1:4" x14ac:dyDescent="0.3">
      <c r="A10884" s="1">
        <v>41724</v>
      </c>
      <c r="B10884">
        <v>4173.580078</v>
      </c>
      <c r="C10884">
        <f t="shared" ref="C10884:C10947" si="357">(B10884-B10883)/B10883</f>
        <v>-1.4333035378787671E-2</v>
      </c>
      <c r="D10884">
        <f t="shared" si="356"/>
        <v>-1.1837618444194251</v>
      </c>
    </row>
    <row r="10885" spans="1:4" x14ac:dyDescent="0.3">
      <c r="A10885" s="1">
        <v>41725</v>
      </c>
      <c r="B10885">
        <v>4151.2299800000001</v>
      </c>
      <c r="C10885">
        <f t="shared" si="357"/>
        <v>-5.3551381744926683E-3</v>
      </c>
      <c r="D10885">
        <f t="shared" si="356"/>
        <v>-0.46556698540971886</v>
      </c>
    </row>
    <row r="10886" spans="1:4" x14ac:dyDescent="0.3">
      <c r="A10886" s="1">
        <v>41726</v>
      </c>
      <c r="B10886">
        <v>4155.7597660000001</v>
      </c>
      <c r="C10886">
        <f t="shared" si="357"/>
        <v>1.0911912907316348E-3</v>
      </c>
      <c r="D10886">
        <f t="shared" si="356"/>
        <v>5.0112864343076068E-2</v>
      </c>
    </row>
    <row r="10887" spans="1:4" x14ac:dyDescent="0.3">
      <c r="A10887" s="1">
        <v>41729</v>
      </c>
      <c r="B10887">
        <v>4198.9902339999999</v>
      </c>
      <c r="C10887">
        <f t="shared" si="357"/>
        <v>1.0402542599715747E-2</v>
      </c>
      <c r="D10887">
        <f t="shared" si="356"/>
        <v>0.79498268055643972</v>
      </c>
    </row>
    <row r="10888" spans="1:4" x14ac:dyDescent="0.3">
      <c r="A10888" s="1">
        <v>41730</v>
      </c>
      <c r="B10888">
        <v>4268.0400390000004</v>
      </c>
      <c r="C10888">
        <f t="shared" si="357"/>
        <v>1.6444383328375362E-2</v>
      </c>
      <c r="D10888">
        <f t="shared" si="356"/>
        <v>1.2783050946516825</v>
      </c>
    </row>
    <row r="10889" spans="1:4" x14ac:dyDescent="0.3">
      <c r="A10889" s="1">
        <v>41731</v>
      </c>
      <c r="B10889">
        <v>4276.4599609999996</v>
      </c>
      <c r="C10889">
        <f t="shared" si="357"/>
        <v>1.9727842107994647E-3</v>
      </c>
      <c r="D10889">
        <f t="shared" si="356"/>
        <v>0.12063667281675412</v>
      </c>
    </row>
    <row r="10890" spans="1:4" x14ac:dyDescent="0.3">
      <c r="A10890" s="1">
        <v>41732</v>
      </c>
      <c r="B10890">
        <v>4237.7402339999999</v>
      </c>
      <c r="C10890">
        <f t="shared" si="357"/>
        <v>-9.054153985565562E-3</v>
      </c>
      <c r="D10890">
        <f t="shared" si="356"/>
        <v>-0.76147303985164916</v>
      </c>
    </row>
    <row r="10891" spans="1:4" x14ac:dyDescent="0.3">
      <c r="A10891" s="1">
        <v>41733</v>
      </c>
      <c r="B10891">
        <v>4127.7299800000001</v>
      </c>
      <c r="C10891">
        <f t="shared" si="357"/>
        <v>-2.5959650173309753E-2</v>
      </c>
      <c r="D10891">
        <f t="shared" si="356"/>
        <v>-2.1138432190554872</v>
      </c>
    </row>
    <row r="10892" spans="1:4" x14ac:dyDescent="0.3">
      <c r="A10892" s="1">
        <v>41736</v>
      </c>
      <c r="B10892">
        <v>4079.75</v>
      </c>
      <c r="C10892">
        <f t="shared" si="357"/>
        <v>-1.1623817505620866E-2</v>
      </c>
      <c r="D10892">
        <f t="shared" si="356"/>
        <v>-0.96703555493654159</v>
      </c>
    </row>
    <row r="10893" spans="1:4" x14ac:dyDescent="0.3">
      <c r="A10893" s="1">
        <v>41737</v>
      </c>
      <c r="B10893">
        <v>4112.9902339999999</v>
      </c>
      <c r="C10893">
        <f t="shared" si="357"/>
        <v>8.1476154176113418E-3</v>
      </c>
      <c r="D10893">
        <f t="shared" si="356"/>
        <v>0.61459777830406437</v>
      </c>
    </row>
    <row r="10894" spans="1:4" x14ac:dyDescent="0.3">
      <c r="A10894" s="1">
        <v>41738</v>
      </c>
      <c r="B10894">
        <v>4183.8999020000001</v>
      </c>
      <c r="C10894">
        <f t="shared" si="357"/>
        <v>1.7240417303650772E-2</v>
      </c>
      <c r="D10894">
        <f t="shared" si="356"/>
        <v>1.3419845393624503</v>
      </c>
    </row>
    <row r="10895" spans="1:4" x14ac:dyDescent="0.3">
      <c r="A10895" s="1">
        <v>41739</v>
      </c>
      <c r="B10895">
        <v>4054.110107</v>
      </c>
      <c r="C10895">
        <f t="shared" si="357"/>
        <v>-3.1021247649342099E-2</v>
      </c>
      <c r="D10895">
        <f t="shared" si="356"/>
        <v>-2.5187502037248883</v>
      </c>
    </row>
    <row r="10896" spans="1:4" x14ac:dyDescent="0.3">
      <c r="A10896" s="1">
        <v>41740</v>
      </c>
      <c r="B10896">
        <v>3999.7299800000001</v>
      </c>
      <c r="C10896">
        <f t="shared" si="357"/>
        <v>-1.3413579198577968E-2</v>
      </c>
      <c r="D10896">
        <f t="shared" si="356"/>
        <v>-1.1102091308290534</v>
      </c>
    </row>
    <row r="10897" spans="1:4" x14ac:dyDescent="0.3">
      <c r="A10897" s="1">
        <v>41743</v>
      </c>
      <c r="B10897">
        <v>4022.6899410000001</v>
      </c>
      <c r="C10897">
        <f t="shared" si="357"/>
        <v>5.7403777542003025E-3</v>
      </c>
      <c r="D10897">
        <f t="shared" si="356"/>
        <v>0.42202866385159971</v>
      </c>
    </row>
    <row r="10898" spans="1:4" x14ac:dyDescent="0.3">
      <c r="A10898" s="1">
        <v>41744</v>
      </c>
      <c r="B10898">
        <v>4034.1599120000001</v>
      </c>
      <c r="C10898">
        <f t="shared" si="357"/>
        <v>2.8513186868060398E-3</v>
      </c>
      <c r="D10898">
        <f t="shared" si="356"/>
        <v>0.19091581834192892</v>
      </c>
    </row>
    <row r="10899" spans="1:4" x14ac:dyDescent="0.3">
      <c r="A10899" s="1">
        <v>41745</v>
      </c>
      <c r="B10899">
        <v>4086.2299800000001</v>
      </c>
      <c r="C10899">
        <f t="shared" si="357"/>
        <v>1.2907289035596363E-2</v>
      </c>
      <c r="D10899">
        <f t="shared" si="356"/>
        <v>0.99535209584800222</v>
      </c>
    </row>
    <row r="10900" spans="1:4" x14ac:dyDescent="0.3">
      <c r="A10900" s="1">
        <v>41746</v>
      </c>
      <c r="B10900">
        <v>4095.5200199999999</v>
      </c>
      <c r="C10900">
        <f t="shared" si="357"/>
        <v>2.273499055478973E-3</v>
      </c>
      <c r="D10900">
        <f t="shared" si="356"/>
        <v>0.1446926238442848</v>
      </c>
    </row>
    <row r="10901" spans="1:4" x14ac:dyDescent="0.3">
      <c r="A10901" s="1">
        <v>41750</v>
      </c>
      <c r="B10901">
        <v>4121.5498049999997</v>
      </c>
      <c r="C10901">
        <f t="shared" si="357"/>
        <v>6.3556727528827264E-3</v>
      </c>
      <c r="D10901">
        <f t="shared" si="356"/>
        <v>0.47124973363804107</v>
      </c>
    </row>
    <row r="10902" spans="1:4" x14ac:dyDescent="0.3">
      <c r="A10902" s="1">
        <v>41751</v>
      </c>
      <c r="B10902">
        <v>4161.4599609999996</v>
      </c>
      <c r="C10902">
        <f t="shared" si="357"/>
        <v>9.6832885415053041E-3</v>
      </c>
      <c r="D10902">
        <f t="shared" si="356"/>
        <v>0.73744531348996389</v>
      </c>
    </row>
    <row r="10903" spans="1:4" x14ac:dyDescent="0.3">
      <c r="A10903" s="1">
        <v>41752</v>
      </c>
      <c r="B10903">
        <v>4126.9702150000003</v>
      </c>
      <c r="C10903">
        <f t="shared" si="357"/>
        <v>-8.2878956720062718E-3</v>
      </c>
      <c r="D10903">
        <f t="shared" si="356"/>
        <v>-0.70017552563991847</v>
      </c>
    </row>
    <row r="10904" spans="1:4" x14ac:dyDescent="0.3">
      <c r="A10904" s="1">
        <v>41753</v>
      </c>
      <c r="B10904">
        <v>4148.3398440000001</v>
      </c>
      <c r="C10904">
        <f t="shared" si="357"/>
        <v>5.1780429435446754E-3</v>
      </c>
      <c r="D10904">
        <f t="shared" si="356"/>
        <v>0.3770441913337077</v>
      </c>
    </row>
    <row r="10905" spans="1:4" x14ac:dyDescent="0.3">
      <c r="A10905" s="1">
        <v>41754</v>
      </c>
      <c r="B10905">
        <v>4075.5600589999999</v>
      </c>
      <c r="C10905">
        <f t="shared" si="357"/>
        <v>-1.7544315976249166E-2</v>
      </c>
      <c r="D10905">
        <f t="shared" si="356"/>
        <v>-1.4406510873516261</v>
      </c>
    </row>
    <row r="10906" spans="1:4" x14ac:dyDescent="0.3">
      <c r="A10906" s="1">
        <v>41757</v>
      </c>
      <c r="B10906">
        <v>4074.3999020000001</v>
      </c>
      <c r="C10906">
        <f t="shared" si="357"/>
        <v>-2.8466198098046458E-4</v>
      </c>
      <c r="D10906">
        <f t="shared" si="356"/>
        <v>-5.994973985143346E-2</v>
      </c>
    </row>
    <row r="10907" spans="1:4" x14ac:dyDescent="0.3">
      <c r="A10907" s="1">
        <v>41758</v>
      </c>
      <c r="B10907">
        <v>4103.5400390000004</v>
      </c>
      <c r="C10907">
        <f t="shared" si="357"/>
        <v>7.1520070932890771E-3</v>
      </c>
      <c r="D10907">
        <f t="shared" si="356"/>
        <v>0.5349532063241752</v>
      </c>
    </row>
    <row r="10908" spans="1:4" x14ac:dyDescent="0.3">
      <c r="A10908" s="1">
        <v>41759</v>
      </c>
      <c r="B10908">
        <v>4114.5600590000004</v>
      </c>
      <c r="C10908">
        <f t="shared" si="357"/>
        <v>2.6854910382903005E-3</v>
      </c>
      <c r="D10908">
        <f t="shared" si="356"/>
        <v>0.1776502883480349</v>
      </c>
    </row>
    <row r="10909" spans="1:4" x14ac:dyDescent="0.3">
      <c r="A10909" s="1">
        <v>41760</v>
      </c>
      <c r="B10909">
        <v>4127.4501950000003</v>
      </c>
      <c r="C10909">
        <f t="shared" si="357"/>
        <v>3.1328102677234447E-3</v>
      </c>
      <c r="D10909">
        <f t="shared" si="356"/>
        <v>0.21343398731502422</v>
      </c>
    </row>
    <row r="10910" spans="1:4" x14ac:dyDescent="0.3">
      <c r="A10910" s="1">
        <v>41761</v>
      </c>
      <c r="B10910">
        <v>4123.8999020000001</v>
      </c>
      <c r="C10910">
        <f t="shared" si="357"/>
        <v>-8.6016616367680669E-4</v>
      </c>
      <c r="D10910">
        <f t="shared" si="356"/>
        <v>-0.10598770797980127</v>
      </c>
    </row>
    <row r="10911" spans="1:4" x14ac:dyDescent="0.3">
      <c r="A10911" s="1">
        <v>41764</v>
      </c>
      <c r="B10911">
        <v>4138.0600590000004</v>
      </c>
      <c r="C10911">
        <f t="shared" si="357"/>
        <v>3.4336810631928508E-3</v>
      </c>
      <c r="D10911">
        <f t="shared" si="356"/>
        <v>0.23750241376447326</v>
      </c>
    </row>
    <row r="10912" spans="1:4" x14ac:dyDescent="0.3">
      <c r="A10912" s="1">
        <v>41765</v>
      </c>
      <c r="B10912">
        <v>4080.76001</v>
      </c>
      <c r="C10912">
        <f t="shared" si="357"/>
        <v>-1.3847080076901415E-2</v>
      </c>
      <c r="D10912">
        <f t="shared" si="356"/>
        <v>-1.1448874185286662</v>
      </c>
    </row>
    <row r="10913" spans="1:4" x14ac:dyDescent="0.3">
      <c r="A10913" s="1">
        <v>41766</v>
      </c>
      <c r="B10913">
        <v>4067.669922</v>
      </c>
      <c r="C10913">
        <f t="shared" si="357"/>
        <v>-3.2077573706668244E-3</v>
      </c>
      <c r="D10913">
        <f t="shared" si="356"/>
        <v>-0.29378535118627847</v>
      </c>
    </row>
    <row r="10914" spans="1:4" x14ac:dyDescent="0.3">
      <c r="A10914" s="1">
        <v>41767</v>
      </c>
      <c r="B10914">
        <v>4051.5</v>
      </c>
      <c r="C10914">
        <f t="shared" si="357"/>
        <v>-3.97522963024728E-3</v>
      </c>
      <c r="D10914">
        <f t="shared" si="356"/>
        <v>-0.35517997608792651</v>
      </c>
    </row>
    <row r="10915" spans="1:4" x14ac:dyDescent="0.3">
      <c r="A10915" s="1">
        <v>41768</v>
      </c>
      <c r="B10915">
        <v>4071.8701169999999</v>
      </c>
      <c r="C10915">
        <f t="shared" si="357"/>
        <v>5.027796371714164E-3</v>
      </c>
      <c r="D10915">
        <f t="shared" si="356"/>
        <v>0.36502508340486178</v>
      </c>
    </row>
    <row r="10916" spans="1:4" x14ac:dyDescent="0.3">
      <c r="A10916" s="1">
        <v>41771</v>
      </c>
      <c r="B10916">
        <v>4143.8598629999997</v>
      </c>
      <c r="C10916">
        <f t="shared" si="357"/>
        <v>1.7679774632163137E-2</v>
      </c>
      <c r="D10916">
        <f t="shared" si="356"/>
        <v>1.3771313189953094</v>
      </c>
    </row>
    <row r="10917" spans="1:4" x14ac:dyDescent="0.3">
      <c r="A10917" s="1">
        <v>41772</v>
      </c>
      <c r="B10917">
        <v>4130.169922</v>
      </c>
      <c r="C10917">
        <f t="shared" si="357"/>
        <v>-3.3036689107745622E-3</v>
      </c>
      <c r="D10917">
        <f t="shared" si="356"/>
        <v>-0.30145788000428803</v>
      </c>
    </row>
    <row r="10918" spans="1:4" x14ac:dyDescent="0.3">
      <c r="A10918" s="1">
        <v>41773</v>
      </c>
      <c r="B10918">
        <v>4100.6298829999996</v>
      </c>
      <c r="C10918">
        <f t="shared" si="357"/>
        <v>-7.1522575482066168E-3</v>
      </c>
      <c r="D10918">
        <f t="shared" si="356"/>
        <v>-0.60932914550781425</v>
      </c>
    </row>
    <row r="10919" spans="1:4" x14ac:dyDescent="0.3">
      <c r="A10919" s="1">
        <v>41774</v>
      </c>
      <c r="B10919">
        <v>4069.290039</v>
      </c>
      <c r="C10919">
        <f t="shared" si="357"/>
        <v>-7.6426902437416672E-3</v>
      </c>
      <c r="D10919">
        <f t="shared" si="356"/>
        <v>-0.64856174447932413</v>
      </c>
    </row>
    <row r="10920" spans="1:4" x14ac:dyDescent="0.3">
      <c r="A10920" s="1">
        <v>41775</v>
      </c>
      <c r="B10920">
        <v>4090.5900879999999</v>
      </c>
      <c r="C10920">
        <f t="shared" si="357"/>
        <v>5.2343403384523274E-3</v>
      </c>
      <c r="D10920">
        <f t="shared" si="356"/>
        <v>0.38154775143004876</v>
      </c>
    </row>
    <row r="10921" spans="1:4" x14ac:dyDescent="0.3">
      <c r="A10921" s="1">
        <v>41778</v>
      </c>
      <c r="B10921">
        <v>4125.8100590000004</v>
      </c>
      <c r="C10921">
        <f t="shared" si="357"/>
        <v>8.609997639049783E-3</v>
      </c>
      <c r="D10921">
        <f t="shared" si="356"/>
        <v>0.6515864546920842</v>
      </c>
    </row>
    <row r="10922" spans="1:4" x14ac:dyDescent="0.3">
      <c r="A10922" s="1">
        <v>41779</v>
      </c>
      <c r="B10922">
        <v>4096.8901370000003</v>
      </c>
      <c r="C10922">
        <f t="shared" si="357"/>
        <v>-7.0095136679679225E-3</v>
      </c>
      <c r="D10922">
        <f t="shared" si="356"/>
        <v>-0.5979102220550615</v>
      </c>
    </row>
    <row r="10923" spans="1:4" x14ac:dyDescent="0.3">
      <c r="A10923" s="1">
        <v>41780</v>
      </c>
      <c r="B10923">
        <v>4131.5400390000004</v>
      </c>
      <c r="C10923">
        <f t="shared" si="357"/>
        <v>8.457610734314917E-3</v>
      </c>
      <c r="D10923">
        <f t="shared" si="356"/>
        <v>0.63939612893199138</v>
      </c>
    </row>
    <row r="10924" spans="1:4" x14ac:dyDescent="0.3">
      <c r="A10924" s="1">
        <v>41781</v>
      </c>
      <c r="B10924">
        <v>4154.3398440000001</v>
      </c>
      <c r="C10924">
        <f t="shared" si="357"/>
        <v>5.5184761093391519E-3</v>
      </c>
      <c r="D10924">
        <f t="shared" si="356"/>
        <v>0.40427744472772353</v>
      </c>
    </row>
    <row r="10925" spans="1:4" x14ac:dyDescent="0.3">
      <c r="A10925" s="1">
        <v>41782</v>
      </c>
      <c r="B10925">
        <v>4185.8100590000004</v>
      </c>
      <c r="C10925">
        <f t="shared" si="357"/>
        <v>7.5752625403171714E-3</v>
      </c>
      <c r="D10925">
        <f t="shared" si="356"/>
        <v>0.56881190164962503</v>
      </c>
    </row>
    <row r="10926" spans="1:4" x14ac:dyDescent="0.3">
      <c r="A10926" s="1">
        <v>41786</v>
      </c>
      <c r="B10926">
        <v>4237.0698240000002</v>
      </c>
      <c r="C10926">
        <f t="shared" si="357"/>
        <v>1.224608003647587E-2</v>
      </c>
      <c r="D10926">
        <f t="shared" si="356"/>
        <v>0.94245809482601328</v>
      </c>
    </row>
    <row r="10927" spans="1:4" x14ac:dyDescent="0.3">
      <c r="A10927" s="1">
        <v>41787</v>
      </c>
      <c r="B10927">
        <v>4225.080078</v>
      </c>
      <c r="C10927">
        <f t="shared" si="357"/>
        <v>-2.8297258478221848E-3</v>
      </c>
      <c r="D10927">
        <f t="shared" si="356"/>
        <v>-0.26354438383361761</v>
      </c>
    </row>
    <row r="10928" spans="1:4" x14ac:dyDescent="0.3">
      <c r="A10928" s="1">
        <v>41788</v>
      </c>
      <c r="B10928">
        <v>4247.9501950000003</v>
      </c>
      <c r="C10928">
        <f t="shared" si="357"/>
        <v>5.4129428502633914E-3</v>
      </c>
      <c r="D10928">
        <f t="shared" si="356"/>
        <v>0.39583521795701698</v>
      </c>
    </row>
    <row r="10929" spans="1:4" x14ac:dyDescent="0.3">
      <c r="A10929" s="1">
        <v>41789</v>
      </c>
      <c r="B10929">
        <v>4242.6201170000004</v>
      </c>
      <c r="C10929">
        <f t="shared" si="357"/>
        <v>-1.2547411705235299E-3</v>
      </c>
      <c r="D10929">
        <f t="shared" si="356"/>
        <v>-0.13755208602541613</v>
      </c>
    </row>
    <row r="10930" spans="1:4" x14ac:dyDescent="0.3">
      <c r="A10930" s="1">
        <v>41792</v>
      </c>
      <c r="B10930">
        <v>4237.2001950000003</v>
      </c>
      <c r="C10930">
        <f t="shared" si="357"/>
        <v>-1.2774940603997617E-3</v>
      </c>
      <c r="D10930">
        <f t="shared" si="356"/>
        <v>-0.13937222365507246</v>
      </c>
    </row>
    <row r="10931" spans="1:4" x14ac:dyDescent="0.3">
      <c r="A10931" s="1">
        <v>41793</v>
      </c>
      <c r="B10931">
        <v>4234.080078</v>
      </c>
      <c r="C10931">
        <f t="shared" si="357"/>
        <v>-7.3636289446087663E-4</v>
      </c>
      <c r="D10931">
        <f t="shared" si="356"/>
        <v>-9.6083955524611755E-2</v>
      </c>
    </row>
    <row r="10932" spans="1:4" x14ac:dyDescent="0.3">
      <c r="A10932" s="1">
        <v>41794</v>
      </c>
      <c r="B10932">
        <v>4251.6401370000003</v>
      </c>
      <c r="C10932">
        <f t="shared" si="357"/>
        <v>4.1473138619274753E-3</v>
      </c>
      <c r="D10932">
        <f t="shared" si="356"/>
        <v>0.29459010318764062</v>
      </c>
    </row>
    <row r="10933" spans="1:4" x14ac:dyDescent="0.3">
      <c r="A10933" s="1">
        <v>41795</v>
      </c>
      <c r="B10933">
        <v>4296.2299800000001</v>
      </c>
      <c r="C10933">
        <f t="shared" si="357"/>
        <v>1.04876804158366E-2</v>
      </c>
      <c r="D10933">
        <f t="shared" si="356"/>
        <v>0.80179335575731625</v>
      </c>
    </row>
    <row r="10934" spans="1:4" x14ac:dyDescent="0.3">
      <c r="A10934" s="1">
        <v>41796</v>
      </c>
      <c r="B10934">
        <v>4321.3999020000001</v>
      </c>
      <c r="C10934">
        <f t="shared" si="357"/>
        <v>5.8586067592219637E-3</v>
      </c>
      <c r="D10934">
        <f t="shared" si="356"/>
        <v>0.43148649809275902</v>
      </c>
    </row>
    <row r="10935" spans="1:4" x14ac:dyDescent="0.3">
      <c r="A10935" s="1">
        <v>41799</v>
      </c>
      <c r="B10935">
        <v>4336.2402339999999</v>
      </c>
      <c r="C10935">
        <f t="shared" si="357"/>
        <v>3.4341491962202948E-3</v>
      </c>
      <c r="D10935">
        <f t="shared" si="356"/>
        <v>0.23753986248169426</v>
      </c>
    </row>
    <row r="10936" spans="1:4" x14ac:dyDescent="0.3">
      <c r="A10936" s="1">
        <v>41800</v>
      </c>
      <c r="B10936">
        <v>4338</v>
      </c>
      <c r="C10936">
        <f t="shared" si="357"/>
        <v>4.0582760756703199E-4</v>
      </c>
      <c r="D10936">
        <f t="shared" si="356"/>
        <v>-4.7134120777873861E-3</v>
      </c>
    </row>
    <row r="10937" spans="1:4" x14ac:dyDescent="0.3">
      <c r="A10937" s="1">
        <v>41801</v>
      </c>
      <c r="B10937">
        <v>4331.9301759999998</v>
      </c>
      <c r="C10937">
        <f t="shared" si="357"/>
        <v>-1.3992217611803028E-3</v>
      </c>
      <c r="D10937">
        <f t="shared" si="356"/>
        <v>-0.14910993917021925</v>
      </c>
    </row>
    <row r="10938" spans="1:4" x14ac:dyDescent="0.3">
      <c r="A10938" s="1">
        <v>41802</v>
      </c>
      <c r="B10938">
        <v>4297.6298829999996</v>
      </c>
      <c r="C10938">
        <f t="shared" si="357"/>
        <v>-7.918016128245239E-3</v>
      </c>
      <c r="D10938">
        <f t="shared" si="356"/>
        <v>-0.67058668309280789</v>
      </c>
    </row>
    <row r="10939" spans="1:4" x14ac:dyDescent="0.3">
      <c r="A10939" s="1">
        <v>41803</v>
      </c>
      <c r="B10939">
        <v>4310.6499020000001</v>
      </c>
      <c r="C10939">
        <f t="shared" si="357"/>
        <v>3.0295812702493029E-3</v>
      </c>
      <c r="D10939">
        <f t="shared" si="356"/>
        <v>0.20517609199726686</v>
      </c>
    </row>
    <row r="10940" spans="1:4" x14ac:dyDescent="0.3">
      <c r="A10940" s="1">
        <v>41806</v>
      </c>
      <c r="B10940">
        <v>4321.1000979999999</v>
      </c>
      <c r="C10940">
        <f t="shared" si="357"/>
        <v>2.4242738885269319E-3</v>
      </c>
      <c r="D10940">
        <f t="shared" si="356"/>
        <v>0.15675399049830344</v>
      </c>
    </row>
    <row r="10941" spans="1:4" x14ac:dyDescent="0.3">
      <c r="A10941" s="1">
        <v>41807</v>
      </c>
      <c r="B10941">
        <v>4337.2299800000001</v>
      </c>
      <c r="C10941">
        <f t="shared" si="357"/>
        <v>3.7328184106324722E-3</v>
      </c>
      <c r="D10941">
        <f t="shared" si="356"/>
        <v>0.26143217149952042</v>
      </c>
    </row>
    <row r="10942" spans="1:4" x14ac:dyDescent="0.3">
      <c r="A10942" s="1">
        <v>41808</v>
      </c>
      <c r="B10942">
        <v>4362.8398440000001</v>
      </c>
      <c r="C10942">
        <f t="shared" si="357"/>
        <v>5.9046589915898381E-3</v>
      </c>
      <c r="D10942">
        <f t="shared" si="356"/>
        <v>0.43517048731427799</v>
      </c>
    </row>
    <row r="10943" spans="1:4" x14ac:dyDescent="0.3">
      <c r="A10943" s="1">
        <v>41809</v>
      </c>
      <c r="B10943">
        <v>4359.330078</v>
      </c>
      <c r="C10943">
        <f t="shared" si="357"/>
        <v>-8.0446821920977373E-4</v>
      </c>
      <c r="D10943">
        <f t="shared" si="356"/>
        <v>-0.1015321014537548</v>
      </c>
    </row>
    <row r="10944" spans="1:4" x14ac:dyDescent="0.3">
      <c r="A10944" s="1">
        <v>41810</v>
      </c>
      <c r="B10944">
        <v>4368.0400390000004</v>
      </c>
      <c r="C10944">
        <f t="shared" si="357"/>
        <v>1.9980044741178407E-3</v>
      </c>
      <c r="D10944">
        <f t="shared" si="356"/>
        <v>0.12265419017588178</v>
      </c>
    </row>
    <row r="10945" spans="1:4" x14ac:dyDescent="0.3">
      <c r="A10945" s="1">
        <v>41813</v>
      </c>
      <c r="B10945">
        <v>4368.6801759999998</v>
      </c>
      <c r="C10945">
        <f t="shared" si="357"/>
        <v>1.4655016764589072E-4</v>
      </c>
      <c r="D10945">
        <f t="shared" si="356"/>
        <v>-2.5454541116275205E-2</v>
      </c>
    </row>
    <row r="10946" spans="1:4" x14ac:dyDescent="0.3">
      <c r="A10946" s="1">
        <v>41814</v>
      </c>
      <c r="B10946">
        <v>4350.3500979999999</v>
      </c>
      <c r="C10946">
        <f t="shared" si="357"/>
        <v>-4.1957930682815815E-3</v>
      </c>
      <c r="D10946">
        <f t="shared" si="356"/>
        <v>-0.3728241441683941</v>
      </c>
    </row>
    <row r="10947" spans="1:4" x14ac:dyDescent="0.3">
      <c r="A10947" s="1">
        <v>41815</v>
      </c>
      <c r="B10947">
        <v>4379.7597660000001</v>
      </c>
      <c r="C10947">
        <f t="shared" si="357"/>
        <v>6.7602991339756396E-3</v>
      </c>
      <c r="D10947">
        <f t="shared" ref="D10947:D11010" si="358">(C10947-avrtn)/sdrtn</f>
        <v>0.50361818029185323</v>
      </c>
    </row>
    <row r="10948" spans="1:4" x14ac:dyDescent="0.3">
      <c r="A10948" s="1">
        <v>41816</v>
      </c>
      <c r="B10948">
        <v>4379.0498049999997</v>
      </c>
      <c r="C10948">
        <f t="shared" ref="C10948:C11011" si="359">(B10948-B10947)/B10947</f>
        <v>-1.621004433877609E-4</v>
      </c>
      <c r="D10948">
        <f t="shared" si="358"/>
        <v>-5.0145320820071122E-2</v>
      </c>
    </row>
    <row r="10949" spans="1:4" x14ac:dyDescent="0.3">
      <c r="A10949" s="1">
        <v>41817</v>
      </c>
      <c r="B10949">
        <v>4397.9301759999998</v>
      </c>
      <c r="C10949">
        <f t="shared" si="359"/>
        <v>4.3115223257891664E-3</v>
      </c>
      <c r="D10949">
        <f t="shared" si="358"/>
        <v>0.30772610506733789</v>
      </c>
    </row>
    <row r="10950" spans="1:4" x14ac:dyDescent="0.3">
      <c r="A10950" s="1">
        <v>41820</v>
      </c>
      <c r="B10950">
        <v>4408.1801759999998</v>
      </c>
      <c r="C10950">
        <f t="shared" si="359"/>
        <v>2.3306418223589371E-3</v>
      </c>
      <c r="D10950">
        <f t="shared" si="358"/>
        <v>0.14926381022222052</v>
      </c>
    </row>
    <row r="10951" spans="1:4" x14ac:dyDescent="0.3">
      <c r="A10951" s="1">
        <v>41821</v>
      </c>
      <c r="B10951">
        <v>4458.6499020000001</v>
      </c>
      <c r="C10951">
        <f t="shared" si="359"/>
        <v>1.1449106884237363E-2</v>
      </c>
      <c r="D10951">
        <f t="shared" si="358"/>
        <v>0.87870351982011663</v>
      </c>
    </row>
    <row r="10952" spans="1:4" x14ac:dyDescent="0.3">
      <c r="A10952" s="1">
        <v>41822</v>
      </c>
      <c r="B10952">
        <v>4457.7299800000001</v>
      </c>
      <c r="C10952">
        <f t="shared" si="359"/>
        <v>-2.0632299467769296E-4</v>
      </c>
      <c r="D10952">
        <f t="shared" si="358"/>
        <v>-5.3682943079048216E-2</v>
      </c>
    </row>
    <row r="10953" spans="1:4" x14ac:dyDescent="0.3">
      <c r="A10953" s="1">
        <v>41823</v>
      </c>
      <c r="B10953">
        <v>4485.9301759999998</v>
      </c>
      <c r="C10953">
        <f t="shared" si="359"/>
        <v>6.3261337332055669E-3</v>
      </c>
      <c r="D10953">
        <f t="shared" si="358"/>
        <v>0.46888673352904298</v>
      </c>
    </row>
    <row r="10954" spans="1:4" x14ac:dyDescent="0.3">
      <c r="A10954" s="1">
        <v>41827</v>
      </c>
      <c r="B10954">
        <v>4451.5297849999997</v>
      </c>
      <c r="C10954">
        <f t="shared" si="359"/>
        <v>-7.6685079014480245E-3</v>
      </c>
      <c r="D10954">
        <f t="shared" si="358"/>
        <v>-0.65062705093298989</v>
      </c>
    </row>
    <row r="10955" spans="1:4" x14ac:dyDescent="0.3">
      <c r="A10955" s="1">
        <v>41828</v>
      </c>
      <c r="B10955">
        <v>4391.4599609999996</v>
      </c>
      <c r="C10955">
        <f t="shared" si="359"/>
        <v>-1.3494197927735568E-2</v>
      </c>
      <c r="D10955">
        <f t="shared" si="358"/>
        <v>-1.1166582976554662</v>
      </c>
    </row>
    <row r="10956" spans="1:4" x14ac:dyDescent="0.3">
      <c r="A10956" s="1">
        <v>41829</v>
      </c>
      <c r="B10956">
        <v>4419.0297849999997</v>
      </c>
      <c r="C10956">
        <f t="shared" si="359"/>
        <v>6.2780542791791962E-3</v>
      </c>
      <c r="D10956">
        <f t="shared" si="358"/>
        <v>0.46504057491082962</v>
      </c>
    </row>
    <row r="10957" spans="1:4" x14ac:dyDescent="0.3">
      <c r="A10957" s="1">
        <v>41830</v>
      </c>
      <c r="B10957">
        <v>4396.2001950000003</v>
      </c>
      <c r="C10957">
        <f t="shared" si="359"/>
        <v>-5.1661996208969595E-3</v>
      </c>
      <c r="D10957">
        <f t="shared" si="358"/>
        <v>-0.45045267804203681</v>
      </c>
    </row>
    <row r="10958" spans="1:4" x14ac:dyDescent="0.3">
      <c r="A10958" s="1">
        <v>41831</v>
      </c>
      <c r="B10958">
        <v>4415.4902339999999</v>
      </c>
      <c r="C10958">
        <f t="shared" si="359"/>
        <v>4.3878891188665536E-3</v>
      </c>
      <c r="D10958">
        <f t="shared" si="358"/>
        <v>0.31383513449139938</v>
      </c>
    </row>
    <row r="10959" spans="1:4" x14ac:dyDescent="0.3">
      <c r="A10959" s="1">
        <v>41834</v>
      </c>
      <c r="B10959">
        <v>4440.419922</v>
      </c>
      <c r="C10959">
        <f t="shared" si="359"/>
        <v>5.6459615306217823E-3</v>
      </c>
      <c r="D10959">
        <f t="shared" si="358"/>
        <v>0.41447575420714927</v>
      </c>
    </row>
    <row r="10960" spans="1:4" x14ac:dyDescent="0.3">
      <c r="A10960" s="1">
        <v>41835</v>
      </c>
      <c r="B10960">
        <v>4416.3901370000003</v>
      </c>
      <c r="C10960">
        <f t="shared" si="359"/>
        <v>-5.4116019255171068E-3</v>
      </c>
      <c r="D10960">
        <f t="shared" si="358"/>
        <v>-0.47008385331134239</v>
      </c>
    </row>
    <row r="10961" spans="1:4" x14ac:dyDescent="0.3">
      <c r="A10961" s="1">
        <v>41836</v>
      </c>
      <c r="B10961">
        <v>4425.9702150000003</v>
      </c>
      <c r="C10961">
        <f t="shared" si="359"/>
        <v>2.1692100794581492E-3</v>
      </c>
      <c r="D10961">
        <f t="shared" si="358"/>
        <v>0.13634993460145073</v>
      </c>
    </row>
    <row r="10962" spans="1:4" x14ac:dyDescent="0.3">
      <c r="A10962" s="1">
        <v>41837</v>
      </c>
      <c r="B10962">
        <v>4363.4501950000003</v>
      </c>
      <c r="C10962">
        <f t="shared" si="359"/>
        <v>-1.4125720907048609E-2</v>
      </c>
      <c r="D10962">
        <f t="shared" si="358"/>
        <v>-1.1671775391625019</v>
      </c>
    </row>
    <row r="10963" spans="1:4" x14ac:dyDescent="0.3">
      <c r="A10963" s="1">
        <v>41838</v>
      </c>
      <c r="B10963">
        <v>4432.1499020000001</v>
      </c>
      <c r="C10963">
        <f t="shared" si="359"/>
        <v>1.5744354565733677E-2</v>
      </c>
      <c r="D10963">
        <f t="shared" si="358"/>
        <v>1.2223056721758199</v>
      </c>
    </row>
    <row r="10964" spans="1:4" x14ac:dyDescent="0.3">
      <c r="A10964" s="1">
        <v>41841</v>
      </c>
      <c r="B10964">
        <v>4424.7001950000003</v>
      </c>
      <c r="C10964">
        <f t="shared" si="359"/>
        <v>-1.6808337183356759E-3</v>
      </c>
      <c r="D10964">
        <f t="shared" si="358"/>
        <v>-0.17163773774736199</v>
      </c>
    </row>
    <row r="10965" spans="1:4" x14ac:dyDescent="0.3">
      <c r="A10965" s="1">
        <v>41842</v>
      </c>
      <c r="B10965">
        <v>4456.0200199999999</v>
      </c>
      <c r="C10965">
        <f t="shared" si="359"/>
        <v>7.0784061336837262E-3</v>
      </c>
      <c r="D10965">
        <f t="shared" si="358"/>
        <v>0.52906543220470137</v>
      </c>
    </row>
    <row r="10966" spans="1:4" x14ac:dyDescent="0.3">
      <c r="A10966" s="1">
        <v>41843</v>
      </c>
      <c r="B10966">
        <v>4473.7001950000003</v>
      </c>
      <c r="C10966">
        <f t="shared" si="359"/>
        <v>3.9677054682533538E-3</v>
      </c>
      <c r="D10966">
        <f t="shared" si="358"/>
        <v>0.28022217024783874</v>
      </c>
    </row>
    <row r="10967" spans="1:4" x14ac:dyDescent="0.3">
      <c r="A10967" s="1">
        <v>41844</v>
      </c>
      <c r="B10967">
        <v>4472.1098629999997</v>
      </c>
      <c r="C10967">
        <f t="shared" si="359"/>
        <v>-3.5548470632388262E-4</v>
      </c>
      <c r="D10967">
        <f t="shared" si="358"/>
        <v>-6.5615266654120152E-2</v>
      </c>
    </row>
    <row r="10968" spans="1:4" x14ac:dyDescent="0.3">
      <c r="A10968" s="1">
        <v>41845</v>
      </c>
      <c r="B10968">
        <v>4449.5600590000004</v>
      </c>
      <c r="C10968">
        <f t="shared" si="359"/>
        <v>-5.0423188809749766E-3</v>
      </c>
      <c r="D10968">
        <f t="shared" si="358"/>
        <v>-0.44054272824892454</v>
      </c>
    </row>
    <row r="10969" spans="1:4" x14ac:dyDescent="0.3">
      <c r="A10969" s="1">
        <v>41848</v>
      </c>
      <c r="B10969">
        <v>4444.9101559999999</v>
      </c>
      <c r="C10969">
        <f t="shared" si="359"/>
        <v>-1.0450253369645435E-3</v>
      </c>
      <c r="D10969">
        <f t="shared" si="358"/>
        <v>-0.1207756816973576</v>
      </c>
    </row>
    <row r="10970" spans="1:4" x14ac:dyDescent="0.3">
      <c r="A10970" s="1">
        <v>41849</v>
      </c>
      <c r="B10970">
        <v>4442.7001950000003</v>
      </c>
      <c r="C10970">
        <f t="shared" si="359"/>
        <v>-4.9718912698751218E-4</v>
      </c>
      <c r="D10970">
        <f t="shared" si="358"/>
        <v>-7.6951037615151027E-2</v>
      </c>
    </row>
    <row r="10971" spans="1:4" x14ac:dyDescent="0.3">
      <c r="A10971" s="1">
        <v>41850</v>
      </c>
      <c r="B10971">
        <v>4462.8999020000001</v>
      </c>
      <c r="C10971">
        <f t="shared" si="359"/>
        <v>4.5467184625092088E-3</v>
      </c>
      <c r="D10971">
        <f t="shared" si="358"/>
        <v>0.32654082887264824</v>
      </c>
    </row>
    <row r="10972" spans="1:4" x14ac:dyDescent="0.3">
      <c r="A10972" s="1">
        <v>41851</v>
      </c>
      <c r="B10972">
        <v>4369.7700199999999</v>
      </c>
      <c r="C10972">
        <f t="shared" si="359"/>
        <v>-2.0867571320222763E-2</v>
      </c>
      <c r="D10972">
        <f t="shared" si="358"/>
        <v>-1.7064978495618859</v>
      </c>
    </row>
    <row r="10973" spans="1:4" x14ac:dyDescent="0.3">
      <c r="A10973" s="1">
        <v>41852</v>
      </c>
      <c r="B10973">
        <v>4352.6401370000003</v>
      </c>
      <c r="C10973">
        <f t="shared" si="359"/>
        <v>-3.9200879958436827E-3</v>
      </c>
      <c r="D10973">
        <f t="shared" si="358"/>
        <v>-0.35076887207939422</v>
      </c>
    </row>
    <row r="10974" spans="1:4" x14ac:dyDescent="0.3">
      <c r="A10974" s="1">
        <v>41855</v>
      </c>
      <c r="B10974">
        <v>4383.8901370000003</v>
      </c>
      <c r="C10974">
        <f t="shared" si="359"/>
        <v>7.1795505753753054E-3</v>
      </c>
      <c r="D10974">
        <f t="shared" si="358"/>
        <v>0.53715657163159836</v>
      </c>
    </row>
    <row r="10975" spans="1:4" x14ac:dyDescent="0.3">
      <c r="A10975" s="1">
        <v>41856</v>
      </c>
      <c r="B10975">
        <v>4352.8398440000001</v>
      </c>
      <c r="C10975">
        <f t="shared" si="359"/>
        <v>-7.0828173219798542E-3</v>
      </c>
      <c r="D10975">
        <f t="shared" si="358"/>
        <v>-0.60377421294958966</v>
      </c>
    </row>
    <row r="10976" spans="1:4" x14ac:dyDescent="0.3">
      <c r="A10976" s="1">
        <v>41857</v>
      </c>
      <c r="B10976">
        <v>4355.0498049999997</v>
      </c>
      <c r="C10976">
        <f t="shared" si="359"/>
        <v>5.0770556216209054E-4</v>
      </c>
      <c r="D10976">
        <f t="shared" si="358"/>
        <v>3.4364053651648289E-3</v>
      </c>
    </row>
    <row r="10977" spans="1:4" x14ac:dyDescent="0.3">
      <c r="A10977" s="1">
        <v>41858</v>
      </c>
      <c r="B10977">
        <v>4334.9702150000003</v>
      </c>
      <c r="C10977">
        <f t="shared" si="359"/>
        <v>-4.6106453195888016E-3</v>
      </c>
      <c r="D10977">
        <f t="shared" si="358"/>
        <v>-0.40601061839032132</v>
      </c>
    </row>
    <row r="10978" spans="1:4" x14ac:dyDescent="0.3">
      <c r="A10978" s="1">
        <v>41859</v>
      </c>
      <c r="B10978">
        <v>4370.8999020000001</v>
      </c>
      <c r="C10978">
        <f t="shared" si="359"/>
        <v>8.2883353790240127E-3</v>
      </c>
      <c r="D10978">
        <f t="shared" si="358"/>
        <v>0.62585479657313914</v>
      </c>
    </row>
    <row r="10979" spans="1:4" x14ac:dyDescent="0.3">
      <c r="A10979" s="1">
        <v>41862</v>
      </c>
      <c r="B10979">
        <v>4401.330078</v>
      </c>
      <c r="C10979">
        <f t="shared" si="359"/>
        <v>6.9619933382770579E-3</v>
      </c>
      <c r="D10979">
        <f t="shared" si="358"/>
        <v>0.51975288726444291</v>
      </c>
    </row>
    <row r="10980" spans="1:4" x14ac:dyDescent="0.3">
      <c r="A10980" s="1">
        <v>41863</v>
      </c>
      <c r="B10980">
        <v>4389.25</v>
      </c>
      <c r="C10980">
        <f t="shared" si="359"/>
        <v>-2.7446425934701184E-3</v>
      </c>
      <c r="D10980">
        <f t="shared" si="358"/>
        <v>-0.25673807334988474</v>
      </c>
    </row>
    <row r="10981" spans="1:4" x14ac:dyDescent="0.3">
      <c r="A10981" s="1">
        <v>41864</v>
      </c>
      <c r="B10981">
        <v>4434.1298829999996</v>
      </c>
      <c r="C10981">
        <f t="shared" si="359"/>
        <v>1.022495483283012E-2</v>
      </c>
      <c r="D10981">
        <f t="shared" si="358"/>
        <v>0.78077638945085037</v>
      </c>
    </row>
    <row r="10982" spans="1:4" x14ac:dyDescent="0.3">
      <c r="A10982" s="1">
        <v>41865</v>
      </c>
      <c r="B10982">
        <v>4453</v>
      </c>
      <c r="C10982">
        <f t="shared" si="359"/>
        <v>4.2556527431337745E-3</v>
      </c>
      <c r="D10982">
        <f t="shared" si="358"/>
        <v>0.30325676819200315</v>
      </c>
    </row>
    <row r="10983" spans="1:4" x14ac:dyDescent="0.3">
      <c r="A10983" s="1">
        <v>41866</v>
      </c>
      <c r="B10983">
        <v>4464.9301759999998</v>
      </c>
      <c r="C10983">
        <f t="shared" si="359"/>
        <v>2.6791322703794852E-3</v>
      </c>
      <c r="D10983">
        <f t="shared" si="358"/>
        <v>0.17714161306257956</v>
      </c>
    </row>
    <row r="10984" spans="1:4" x14ac:dyDescent="0.3">
      <c r="A10984" s="1">
        <v>41869</v>
      </c>
      <c r="B10984">
        <v>4508.3100590000004</v>
      </c>
      <c r="C10984">
        <f t="shared" si="359"/>
        <v>9.7156912404088892E-3</v>
      </c>
      <c r="D10984">
        <f t="shared" si="358"/>
        <v>0.74003739616155673</v>
      </c>
    </row>
    <row r="10985" spans="1:4" x14ac:dyDescent="0.3">
      <c r="A10985" s="1">
        <v>41870</v>
      </c>
      <c r="B10985">
        <v>4527.5097660000001</v>
      </c>
      <c r="C10985">
        <f t="shared" si="359"/>
        <v>4.258737031999635E-3</v>
      </c>
      <c r="D10985">
        <f t="shared" si="358"/>
        <v>0.30350349861860038</v>
      </c>
    </row>
    <row r="10986" spans="1:4" x14ac:dyDescent="0.3">
      <c r="A10986" s="1">
        <v>41871</v>
      </c>
      <c r="B10986">
        <v>4526.4799800000001</v>
      </c>
      <c r="C10986">
        <f t="shared" si="359"/>
        <v>-2.2745086222306744E-4</v>
      </c>
      <c r="D10986">
        <f t="shared" si="358"/>
        <v>-5.5373085604367711E-2</v>
      </c>
    </row>
    <row r="10987" spans="1:4" x14ac:dyDescent="0.3">
      <c r="A10987" s="1">
        <v>41872</v>
      </c>
      <c r="B10987">
        <v>4532.1000979999999</v>
      </c>
      <c r="C10987">
        <f t="shared" si="359"/>
        <v>1.2416089378130466E-3</v>
      </c>
      <c r="D10987">
        <f t="shared" si="358"/>
        <v>6.21456575885284E-2</v>
      </c>
    </row>
    <row r="10988" spans="1:4" x14ac:dyDescent="0.3">
      <c r="A10988" s="1">
        <v>41873</v>
      </c>
      <c r="B10988">
        <v>4538.5498049999997</v>
      </c>
      <c r="C10988">
        <f t="shared" si="359"/>
        <v>1.4231166259646374E-3</v>
      </c>
      <c r="D10988">
        <f t="shared" si="358"/>
        <v>7.6665526276582296E-2</v>
      </c>
    </row>
    <row r="10989" spans="1:4" x14ac:dyDescent="0.3">
      <c r="A10989" s="1">
        <v>41876</v>
      </c>
      <c r="B10989">
        <v>4557.3500979999999</v>
      </c>
      <c r="C10989">
        <f t="shared" si="359"/>
        <v>4.1423568778045476E-3</v>
      </c>
      <c r="D10989">
        <f t="shared" si="358"/>
        <v>0.29419356484104692</v>
      </c>
    </row>
    <row r="10990" spans="1:4" x14ac:dyDescent="0.3">
      <c r="A10990" s="1">
        <v>41877</v>
      </c>
      <c r="B10990">
        <v>4570.6401370000003</v>
      </c>
      <c r="C10990">
        <f t="shared" si="359"/>
        <v>2.9161768822265352E-3</v>
      </c>
      <c r="D10990">
        <f t="shared" si="358"/>
        <v>0.19610420727707539</v>
      </c>
    </row>
    <row r="10991" spans="1:4" x14ac:dyDescent="0.3">
      <c r="A10991" s="1">
        <v>41878</v>
      </c>
      <c r="B10991">
        <v>4569.6201170000004</v>
      </c>
      <c r="C10991">
        <f t="shared" si="359"/>
        <v>-2.231678647685956E-4</v>
      </c>
      <c r="D10991">
        <f t="shared" si="358"/>
        <v>-5.5030463419800731E-2</v>
      </c>
    </row>
    <row r="10992" spans="1:4" x14ac:dyDescent="0.3">
      <c r="A10992" s="1">
        <v>41879</v>
      </c>
      <c r="B10992">
        <v>4557.7001950000003</v>
      </c>
      <c r="C10992">
        <f t="shared" si="359"/>
        <v>-2.6085148644315725E-3</v>
      </c>
      <c r="D10992">
        <f t="shared" si="358"/>
        <v>-0.24584841478736755</v>
      </c>
    </row>
    <row r="10993" spans="1:4" x14ac:dyDescent="0.3">
      <c r="A10993" s="1">
        <v>41880</v>
      </c>
      <c r="B10993">
        <v>4580.2700199999999</v>
      </c>
      <c r="C10993">
        <f t="shared" si="359"/>
        <v>4.9520205442121186E-3</v>
      </c>
      <c r="D10993">
        <f t="shared" si="358"/>
        <v>0.35896332879676263</v>
      </c>
    </row>
    <row r="10994" spans="1:4" x14ac:dyDescent="0.3">
      <c r="A10994" s="1">
        <v>41884</v>
      </c>
      <c r="B10994">
        <v>4598.1899409999996</v>
      </c>
      <c r="C10994">
        <f t="shared" si="359"/>
        <v>3.9124158448631602E-3</v>
      </c>
      <c r="D10994">
        <f t="shared" si="358"/>
        <v>0.27579922772891313</v>
      </c>
    </row>
    <row r="10995" spans="1:4" x14ac:dyDescent="0.3">
      <c r="A10995" s="1">
        <v>41885</v>
      </c>
      <c r="B10995">
        <v>4572.5600590000004</v>
      </c>
      <c r="C10995">
        <f t="shared" si="359"/>
        <v>-5.5739067608906482E-3</v>
      </c>
      <c r="D10995">
        <f t="shared" si="358"/>
        <v>-0.48306757273975476</v>
      </c>
    </row>
    <row r="10996" spans="1:4" x14ac:dyDescent="0.3">
      <c r="A10996" s="1">
        <v>41886</v>
      </c>
      <c r="B10996">
        <v>4562.2900390000004</v>
      </c>
      <c r="C10996">
        <f t="shared" si="359"/>
        <v>-2.2460109583002266E-3</v>
      </c>
      <c r="D10996">
        <f t="shared" si="358"/>
        <v>-0.21684959292182873</v>
      </c>
    </row>
    <row r="10997" spans="1:4" x14ac:dyDescent="0.3">
      <c r="A10997" s="1">
        <v>41887</v>
      </c>
      <c r="B10997">
        <v>4582.8999020000001</v>
      </c>
      <c r="C10997">
        <f t="shared" si="359"/>
        <v>4.5174381338800446E-3</v>
      </c>
      <c r="D10997">
        <f t="shared" si="358"/>
        <v>0.32419852298374585</v>
      </c>
    </row>
    <row r="10998" spans="1:4" x14ac:dyDescent="0.3">
      <c r="A10998" s="1">
        <v>41890</v>
      </c>
      <c r="B10998">
        <v>4592.2900390000004</v>
      </c>
      <c r="C10998">
        <f t="shared" si="359"/>
        <v>2.0489509264434119E-3</v>
      </c>
      <c r="D10998">
        <f t="shared" si="358"/>
        <v>0.12672969686886373</v>
      </c>
    </row>
    <row r="10999" spans="1:4" x14ac:dyDescent="0.3">
      <c r="A10999" s="1">
        <v>41891</v>
      </c>
      <c r="B10999">
        <v>4552.2900390000004</v>
      </c>
      <c r="C10999">
        <f t="shared" si="359"/>
        <v>-8.7102512385542289E-3</v>
      </c>
      <c r="D10999">
        <f t="shared" si="358"/>
        <v>-0.73396223422728801</v>
      </c>
    </row>
    <row r="11000" spans="1:4" x14ac:dyDescent="0.3">
      <c r="A11000" s="1">
        <v>41892</v>
      </c>
      <c r="B11000">
        <v>4586.5200199999999</v>
      </c>
      <c r="C11000">
        <f t="shared" si="359"/>
        <v>7.5192882498143244E-3</v>
      </c>
      <c r="D11000">
        <f t="shared" si="358"/>
        <v>0.56433418857705508</v>
      </c>
    </row>
    <row r="11001" spans="1:4" x14ac:dyDescent="0.3">
      <c r="A11001" s="1">
        <v>41893</v>
      </c>
      <c r="B11001">
        <v>4591.8100590000004</v>
      </c>
      <c r="C11001">
        <f t="shared" si="359"/>
        <v>1.153388402739477E-3</v>
      </c>
      <c r="D11001">
        <f t="shared" si="358"/>
        <v>5.5088377547650662E-2</v>
      </c>
    </row>
    <row r="11002" spans="1:4" x14ac:dyDescent="0.3">
      <c r="A11002" s="1">
        <v>41894</v>
      </c>
      <c r="B11002">
        <v>4567.6000979999999</v>
      </c>
      <c r="C11002">
        <f t="shared" si="359"/>
        <v>-5.2724221361353293E-3</v>
      </c>
      <c r="D11002">
        <f t="shared" si="358"/>
        <v>-0.45895004247151383</v>
      </c>
    </row>
    <row r="11003" spans="1:4" x14ac:dyDescent="0.3">
      <c r="A11003" s="1">
        <v>41897</v>
      </c>
      <c r="B11003">
        <v>4518.8999020000001</v>
      </c>
      <c r="C11003">
        <f t="shared" si="359"/>
        <v>-1.0662097152796712E-2</v>
      </c>
      <c r="D11003">
        <f t="shared" si="358"/>
        <v>-0.89010188132832979</v>
      </c>
    </row>
    <row r="11004" spans="1:4" x14ac:dyDescent="0.3">
      <c r="A11004" s="1">
        <v>41898</v>
      </c>
      <c r="B11004">
        <v>4552.7597660000001</v>
      </c>
      <c r="C11004">
        <f t="shared" si="359"/>
        <v>7.4929440205157294E-3</v>
      </c>
      <c r="D11004">
        <f t="shared" si="358"/>
        <v>0.56222675856128568</v>
      </c>
    </row>
    <row r="11005" spans="1:4" x14ac:dyDescent="0.3">
      <c r="A11005" s="1">
        <v>41899</v>
      </c>
      <c r="B11005">
        <v>4562.1899409999996</v>
      </c>
      <c r="C11005">
        <f t="shared" si="359"/>
        <v>2.0713095978452528E-3</v>
      </c>
      <c r="D11005">
        <f t="shared" si="358"/>
        <v>0.12851829864160486</v>
      </c>
    </row>
    <row r="11006" spans="1:4" x14ac:dyDescent="0.3">
      <c r="A11006" s="1">
        <v>41900</v>
      </c>
      <c r="B11006">
        <v>4593.4301759999998</v>
      </c>
      <c r="C11006">
        <f t="shared" si="359"/>
        <v>6.8476401473877638E-3</v>
      </c>
      <c r="D11006">
        <f t="shared" si="358"/>
        <v>0.51060510221643007</v>
      </c>
    </row>
    <row r="11007" spans="1:4" x14ac:dyDescent="0.3">
      <c r="A11007" s="1">
        <v>41901</v>
      </c>
      <c r="B11007">
        <v>4579.7900390000004</v>
      </c>
      <c r="C11007">
        <f t="shared" si="359"/>
        <v>-2.9694882641880856E-3</v>
      </c>
      <c r="D11007">
        <f t="shared" si="358"/>
        <v>-0.27472480243639957</v>
      </c>
    </row>
    <row r="11008" spans="1:4" x14ac:dyDescent="0.3">
      <c r="A11008" s="1">
        <v>41904</v>
      </c>
      <c r="B11008">
        <v>4527.6899409999996</v>
      </c>
      <c r="C11008">
        <f t="shared" si="359"/>
        <v>-1.1376088763094669E-2</v>
      </c>
      <c r="D11008">
        <f t="shared" si="358"/>
        <v>-0.94721827420112181</v>
      </c>
    </row>
    <row r="11009" spans="1:4" x14ac:dyDescent="0.3">
      <c r="A11009" s="1">
        <v>41905</v>
      </c>
      <c r="B11009">
        <v>4508.6899409999996</v>
      </c>
      <c r="C11009">
        <f t="shared" si="359"/>
        <v>-4.1964004266165809E-3</v>
      </c>
      <c r="D11009">
        <f t="shared" si="358"/>
        <v>-0.37287273033772167</v>
      </c>
    </row>
    <row r="11010" spans="1:4" x14ac:dyDescent="0.3">
      <c r="A11010" s="1">
        <v>41906</v>
      </c>
      <c r="B11010">
        <v>4555.2202150000003</v>
      </c>
      <c r="C11010">
        <f t="shared" si="359"/>
        <v>1.0320131703197252E-2</v>
      </c>
      <c r="D11010">
        <f t="shared" si="358"/>
        <v>0.78839014771059146</v>
      </c>
    </row>
    <row r="11011" spans="1:4" x14ac:dyDescent="0.3">
      <c r="A11011" s="1">
        <v>41907</v>
      </c>
      <c r="B11011">
        <v>4466.75</v>
      </c>
      <c r="C11011">
        <f t="shared" si="359"/>
        <v>-1.9421720756479448E-2</v>
      </c>
      <c r="D11011">
        <f t="shared" ref="D11011:D11074" si="360">(C11011-avrtn)/sdrtn</f>
        <v>-1.5908357498354639</v>
      </c>
    </row>
    <row r="11012" spans="1:4" x14ac:dyDescent="0.3">
      <c r="A11012" s="1">
        <v>41908</v>
      </c>
      <c r="B11012">
        <v>4512.1899409999996</v>
      </c>
      <c r="C11012">
        <f t="shared" ref="C11012:C11075" si="361">(B11012-B11011)/B11011</f>
        <v>1.0172931325908017E-2</v>
      </c>
      <c r="D11012">
        <f t="shared" si="360"/>
        <v>0.77661472281902089</v>
      </c>
    </row>
    <row r="11013" spans="1:4" x14ac:dyDescent="0.3">
      <c r="A11013" s="1">
        <v>41911</v>
      </c>
      <c r="B11013">
        <v>4505.8500979999999</v>
      </c>
      <c r="C11013">
        <f t="shared" si="361"/>
        <v>-1.4050478997776185E-3</v>
      </c>
      <c r="D11013">
        <f t="shared" si="360"/>
        <v>-0.14957600630077944</v>
      </c>
    </row>
    <row r="11014" spans="1:4" x14ac:dyDescent="0.3">
      <c r="A11014" s="1">
        <v>41912</v>
      </c>
      <c r="B11014">
        <v>4493.3901370000003</v>
      </c>
      <c r="C11014">
        <f t="shared" si="361"/>
        <v>-2.7652852911218989E-3</v>
      </c>
      <c r="D11014">
        <f t="shared" si="360"/>
        <v>-0.25838940427874724</v>
      </c>
    </row>
    <row r="11015" spans="1:4" x14ac:dyDescent="0.3">
      <c r="A11015" s="1">
        <v>41913</v>
      </c>
      <c r="B11015">
        <v>4422.0898440000001</v>
      </c>
      <c r="C11015">
        <f t="shared" si="361"/>
        <v>-1.5867817132745942E-2</v>
      </c>
      <c r="D11015">
        <f t="shared" si="360"/>
        <v>-1.3065380736758045</v>
      </c>
    </row>
    <row r="11016" spans="1:4" x14ac:dyDescent="0.3">
      <c r="A11016" s="1">
        <v>41914</v>
      </c>
      <c r="B11016">
        <v>4430.2001950000003</v>
      </c>
      <c r="C11016">
        <f t="shared" si="361"/>
        <v>1.8340538718372237E-3</v>
      </c>
      <c r="D11016">
        <f t="shared" si="360"/>
        <v>0.10953881616233731</v>
      </c>
    </row>
    <row r="11017" spans="1:4" x14ac:dyDescent="0.3">
      <c r="A11017" s="1">
        <v>41915</v>
      </c>
      <c r="B11017">
        <v>4475.6201170000004</v>
      </c>
      <c r="C11017">
        <f t="shared" si="361"/>
        <v>1.0252340752289646E-2</v>
      </c>
      <c r="D11017">
        <f t="shared" si="360"/>
        <v>0.7829671503960387</v>
      </c>
    </row>
    <row r="11018" spans="1:4" x14ac:dyDescent="0.3">
      <c r="A11018" s="1">
        <v>41918</v>
      </c>
      <c r="B11018">
        <v>4454.7998049999997</v>
      </c>
      <c r="C11018">
        <f t="shared" si="361"/>
        <v>-4.6519390510641806E-3</v>
      </c>
      <c r="D11018">
        <f t="shared" si="360"/>
        <v>-0.40931394710751318</v>
      </c>
    </row>
    <row r="11019" spans="1:4" x14ac:dyDescent="0.3">
      <c r="A11019" s="1">
        <v>41919</v>
      </c>
      <c r="B11019">
        <v>4385.2001950000003</v>
      </c>
      <c r="C11019">
        <f t="shared" si="361"/>
        <v>-1.5623510156815972E-2</v>
      </c>
      <c r="D11019">
        <f t="shared" si="360"/>
        <v>-1.2869945201976947</v>
      </c>
    </row>
    <row r="11020" spans="1:4" x14ac:dyDescent="0.3">
      <c r="A11020" s="1">
        <v>41920</v>
      </c>
      <c r="B11020">
        <v>4468.5898440000001</v>
      </c>
      <c r="C11020">
        <f t="shared" si="361"/>
        <v>1.9016155544068547E-2</v>
      </c>
      <c r="D11020">
        <f t="shared" si="360"/>
        <v>1.4840362967165972</v>
      </c>
    </row>
    <row r="11021" spans="1:4" x14ac:dyDescent="0.3">
      <c r="A11021" s="1">
        <v>41921</v>
      </c>
      <c r="B11021">
        <v>4378.3398440000001</v>
      </c>
      <c r="C11021">
        <f t="shared" si="361"/>
        <v>-2.0196528021290468E-2</v>
      </c>
      <c r="D11021">
        <f t="shared" si="360"/>
        <v>-1.6528171449938351</v>
      </c>
    </row>
    <row r="11022" spans="1:4" x14ac:dyDescent="0.3">
      <c r="A11022" s="1">
        <v>41922</v>
      </c>
      <c r="B11022">
        <v>4276.2402339999999</v>
      </c>
      <c r="C11022">
        <f t="shared" si="361"/>
        <v>-2.3319251962571091E-2</v>
      </c>
      <c r="D11022">
        <f t="shared" si="360"/>
        <v>-1.9026222195787124</v>
      </c>
    </row>
    <row r="11023" spans="1:4" x14ac:dyDescent="0.3">
      <c r="A11023" s="1">
        <v>41925</v>
      </c>
      <c r="B11023">
        <v>4213.6601559999999</v>
      </c>
      <c r="C11023">
        <f t="shared" si="361"/>
        <v>-1.463436911294913E-2</v>
      </c>
      <c r="D11023">
        <f t="shared" si="360"/>
        <v>-1.2078673040606231</v>
      </c>
    </row>
    <row r="11024" spans="1:4" x14ac:dyDescent="0.3">
      <c r="A11024" s="1">
        <v>41926</v>
      </c>
      <c r="B11024">
        <v>4227.169922</v>
      </c>
      <c r="C11024">
        <f t="shared" si="361"/>
        <v>3.2061831044354703E-3</v>
      </c>
      <c r="D11024">
        <f t="shared" si="360"/>
        <v>0.21930351254107894</v>
      </c>
    </row>
    <row r="11025" spans="1:4" x14ac:dyDescent="0.3">
      <c r="A11025" s="1">
        <v>41927</v>
      </c>
      <c r="B11025">
        <v>4215.3198240000002</v>
      </c>
      <c r="C11025">
        <f t="shared" si="361"/>
        <v>-2.803317164594428E-3</v>
      </c>
      <c r="D11025">
        <f t="shared" si="360"/>
        <v>-0.26143179776855135</v>
      </c>
    </row>
    <row r="11026" spans="1:4" x14ac:dyDescent="0.3">
      <c r="A11026" s="1">
        <v>41928</v>
      </c>
      <c r="B11026">
        <v>4217.3901370000003</v>
      </c>
      <c r="C11026">
        <f t="shared" si="361"/>
        <v>4.9114019491778638E-4</v>
      </c>
      <c r="D11026">
        <f t="shared" si="360"/>
        <v>2.1112441028176211E-3</v>
      </c>
    </row>
    <row r="11027" spans="1:4" x14ac:dyDescent="0.3">
      <c r="A11027" s="1">
        <v>41929</v>
      </c>
      <c r="B11027">
        <v>4258.4399409999996</v>
      </c>
      <c r="C11027">
        <f t="shared" si="361"/>
        <v>9.7334613745741084E-3</v>
      </c>
      <c r="D11027">
        <f t="shared" si="360"/>
        <v>0.741458933823546</v>
      </c>
    </row>
    <row r="11028" spans="1:4" x14ac:dyDescent="0.3">
      <c r="A11028" s="1">
        <v>41932</v>
      </c>
      <c r="B11028">
        <v>4316.0698240000002</v>
      </c>
      <c r="C11028">
        <f t="shared" si="361"/>
        <v>1.3533097518916147E-2</v>
      </c>
      <c r="D11028">
        <f t="shared" si="360"/>
        <v>1.0454142011737253</v>
      </c>
    </row>
    <row r="11029" spans="1:4" x14ac:dyDescent="0.3">
      <c r="A11029" s="1">
        <v>41933</v>
      </c>
      <c r="B11029">
        <v>4419.4799800000001</v>
      </c>
      <c r="C11029">
        <f t="shared" si="361"/>
        <v>2.395933342527869E-2</v>
      </c>
      <c r="D11029">
        <f t="shared" si="360"/>
        <v>1.8794702007445057</v>
      </c>
    </row>
    <row r="11030" spans="1:4" x14ac:dyDescent="0.3">
      <c r="A11030" s="1">
        <v>41934</v>
      </c>
      <c r="B11030">
        <v>4382.8500979999999</v>
      </c>
      <c r="C11030">
        <f t="shared" si="361"/>
        <v>-8.2882787490305993E-3</v>
      </c>
      <c r="D11030">
        <f t="shared" si="360"/>
        <v>-0.70020617022664255</v>
      </c>
    </row>
    <row r="11031" spans="1:4" x14ac:dyDescent="0.3">
      <c r="A11031" s="1">
        <v>41935</v>
      </c>
      <c r="B11031">
        <v>4452.7900390000004</v>
      </c>
      <c r="C11031">
        <f t="shared" si="361"/>
        <v>1.5957639306878376E-2</v>
      </c>
      <c r="D11031">
        <f t="shared" si="360"/>
        <v>1.2393675744352997</v>
      </c>
    </row>
    <row r="11032" spans="1:4" x14ac:dyDescent="0.3">
      <c r="A11032" s="1">
        <v>41936</v>
      </c>
      <c r="B11032">
        <v>4483.7202150000003</v>
      </c>
      <c r="C11032">
        <f t="shared" si="361"/>
        <v>6.9462462251972902E-3</v>
      </c>
      <c r="D11032">
        <f t="shared" si="360"/>
        <v>0.51849318297057745</v>
      </c>
    </row>
    <row r="11033" spans="1:4" x14ac:dyDescent="0.3">
      <c r="A11033" s="1">
        <v>41939</v>
      </c>
      <c r="B11033">
        <v>4485.9301759999998</v>
      </c>
      <c r="C11033">
        <f t="shared" si="361"/>
        <v>4.9288557136243304E-4</v>
      </c>
      <c r="D11033">
        <f t="shared" si="360"/>
        <v>2.2508670413585292E-3</v>
      </c>
    </row>
    <row r="11034" spans="1:4" x14ac:dyDescent="0.3">
      <c r="A11034" s="1">
        <v>41940</v>
      </c>
      <c r="B11034">
        <v>4564.2900390000004</v>
      </c>
      <c r="C11034">
        <f t="shared" si="361"/>
        <v>1.7467918564410708E-2</v>
      </c>
      <c r="D11034">
        <f t="shared" si="360"/>
        <v>1.3601837047324712</v>
      </c>
    </row>
    <row r="11035" spans="1:4" x14ac:dyDescent="0.3">
      <c r="A11035" s="1">
        <v>41941</v>
      </c>
      <c r="B11035">
        <v>4549.2299800000001</v>
      </c>
      <c r="C11035">
        <f t="shared" si="361"/>
        <v>-3.299540316526402E-3</v>
      </c>
      <c r="D11035">
        <f t="shared" si="360"/>
        <v>-0.30112760944131617</v>
      </c>
    </row>
    <row r="11036" spans="1:4" x14ac:dyDescent="0.3">
      <c r="A11036" s="1">
        <v>41942</v>
      </c>
      <c r="B11036">
        <v>4566.1401370000003</v>
      </c>
      <c r="C11036">
        <f t="shared" si="361"/>
        <v>3.7171470939792437E-3</v>
      </c>
      <c r="D11036">
        <f t="shared" si="360"/>
        <v>0.26017853060810125</v>
      </c>
    </row>
    <row r="11037" spans="1:4" x14ac:dyDescent="0.3">
      <c r="A11037" s="1">
        <v>41943</v>
      </c>
      <c r="B11037">
        <v>4630.7402339999999</v>
      </c>
      <c r="C11037">
        <f t="shared" si="361"/>
        <v>1.4147637843292838E-2</v>
      </c>
      <c r="D11037">
        <f t="shared" si="360"/>
        <v>1.0945749001189473</v>
      </c>
    </row>
    <row r="11038" spans="1:4" x14ac:dyDescent="0.3">
      <c r="A11038" s="1">
        <v>41946</v>
      </c>
      <c r="B11038">
        <v>4638.9101559999999</v>
      </c>
      <c r="C11038">
        <f t="shared" si="361"/>
        <v>1.7642799179307285E-3</v>
      </c>
      <c r="D11038">
        <f t="shared" si="360"/>
        <v>0.10395718676203052</v>
      </c>
    </row>
    <row r="11039" spans="1:4" x14ac:dyDescent="0.3">
      <c r="A11039" s="1">
        <v>41947</v>
      </c>
      <c r="B11039">
        <v>4623.6401370000003</v>
      </c>
      <c r="C11039">
        <f t="shared" si="361"/>
        <v>-3.291725531750004E-3</v>
      </c>
      <c r="D11039">
        <f t="shared" si="360"/>
        <v>-0.30050245879379134</v>
      </c>
    </row>
    <row r="11040" spans="1:4" x14ac:dyDescent="0.3">
      <c r="A11040" s="1">
        <v>41948</v>
      </c>
      <c r="B11040">
        <v>4620.7202150000003</v>
      </c>
      <c r="C11040">
        <f t="shared" si="361"/>
        <v>-6.3152016884571009E-4</v>
      </c>
      <c r="D11040">
        <f t="shared" si="360"/>
        <v>-8.7696968591262192E-2</v>
      </c>
    </row>
    <row r="11041" spans="1:4" x14ac:dyDescent="0.3">
      <c r="A11041" s="1">
        <v>41949</v>
      </c>
      <c r="B11041">
        <v>4638.4702150000003</v>
      </c>
      <c r="C11041">
        <f t="shared" si="361"/>
        <v>3.8413925046530866E-3</v>
      </c>
      <c r="D11041">
        <f t="shared" si="360"/>
        <v>0.27011765256182724</v>
      </c>
    </row>
    <row r="11042" spans="1:4" x14ac:dyDescent="0.3">
      <c r="A11042" s="1">
        <v>41950</v>
      </c>
      <c r="B11042">
        <v>4632.5297849999997</v>
      </c>
      <c r="C11042">
        <f t="shared" si="361"/>
        <v>-1.2806873224690007E-3</v>
      </c>
      <c r="D11042">
        <f t="shared" si="360"/>
        <v>-0.13962767148983948</v>
      </c>
    </row>
    <row r="11043" spans="1:4" x14ac:dyDescent="0.3">
      <c r="A11043" s="1">
        <v>41953</v>
      </c>
      <c r="B11043">
        <v>4651.6201170000004</v>
      </c>
      <c r="C11043">
        <f t="shared" si="361"/>
        <v>4.1209302230100333E-3</v>
      </c>
      <c r="D11043">
        <f t="shared" si="360"/>
        <v>0.29247952056441678</v>
      </c>
    </row>
    <row r="11044" spans="1:4" x14ac:dyDescent="0.3">
      <c r="A11044" s="1">
        <v>41954</v>
      </c>
      <c r="B11044">
        <v>4660.5600590000004</v>
      </c>
      <c r="C11044">
        <f t="shared" si="361"/>
        <v>1.9218985590262836E-3</v>
      </c>
      <c r="D11044">
        <f t="shared" si="360"/>
        <v>0.11656602991795001</v>
      </c>
    </row>
    <row r="11045" spans="1:4" x14ac:dyDescent="0.3">
      <c r="A11045" s="1">
        <v>41955</v>
      </c>
      <c r="B11045">
        <v>4675.1401370000003</v>
      </c>
      <c r="C11045">
        <f t="shared" si="361"/>
        <v>3.1283961187978668E-3</v>
      </c>
      <c r="D11045">
        <f t="shared" si="360"/>
        <v>0.21308087355206684</v>
      </c>
    </row>
    <row r="11046" spans="1:4" x14ac:dyDescent="0.3">
      <c r="A11046" s="1">
        <v>41956</v>
      </c>
      <c r="B11046">
        <v>4680.1401370000003</v>
      </c>
      <c r="C11046">
        <f t="shared" si="361"/>
        <v>1.0694866578284986E-3</v>
      </c>
      <c r="D11046">
        <f t="shared" si="360"/>
        <v>4.8376582960808961E-2</v>
      </c>
    </row>
    <row r="11047" spans="1:4" x14ac:dyDescent="0.3">
      <c r="A11047" s="1">
        <v>41957</v>
      </c>
      <c r="B11047">
        <v>4688.5400390000004</v>
      </c>
      <c r="C11047">
        <f t="shared" si="361"/>
        <v>1.7947971116489905E-3</v>
      </c>
      <c r="D11047">
        <f t="shared" si="360"/>
        <v>0.1063984367720411</v>
      </c>
    </row>
    <row r="11048" spans="1:4" x14ac:dyDescent="0.3">
      <c r="A11048" s="1">
        <v>41960</v>
      </c>
      <c r="B11048">
        <v>4671</v>
      </c>
      <c r="C11048">
        <f t="shared" si="361"/>
        <v>-3.7410449423700511E-3</v>
      </c>
      <c r="D11048">
        <f t="shared" si="360"/>
        <v>-0.33644616403093869</v>
      </c>
    </row>
    <row r="11049" spans="1:4" x14ac:dyDescent="0.3">
      <c r="A11049" s="1">
        <v>41961</v>
      </c>
      <c r="B11049">
        <v>4702.4399409999996</v>
      </c>
      <c r="C11049">
        <f t="shared" si="361"/>
        <v>6.73088011132512E-3</v>
      </c>
      <c r="D11049">
        <f t="shared" si="360"/>
        <v>0.50126477945155568</v>
      </c>
    </row>
    <row r="11050" spans="1:4" x14ac:dyDescent="0.3">
      <c r="A11050" s="1">
        <v>41962</v>
      </c>
      <c r="B11050">
        <v>4675.7099609999996</v>
      </c>
      <c r="C11050">
        <f t="shared" si="361"/>
        <v>-5.6842788712609888E-3</v>
      </c>
      <c r="D11050">
        <f t="shared" si="360"/>
        <v>-0.49189688771655227</v>
      </c>
    </row>
    <row r="11051" spans="1:4" x14ac:dyDescent="0.3">
      <c r="A11051" s="1">
        <v>41963</v>
      </c>
      <c r="B11051">
        <v>4701.8701170000004</v>
      </c>
      <c r="C11051">
        <f t="shared" si="361"/>
        <v>5.5949056331984119E-3</v>
      </c>
      <c r="D11051">
        <f t="shared" si="360"/>
        <v>0.41039149235638434</v>
      </c>
    </row>
    <row r="11052" spans="1:4" x14ac:dyDescent="0.3">
      <c r="A11052" s="1">
        <v>41964</v>
      </c>
      <c r="B11052">
        <v>4712.9702150000003</v>
      </c>
      <c r="C11052">
        <f t="shared" si="361"/>
        <v>2.3607836294470505E-3</v>
      </c>
      <c r="D11052">
        <f t="shared" si="360"/>
        <v>0.15167503084541825</v>
      </c>
    </row>
    <row r="11053" spans="1:4" x14ac:dyDescent="0.3">
      <c r="A11053" s="1">
        <v>41967</v>
      </c>
      <c r="B11053">
        <v>4754.8901370000003</v>
      </c>
      <c r="C11053">
        <f t="shared" si="361"/>
        <v>8.8945866592963479E-3</v>
      </c>
      <c r="D11053">
        <f t="shared" si="360"/>
        <v>0.67435240607476576</v>
      </c>
    </row>
    <row r="11054" spans="1:4" x14ac:dyDescent="0.3">
      <c r="A11054" s="1">
        <v>41968</v>
      </c>
      <c r="B11054">
        <v>4758.25</v>
      </c>
      <c r="C11054">
        <f t="shared" si="361"/>
        <v>7.0661211998465092E-4</v>
      </c>
      <c r="D11054">
        <f t="shared" si="360"/>
        <v>1.9348112082316696E-2</v>
      </c>
    </row>
    <row r="11055" spans="1:4" x14ac:dyDescent="0.3">
      <c r="A11055" s="1">
        <v>41969</v>
      </c>
      <c r="B11055">
        <v>4787.3198240000002</v>
      </c>
      <c r="C11055">
        <f t="shared" si="361"/>
        <v>6.1093519676351923E-3</v>
      </c>
      <c r="D11055">
        <f t="shared" si="360"/>
        <v>0.45154508369535945</v>
      </c>
    </row>
    <row r="11056" spans="1:4" x14ac:dyDescent="0.3">
      <c r="A11056" s="1">
        <v>41971</v>
      </c>
      <c r="B11056">
        <v>4791.6298829999996</v>
      </c>
      <c r="C11056">
        <f t="shared" si="361"/>
        <v>9.0030730313694104E-4</v>
      </c>
      <c r="D11056">
        <f t="shared" si="360"/>
        <v>3.4842930255147633E-2</v>
      </c>
    </row>
    <row r="11057" spans="1:4" x14ac:dyDescent="0.3">
      <c r="A11057" s="1">
        <v>41974</v>
      </c>
      <c r="B11057">
        <v>4727.3500979999999</v>
      </c>
      <c r="C11057">
        <f t="shared" si="361"/>
        <v>-1.3415014633758542E-2</v>
      </c>
      <c r="D11057">
        <f t="shared" si="360"/>
        <v>-1.1103239597409544</v>
      </c>
    </row>
    <row r="11058" spans="1:4" x14ac:dyDescent="0.3">
      <c r="A11058" s="1">
        <v>41975</v>
      </c>
      <c r="B11058">
        <v>4755.8100590000004</v>
      </c>
      <c r="C11058">
        <f t="shared" si="361"/>
        <v>6.0202778321920844E-3</v>
      </c>
      <c r="D11058">
        <f t="shared" si="360"/>
        <v>0.44441951913494432</v>
      </c>
    </row>
    <row r="11059" spans="1:4" x14ac:dyDescent="0.3">
      <c r="A11059" s="1">
        <v>41976</v>
      </c>
      <c r="B11059">
        <v>4774.4702150000003</v>
      </c>
      <c r="C11059">
        <f t="shared" si="361"/>
        <v>3.9236545969044793E-3</v>
      </c>
      <c r="D11059">
        <f t="shared" si="360"/>
        <v>0.2766982816781941</v>
      </c>
    </row>
    <row r="11060" spans="1:4" x14ac:dyDescent="0.3">
      <c r="A11060" s="1">
        <v>41977</v>
      </c>
      <c r="B11060">
        <v>4769.4399409999996</v>
      </c>
      <c r="C11060">
        <f t="shared" si="361"/>
        <v>-1.0535774176990327E-3</v>
      </c>
      <c r="D11060">
        <f t="shared" si="360"/>
        <v>-0.12145981298975062</v>
      </c>
    </row>
    <row r="11061" spans="1:4" x14ac:dyDescent="0.3">
      <c r="A11061" s="1">
        <v>41978</v>
      </c>
      <c r="B11061">
        <v>4780.7597660000001</v>
      </c>
      <c r="C11061">
        <f t="shared" si="361"/>
        <v>2.3734075992216152E-3</v>
      </c>
      <c r="D11061">
        <f t="shared" si="360"/>
        <v>0.15268489651730952</v>
      </c>
    </row>
    <row r="11062" spans="1:4" x14ac:dyDescent="0.3">
      <c r="A11062" s="1">
        <v>41981</v>
      </c>
      <c r="B11062">
        <v>4740.6899409999996</v>
      </c>
      <c r="C11062">
        <f t="shared" si="361"/>
        <v>-8.3814763680389644E-3</v>
      </c>
      <c r="D11062">
        <f t="shared" si="360"/>
        <v>-0.70766159651641247</v>
      </c>
    </row>
    <row r="11063" spans="1:4" x14ac:dyDescent="0.3">
      <c r="A11063" s="1">
        <v>41982</v>
      </c>
      <c r="B11063">
        <v>4766.4702150000003</v>
      </c>
      <c r="C11063">
        <f t="shared" si="361"/>
        <v>5.4380848190553801E-3</v>
      </c>
      <c r="D11063">
        <f t="shared" si="360"/>
        <v>0.39784647207598267</v>
      </c>
    </row>
    <row r="11064" spans="1:4" x14ac:dyDescent="0.3">
      <c r="A11064" s="1">
        <v>41983</v>
      </c>
      <c r="B11064">
        <v>4684.0200199999999</v>
      </c>
      <c r="C11064">
        <f t="shared" si="361"/>
        <v>-1.7297956617987668E-2</v>
      </c>
      <c r="D11064">
        <f t="shared" si="360"/>
        <v>-1.4209433517264405</v>
      </c>
    </row>
    <row r="11065" spans="1:4" x14ac:dyDescent="0.3">
      <c r="A11065" s="1">
        <v>41984</v>
      </c>
      <c r="B11065">
        <v>4708.1601559999999</v>
      </c>
      <c r="C11065">
        <f t="shared" si="361"/>
        <v>5.1537217810610431E-3</v>
      </c>
      <c r="D11065">
        <f t="shared" si="360"/>
        <v>0.37509859834423481</v>
      </c>
    </row>
    <row r="11066" spans="1:4" x14ac:dyDescent="0.3">
      <c r="A11066" s="1">
        <v>41985</v>
      </c>
      <c r="B11066">
        <v>4653.6000979999999</v>
      </c>
      <c r="C11066">
        <f t="shared" si="361"/>
        <v>-1.1588403153718042E-2</v>
      </c>
      <c r="D11066">
        <f t="shared" si="360"/>
        <v>-0.96420255240900088</v>
      </c>
    </row>
    <row r="11067" spans="1:4" x14ac:dyDescent="0.3">
      <c r="A11067" s="1">
        <v>41988</v>
      </c>
      <c r="B11067">
        <v>4605.1601559999999</v>
      </c>
      <c r="C11067">
        <f t="shared" si="361"/>
        <v>-1.040913292502685E-2</v>
      </c>
      <c r="D11067">
        <f t="shared" si="360"/>
        <v>-0.86986578330186093</v>
      </c>
    </row>
    <row r="11068" spans="1:4" x14ac:dyDescent="0.3">
      <c r="A11068" s="1">
        <v>41989</v>
      </c>
      <c r="B11068">
        <v>4547.830078</v>
      </c>
      <c r="C11068">
        <f t="shared" si="361"/>
        <v>-1.2449095375175039E-2</v>
      </c>
      <c r="D11068">
        <f t="shared" si="360"/>
        <v>-1.0330543909379986</v>
      </c>
    </row>
    <row r="11069" spans="1:4" x14ac:dyDescent="0.3">
      <c r="A11069" s="1">
        <v>41990</v>
      </c>
      <c r="B11069">
        <v>4644.3100590000004</v>
      </c>
      <c r="C11069">
        <f t="shared" si="361"/>
        <v>2.1214508753684445E-2</v>
      </c>
      <c r="D11069">
        <f t="shared" si="360"/>
        <v>1.6598955138034568</v>
      </c>
    </row>
    <row r="11070" spans="1:4" x14ac:dyDescent="0.3">
      <c r="A11070" s="1">
        <v>41991</v>
      </c>
      <c r="B11070">
        <v>4748.3999020000001</v>
      </c>
      <c r="C11070">
        <f t="shared" si="361"/>
        <v>2.2412337177680181E-2</v>
      </c>
      <c r="D11070">
        <f t="shared" si="360"/>
        <v>1.7557168622232053</v>
      </c>
    </row>
    <row r="11071" spans="1:4" x14ac:dyDescent="0.3">
      <c r="A11071" s="1">
        <v>41992</v>
      </c>
      <c r="B11071">
        <v>4765.3798829999996</v>
      </c>
      <c r="C11071">
        <f t="shared" si="361"/>
        <v>3.5759374421787059E-3</v>
      </c>
      <c r="D11071">
        <f t="shared" si="360"/>
        <v>0.248882339121616</v>
      </c>
    </row>
    <row r="11072" spans="1:4" x14ac:dyDescent="0.3">
      <c r="A11072" s="1">
        <v>41995</v>
      </c>
      <c r="B11072">
        <v>4781.419922</v>
      </c>
      <c r="C11072">
        <f t="shared" si="361"/>
        <v>3.3659518010771012E-3</v>
      </c>
      <c r="D11072">
        <f t="shared" si="360"/>
        <v>0.23208435129960323</v>
      </c>
    </row>
    <row r="11073" spans="1:4" x14ac:dyDescent="0.3">
      <c r="A11073" s="1">
        <v>41996</v>
      </c>
      <c r="B11073">
        <v>4765.419922</v>
      </c>
      <c r="C11073">
        <f t="shared" si="361"/>
        <v>-3.3462863042799697E-3</v>
      </c>
      <c r="D11073">
        <f t="shared" si="360"/>
        <v>-0.30486709624095137</v>
      </c>
    </row>
    <row r="11074" spans="1:4" x14ac:dyDescent="0.3">
      <c r="A11074" s="1">
        <v>41997</v>
      </c>
      <c r="B11074">
        <v>4773.4702150000003</v>
      </c>
      <c r="C11074">
        <f t="shared" si="361"/>
        <v>1.6893145057029118E-3</v>
      </c>
      <c r="D11074">
        <f t="shared" si="360"/>
        <v>9.7960262043422189E-2</v>
      </c>
    </row>
    <row r="11075" spans="1:4" x14ac:dyDescent="0.3">
      <c r="A11075" s="1">
        <v>41999</v>
      </c>
      <c r="B11075">
        <v>4806.8598629999997</v>
      </c>
      <c r="C11075">
        <f t="shared" si="361"/>
        <v>6.9948374025833098E-3</v>
      </c>
      <c r="D11075">
        <f t="shared" ref="D11075:D11138" si="362">(C11075-avrtn)/sdrtn</f>
        <v>0.52238027735334369</v>
      </c>
    </row>
    <row r="11076" spans="1:4" x14ac:dyDescent="0.3">
      <c r="A11076" s="1">
        <v>42002</v>
      </c>
      <c r="B11076">
        <v>4806.9101559999999</v>
      </c>
      <c r="C11076">
        <f t="shared" ref="C11076:C11139" si="363">(B11076-B11075)/B11075</f>
        <v>1.0462755610447459E-5</v>
      </c>
      <c r="D11076">
        <f t="shared" si="362"/>
        <v>-3.6340974484328666E-2</v>
      </c>
    </row>
    <row r="11077" spans="1:4" x14ac:dyDescent="0.3">
      <c r="A11077" s="1">
        <v>42003</v>
      </c>
      <c r="B11077">
        <v>4777.4399409999996</v>
      </c>
      <c r="C11077">
        <f t="shared" si="363"/>
        <v>-6.130802125189602E-3</v>
      </c>
      <c r="D11077">
        <f t="shared" si="362"/>
        <v>-0.52761691191624993</v>
      </c>
    </row>
    <row r="11078" spans="1:4" x14ac:dyDescent="0.3">
      <c r="A11078" s="1">
        <v>42004</v>
      </c>
      <c r="B11078">
        <v>4736.0498049999997</v>
      </c>
      <c r="C11078">
        <f t="shared" si="363"/>
        <v>-8.6636643288364023E-3</v>
      </c>
      <c r="D11078">
        <f t="shared" si="362"/>
        <v>-0.73023547301637926</v>
      </c>
    </row>
    <row r="11079" spans="1:4" x14ac:dyDescent="0.3">
      <c r="A11079" s="1">
        <v>42006</v>
      </c>
      <c r="B11079">
        <v>4726.8100590000004</v>
      </c>
      <c r="C11079">
        <f t="shared" si="363"/>
        <v>-1.9509393651740295E-3</v>
      </c>
      <c r="D11079">
        <f t="shared" si="362"/>
        <v>-0.19324507881337391</v>
      </c>
    </row>
    <row r="11080" spans="1:4" x14ac:dyDescent="0.3">
      <c r="A11080" s="1">
        <v>42009</v>
      </c>
      <c r="B11080">
        <v>4652.5698240000002</v>
      </c>
      <c r="C11080">
        <f t="shared" si="363"/>
        <v>-1.570620229569927E-2</v>
      </c>
      <c r="D11080">
        <f t="shared" si="362"/>
        <v>-1.2936095512762518</v>
      </c>
    </row>
    <row r="11081" spans="1:4" x14ac:dyDescent="0.3">
      <c r="A11081" s="1">
        <v>42010</v>
      </c>
      <c r="B11081">
        <v>4592.7402339999999</v>
      </c>
      <c r="C11081">
        <f t="shared" si="363"/>
        <v>-1.2859471703438593E-2</v>
      </c>
      <c r="D11081">
        <f t="shared" si="362"/>
        <v>-1.0658828097215378</v>
      </c>
    </row>
    <row r="11082" spans="1:4" x14ac:dyDescent="0.3">
      <c r="A11082" s="1">
        <v>42011</v>
      </c>
      <c r="B11082">
        <v>4650.4702150000003</v>
      </c>
      <c r="C11082">
        <f t="shared" si="363"/>
        <v>1.2569833706819746E-2</v>
      </c>
      <c r="D11082">
        <f t="shared" si="362"/>
        <v>0.96835705717047615</v>
      </c>
    </row>
    <row r="11083" spans="1:4" x14ac:dyDescent="0.3">
      <c r="A11083" s="1">
        <v>42012</v>
      </c>
      <c r="B11083">
        <v>4736.1899409999996</v>
      </c>
      <c r="C11083">
        <f t="shared" si="363"/>
        <v>1.8432485756711667E-2</v>
      </c>
      <c r="D11083">
        <f t="shared" si="362"/>
        <v>1.4373451137925535</v>
      </c>
    </row>
    <row r="11084" spans="1:4" x14ac:dyDescent="0.3">
      <c r="A11084" s="1">
        <v>42013</v>
      </c>
      <c r="B11084">
        <v>4704.0698240000002</v>
      </c>
      <c r="C11084">
        <f t="shared" si="363"/>
        <v>-6.7818473076731453E-3</v>
      </c>
      <c r="D11084">
        <f t="shared" si="362"/>
        <v>-0.57969784940114666</v>
      </c>
    </row>
    <row r="11085" spans="1:4" x14ac:dyDescent="0.3">
      <c r="A11085" s="1">
        <v>42016</v>
      </c>
      <c r="B11085">
        <v>4664.7099609999996</v>
      </c>
      <c r="C11085">
        <f t="shared" si="363"/>
        <v>-8.3671936158744801E-3</v>
      </c>
      <c r="D11085">
        <f t="shared" si="362"/>
        <v>-0.7065190350742816</v>
      </c>
    </row>
    <row r="11086" spans="1:4" x14ac:dyDescent="0.3">
      <c r="A11086" s="1">
        <v>42017</v>
      </c>
      <c r="B11086">
        <v>4661.5</v>
      </c>
      <c r="C11086">
        <f t="shared" si="363"/>
        <v>-6.8813731761179625E-4</v>
      </c>
      <c r="D11086">
        <f t="shared" si="362"/>
        <v>-9.2226107681442251E-2</v>
      </c>
    </row>
    <row r="11087" spans="1:4" x14ac:dyDescent="0.3">
      <c r="A11087" s="1">
        <v>42018</v>
      </c>
      <c r="B11087">
        <v>4639.3198240000002</v>
      </c>
      <c r="C11087">
        <f t="shared" si="363"/>
        <v>-4.7581628231255701E-3</v>
      </c>
      <c r="D11087">
        <f t="shared" si="362"/>
        <v>-0.4178114120776637</v>
      </c>
    </row>
    <row r="11088" spans="1:4" x14ac:dyDescent="0.3">
      <c r="A11088" s="1">
        <v>42019</v>
      </c>
      <c r="B11088">
        <v>4570.8198240000002</v>
      </c>
      <c r="C11088">
        <f t="shared" si="363"/>
        <v>-1.476509544473259E-2</v>
      </c>
      <c r="D11088">
        <f t="shared" si="362"/>
        <v>-1.2183248730534117</v>
      </c>
    </row>
    <row r="11089" spans="1:4" x14ac:dyDescent="0.3">
      <c r="A11089" s="1">
        <v>42020</v>
      </c>
      <c r="B11089">
        <v>4634.3798829999996</v>
      </c>
      <c r="C11089">
        <f t="shared" si="363"/>
        <v>1.3905614626563204E-2</v>
      </c>
      <c r="D11089">
        <f t="shared" si="362"/>
        <v>1.0752140379859902</v>
      </c>
    </row>
    <row r="11090" spans="1:4" x14ac:dyDescent="0.3">
      <c r="A11090" s="1">
        <v>42024</v>
      </c>
      <c r="B11090">
        <v>4654.8500979999999</v>
      </c>
      <c r="C11090">
        <f t="shared" si="363"/>
        <v>4.4170343210512084E-3</v>
      </c>
      <c r="D11090">
        <f t="shared" si="362"/>
        <v>0.31616663082038426</v>
      </c>
    </row>
    <row r="11091" spans="1:4" x14ac:dyDescent="0.3">
      <c r="A11091" s="1">
        <v>42025</v>
      </c>
      <c r="B11091">
        <v>4667.419922</v>
      </c>
      <c r="C11091">
        <f t="shared" si="363"/>
        <v>2.7003713836887887E-3</v>
      </c>
      <c r="D11091">
        <f t="shared" si="362"/>
        <v>0.17884065479156805</v>
      </c>
    </row>
    <row r="11092" spans="1:4" x14ac:dyDescent="0.3">
      <c r="A11092" s="1">
        <v>42026</v>
      </c>
      <c r="B11092">
        <v>4750.3999020000001</v>
      </c>
      <c r="C11092">
        <f t="shared" si="363"/>
        <v>1.7778554616196384E-2</v>
      </c>
      <c r="D11092">
        <f t="shared" si="362"/>
        <v>1.3850333115322477</v>
      </c>
    </row>
    <row r="11093" spans="1:4" x14ac:dyDescent="0.3">
      <c r="A11093" s="1">
        <v>42027</v>
      </c>
      <c r="B11093">
        <v>4757.8798829999996</v>
      </c>
      <c r="C11093">
        <f t="shared" si="363"/>
        <v>1.5746002766736115E-3</v>
      </c>
      <c r="D11093">
        <f t="shared" si="362"/>
        <v>8.8783595428806497E-2</v>
      </c>
    </row>
    <row r="11094" spans="1:4" x14ac:dyDescent="0.3">
      <c r="A11094" s="1">
        <v>42030</v>
      </c>
      <c r="B11094">
        <v>4771.7597660000001</v>
      </c>
      <c r="C11094">
        <f t="shared" si="363"/>
        <v>2.9172411539000005E-3</v>
      </c>
      <c r="D11094">
        <f t="shared" si="362"/>
        <v>0.19618934463464133</v>
      </c>
    </row>
    <row r="11095" spans="1:4" x14ac:dyDescent="0.3">
      <c r="A11095" s="1">
        <v>42031</v>
      </c>
      <c r="B11095">
        <v>4681.5</v>
      </c>
      <c r="C11095">
        <f t="shared" si="363"/>
        <v>-1.8915404468415168E-2</v>
      </c>
      <c r="D11095">
        <f t="shared" si="362"/>
        <v>-1.5503325287753382</v>
      </c>
    </row>
    <row r="11096" spans="1:4" x14ac:dyDescent="0.3">
      <c r="A11096" s="1">
        <v>42032</v>
      </c>
      <c r="B11096">
        <v>4637.9902339999999</v>
      </c>
      <c r="C11096">
        <f t="shared" si="363"/>
        <v>-9.29397970735878E-3</v>
      </c>
      <c r="D11096">
        <f t="shared" si="362"/>
        <v>-0.78065811142584596</v>
      </c>
    </row>
    <row r="11097" spans="1:4" x14ac:dyDescent="0.3">
      <c r="A11097" s="1">
        <v>42033</v>
      </c>
      <c r="B11097">
        <v>4683.4101559999999</v>
      </c>
      <c r="C11097">
        <f t="shared" si="363"/>
        <v>9.7930180333363863E-3</v>
      </c>
      <c r="D11097">
        <f t="shared" si="362"/>
        <v>0.74622322162608401</v>
      </c>
    </row>
    <row r="11098" spans="1:4" x14ac:dyDescent="0.3">
      <c r="A11098" s="1">
        <v>42034</v>
      </c>
      <c r="B11098">
        <v>4635.2402339999999</v>
      </c>
      <c r="C11098">
        <f t="shared" si="363"/>
        <v>-1.0285223885054932E-2</v>
      </c>
      <c r="D11098">
        <f t="shared" si="362"/>
        <v>-0.85995356962112424</v>
      </c>
    </row>
    <row r="11099" spans="1:4" x14ac:dyDescent="0.3">
      <c r="A11099" s="1">
        <v>42037</v>
      </c>
      <c r="B11099">
        <v>4676.6899409999996</v>
      </c>
      <c r="C11099">
        <f t="shared" si="363"/>
        <v>8.9422996236444389E-3</v>
      </c>
      <c r="D11099">
        <f t="shared" si="362"/>
        <v>0.67816924702573134</v>
      </c>
    </row>
    <row r="11100" spans="1:4" x14ac:dyDescent="0.3">
      <c r="A11100" s="1">
        <v>42038</v>
      </c>
      <c r="B11100">
        <v>4727.7402339999999</v>
      </c>
      <c r="C11100">
        <f t="shared" si="363"/>
        <v>1.0915902838126648E-2</v>
      </c>
      <c r="D11100">
        <f t="shared" si="362"/>
        <v>0.83604938867939804</v>
      </c>
    </row>
    <row r="11101" spans="1:4" x14ac:dyDescent="0.3">
      <c r="A11101" s="1">
        <v>42039</v>
      </c>
      <c r="B11101">
        <v>4716.7001950000003</v>
      </c>
      <c r="C11101">
        <f t="shared" si="363"/>
        <v>-2.3351619280188069E-3</v>
      </c>
      <c r="D11101">
        <f t="shared" si="362"/>
        <v>-0.2239813039083372</v>
      </c>
    </row>
    <row r="11102" spans="1:4" x14ac:dyDescent="0.3">
      <c r="A11102" s="1">
        <v>42040</v>
      </c>
      <c r="B11102">
        <v>4765.1000979999999</v>
      </c>
      <c r="C11102">
        <f t="shared" si="363"/>
        <v>1.0261390590673219E-2</v>
      </c>
      <c r="D11102">
        <f t="shared" si="362"/>
        <v>0.78369110025356681</v>
      </c>
    </row>
    <row r="11103" spans="1:4" x14ac:dyDescent="0.3">
      <c r="A11103" s="1">
        <v>42041</v>
      </c>
      <c r="B11103">
        <v>4744.3999020000001</v>
      </c>
      <c r="C11103">
        <f t="shared" si="363"/>
        <v>-4.3441261619431735E-3</v>
      </c>
      <c r="D11103">
        <f t="shared" si="362"/>
        <v>-0.38469018171199576</v>
      </c>
    </row>
    <row r="11104" spans="1:4" x14ac:dyDescent="0.3">
      <c r="A11104" s="1">
        <v>42044</v>
      </c>
      <c r="B11104">
        <v>4726.0097660000001</v>
      </c>
      <c r="C11104">
        <f t="shared" si="363"/>
        <v>-3.8761774681446287E-3</v>
      </c>
      <c r="D11104">
        <f t="shared" si="362"/>
        <v>-0.34725621042463872</v>
      </c>
    </row>
    <row r="11105" spans="1:4" x14ac:dyDescent="0.3">
      <c r="A11105" s="1">
        <v>42045</v>
      </c>
      <c r="B11105">
        <v>4787.6401370000003</v>
      </c>
      <c r="C11105">
        <f t="shared" si="363"/>
        <v>1.3040677876584861E-2</v>
      </c>
      <c r="D11105">
        <f t="shared" si="362"/>
        <v>1.0060226546288906</v>
      </c>
    </row>
    <row r="11106" spans="1:4" x14ac:dyDescent="0.3">
      <c r="A11106" s="1">
        <v>42046</v>
      </c>
      <c r="B11106">
        <v>4801.1801759999998</v>
      </c>
      <c r="C11106">
        <f t="shared" si="363"/>
        <v>2.8281237963895703E-3</v>
      </c>
      <c r="D11106">
        <f t="shared" si="362"/>
        <v>0.18906032248657065</v>
      </c>
    </row>
    <row r="11107" spans="1:4" x14ac:dyDescent="0.3">
      <c r="A11107" s="1">
        <v>42047</v>
      </c>
      <c r="B11107">
        <v>4857.6098629999997</v>
      </c>
      <c r="C11107">
        <f t="shared" si="363"/>
        <v>1.1753295009022764E-2</v>
      </c>
      <c r="D11107">
        <f t="shared" si="362"/>
        <v>0.9030373189739056</v>
      </c>
    </row>
    <row r="11108" spans="1:4" x14ac:dyDescent="0.3">
      <c r="A11108" s="1">
        <v>42048</v>
      </c>
      <c r="B11108">
        <v>4893.8398440000001</v>
      </c>
      <c r="C11108">
        <f t="shared" si="363"/>
        <v>7.4583966234013739E-3</v>
      </c>
      <c r="D11108">
        <f t="shared" si="362"/>
        <v>0.559463108851883</v>
      </c>
    </row>
    <row r="11109" spans="1:4" x14ac:dyDescent="0.3">
      <c r="A11109" s="1">
        <v>42052</v>
      </c>
      <c r="B11109">
        <v>4899.2700199999999</v>
      </c>
      <c r="C11109">
        <f t="shared" si="363"/>
        <v>1.109594137343381E-3</v>
      </c>
      <c r="D11109">
        <f t="shared" si="362"/>
        <v>5.1585016399058332E-2</v>
      </c>
    </row>
    <row r="11110" spans="1:4" x14ac:dyDescent="0.3">
      <c r="A11110" s="1">
        <v>42053</v>
      </c>
      <c r="B11110">
        <v>4906.3598629999997</v>
      </c>
      <c r="C11110">
        <f t="shared" si="363"/>
        <v>1.447122320479847E-3</v>
      </c>
      <c r="D11110">
        <f t="shared" si="362"/>
        <v>7.8585883125793385E-2</v>
      </c>
    </row>
    <row r="11111" spans="1:4" x14ac:dyDescent="0.3">
      <c r="A11111" s="1">
        <v>42054</v>
      </c>
      <c r="B11111">
        <v>4924.7001950000003</v>
      </c>
      <c r="C11111">
        <f t="shared" si="363"/>
        <v>3.7380731361165288E-3</v>
      </c>
      <c r="D11111">
        <f t="shared" si="362"/>
        <v>0.26185252793068464</v>
      </c>
    </row>
    <row r="11112" spans="1:4" x14ac:dyDescent="0.3">
      <c r="A11112" s="1">
        <v>42055</v>
      </c>
      <c r="B11112">
        <v>4955.9702150000003</v>
      </c>
      <c r="C11112">
        <f t="shared" si="363"/>
        <v>6.3496291676289401E-3</v>
      </c>
      <c r="D11112">
        <f t="shared" si="362"/>
        <v>0.47076627166910917</v>
      </c>
    </row>
    <row r="11113" spans="1:4" x14ac:dyDescent="0.3">
      <c r="A11113" s="1">
        <v>42058</v>
      </c>
      <c r="B11113">
        <v>4960.9702150000003</v>
      </c>
      <c r="C11113">
        <f t="shared" si="363"/>
        <v>1.0088841908021838E-3</v>
      </c>
      <c r="D11113">
        <f t="shared" si="362"/>
        <v>4.3528634797537206E-2</v>
      </c>
    </row>
    <row r="11114" spans="1:4" x14ac:dyDescent="0.3">
      <c r="A11114" s="1">
        <v>42059</v>
      </c>
      <c r="B11114">
        <v>4968.1201170000004</v>
      </c>
      <c r="C11114">
        <f t="shared" si="363"/>
        <v>1.4412305839655421E-3</v>
      </c>
      <c r="D11114">
        <f t="shared" si="362"/>
        <v>7.8114568431614295E-2</v>
      </c>
    </row>
    <row r="11115" spans="1:4" x14ac:dyDescent="0.3">
      <c r="A11115" s="1">
        <v>42060</v>
      </c>
      <c r="B11115">
        <v>4967.1401370000003</v>
      </c>
      <c r="C11115">
        <f t="shared" si="363"/>
        <v>-1.9725368487906643E-4</v>
      </c>
      <c r="D11115">
        <f t="shared" si="362"/>
        <v>-5.2957435588382826E-2</v>
      </c>
    </row>
    <row r="11116" spans="1:4" x14ac:dyDescent="0.3">
      <c r="A11116" s="1">
        <v>42061</v>
      </c>
      <c r="B11116">
        <v>4987.8901370000003</v>
      </c>
      <c r="C11116">
        <f t="shared" si="363"/>
        <v>4.1774541139747998E-3</v>
      </c>
      <c r="D11116">
        <f t="shared" si="362"/>
        <v>0.29700119941396963</v>
      </c>
    </row>
    <row r="11117" spans="1:4" x14ac:dyDescent="0.3">
      <c r="A11117" s="1">
        <v>42062</v>
      </c>
      <c r="B11117">
        <v>4963.5297849999997</v>
      </c>
      <c r="C11117">
        <f t="shared" si="363"/>
        <v>-4.8838990697281674E-3</v>
      </c>
      <c r="D11117">
        <f t="shared" si="362"/>
        <v>-0.42786979477533604</v>
      </c>
    </row>
    <row r="11118" spans="1:4" x14ac:dyDescent="0.3">
      <c r="A11118" s="1">
        <v>42065</v>
      </c>
      <c r="B11118">
        <v>5008.1000979999999</v>
      </c>
      <c r="C11118">
        <f t="shared" si="363"/>
        <v>8.9795598960025532E-3</v>
      </c>
      <c r="D11118">
        <f t="shared" si="362"/>
        <v>0.681149915599225</v>
      </c>
    </row>
    <row r="11119" spans="1:4" x14ac:dyDescent="0.3">
      <c r="A11119" s="1">
        <v>42066</v>
      </c>
      <c r="B11119">
        <v>4979.8999020000001</v>
      </c>
      <c r="C11119">
        <f t="shared" si="363"/>
        <v>-5.6309170040873607E-3</v>
      </c>
      <c r="D11119">
        <f t="shared" si="362"/>
        <v>-0.48762815776797097</v>
      </c>
    </row>
    <row r="11120" spans="1:4" x14ac:dyDescent="0.3">
      <c r="A11120" s="1">
        <v>42067</v>
      </c>
      <c r="B11120">
        <v>4967.1401370000003</v>
      </c>
      <c r="C11120">
        <f t="shared" si="363"/>
        <v>-2.5622533085203742E-3</v>
      </c>
      <c r="D11120">
        <f t="shared" si="362"/>
        <v>-0.24214768054312627</v>
      </c>
    </row>
    <row r="11121" spans="1:4" x14ac:dyDescent="0.3">
      <c r="A11121" s="1">
        <v>42068</v>
      </c>
      <c r="B11121">
        <v>4982.8100590000004</v>
      </c>
      <c r="C11121">
        <f t="shared" si="363"/>
        <v>3.1547171144368381E-3</v>
      </c>
      <c r="D11121">
        <f t="shared" si="362"/>
        <v>0.21518644497060377</v>
      </c>
    </row>
    <row r="11122" spans="1:4" x14ac:dyDescent="0.3">
      <c r="A11122" s="1">
        <v>42069</v>
      </c>
      <c r="B11122">
        <v>4927.3701170000004</v>
      </c>
      <c r="C11122">
        <f t="shared" si="363"/>
        <v>-1.1126240282802635E-2</v>
      </c>
      <c r="D11122">
        <f t="shared" si="362"/>
        <v>-0.92723142316084894</v>
      </c>
    </row>
    <row r="11123" spans="1:4" x14ac:dyDescent="0.3">
      <c r="A11123" s="1">
        <v>42072</v>
      </c>
      <c r="B11123">
        <v>4942.4399409999996</v>
      </c>
      <c r="C11123">
        <f t="shared" si="363"/>
        <v>3.0583909148627982E-3</v>
      </c>
      <c r="D11123">
        <f t="shared" si="362"/>
        <v>0.20748074510037998</v>
      </c>
    </row>
    <row r="11124" spans="1:4" x14ac:dyDescent="0.3">
      <c r="A11124" s="1">
        <v>42073</v>
      </c>
      <c r="B11124">
        <v>4859.7900390000004</v>
      </c>
      <c r="C11124">
        <f t="shared" si="363"/>
        <v>-1.6722489901066298E-2</v>
      </c>
      <c r="D11124">
        <f t="shared" si="362"/>
        <v>-1.3749083807060103</v>
      </c>
    </row>
    <row r="11125" spans="1:4" x14ac:dyDescent="0.3">
      <c r="A11125" s="1">
        <v>42074</v>
      </c>
      <c r="B11125">
        <v>4849.9399409999996</v>
      </c>
      <c r="C11125">
        <f t="shared" si="363"/>
        <v>-2.0268566997655012E-3</v>
      </c>
      <c r="D11125">
        <f t="shared" si="362"/>
        <v>-0.1993181534067465</v>
      </c>
    </row>
    <row r="11126" spans="1:4" x14ac:dyDescent="0.3">
      <c r="A11126" s="1">
        <v>42075</v>
      </c>
      <c r="B11126">
        <v>4893.2900390000004</v>
      </c>
      <c r="C11126">
        <f t="shared" si="363"/>
        <v>8.938275221416974E-3</v>
      </c>
      <c r="D11126">
        <f t="shared" si="362"/>
        <v>0.67784731139597498</v>
      </c>
    </row>
    <row r="11127" spans="1:4" x14ac:dyDescent="0.3">
      <c r="A11127" s="1">
        <v>42076</v>
      </c>
      <c r="B11127">
        <v>4871.7597660000001</v>
      </c>
      <c r="C11127">
        <f t="shared" si="363"/>
        <v>-4.3999584795509613E-3</v>
      </c>
      <c r="D11127">
        <f t="shared" si="362"/>
        <v>-0.38915653753675694</v>
      </c>
    </row>
    <row r="11128" spans="1:4" x14ac:dyDescent="0.3">
      <c r="A11128" s="1">
        <v>42079</v>
      </c>
      <c r="B11128">
        <v>4929.5097660000001</v>
      </c>
      <c r="C11128">
        <f t="shared" si="363"/>
        <v>1.1854032787707865E-2</v>
      </c>
      <c r="D11128">
        <f t="shared" si="362"/>
        <v>0.91109592703249254</v>
      </c>
    </row>
    <row r="11129" spans="1:4" x14ac:dyDescent="0.3">
      <c r="A11129" s="1">
        <v>42080</v>
      </c>
      <c r="B11129">
        <v>4937.4301759999998</v>
      </c>
      <c r="C11129">
        <f t="shared" si="363"/>
        <v>1.6067338084262799E-3</v>
      </c>
      <c r="D11129">
        <f t="shared" si="362"/>
        <v>9.1354145835147865E-2</v>
      </c>
    </row>
    <row r="11130" spans="1:4" x14ac:dyDescent="0.3">
      <c r="A11130" s="1">
        <v>42081</v>
      </c>
      <c r="B11130">
        <v>4982.830078</v>
      </c>
      <c r="C11130">
        <f t="shared" si="363"/>
        <v>9.1950468931553172E-3</v>
      </c>
      <c r="D11130">
        <f t="shared" si="362"/>
        <v>0.69838798928361923</v>
      </c>
    </row>
    <row r="11131" spans="1:4" x14ac:dyDescent="0.3">
      <c r="A11131" s="1">
        <v>42082</v>
      </c>
      <c r="B11131">
        <v>4992.3798829999996</v>
      </c>
      <c r="C11131">
        <f t="shared" si="363"/>
        <v>1.9165423766231932E-3</v>
      </c>
      <c r="D11131">
        <f t="shared" si="362"/>
        <v>0.11613755735045642</v>
      </c>
    </row>
    <row r="11132" spans="1:4" x14ac:dyDescent="0.3">
      <c r="A11132" s="1">
        <v>42083</v>
      </c>
      <c r="B11132">
        <v>5026.419922</v>
      </c>
      <c r="C11132">
        <f t="shared" si="363"/>
        <v>6.8183991999313243E-3</v>
      </c>
      <c r="D11132">
        <f t="shared" si="362"/>
        <v>0.50826594665940927</v>
      </c>
    </row>
    <row r="11133" spans="1:4" x14ac:dyDescent="0.3">
      <c r="A11133" s="1">
        <v>42086</v>
      </c>
      <c r="B11133">
        <v>5010.9702150000003</v>
      </c>
      <c r="C11133">
        <f t="shared" si="363"/>
        <v>-3.07370001705953E-3</v>
      </c>
      <c r="D11133">
        <f t="shared" si="362"/>
        <v>-0.28306131414482683</v>
      </c>
    </row>
    <row r="11134" spans="1:4" x14ac:dyDescent="0.3">
      <c r="A11134" s="1">
        <v>42087</v>
      </c>
      <c r="B11134">
        <v>4994.7299800000001</v>
      </c>
      <c r="C11134">
        <f t="shared" si="363"/>
        <v>-3.2409362465149298E-3</v>
      </c>
      <c r="D11134">
        <f t="shared" si="362"/>
        <v>-0.29643952482177421</v>
      </c>
    </row>
    <row r="11135" spans="1:4" x14ac:dyDescent="0.3">
      <c r="A11135" s="1">
        <v>42088</v>
      </c>
      <c r="B11135">
        <v>4876.5200199999999</v>
      </c>
      <c r="C11135">
        <f t="shared" si="363"/>
        <v>-2.366693704631459E-2</v>
      </c>
      <c r="D11135">
        <f t="shared" si="362"/>
        <v>-1.9304355965885851</v>
      </c>
    </row>
    <row r="11136" spans="1:4" x14ac:dyDescent="0.3">
      <c r="A11136" s="1">
        <v>42089</v>
      </c>
      <c r="B11136">
        <v>4863.3598629999997</v>
      </c>
      <c r="C11136">
        <f t="shared" si="363"/>
        <v>-2.6986779396017437E-3</v>
      </c>
      <c r="D11136">
        <f t="shared" si="362"/>
        <v>-0.25306109004820082</v>
      </c>
    </row>
    <row r="11137" spans="1:4" x14ac:dyDescent="0.3">
      <c r="A11137" s="1">
        <v>42090</v>
      </c>
      <c r="B11137">
        <v>4891.2202150000003</v>
      </c>
      <c r="C11137">
        <f t="shared" si="363"/>
        <v>5.7286223485042984E-3</v>
      </c>
      <c r="D11137">
        <f t="shared" si="362"/>
        <v>0.42108827973443641</v>
      </c>
    </row>
    <row r="11138" spans="1:4" x14ac:dyDescent="0.3">
      <c r="A11138" s="1">
        <v>42093</v>
      </c>
      <c r="B11138">
        <v>4947.4399409999996</v>
      </c>
      <c r="C11138">
        <f t="shared" si="363"/>
        <v>1.1494008351451694E-2</v>
      </c>
      <c r="D11138">
        <f t="shared" si="362"/>
        <v>0.88229545256132669</v>
      </c>
    </row>
    <row r="11139" spans="1:4" x14ac:dyDescent="0.3">
      <c r="A11139" s="1">
        <v>42094</v>
      </c>
      <c r="B11139">
        <v>4900.8798829999996</v>
      </c>
      <c r="C11139">
        <f t="shared" si="363"/>
        <v>-9.410939507148235E-3</v>
      </c>
      <c r="D11139">
        <f t="shared" ref="D11139:D11202" si="364">(C11139-avrtn)/sdrtn</f>
        <v>-0.79001441446743192</v>
      </c>
    </row>
    <row r="11140" spans="1:4" x14ac:dyDescent="0.3">
      <c r="A11140" s="1">
        <v>42095</v>
      </c>
      <c r="B11140">
        <v>4880.2299800000001</v>
      </c>
      <c r="C11140">
        <f t="shared" ref="C11140:C11203" si="365">(B11140-B11139)/B11139</f>
        <v>-4.2135093070999764E-3</v>
      </c>
      <c r="D11140">
        <f t="shared" si="364"/>
        <v>-0.37424137042425637</v>
      </c>
    </row>
    <row r="11141" spans="1:4" x14ac:dyDescent="0.3">
      <c r="A11141" s="1">
        <v>42096</v>
      </c>
      <c r="B11141">
        <v>4886.9399409999996</v>
      </c>
      <c r="C11141">
        <f t="shared" si="365"/>
        <v>1.3749272119342962E-3</v>
      </c>
      <c r="D11141">
        <f t="shared" si="364"/>
        <v>7.2810571310209515E-2</v>
      </c>
    </row>
    <row r="11142" spans="1:4" x14ac:dyDescent="0.3">
      <c r="A11142" s="1">
        <v>42100</v>
      </c>
      <c r="B11142">
        <v>4917.3198240000002</v>
      </c>
      <c r="C11142">
        <f t="shared" si="365"/>
        <v>6.2165451932654561E-3</v>
      </c>
      <c r="D11142">
        <f t="shared" si="364"/>
        <v>0.46012010096460298</v>
      </c>
    </row>
    <row r="11143" spans="1:4" x14ac:dyDescent="0.3">
      <c r="A11143" s="1">
        <v>42101</v>
      </c>
      <c r="B11143">
        <v>4910.2299800000001</v>
      </c>
      <c r="C11143">
        <f t="shared" si="365"/>
        <v>-1.4418106313517842E-3</v>
      </c>
      <c r="D11143">
        <f t="shared" si="364"/>
        <v>-0.1525168736574572</v>
      </c>
    </row>
    <row r="11144" spans="1:4" x14ac:dyDescent="0.3">
      <c r="A11144" s="1">
        <v>42102</v>
      </c>
      <c r="B11144">
        <v>4950.8198240000002</v>
      </c>
      <c r="C11144">
        <f t="shared" si="365"/>
        <v>8.2663834821032327E-3</v>
      </c>
      <c r="D11144">
        <f t="shared" si="364"/>
        <v>0.62409873508621627</v>
      </c>
    </row>
    <row r="11145" spans="1:4" x14ac:dyDescent="0.3">
      <c r="A11145" s="1">
        <v>42103</v>
      </c>
      <c r="B11145">
        <v>4974.5600590000004</v>
      </c>
      <c r="C11145">
        <f t="shared" si="365"/>
        <v>4.7952128827058304E-3</v>
      </c>
      <c r="D11145">
        <f t="shared" si="364"/>
        <v>0.34641936067321655</v>
      </c>
    </row>
    <row r="11146" spans="1:4" x14ac:dyDescent="0.3">
      <c r="A11146" s="1">
        <v>42104</v>
      </c>
      <c r="B11146">
        <v>4995.9799800000001</v>
      </c>
      <c r="C11146">
        <f t="shared" si="365"/>
        <v>4.3058925303850071E-3</v>
      </c>
      <c r="D11146">
        <f t="shared" si="364"/>
        <v>0.30727574458486218</v>
      </c>
    </row>
    <row r="11147" spans="1:4" x14ac:dyDescent="0.3">
      <c r="A11147" s="1">
        <v>42107</v>
      </c>
      <c r="B11147">
        <v>4988.25</v>
      </c>
      <c r="C11147">
        <f t="shared" si="365"/>
        <v>-1.5472399871386332E-3</v>
      </c>
      <c r="D11147">
        <f t="shared" si="364"/>
        <v>-0.16095078859230369</v>
      </c>
    </row>
    <row r="11148" spans="1:4" x14ac:dyDescent="0.3">
      <c r="A11148" s="1">
        <v>42108</v>
      </c>
      <c r="B11148">
        <v>4977.2900390000004</v>
      </c>
      <c r="C11148">
        <f t="shared" si="365"/>
        <v>-2.1971555154612472E-3</v>
      </c>
      <c r="D11148">
        <f t="shared" si="364"/>
        <v>-0.21294135838949171</v>
      </c>
    </row>
    <row r="11149" spans="1:4" x14ac:dyDescent="0.3">
      <c r="A11149" s="1">
        <v>42109</v>
      </c>
      <c r="B11149">
        <v>5011.0200199999999</v>
      </c>
      <c r="C11149">
        <f t="shared" si="365"/>
        <v>6.7767762649363853E-3</v>
      </c>
      <c r="D11149">
        <f t="shared" si="364"/>
        <v>0.50493628301434557</v>
      </c>
    </row>
    <row r="11150" spans="1:4" x14ac:dyDescent="0.3">
      <c r="A11150" s="1">
        <v>42110</v>
      </c>
      <c r="B11150">
        <v>5007.7900390000004</v>
      </c>
      <c r="C11150">
        <f t="shared" si="365"/>
        <v>-6.4457555290299909E-4</v>
      </c>
      <c r="D11150">
        <f t="shared" si="364"/>
        <v>-8.8741345631785276E-2</v>
      </c>
    </row>
    <row r="11151" spans="1:4" x14ac:dyDescent="0.3">
      <c r="A11151" s="1">
        <v>42111</v>
      </c>
      <c r="B11151">
        <v>4931.8100590000004</v>
      </c>
      <c r="C11151">
        <f t="shared" si="365"/>
        <v>-1.517235734890603E-2</v>
      </c>
      <c r="D11151">
        <f t="shared" si="364"/>
        <v>-1.2509041507163305</v>
      </c>
    </row>
    <row r="11152" spans="1:4" x14ac:dyDescent="0.3">
      <c r="A11152" s="1">
        <v>42114</v>
      </c>
      <c r="B11152">
        <v>4994.6000979999999</v>
      </c>
      <c r="C11152">
        <f t="shared" si="365"/>
        <v>1.2731641780367179E-2</v>
      </c>
      <c r="D11152">
        <f t="shared" si="364"/>
        <v>0.9813010376954967</v>
      </c>
    </row>
    <row r="11153" spans="1:4" x14ac:dyDescent="0.3">
      <c r="A11153" s="1">
        <v>42115</v>
      </c>
      <c r="B11153">
        <v>5014.1000979999999</v>
      </c>
      <c r="C11153">
        <f t="shared" si="365"/>
        <v>3.9042164772728118E-3</v>
      </c>
      <c r="D11153">
        <f t="shared" si="364"/>
        <v>0.27514331203768622</v>
      </c>
    </row>
    <row r="11154" spans="1:4" x14ac:dyDescent="0.3">
      <c r="A11154" s="1">
        <v>42116</v>
      </c>
      <c r="B11154">
        <v>5035.169922</v>
      </c>
      <c r="C11154">
        <f t="shared" si="365"/>
        <v>4.2021147540322107E-3</v>
      </c>
      <c r="D11154">
        <f t="shared" si="364"/>
        <v>0.29897394921340464</v>
      </c>
    </row>
    <row r="11155" spans="1:4" x14ac:dyDescent="0.3">
      <c r="A11155" s="1">
        <v>42117</v>
      </c>
      <c r="B11155">
        <v>5056.0600590000004</v>
      </c>
      <c r="C11155">
        <f t="shared" si="365"/>
        <v>4.148844492561362E-3</v>
      </c>
      <c r="D11155">
        <f t="shared" si="364"/>
        <v>0.29471254734436081</v>
      </c>
    </row>
    <row r="11156" spans="1:4" x14ac:dyDescent="0.3">
      <c r="A11156" s="1">
        <v>42118</v>
      </c>
      <c r="B11156">
        <v>5092.080078</v>
      </c>
      <c r="C11156">
        <f t="shared" si="365"/>
        <v>7.1241279928790481E-3</v>
      </c>
      <c r="D11156">
        <f t="shared" si="364"/>
        <v>0.53272299293091874</v>
      </c>
    </row>
    <row r="11157" spans="1:4" x14ac:dyDescent="0.3">
      <c r="A11157" s="1">
        <v>42121</v>
      </c>
      <c r="B11157">
        <v>5060.25</v>
      </c>
      <c r="C11157">
        <f t="shared" si="365"/>
        <v>-6.2508989474693724E-3</v>
      </c>
      <c r="D11157">
        <f t="shared" si="364"/>
        <v>-0.53722416385754757</v>
      </c>
    </row>
    <row r="11158" spans="1:4" x14ac:dyDescent="0.3">
      <c r="A11158" s="1">
        <v>42122</v>
      </c>
      <c r="B11158">
        <v>5055.419922</v>
      </c>
      <c r="C11158">
        <f t="shared" si="365"/>
        <v>-9.5451370979693839E-4</v>
      </c>
      <c r="D11158">
        <f t="shared" si="364"/>
        <v>-0.113535123709984</v>
      </c>
    </row>
    <row r="11159" spans="1:4" x14ac:dyDescent="0.3">
      <c r="A11159" s="1">
        <v>42123</v>
      </c>
      <c r="B11159">
        <v>5023.6401370000003</v>
      </c>
      <c r="C11159">
        <f t="shared" si="365"/>
        <v>-6.2862799708688017E-3</v>
      </c>
      <c r="D11159">
        <f t="shared" si="364"/>
        <v>-0.54005450024186441</v>
      </c>
    </row>
    <row r="11160" spans="1:4" x14ac:dyDescent="0.3">
      <c r="A11160" s="1">
        <v>42124</v>
      </c>
      <c r="B11160">
        <v>4941.419922</v>
      </c>
      <c r="C11160">
        <f t="shared" si="365"/>
        <v>-1.6366660978447446E-2</v>
      </c>
      <c r="D11160">
        <f t="shared" si="364"/>
        <v>-1.3464435300737747</v>
      </c>
    </row>
    <row r="11161" spans="1:4" x14ac:dyDescent="0.3">
      <c r="A11161" s="1">
        <v>42125</v>
      </c>
      <c r="B11161">
        <v>5005.3901370000003</v>
      </c>
      <c r="C11161">
        <f t="shared" si="365"/>
        <v>1.2945715201251071E-2</v>
      </c>
      <c r="D11161">
        <f t="shared" si="364"/>
        <v>0.99842603109104155</v>
      </c>
    </row>
    <row r="11162" spans="1:4" x14ac:dyDescent="0.3">
      <c r="A11162" s="1">
        <v>42128</v>
      </c>
      <c r="B11162">
        <v>5016.9301759999998</v>
      </c>
      <c r="C11162">
        <f t="shared" si="365"/>
        <v>2.305522383698964E-3</v>
      </c>
      <c r="D11162">
        <f t="shared" si="364"/>
        <v>0.14725435842117163</v>
      </c>
    </row>
    <row r="11163" spans="1:4" x14ac:dyDescent="0.3">
      <c r="A11163" s="1">
        <v>42129</v>
      </c>
      <c r="B11163">
        <v>4939.330078</v>
      </c>
      <c r="C11163">
        <f t="shared" si="365"/>
        <v>-1.5467645607511817E-2</v>
      </c>
      <c r="D11163">
        <f t="shared" si="364"/>
        <v>-1.2745259971722187</v>
      </c>
    </row>
    <row r="11164" spans="1:4" x14ac:dyDescent="0.3">
      <c r="A11164" s="1">
        <v>42130</v>
      </c>
      <c r="B11164">
        <v>4919.6401370000003</v>
      </c>
      <c r="C11164">
        <f t="shared" si="365"/>
        <v>-3.9863586132256124E-3</v>
      </c>
      <c r="D11164">
        <f t="shared" si="364"/>
        <v>-0.35607024896354167</v>
      </c>
    </row>
    <row r="11165" spans="1:4" x14ac:dyDescent="0.3">
      <c r="A11165" s="1">
        <v>42131</v>
      </c>
      <c r="B11165">
        <v>4945.5400390000004</v>
      </c>
      <c r="C11165">
        <f t="shared" si="365"/>
        <v>5.2645927910885543E-3</v>
      </c>
      <c r="D11165">
        <f t="shared" si="364"/>
        <v>0.38396782324211837</v>
      </c>
    </row>
    <row r="11166" spans="1:4" x14ac:dyDescent="0.3">
      <c r="A11166" s="1">
        <v>42132</v>
      </c>
      <c r="B11166">
        <v>5003.5498049999997</v>
      </c>
      <c r="C11166">
        <f t="shared" si="365"/>
        <v>1.1729713144073327E-2</v>
      </c>
      <c r="D11166">
        <f t="shared" si="364"/>
        <v>0.90115086674715872</v>
      </c>
    </row>
    <row r="11167" spans="1:4" x14ac:dyDescent="0.3">
      <c r="A11167" s="1">
        <v>42135</v>
      </c>
      <c r="B11167">
        <v>4993.5698240000002</v>
      </c>
      <c r="C11167">
        <f t="shared" si="365"/>
        <v>-1.9945801258991363E-3</v>
      </c>
      <c r="D11167">
        <f t="shared" si="364"/>
        <v>-0.19673616021950208</v>
      </c>
    </row>
    <row r="11168" spans="1:4" x14ac:dyDescent="0.3">
      <c r="A11168" s="1">
        <v>42136</v>
      </c>
      <c r="B11168">
        <v>4976.1899409999996</v>
      </c>
      <c r="C11168">
        <f t="shared" si="365"/>
        <v>-3.4804525845357477E-3</v>
      </c>
      <c r="D11168">
        <f t="shared" si="364"/>
        <v>-0.31559984696637267</v>
      </c>
    </row>
    <row r="11169" spans="1:4" x14ac:dyDescent="0.3">
      <c r="A11169" s="1">
        <v>42137</v>
      </c>
      <c r="B11169">
        <v>4981.6899409999996</v>
      </c>
      <c r="C11169">
        <f t="shared" si="365"/>
        <v>1.1052632767660667E-3</v>
      </c>
      <c r="D11169">
        <f t="shared" si="364"/>
        <v>5.1238565361478292E-2</v>
      </c>
    </row>
    <row r="11170" spans="1:4" x14ac:dyDescent="0.3">
      <c r="A11170" s="1">
        <v>42138</v>
      </c>
      <c r="B11170">
        <v>5050.7998049999997</v>
      </c>
      <c r="C11170">
        <f t="shared" si="365"/>
        <v>1.3872775065990406E-2</v>
      </c>
      <c r="D11170">
        <f t="shared" si="364"/>
        <v>1.0725870081772464</v>
      </c>
    </row>
    <row r="11171" spans="1:4" x14ac:dyDescent="0.3">
      <c r="A11171" s="1">
        <v>42139</v>
      </c>
      <c r="B11171">
        <v>5048.2900390000004</v>
      </c>
      <c r="C11171">
        <f t="shared" si="365"/>
        <v>-4.9690466795272584E-4</v>
      </c>
      <c r="D11171">
        <f t="shared" si="364"/>
        <v>-7.6928282062070669E-2</v>
      </c>
    </row>
    <row r="11172" spans="1:4" x14ac:dyDescent="0.3">
      <c r="A11172" s="1">
        <v>42142</v>
      </c>
      <c r="B11172">
        <v>5078.4399409999996</v>
      </c>
      <c r="C11172">
        <f t="shared" si="365"/>
        <v>5.9722998811636225E-3</v>
      </c>
      <c r="D11172">
        <f t="shared" si="364"/>
        <v>0.44058148033918082</v>
      </c>
    </row>
    <row r="11173" spans="1:4" x14ac:dyDescent="0.3">
      <c r="A11173" s="1">
        <v>42143</v>
      </c>
      <c r="B11173">
        <v>5070.0297849999997</v>
      </c>
      <c r="C11173">
        <f t="shared" si="365"/>
        <v>-1.6560510900408257E-3</v>
      </c>
      <c r="D11173">
        <f t="shared" si="364"/>
        <v>-0.16965522939055042</v>
      </c>
    </row>
    <row r="11174" spans="1:4" x14ac:dyDescent="0.3">
      <c r="A11174" s="1">
        <v>42144</v>
      </c>
      <c r="B11174">
        <v>5071.7402339999999</v>
      </c>
      <c r="C11174">
        <f t="shared" si="365"/>
        <v>3.3736468473235083E-4</v>
      </c>
      <c r="D11174">
        <f t="shared" si="364"/>
        <v>-1.0190164383341027E-2</v>
      </c>
    </row>
    <row r="11175" spans="1:4" x14ac:dyDescent="0.3">
      <c r="A11175" s="1">
        <v>42145</v>
      </c>
      <c r="B11175">
        <v>5090.7900390000004</v>
      </c>
      <c r="C11175">
        <f t="shared" si="365"/>
        <v>3.7560687497940498E-3</v>
      </c>
      <c r="D11175">
        <f t="shared" si="364"/>
        <v>0.26329210302648071</v>
      </c>
    </row>
    <row r="11176" spans="1:4" x14ac:dyDescent="0.3">
      <c r="A11176" s="1">
        <v>42146</v>
      </c>
      <c r="B11176">
        <v>5089.3598629999997</v>
      </c>
      <c r="C11176">
        <f t="shared" si="365"/>
        <v>-2.8093399826831006E-4</v>
      </c>
      <c r="D11176">
        <f t="shared" si="364"/>
        <v>-5.9651516564017612E-2</v>
      </c>
    </row>
    <row r="11177" spans="1:4" x14ac:dyDescent="0.3">
      <c r="A11177" s="1">
        <v>42150</v>
      </c>
      <c r="B11177">
        <v>5032.75</v>
      </c>
      <c r="C11177">
        <f t="shared" si="365"/>
        <v>-1.1123179441791357E-2</v>
      </c>
      <c r="D11177">
        <f t="shared" si="364"/>
        <v>-0.9269865684662002</v>
      </c>
    </row>
    <row r="11178" spans="1:4" x14ac:dyDescent="0.3">
      <c r="A11178" s="1">
        <v>42151</v>
      </c>
      <c r="B11178">
        <v>5106.5898440000001</v>
      </c>
      <c r="C11178">
        <f t="shared" si="365"/>
        <v>1.467186806417964E-2</v>
      </c>
      <c r="D11178">
        <f t="shared" si="364"/>
        <v>1.1365111621423427</v>
      </c>
    </row>
    <row r="11179" spans="1:4" x14ac:dyDescent="0.3">
      <c r="A11179" s="1">
        <v>42152</v>
      </c>
      <c r="B11179">
        <v>5097.9799800000001</v>
      </c>
      <c r="C11179">
        <f t="shared" si="365"/>
        <v>-1.6860300637060554E-3</v>
      </c>
      <c r="D11179">
        <f t="shared" si="364"/>
        <v>-0.17205342400949253</v>
      </c>
    </row>
    <row r="11180" spans="1:4" x14ac:dyDescent="0.3">
      <c r="A11180" s="1">
        <v>42153</v>
      </c>
      <c r="B11180">
        <v>5070.0297849999997</v>
      </c>
      <c r="C11180">
        <f t="shared" si="365"/>
        <v>-5.4826019540391265E-3</v>
      </c>
      <c r="D11180">
        <f t="shared" si="364"/>
        <v>-0.47576356363924216</v>
      </c>
    </row>
    <row r="11181" spans="1:4" x14ac:dyDescent="0.3">
      <c r="A11181" s="1">
        <v>42156</v>
      </c>
      <c r="B11181">
        <v>5082.9301759999998</v>
      </c>
      <c r="C11181">
        <f t="shared" si="365"/>
        <v>2.5444408705776723E-3</v>
      </c>
      <c r="D11181">
        <f t="shared" si="364"/>
        <v>0.16636685493277992</v>
      </c>
    </row>
    <row r="11182" spans="1:4" x14ac:dyDescent="0.3">
      <c r="A11182" s="1">
        <v>42157</v>
      </c>
      <c r="B11182">
        <v>5076.5200199999999</v>
      </c>
      <c r="C11182">
        <f t="shared" si="365"/>
        <v>-1.2611143136033343E-3</v>
      </c>
      <c r="D11182">
        <f t="shared" si="364"/>
        <v>-0.13806191126527956</v>
      </c>
    </row>
    <row r="11183" spans="1:4" x14ac:dyDescent="0.3">
      <c r="A11183" s="1">
        <v>42158</v>
      </c>
      <c r="B11183">
        <v>5099.2299800000001</v>
      </c>
      <c r="C11183">
        <f t="shared" si="365"/>
        <v>4.4735290928686489E-3</v>
      </c>
      <c r="D11183">
        <f t="shared" si="364"/>
        <v>0.32068598025788969</v>
      </c>
    </row>
    <row r="11184" spans="1:4" x14ac:dyDescent="0.3">
      <c r="A11184" s="1">
        <v>42159</v>
      </c>
      <c r="B11184">
        <v>5059.1201170000004</v>
      </c>
      <c r="C11184">
        <f t="shared" si="365"/>
        <v>-7.8658666420845912E-3</v>
      </c>
      <c r="D11184">
        <f t="shared" si="364"/>
        <v>-0.66641493863992451</v>
      </c>
    </row>
    <row r="11185" spans="1:4" x14ac:dyDescent="0.3">
      <c r="A11185" s="1">
        <v>42160</v>
      </c>
      <c r="B11185">
        <v>5068.4599609999996</v>
      </c>
      <c r="C11185">
        <f t="shared" si="365"/>
        <v>1.8461399974700728E-3</v>
      </c>
      <c r="D11185">
        <f t="shared" si="364"/>
        <v>0.11050565651451967</v>
      </c>
    </row>
    <row r="11186" spans="1:4" x14ac:dyDescent="0.3">
      <c r="A11186" s="1">
        <v>42163</v>
      </c>
      <c r="B11186">
        <v>5021.6298829999996</v>
      </c>
      <c r="C11186">
        <f t="shared" si="365"/>
        <v>-9.2395083240946526E-3</v>
      </c>
      <c r="D11186">
        <f t="shared" si="364"/>
        <v>-0.77630062475238215</v>
      </c>
    </row>
    <row r="11187" spans="1:4" x14ac:dyDescent="0.3">
      <c r="A11187" s="1">
        <v>42164</v>
      </c>
      <c r="B11187">
        <v>5013.8701170000004</v>
      </c>
      <c r="C11187">
        <f t="shared" si="365"/>
        <v>-1.5452684050389258E-3</v>
      </c>
      <c r="D11187">
        <f t="shared" si="364"/>
        <v>-0.16079307013152114</v>
      </c>
    </row>
    <row r="11188" spans="1:4" x14ac:dyDescent="0.3">
      <c r="A11188" s="1">
        <v>42165</v>
      </c>
      <c r="B11188">
        <v>5076.6899409999996</v>
      </c>
      <c r="C11188">
        <f t="shared" si="365"/>
        <v>1.2529208482485954E-2</v>
      </c>
      <c r="D11188">
        <f t="shared" si="364"/>
        <v>0.96510720627569346</v>
      </c>
    </row>
    <row r="11189" spans="1:4" x14ac:dyDescent="0.3">
      <c r="A11189" s="1">
        <v>42166</v>
      </c>
      <c r="B11189">
        <v>5082.5097660000001</v>
      </c>
      <c r="C11189">
        <f t="shared" si="365"/>
        <v>1.1463818093358112E-3</v>
      </c>
      <c r="D11189">
        <f t="shared" si="364"/>
        <v>5.452787888664163E-2</v>
      </c>
    </row>
    <row r="11190" spans="1:4" x14ac:dyDescent="0.3">
      <c r="A11190" s="1">
        <v>42167</v>
      </c>
      <c r="B11190">
        <v>5051.1000979999999</v>
      </c>
      <c r="C11190">
        <f t="shared" si="365"/>
        <v>-6.1799523161015085E-3</v>
      </c>
      <c r="D11190">
        <f t="shared" si="364"/>
        <v>-0.5315487250824098</v>
      </c>
    </row>
    <row r="11191" spans="1:4" x14ac:dyDescent="0.3">
      <c r="A11191" s="1">
        <v>42170</v>
      </c>
      <c r="B11191">
        <v>5029.9702150000003</v>
      </c>
      <c r="C11191">
        <f t="shared" si="365"/>
        <v>-4.1832239690450914E-3</v>
      </c>
      <c r="D11191">
        <f t="shared" si="364"/>
        <v>-0.37181866791391982</v>
      </c>
    </row>
    <row r="11192" spans="1:4" x14ac:dyDescent="0.3">
      <c r="A11192" s="1">
        <v>42171</v>
      </c>
      <c r="B11192">
        <v>5055.5498049999997</v>
      </c>
      <c r="C11192">
        <f t="shared" si="365"/>
        <v>5.0854356798610521E-3</v>
      </c>
      <c r="D11192">
        <f t="shared" si="364"/>
        <v>0.3696359910423615</v>
      </c>
    </row>
    <row r="11193" spans="1:4" x14ac:dyDescent="0.3">
      <c r="A11193" s="1">
        <v>42172</v>
      </c>
      <c r="B11193">
        <v>5064.8798829999996</v>
      </c>
      <c r="C11193">
        <f t="shared" si="365"/>
        <v>1.8455120332851627E-3</v>
      </c>
      <c r="D11193">
        <f t="shared" si="364"/>
        <v>0.11045542196193102</v>
      </c>
    </row>
    <row r="11194" spans="1:4" x14ac:dyDescent="0.3">
      <c r="A11194" s="1">
        <v>42173</v>
      </c>
      <c r="B11194">
        <v>5132.9501950000003</v>
      </c>
      <c r="C11194">
        <f t="shared" si="365"/>
        <v>1.3439669562248678E-2</v>
      </c>
      <c r="D11194">
        <f t="shared" si="364"/>
        <v>1.0379403488183812</v>
      </c>
    </row>
    <row r="11195" spans="1:4" x14ac:dyDescent="0.3">
      <c r="A11195" s="1">
        <v>42174</v>
      </c>
      <c r="B11195">
        <v>5117</v>
      </c>
      <c r="C11195">
        <f t="shared" si="365"/>
        <v>-3.1074127731723195E-3</v>
      </c>
      <c r="D11195">
        <f t="shared" si="364"/>
        <v>-0.28575819600616847</v>
      </c>
    </row>
    <row r="11196" spans="1:4" x14ac:dyDescent="0.3">
      <c r="A11196" s="1">
        <v>42177</v>
      </c>
      <c r="B11196">
        <v>5153.9702150000003</v>
      </c>
      <c r="C11196">
        <f t="shared" si="365"/>
        <v>7.2249785030291738E-3</v>
      </c>
      <c r="D11196">
        <f t="shared" si="364"/>
        <v>0.54079061904315318</v>
      </c>
    </row>
    <row r="11197" spans="1:4" x14ac:dyDescent="0.3">
      <c r="A11197" s="1">
        <v>42178</v>
      </c>
      <c r="B11197">
        <v>5160.0898440000001</v>
      </c>
      <c r="C11197">
        <f t="shared" si="365"/>
        <v>1.1873621198254837E-3</v>
      </c>
      <c r="D11197">
        <f t="shared" si="364"/>
        <v>5.78061352137718E-2</v>
      </c>
    </row>
    <row r="11198" spans="1:4" x14ac:dyDescent="0.3">
      <c r="A11198" s="1">
        <v>42179</v>
      </c>
      <c r="B11198">
        <v>5122.4101559999999</v>
      </c>
      <c r="C11198">
        <f t="shared" si="365"/>
        <v>-7.3021379741697711E-3</v>
      </c>
      <c r="D11198">
        <f t="shared" si="364"/>
        <v>-0.62131896327287239</v>
      </c>
    </row>
    <row r="11199" spans="1:4" x14ac:dyDescent="0.3">
      <c r="A11199" s="1">
        <v>42180</v>
      </c>
      <c r="B11199">
        <v>5112.1899409999996</v>
      </c>
      <c r="C11199">
        <f t="shared" si="365"/>
        <v>-1.9951965361518545E-3</v>
      </c>
      <c r="D11199">
        <f t="shared" si="364"/>
        <v>-0.19678547050502543</v>
      </c>
    </row>
    <row r="11200" spans="1:4" x14ac:dyDescent="0.3">
      <c r="A11200" s="1">
        <v>42181</v>
      </c>
      <c r="B11200">
        <v>5080.5097660000001</v>
      </c>
      <c r="C11200">
        <f t="shared" si="365"/>
        <v>-6.1969870770886351E-3</v>
      </c>
      <c r="D11200">
        <f t="shared" si="364"/>
        <v>-0.53291143591402423</v>
      </c>
    </row>
    <row r="11201" spans="1:4" x14ac:dyDescent="0.3">
      <c r="A11201" s="1">
        <v>42184</v>
      </c>
      <c r="B11201">
        <v>4958.4702150000003</v>
      </c>
      <c r="C11201">
        <f t="shared" si="365"/>
        <v>-2.4021123198447139E-2</v>
      </c>
      <c r="D11201">
        <f t="shared" si="364"/>
        <v>-1.958769032337029</v>
      </c>
    </row>
    <row r="11202" spans="1:4" x14ac:dyDescent="0.3">
      <c r="A11202" s="1">
        <v>42185</v>
      </c>
      <c r="B11202">
        <v>4986.8701170000004</v>
      </c>
      <c r="C11202">
        <f t="shared" si="365"/>
        <v>5.7275532106831686E-3</v>
      </c>
      <c r="D11202">
        <f t="shared" si="364"/>
        <v>0.42100275310506702</v>
      </c>
    </row>
    <row r="11203" spans="1:4" x14ac:dyDescent="0.3">
      <c r="A11203" s="1">
        <v>42186</v>
      </c>
      <c r="B11203">
        <v>5013.1201170000004</v>
      </c>
      <c r="C11203">
        <f t="shared" si="365"/>
        <v>5.2638226751715493E-3</v>
      </c>
      <c r="D11203">
        <f t="shared" ref="D11203:D11266" si="366">(C11203-avrtn)/sdrtn</f>
        <v>0.38390621713549355</v>
      </c>
    </row>
    <row r="11204" spans="1:4" x14ac:dyDescent="0.3">
      <c r="A11204" s="1">
        <v>42187</v>
      </c>
      <c r="B11204">
        <v>5009.2099609999996</v>
      </c>
      <c r="C11204">
        <f t="shared" ref="C11204:C11267" si="367">(B11204-B11203)/B11203</f>
        <v>-7.7998450241419267E-4</v>
      </c>
      <c r="D11204">
        <f t="shared" si="366"/>
        <v>-9.9573504787753342E-2</v>
      </c>
    </row>
    <row r="11205" spans="1:4" x14ac:dyDescent="0.3">
      <c r="A11205" s="1">
        <v>42191</v>
      </c>
      <c r="B11205">
        <v>4991.9399409999996</v>
      </c>
      <c r="C11205">
        <f t="shared" si="367"/>
        <v>-3.4476534492381868E-3</v>
      </c>
      <c r="D11205">
        <f t="shared" si="366"/>
        <v>-0.31297605101341808</v>
      </c>
    </row>
    <row r="11206" spans="1:4" x14ac:dyDescent="0.3">
      <c r="A11206" s="1">
        <v>42192</v>
      </c>
      <c r="B11206">
        <v>4997.4599609999996</v>
      </c>
      <c r="C11206">
        <f t="shared" si="367"/>
        <v>1.1057865409522826E-3</v>
      </c>
      <c r="D11206">
        <f t="shared" si="366"/>
        <v>5.1280424344700377E-2</v>
      </c>
    </row>
    <row r="11207" spans="1:4" x14ac:dyDescent="0.3">
      <c r="A11207" s="1">
        <v>42193</v>
      </c>
      <c r="B11207">
        <v>4909.7597660000001</v>
      </c>
      <c r="C11207">
        <f t="shared" si="367"/>
        <v>-1.7548954005516534E-2</v>
      </c>
      <c r="D11207">
        <f t="shared" si="366"/>
        <v>-1.441022110621325</v>
      </c>
    </row>
    <row r="11208" spans="1:4" x14ac:dyDescent="0.3">
      <c r="A11208" s="1">
        <v>42194</v>
      </c>
      <c r="B11208">
        <v>4922.3999020000001</v>
      </c>
      <c r="C11208">
        <f t="shared" si="367"/>
        <v>2.5744917475459192E-3</v>
      </c>
      <c r="D11208">
        <f t="shared" si="366"/>
        <v>0.16877080152029522</v>
      </c>
    </row>
    <row r="11209" spans="1:4" x14ac:dyDescent="0.3">
      <c r="A11209" s="1">
        <v>42195</v>
      </c>
      <c r="B11209">
        <v>4997.7001950000003</v>
      </c>
      <c r="C11209">
        <f t="shared" si="367"/>
        <v>1.5297475723052343E-2</v>
      </c>
      <c r="D11209">
        <f t="shared" si="366"/>
        <v>1.1865572023380941</v>
      </c>
    </row>
    <row r="11210" spans="1:4" x14ac:dyDescent="0.3">
      <c r="A11210" s="1">
        <v>42198</v>
      </c>
      <c r="B11210">
        <v>5071.5097660000001</v>
      </c>
      <c r="C11210">
        <f t="shared" si="367"/>
        <v>1.4768707229345871E-2</v>
      </c>
      <c r="D11210">
        <f t="shared" si="366"/>
        <v>1.1442578971506145</v>
      </c>
    </row>
    <row r="11211" spans="1:4" x14ac:dyDescent="0.3">
      <c r="A11211" s="1">
        <v>42199</v>
      </c>
      <c r="B11211">
        <v>5104.8901370000003</v>
      </c>
      <c r="C11211">
        <f t="shared" si="367"/>
        <v>6.5819396077645637E-3</v>
      </c>
      <c r="D11211">
        <f t="shared" si="366"/>
        <v>0.48935015161372131</v>
      </c>
    </row>
    <row r="11212" spans="1:4" x14ac:dyDescent="0.3">
      <c r="A11212" s="1">
        <v>42200</v>
      </c>
      <c r="B11212">
        <v>5098.9399409999996</v>
      </c>
      <c r="C11212">
        <f t="shared" si="367"/>
        <v>-1.165587474032781E-3</v>
      </c>
      <c r="D11212">
        <f t="shared" si="366"/>
        <v>-0.13042015690834671</v>
      </c>
    </row>
    <row r="11213" spans="1:4" x14ac:dyDescent="0.3">
      <c r="A11213" s="1">
        <v>42201</v>
      </c>
      <c r="B11213">
        <v>5163.1801759999998</v>
      </c>
      <c r="C11213">
        <f t="shared" si="367"/>
        <v>1.2598743217870002E-2</v>
      </c>
      <c r="D11213">
        <f t="shared" si="366"/>
        <v>0.97066969917787693</v>
      </c>
    </row>
    <row r="11214" spans="1:4" x14ac:dyDescent="0.3">
      <c r="A11214" s="1">
        <v>42202</v>
      </c>
      <c r="B11214">
        <v>5210.1401370000003</v>
      </c>
      <c r="C11214">
        <f t="shared" si="367"/>
        <v>9.0951621673565387E-3</v>
      </c>
      <c r="D11214">
        <f t="shared" si="366"/>
        <v>0.69039762194816368</v>
      </c>
    </row>
    <row r="11215" spans="1:4" x14ac:dyDescent="0.3">
      <c r="A11215" s="1">
        <v>42205</v>
      </c>
      <c r="B11215">
        <v>5218.8598629999997</v>
      </c>
      <c r="C11215">
        <f t="shared" si="367"/>
        <v>1.6736068072480243E-3</v>
      </c>
      <c r="D11215">
        <f t="shared" si="366"/>
        <v>9.670371075747318E-2</v>
      </c>
    </row>
    <row r="11216" spans="1:4" x14ac:dyDescent="0.3">
      <c r="A11216" s="1">
        <v>42206</v>
      </c>
      <c r="B11216">
        <v>5208.1201170000004</v>
      </c>
      <c r="C11216">
        <f t="shared" si="367"/>
        <v>-2.0578720797123817E-3</v>
      </c>
      <c r="D11216">
        <f t="shared" si="366"/>
        <v>-0.20179925626649253</v>
      </c>
    </row>
    <row r="11217" spans="1:4" x14ac:dyDescent="0.3">
      <c r="A11217" s="1">
        <v>42207</v>
      </c>
      <c r="B11217">
        <v>5171.7700199999999</v>
      </c>
      <c r="C11217">
        <f t="shared" si="367"/>
        <v>-6.9795043477105844E-3</v>
      </c>
      <c r="D11217">
        <f t="shared" si="366"/>
        <v>-0.59550959983353668</v>
      </c>
    </row>
    <row r="11218" spans="1:4" x14ac:dyDescent="0.3">
      <c r="A11218" s="1">
        <v>42208</v>
      </c>
      <c r="B11218">
        <v>5146.4101559999999</v>
      </c>
      <c r="C11218">
        <f t="shared" si="367"/>
        <v>-4.9035173454986727E-3</v>
      </c>
      <c r="D11218">
        <f t="shared" si="366"/>
        <v>-0.42943917616614447</v>
      </c>
    </row>
    <row r="11219" spans="1:4" x14ac:dyDescent="0.3">
      <c r="A11219" s="1">
        <v>42209</v>
      </c>
      <c r="B11219">
        <v>5088.6298829999996</v>
      </c>
      <c r="C11219">
        <f t="shared" si="367"/>
        <v>-1.1227296552070675E-2</v>
      </c>
      <c r="D11219">
        <f t="shared" si="366"/>
        <v>-0.93531550915642991</v>
      </c>
    </row>
    <row r="11220" spans="1:4" x14ac:dyDescent="0.3">
      <c r="A11220" s="1">
        <v>42212</v>
      </c>
      <c r="B11220">
        <v>5039.7797849999997</v>
      </c>
      <c r="C11220">
        <f t="shared" si="367"/>
        <v>-9.5998528333132247E-3</v>
      </c>
      <c r="D11220">
        <f t="shared" si="366"/>
        <v>-0.80512670374439221</v>
      </c>
    </row>
    <row r="11221" spans="1:4" x14ac:dyDescent="0.3">
      <c r="A11221" s="1">
        <v>42213</v>
      </c>
      <c r="B11221">
        <v>5089.2099609999996</v>
      </c>
      <c r="C11221">
        <f t="shared" si="367"/>
        <v>9.8080031486931021E-3</v>
      </c>
      <c r="D11221">
        <f t="shared" si="366"/>
        <v>0.74742196923545878</v>
      </c>
    </row>
    <row r="11222" spans="1:4" x14ac:dyDescent="0.3">
      <c r="A11222" s="1">
        <v>42214</v>
      </c>
      <c r="B11222">
        <v>5111.7299800000001</v>
      </c>
      <c r="C11222">
        <f t="shared" si="367"/>
        <v>4.4250520557370466E-3</v>
      </c>
      <c r="D11222">
        <f t="shared" si="366"/>
        <v>0.31680801662612929</v>
      </c>
    </row>
    <row r="11223" spans="1:4" x14ac:dyDescent="0.3">
      <c r="A11223" s="1">
        <v>42215</v>
      </c>
      <c r="B11223">
        <v>5128.7797849999997</v>
      </c>
      <c r="C11223">
        <f t="shared" si="367"/>
        <v>3.3354275493244364E-3</v>
      </c>
      <c r="D11223">
        <f t="shared" si="366"/>
        <v>0.22964253667586326</v>
      </c>
    </row>
    <row r="11224" spans="1:4" x14ac:dyDescent="0.3">
      <c r="A11224" s="1">
        <v>42216</v>
      </c>
      <c r="B11224">
        <v>5128.2797849999997</v>
      </c>
      <c r="C11224">
        <f t="shared" si="367"/>
        <v>-9.7489075561859017E-5</v>
      </c>
      <c r="D11224">
        <f t="shared" si="366"/>
        <v>-4.4976677077530988E-2</v>
      </c>
    </row>
    <row r="11225" spans="1:4" x14ac:dyDescent="0.3">
      <c r="A11225" s="1">
        <v>42219</v>
      </c>
      <c r="B11225">
        <v>5115.3798829999996</v>
      </c>
      <c r="C11225">
        <f t="shared" si="367"/>
        <v>-2.5154442699736814E-3</v>
      </c>
      <c r="D11225">
        <f t="shared" si="366"/>
        <v>-0.23840314993930745</v>
      </c>
    </row>
    <row r="11226" spans="1:4" x14ac:dyDescent="0.3">
      <c r="A11226" s="1">
        <v>42220</v>
      </c>
      <c r="B11226">
        <v>5105.5498049999997</v>
      </c>
      <c r="C11226">
        <f t="shared" si="367"/>
        <v>-1.9216711612500897E-3</v>
      </c>
      <c r="D11226">
        <f t="shared" si="366"/>
        <v>-0.19090374285103237</v>
      </c>
    </row>
    <row r="11227" spans="1:4" x14ac:dyDescent="0.3">
      <c r="A11227" s="1">
        <v>42221</v>
      </c>
      <c r="B11227">
        <v>5139.9399409999996</v>
      </c>
      <c r="C11227">
        <f t="shared" si="367"/>
        <v>6.7358340068136863E-3</v>
      </c>
      <c r="D11227">
        <f t="shared" si="366"/>
        <v>0.50166107072010102</v>
      </c>
    </row>
    <row r="11228" spans="1:4" x14ac:dyDescent="0.3">
      <c r="A11228" s="1">
        <v>42222</v>
      </c>
      <c r="B11228">
        <v>5056.4399409999996</v>
      </c>
      <c r="C11228">
        <f t="shared" si="367"/>
        <v>-1.6245326007399745E-2</v>
      </c>
      <c r="D11228">
        <f t="shared" si="366"/>
        <v>-1.3367372313223407</v>
      </c>
    </row>
    <row r="11229" spans="1:4" x14ac:dyDescent="0.3">
      <c r="A11229" s="1">
        <v>42223</v>
      </c>
      <c r="B11229">
        <v>5043.5400390000004</v>
      </c>
      <c r="C11229">
        <f t="shared" si="367"/>
        <v>-2.5511826800118228E-3</v>
      </c>
      <c r="D11229">
        <f t="shared" si="366"/>
        <v>-0.24126207578513859</v>
      </c>
    </row>
    <row r="11230" spans="1:4" x14ac:dyDescent="0.3">
      <c r="A11230" s="1">
        <v>42226</v>
      </c>
      <c r="B11230">
        <v>5101.7998049999997</v>
      </c>
      <c r="C11230">
        <f t="shared" si="367"/>
        <v>1.1551363833635904E-2</v>
      </c>
      <c r="D11230">
        <f t="shared" si="366"/>
        <v>0.88688365528891144</v>
      </c>
    </row>
    <row r="11231" spans="1:4" x14ac:dyDescent="0.3">
      <c r="A11231" s="1">
        <v>42227</v>
      </c>
      <c r="B11231">
        <v>5036.7900390000004</v>
      </c>
      <c r="C11231">
        <f t="shared" si="367"/>
        <v>-1.2742516069777304E-2</v>
      </c>
      <c r="D11231">
        <f t="shared" si="366"/>
        <v>-1.0565268399530741</v>
      </c>
    </row>
    <row r="11232" spans="1:4" x14ac:dyDescent="0.3">
      <c r="A11232" s="1">
        <v>42228</v>
      </c>
      <c r="B11232">
        <v>5044.3901370000003</v>
      </c>
      <c r="C11232">
        <f t="shared" si="367"/>
        <v>1.5089169771128291E-3</v>
      </c>
      <c r="D11232">
        <f t="shared" si="366"/>
        <v>8.3529201555285565E-2</v>
      </c>
    </row>
    <row r="11233" spans="1:4" x14ac:dyDescent="0.3">
      <c r="A11233" s="1">
        <v>42229</v>
      </c>
      <c r="B11233">
        <v>5033.5600590000004</v>
      </c>
      <c r="C11233">
        <f t="shared" si="367"/>
        <v>-2.1469548757861979E-3</v>
      </c>
      <c r="D11233">
        <f t="shared" si="366"/>
        <v>-0.20892551364175158</v>
      </c>
    </row>
    <row r="11234" spans="1:4" x14ac:dyDescent="0.3">
      <c r="A11234" s="1">
        <v>42230</v>
      </c>
      <c r="B11234">
        <v>5048.2402339999999</v>
      </c>
      <c r="C11234">
        <f t="shared" si="367"/>
        <v>2.9164596881587554E-3</v>
      </c>
      <c r="D11234">
        <f t="shared" si="366"/>
        <v>0.19612683058874805</v>
      </c>
    </row>
    <row r="11235" spans="1:4" x14ac:dyDescent="0.3">
      <c r="A11235" s="1">
        <v>42233</v>
      </c>
      <c r="B11235">
        <v>5091.7001950000003</v>
      </c>
      <c r="C11235">
        <f t="shared" si="367"/>
        <v>8.6089328133191374E-3</v>
      </c>
      <c r="D11235">
        <f t="shared" si="366"/>
        <v>0.65150127301222216</v>
      </c>
    </row>
    <row r="11236" spans="1:4" x14ac:dyDescent="0.3">
      <c r="A11236" s="1">
        <v>42234</v>
      </c>
      <c r="B11236">
        <v>5059.3500979999999</v>
      </c>
      <c r="C11236">
        <f t="shared" si="367"/>
        <v>-6.3534960349330739E-3</v>
      </c>
      <c r="D11236">
        <f t="shared" si="366"/>
        <v>-0.54543150897289916</v>
      </c>
    </row>
    <row r="11237" spans="1:4" x14ac:dyDescent="0.3">
      <c r="A11237" s="1">
        <v>42235</v>
      </c>
      <c r="B11237">
        <v>5019.0498049999997</v>
      </c>
      <c r="C11237">
        <f t="shared" si="367"/>
        <v>-7.9655078655124605E-3</v>
      </c>
      <c r="D11237">
        <f t="shared" si="366"/>
        <v>-0.6743858267869951</v>
      </c>
    </row>
    <row r="11238" spans="1:4" x14ac:dyDescent="0.3">
      <c r="A11238" s="1">
        <v>42236</v>
      </c>
      <c r="B11238">
        <v>4877.4902339999999</v>
      </c>
      <c r="C11238">
        <f t="shared" si="367"/>
        <v>-2.8204456321389262E-2</v>
      </c>
      <c r="D11238">
        <f t="shared" si="366"/>
        <v>-2.2934184802038113</v>
      </c>
    </row>
    <row r="11239" spans="1:4" x14ac:dyDescent="0.3">
      <c r="A11239" s="1">
        <v>42237</v>
      </c>
      <c r="B11239">
        <v>4706.0400390000004</v>
      </c>
      <c r="C11239">
        <f t="shared" si="367"/>
        <v>-3.5151314871909888E-2</v>
      </c>
      <c r="D11239">
        <f t="shared" si="366"/>
        <v>-2.8491385985924151</v>
      </c>
    </row>
    <row r="11240" spans="1:4" x14ac:dyDescent="0.3">
      <c r="A11240" s="1">
        <v>42240</v>
      </c>
      <c r="B11240">
        <v>4526.25</v>
      </c>
      <c r="C11240">
        <f t="shared" si="367"/>
        <v>-3.8204103133428612E-2</v>
      </c>
      <c r="D11240">
        <f t="shared" si="366"/>
        <v>-3.0933491063735734</v>
      </c>
    </row>
    <row r="11241" spans="1:4" x14ac:dyDescent="0.3">
      <c r="A11241" s="1">
        <v>42241</v>
      </c>
      <c r="B11241">
        <v>4506.4902339999999</v>
      </c>
      <c r="C11241">
        <f t="shared" si="367"/>
        <v>-4.3655931510632705E-3</v>
      </c>
      <c r="D11241">
        <f t="shared" si="366"/>
        <v>-0.38640745256881681</v>
      </c>
    </row>
    <row r="11242" spans="1:4" x14ac:dyDescent="0.3">
      <c r="A11242" s="1">
        <v>42242</v>
      </c>
      <c r="B11242">
        <v>4697.5400390000004</v>
      </c>
      <c r="C11242">
        <f t="shared" si="367"/>
        <v>4.2394367918206513E-2</v>
      </c>
      <c r="D11242">
        <f t="shared" si="366"/>
        <v>3.3541971548639422</v>
      </c>
    </row>
    <row r="11243" spans="1:4" x14ac:dyDescent="0.3">
      <c r="A11243" s="1">
        <v>42243</v>
      </c>
      <c r="B11243">
        <v>4812.7099609999996</v>
      </c>
      <c r="C11243">
        <f t="shared" si="367"/>
        <v>2.4517070859180201E-2</v>
      </c>
      <c r="D11243">
        <f t="shared" si="366"/>
        <v>1.9240869020265945</v>
      </c>
    </row>
    <row r="11244" spans="1:4" x14ac:dyDescent="0.3">
      <c r="A11244" s="1">
        <v>42244</v>
      </c>
      <c r="B11244">
        <v>4828.3198240000002</v>
      </c>
      <c r="C11244">
        <f t="shared" si="367"/>
        <v>3.2434663893099267E-3</v>
      </c>
      <c r="D11244">
        <f t="shared" si="366"/>
        <v>0.22228602202125197</v>
      </c>
    </row>
    <row r="11245" spans="1:4" x14ac:dyDescent="0.3">
      <c r="A11245" s="1">
        <v>42247</v>
      </c>
      <c r="B11245">
        <v>4776.5097660000001</v>
      </c>
      <c r="C11245">
        <f t="shared" si="367"/>
        <v>-1.0730452805232403E-2</v>
      </c>
      <c r="D11245">
        <f t="shared" si="366"/>
        <v>-0.89557005244306276</v>
      </c>
    </row>
    <row r="11246" spans="1:4" x14ac:dyDescent="0.3">
      <c r="A11246" s="1">
        <v>42248</v>
      </c>
      <c r="B11246">
        <v>4636.1000979999999</v>
      </c>
      <c r="C11246">
        <f t="shared" si="367"/>
        <v>-2.9395871646585938E-2</v>
      </c>
      <c r="D11246">
        <f t="shared" si="366"/>
        <v>-2.388726807090455</v>
      </c>
    </row>
    <row r="11247" spans="1:4" x14ac:dyDescent="0.3">
      <c r="A11247" s="1">
        <v>42249</v>
      </c>
      <c r="B11247">
        <v>4749.9799800000001</v>
      </c>
      <c r="C11247">
        <f t="shared" si="367"/>
        <v>2.4563723731747644E-2</v>
      </c>
      <c r="D11247">
        <f t="shared" si="366"/>
        <v>1.9278189399942318</v>
      </c>
    </row>
    <row r="11248" spans="1:4" x14ac:dyDescent="0.3">
      <c r="A11248" s="1">
        <v>42250</v>
      </c>
      <c r="B11248">
        <v>4733.5</v>
      </c>
      <c r="C11248">
        <f t="shared" si="367"/>
        <v>-3.4694840966466704E-3</v>
      </c>
      <c r="D11248">
        <f t="shared" si="366"/>
        <v>-0.31472241303793819</v>
      </c>
    </row>
    <row r="11249" spans="1:4" x14ac:dyDescent="0.3">
      <c r="A11249" s="1">
        <v>42251</v>
      </c>
      <c r="B11249">
        <v>4683.919922</v>
      </c>
      <c r="C11249">
        <f t="shared" si="367"/>
        <v>-1.0474295552973478E-2</v>
      </c>
      <c r="D11249">
        <f t="shared" si="366"/>
        <v>-0.87507852558726384</v>
      </c>
    </row>
    <row r="11250" spans="1:4" x14ac:dyDescent="0.3">
      <c r="A11250" s="1">
        <v>42255</v>
      </c>
      <c r="B11250">
        <v>4811.9301759999998</v>
      </c>
      <c r="C11250">
        <f t="shared" si="367"/>
        <v>2.7329727265136581E-2</v>
      </c>
      <c r="D11250">
        <f t="shared" si="366"/>
        <v>2.149087848790856</v>
      </c>
    </row>
    <row r="11251" spans="1:4" x14ac:dyDescent="0.3">
      <c r="A11251" s="1">
        <v>42256</v>
      </c>
      <c r="B11251">
        <v>4756.5297849999997</v>
      </c>
      <c r="C11251">
        <f t="shared" si="367"/>
        <v>-1.1513132770777788E-2</v>
      </c>
      <c r="D11251">
        <f t="shared" si="366"/>
        <v>-0.95818123128744459</v>
      </c>
    </row>
    <row r="11252" spans="1:4" x14ac:dyDescent="0.3">
      <c r="A11252" s="1">
        <v>42257</v>
      </c>
      <c r="B11252">
        <v>4796.25</v>
      </c>
      <c r="C11252">
        <f t="shared" si="367"/>
        <v>8.3506709293107648E-3</v>
      </c>
      <c r="D11252">
        <f t="shared" si="366"/>
        <v>0.63084138427076497</v>
      </c>
    </row>
    <row r="11253" spans="1:4" x14ac:dyDescent="0.3">
      <c r="A11253" s="1">
        <v>42258</v>
      </c>
      <c r="B11253">
        <v>4822.3398440000001</v>
      </c>
      <c r="C11253">
        <f t="shared" si="367"/>
        <v>5.4396338806359315E-3</v>
      </c>
      <c r="D11253">
        <f t="shared" si="366"/>
        <v>0.3979703906326475</v>
      </c>
    </row>
    <row r="11254" spans="1:4" x14ac:dyDescent="0.3">
      <c r="A11254" s="1">
        <v>42261</v>
      </c>
      <c r="B11254">
        <v>4805.7597660000001</v>
      </c>
      <c r="C11254">
        <f t="shared" si="367"/>
        <v>-3.4381811602575136E-3</v>
      </c>
      <c r="D11254">
        <f t="shared" si="366"/>
        <v>-0.31221830684524926</v>
      </c>
    </row>
    <row r="11255" spans="1:4" x14ac:dyDescent="0.3">
      <c r="A11255" s="1">
        <v>42262</v>
      </c>
      <c r="B11255">
        <v>4860.5200199999999</v>
      </c>
      <c r="C11255">
        <f t="shared" si="367"/>
        <v>1.1394713149712569E-2</v>
      </c>
      <c r="D11255">
        <f t="shared" si="366"/>
        <v>0.87435224472650597</v>
      </c>
    </row>
    <row r="11256" spans="1:4" x14ac:dyDescent="0.3">
      <c r="A11256" s="1">
        <v>42263</v>
      </c>
      <c r="B11256">
        <v>4889.2402339999999</v>
      </c>
      <c r="C11256">
        <f t="shared" si="367"/>
        <v>5.9088768036799364E-3</v>
      </c>
      <c r="D11256">
        <f t="shared" si="366"/>
        <v>0.43550789493773889</v>
      </c>
    </row>
    <row r="11257" spans="1:4" x14ac:dyDescent="0.3">
      <c r="A11257" s="1">
        <v>42264</v>
      </c>
      <c r="B11257">
        <v>4893.9501950000003</v>
      </c>
      <c r="C11257">
        <f t="shared" si="367"/>
        <v>9.6333188278358505E-4</v>
      </c>
      <c r="D11257">
        <f t="shared" si="366"/>
        <v>3.9884637468259106E-2</v>
      </c>
    </row>
    <row r="11258" spans="1:4" x14ac:dyDescent="0.3">
      <c r="A11258" s="1">
        <v>42265</v>
      </c>
      <c r="B11258">
        <v>4827.2299800000001</v>
      </c>
      <c r="C11258">
        <f t="shared" si="367"/>
        <v>-1.3633202697519539E-2</v>
      </c>
      <c r="D11258">
        <f t="shared" si="366"/>
        <v>-1.1277781076471551</v>
      </c>
    </row>
    <row r="11259" spans="1:4" x14ac:dyDescent="0.3">
      <c r="A11259" s="1">
        <v>42268</v>
      </c>
      <c r="B11259">
        <v>4828.9501950000003</v>
      </c>
      <c r="C11259">
        <f t="shared" si="367"/>
        <v>3.563565454986423E-4</v>
      </c>
      <c r="D11259">
        <f t="shared" si="366"/>
        <v>-8.6708936170358172E-3</v>
      </c>
    </row>
    <row r="11260" spans="1:4" x14ac:dyDescent="0.3">
      <c r="A11260" s="1">
        <v>42269</v>
      </c>
      <c r="B11260">
        <v>4756.7202150000003</v>
      </c>
      <c r="C11260">
        <f t="shared" si="367"/>
        <v>-1.4957698274624691E-2</v>
      </c>
      <c r="D11260">
        <f t="shared" si="366"/>
        <v>-1.2337323074572109</v>
      </c>
    </row>
    <row r="11261" spans="1:4" x14ac:dyDescent="0.3">
      <c r="A11261" s="1">
        <v>42270</v>
      </c>
      <c r="B11261">
        <v>4752.7402339999999</v>
      </c>
      <c r="C11261">
        <f t="shared" si="367"/>
        <v>-8.3670697878126241E-4</v>
      </c>
      <c r="D11261">
        <f t="shared" si="366"/>
        <v>-0.1041110696529024</v>
      </c>
    </row>
    <row r="11262" spans="1:4" x14ac:dyDescent="0.3">
      <c r="A11262" s="1">
        <v>42271</v>
      </c>
      <c r="B11262">
        <v>4734.4799800000001</v>
      </c>
      <c r="C11262">
        <f t="shared" si="367"/>
        <v>-3.8420475559278809E-3</v>
      </c>
      <c r="D11262">
        <f t="shared" si="366"/>
        <v>-0.34452595779033646</v>
      </c>
    </row>
    <row r="11263" spans="1:4" x14ac:dyDescent="0.3">
      <c r="A11263" s="1">
        <v>42272</v>
      </c>
      <c r="B11263">
        <v>4686.5</v>
      </c>
      <c r="C11263">
        <f t="shared" si="367"/>
        <v>-1.0134160499713439E-2</v>
      </c>
      <c r="D11263">
        <f t="shared" si="366"/>
        <v>-0.84786911997015701</v>
      </c>
    </row>
    <row r="11264" spans="1:4" x14ac:dyDescent="0.3">
      <c r="A11264" s="1">
        <v>42275</v>
      </c>
      <c r="B11264">
        <v>4543.9702150000003</v>
      </c>
      <c r="C11264">
        <f t="shared" si="367"/>
        <v>-3.0412842206337293E-2</v>
      </c>
      <c r="D11264">
        <f t="shared" si="366"/>
        <v>-2.4700802700626343</v>
      </c>
    </row>
    <row r="11265" spans="1:4" x14ac:dyDescent="0.3">
      <c r="A11265" s="1">
        <v>42276</v>
      </c>
      <c r="B11265">
        <v>4517.3198240000002</v>
      </c>
      <c r="C11265">
        <f t="shared" si="367"/>
        <v>-5.8650012519943697E-3</v>
      </c>
      <c r="D11265">
        <f t="shared" si="366"/>
        <v>-0.50635393504035275</v>
      </c>
    </row>
    <row r="11266" spans="1:4" x14ac:dyDescent="0.3">
      <c r="A11266" s="1">
        <v>42277</v>
      </c>
      <c r="B11266">
        <v>4620.1601559999999</v>
      </c>
      <c r="C11266">
        <f t="shared" si="367"/>
        <v>2.2765785024478655E-2</v>
      </c>
      <c r="D11266">
        <f t="shared" si="366"/>
        <v>1.7839912365808528</v>
      </c>
    </row>
    <row r="11267" spans="1:4" x14ac:dyDescent="0.3">
      <c r="A11267" s="1">
        <v>42278</v>
      </c>
      <c r="B11267">
        <v>4627.080078</v>
      </c>
      <c r="C11267">
        <f t="shared" si="367"/>
        <v>1.4977666934366859E-3</v>
      </c>
      <c r="D11267">
        <f t="shared" ref="D11267:D11330" si="368">(C11267-avrtn)/sdrtn</f>
        <v>8.2637224711434545E-2</v>
      </c>
    </row>
    <row r="11268" spans="1:4" x14ac:dyDescent="0.3">
      <c r="A11268" s="1">
        <v>42279</v>
      </c>
      <c r="B11268">
        <v>4707.7797849999997</v>
      </c>
      <c r="C11268">
        <f t="shared" ref="C11268:C11331" si="369">(B11268-B11267)/B11267</f>
        <v>1.7440741383252922E-2</v>
      </c>
      <c r="D11268">
        <f t="shared" si="368"/>
        <v>1.3580096419930849</v>
      </c>
    </row>
    <row r="11269" spans="1:4" x14ac:dyDescent="0.3">
      <c r="A11269" s="1">
        <v>42282</v>
      </c>
      <c r="B11269">
        <v>4781.2597660000001</v>
      </c>
      <c r="C11269">
        <f t="shared" si="369"/>
        <v>1.5608202667874027E-2</v>
      </c>
      <c r="D11269">
        <f t="shared" si="368"/>
        <v>1.211414080206997</v>
      </c>
    </row>
    <row r="11270" spans="1:4" x14ac:dyDescent="0.3">
      <c r="A11270" s="1">
        <v>42283</v>
      </c>
      <c r="B11270">
        <v>4748.3598629999997</v>
      </c>
      <c r="C11270">
        <f t="shared" si="369"/>
        <v>-6.8810114091593256E-3</v>
      </c>
      <c r="D11270">
        <f t="shared" si="368"/>
        <v>-0.58763056975481931</v>
      </c>
    </row>
    <row r="11271" spans="1:4" x14ac:dyDescent="0.3">
      <c r="A11271" s="1">
        <v>42284</v>
      </c>
      <c r="B11271">
        <v>4791.1499020000001</v>
      </c>
      <c r="C11271">
        <f t="shared" si="369"/>
        <v>9.0115408761301877E-3</v>
      </c>
      <c r="D11271">
        <f t="shared" si="368"/>
        <v>0.68370826250285965</v>
      </c>
    </row>
    <row r="11272" spans="1:4" x14ac:dyDescent="0.3">
      <c r="A11272" s="1">
        <v>42285</v>
      </c>
      <c r="B11272">
        <v>4810.7900390000004</v>
      </c>
      <c r="C11272">
        <f t="shared" si="369"/>
        <v>4.0992532902804427E-3</v>
      </c>
      <c r="D11272">
        <f t="shared" si="368"/>
        <v>0.29074545508212951</v>
      </c>
    </row>
    <row r="11273" spans="1:4" x14ac:dyDescent="0.3">
      <c r="A11273" s="1">
        <v>42286</v>
      </c>
      <c r="B11273">
        <v>4830.4702150000003</v>
      </c>
      <c r="C11273">
        <f t="shared" si="369"/>
        <v>4.0908407642938176E-3</v>
      </c>
      <c r="D11273">
        <f t="shared" si="368"/>
        <v>0.29007248759571302</v>
      </c>
    </row>
    <row r="11274" spans="1:4" x14ac:dyDescent="0.3">
      <c r="A11274" s="1">
        <v>42289</v>
      </c>
      <c r="B11274">
        <v>4838.6401370000003</v>
      </c>
      <c r="C11274">
        <f t="shared" si="369"/>
        <v>1.6913305819855971E-3</v>
      </c>
      <c r="D11274">
        <f t="shared" si="368"/>
        <v>9.8121539855881804E-2</v>
      </c>
    </row>
    <row r="11275" spans="1:4" x14ac:dyDescent="0.3">
      <c r="A11275" s="1">
        <v>42290</v>
      </c>
      <c r="B11275">
        <v>4796.6098629999997</v>
      </c>
      <c r="C11275">
        <f t="shared" si="369"/>
        <v>-8.6863814646194765E-3</v>
      </c>
      <c r="D11275">
        <f t="shared" si="368"/>
        <v>-0.7320527504656047</v>
      </c>
    </row>
    <row r="11276" spans="1:4" x14ac:dyDescent="0.3">
      <c r="A11276" s="1">
        <v>42291</v>
      </c>
      <c r="B11276">
        <v>4782.8500979999999</v>
      </c>
      <c r="C11276">
        <f t="shared" si="369"/>
        <v>-2.8686437698716353E-3</v>
      </c>
      <c r="D11276">
        <f t="shared" si="368"/>
        <v>-0.26665765756612198</v>
      </c>
    </row>
    <row r="11277" spans="1:4" x14ac:dyDescent="0.3">
      <c r="A11277" s="1">
        <v>42292</v>
      </c>
      <c r="B11277">
        <v>4870.1000979999999</v>
      </c>
      <c r="C11277">
        <f t="shared" si="369"/>
        <v>1.8242261039392499E-2</v>
      </c>
      <c r="D11277">
        <f t="shared" si="368"/>
        <v>1.4221279186157314</v>
      </c>
    </row>
    <row r="11278" spans="1:4" x14ac:dyDescent="0.3">
      <c r="A11278" s="1">
        <v>42293</v>
      </c>
      <c r="B11278">
        <v>4886.6899409999996</v>
      </c>
      <c r="C11278">
        <f t="shared" si="369"/>
        <v>3.4064685871267172E-3</v>
      </c>
      <c r="D11278">
        <f t="shared" si="368"/>
        <v>0.23532552757755276</v>
      </c>
    </row>
    <row r="11279" spans="1:4" x14ac:dyDescent="0.3">
      <c r="A11279" s="1">
        <v>42296</v>
      </c>
      <c r="B11279">
        <v>4905.4702150000003</v>
      </c>
      <c r="C11279">
        <f t="shared" si="369"/>
        <v>3.8431482714775022E-3</v>
      </c>
      <c r="D11279">
        <f t="shared" si="368"/>
        <v>0.27025810668802414</v>
      </c>
    </row>
    <row r="11280" spans="1:4" x14ac:dyDescent="0.3">
      <c r="A11280" s="1">
        <v>42297</v>
      </c>
      <c r="B11280">
        <v>4880.9702150000003</v>
      </c>
      <c r="C11280">
        <f t="shared" si="369"/>
        <v>-4.9944243724248149E-3</v>
      </c>
      <c r="D11280">
        <f t="shared" si="368"/>
        <v>-0.43671136450830755</v>
      </c>
    </row>
    <row r="11281" spans="1:4" x14ac:dyDescent="0.3">
      <c r="A11281" s="1">
        <v>42298</v>
      </c>
      <c r="B11281">
        <v>4840.1201170000004</v>
      </c>
      <c r="C11281">
        <f t="shared" si="369"/>
        <v>-8.3692577910967417E-3</v>
      </c>
      <c r="D11281">
        <f t="shared" si="368"/>
        <v>-0.70668416060412331</v>
      </c>
    </row>
    <row r="11282" spans="1:4" x14ac:dyDescent="0.3">
      <c r="A11282" s="1">
        <v>42299</v>
      </c>
      <c r="B11282">
        <v>4920.0498049999997</v>
      </c>
      <c r="C11282">
        <f t="shared" si="369"/>
        <v>1.6513988510173837E-2</v>
      </c>
      <c r="D11282">
        <f t="shared" si="368"/>
        <v>1.2838732229773429</v>
      </c>
    </row>
    <row r="11283" spans="1:4" x14ac:dyDescent="0.3">
      <c r="A11283" s="1">
        <v>42300</v>
      </c>
      <c r="B11283">
        <v>5031.8598629999997</v>
      </c>
      <c r="C11283">
        <f t="shared" si="369"/>
        <v>2.2725391496316374E-2</v>
      </c>
      <c r="D11283">
        <f t="shared" si="368"/>
        <v>1.7807599204270508</v>
      </c>
    </row>
    <row r="11284" spans="1:4" x14ac:dyDescent="0.3">
      <c r="A11284" s="1">
        <v>42303</v>
      </c>
      <c r="B11284">
        <v>5034.7001950000003</v>
      </c>
      <c r="C11284">
        <f t="shared" si="369"/>
        <v>5.6446961507931642E-4</v>
      </c>
      <c r="D11284">
        <f t="shared" si="368"/>
        <v>7.9772961833625942E-3</v>
      </c>
    </row>
    <row r="11285" spans="1:4" x14ac:dyDescent="0.3">
      <c r="A11285" s="1">
        <v>42304</v>
      </c>
      <c r="B11285">
        <v>5030.1499020000001</v>
      </c>
      <c r="C11285">
        <f t="shared" si="369"/>
        <v>-9.0378628791425739E-4</v>
      </c>
      <c r="D11285">
        <f t="shared" si="368"/>
        <v>-0.1094771385517747</v>
      </c>
    </row>
    <row r="11286" spans="1:4" x14ac:dyDescent="0.3">
      <c r="A11286" s="1">
        <v>42305</v>
      </c>
      <c r="B11286">
        <v>5095.6899409999996</v>
      </c>
      <c r="C11286">
        <f t="shared" si="369"/>
        <v>1.3029440528987147E-2</v>
      </c>
      <c r="D11286">
        <f t="shared" si="368"/>
        <v>1.0051237130293229</v>
      </c>
    </row>
    <row r="11287" spans="1:4" x14ac:dyDescent="0.3">
      <c r="A11287" s="1">
        <v>42306</v>
      </c>
      <c r="B11287">
        <v>5074.2700199999999</v>
      </c>
      <c r="C11287">
        <f t="shared" si="369"/>
        <v>-4.2035369592750707E-3</v>
      </c>
      <c r="D11287">
        <f t="shared" si="368"/>
        <v>-0.37344362360480321</v>
      </c>
    </row>
    <row r="11288" spans="1:4" x14ac:dyDescent="0.3">
      <c r="A11288" s="1">
        <v>42307</v>
      </c>
      <c r="B11288">
        <v>5053.75</v>
      </c>
      <c r="C11288">
        <f t="shared" si="369"/>
        <v>-4.0439353678699049E-3</v>
      </c>
      <c r="D11288">
        <f t="shared" si="368"/>
        <v>-0.3606761525780553</v>
      </c>
    </row>
    <row r="11289" spans="1:4" x14ac:dyDescent="0.3">
      <c r="A11289" s="1">
        <v>42310</v>
      </c>
      <c r="B11289">
        <v>5127.1499020000001</v>
      </c>
      <c r="C11289">
        <f t="shared" si="369"/>
        <v>1.4523849023002742E-2</v>
      </c>
      <c r="D11289">
        <f t="shared" si="368"/>
        <v>1.124670247506125</v>
      </c>
    </row>
    <row r="11290" spans="1:4" x14ac:dyDescent="0.3">
      <c r="A11290" s="1">
        <v>42311</v>
      </c>
      <c r="B11290">
        <v>5145.1298829999996</v>
      </c>
      <c r="C11290">
        <f t="shared" si="369"/>
        <v>3.5068178897960174E-3</v>
      </c>
      <c r="D11290">
        <f t="shared" si="368"/>
        <v>0.2433530591522986</v>
      </c>
    </row>
    <row r="11291" spans="1:4" x14ac:dyDescent="0.3">
      <c r="A11291" s="1">
        <v>42312</v>
      </c>
      <c r="B11291">
        <v>5142.4799800000001</v>
      </c>
      <c r="C11291">
        <f t="shared" si="369"/>
        <v>-5.1503131315597543E-4</v>
      </c>
      <c r="D11291">
        <f t="shared" si="368"/>
        <v>-7.8378339141120176E-2</v>
      </c>
    </row>
    <row r="11292" spans="1:4" x14ac:dyDescent="0.3">
      <c r="A11292" s="1">
        <v>42313</v>
      </c>
      <c r="B11292">
        <v>5127.7402339999999</v>
      </c>
      <c r="C11292">
        <f t="shared" si="369"/>
        <v>-2.8662719266434938E-3</v>
      </c>
      <c r="D11292">
        <f t="shared" si="368"/>
        <v>-0.26646791986094825</v>
      </c>
    </row>
    <row r="11293" spans="1:4" x14ac:dyDescent="0.3">
      <c r="A11293" s="1">
        <v>42314</v>
      </c>
      <c r="B11293">
        <v>5147.1201170000004</v>
      </c>
      <c r="C11293">
        <f t="shared" si="369"/>
        <v>3.7794198059215725E-3</v>
      </c>
      <c r="D11293">
        <f t="shared" si="368"/>
        <v>0.265160091496566</v>
      </c>
    </row>
    <row r="11294" spans="1:4" x14ac:dyDescent="0.3">
      <c r="A11294" s="1">
        <v>42317</v>
      </c>
      <c r="B11294">
        <v>5095.2998049999997</v>
      </c>
      <c r="C11294">
        <f t="shared" si="369"/>
        <v>-1.0067826439264101E-2</v>
      </c>
      <c r="D11294">
        <f t="shared" si="368"/>
        <v>-0.84256266790149636</v>
      </c>
    </row>
    <row r="11295" spans="1:4" x14ac:dyDescent="0.3">
      <c r="A11295" s="1">
        <v>42318</v>
      </c>
      <c r="B11295">
        <v>5083.2402339999999</v>
      </c>
      <c r="C11295">
        <f t="shared" si="369"/>
        <v>-2.3668030266179359E-3</v>
      </c>
      <c r="D11295">
        <f t="shared" si="368"/>
        <v>-0.22651246168729267</v>
      </c>
    </row>
    <row r="11296" spans="1:4" x14ac:dyDescent="0.3">
      <c r="A11296" s="1">
        <v>42319</v>
      </c>
      <c r="B11296">
        <v>5067.0200199999999</v>
      </c>
      <c r="C11296">
        <f t="shared" si="369"/>
        <v>-3.1909202109923224E-3</v>
      </c>
      <c r="D11296">
        <f t="shared" si="368"/>
        <v>-0.29243844764713262</v>
      </c>
    </row>
    <row r="11297" spans="1:4" x14ac:dyDescent="0.3">
      <c r="A11297" s="1">
        <v>42320</v>
      </c>
      <c r="B11297">
        <v>5005.080078</v>
      </c>
      <c r="C11297">
        <f t="shared" si="369"/>
        <v>-1.2224136031734088E-2</v>
      </c>
      <c r="D11297">
        <f t="shared" si="368"/>
        <v>-1.01505856850107</v>
      </c>
    </row>
    <row r="11298" spans="1:4" x14ac:dyDescent="0.3">
      <c r="A11298" s="1">
        <v>42321</v>
      </c>
      <c r="B11298">
        <v>4927.8798829999996</v>
      </c>
      <c r="C11298">
        <f t="shared" si="369"/>
        <v>-1.5424367601896409E-2</v>
      </c>
      <c r="D11298">
        <f t="shared" si="368"/>
        <v>-1.2710639346832087</v>
      </c>
    </row>
    <row r="11299" spans="1:4" x14ac:dyDescent="0.3">
      <c r="A11299" s="1">
        <v>42324</v>
      </c>
      <c r="B11299">
        <v>4984.6201170000004</v>
      </c>
      <c r="C11299">
        <f t="shared" si="369"/>
        <v>1.1514126834897285E-2</v>
      </c>
      <c r="D11299">
        <f t="shared" si="368"/>
        <v>0.88390484850927564</v>
      </c>
    </row>
    <row r="11300" spans="1:4" x14ac:dyDescent="0.3">
      <c r="A11300" s="1">
        <v>42325</v>
      </c>
      <c r="B11300">
        <v>4986.0200199999999</v>
      </c>
      <c r="C11300">
        <f t="shared" si="369"/>
        <v>2.8084447102100799E-4</v>
      </c>
      <c r="D11300">
        <f t="shared" si="368"/>
        <v>-1.4711549067740954E-2</v>
      </c>
    </row>
    <row r="11301" spans="1:4" x14ac:dyDescent="0.3">
      <c r="A11301" s="1">
        <v>42326</v>
      </c>
      <c r="B11301">
        <v>5075.2001950000003</v>
      </c>
      <c r="C11301">
        <f t="shared" si="369"/>
        <v>1.7886044308342029E-2</v>
      </c>
      <c r="D11301">
        <f t="shared" si="368"/>
        <v>1.3936320449036443</v>
      </c>
    </row>
    <row r="11302" spans="1:4" x14ac:dyDescent="0.3">
      <c r="A11302" s="1">
        <v>42327</v>
      </c>
      <c r="B11302">
        <v>5073.6401370000003</v>
      </c>
      <c r="C11302">
        <f t="shared" si="369"/>
        <v>-3.0738846549087237E-4</v>
      </c>
      <c r="D11302">
        <f t="shared" si="368"/>
        <v>-6.176776516040338E-2</v>
      </c>
    </row>
    <row r="11303" spans="1:4" x14ac:dyDescent="0.3">
      <c r="A11303" s="1">
        <v>42328</v>
      </c>
      <c r="B11303">
        <v>5104.919922</v>
      </c>
      <c r="C11303">
        <f t="shared" si="369"/>
        <v>6.1651564075049254E-3</v>
      </c>
      <c r="D11303">
        <f t="shared" si="368"/>
        <v>0.45600920941571021</v>
      </c>
    </row>
    <row r="11304" spans="1:4" x14ac:dyDescent="0.3">
      <c r="A11304" s="1">
        <v>42331</v>
      </c>
      <c r="B11304">
        <v>5102.4799800000001</v>
      </c>
      <c r="C11304">
        <f t="shared" si="369"/>
        <v>-4.7795891753068983E-4</v>
      </c>
      <c r="D11304">
        <f t="shared" si="368"/>
        <v>-7.5412699933699021E-2</v>
      </c>
    </row>
    <row r="11305" spans="1:4" x14ac:dyDescent="0.3">
      <c r="A11305" s="1">
        <v>42332</v>
      </c>
      <c r="B11305">
        <v>5102.8100590000004</v>
      </c>
      <c r="C11305">
        <f t="shared" si="369"/>
        <v>6.4689915745695138E-5</v>
      </c>
      <c r="D11305">
        <f t="shared" si="368"/>
        <v>-3.2003024656923708E-2</v>
      </c>
    </row>
    <row r="11306" spans="1:4" x14ac:dyDescent="0.3">
      <c r="A11306" s="1">
        <v>42333</v>
      </c>
      <c r="B11306">
        <v>5116.1401370000003</v>
      </c>
      <c r="C11306">
        <f t="shared" si="369"/>
        <v>2.6123014272281691E-3</v>
      </c>
      <c r="D11306">
        <f t="shared" si="368"/>
        <v>0.17179542042054335</v>
      </c>
    </row>
    <row r="11307" spans="1:4" x14ac:dyDescent="0.3">
      <c r="A11307" s="1">
        <v>42335</v>
      </c>
      <c r="B11307">
        <v>5127.5200199999999</v>
      </c>
      <c r="C11307">
        <f t="shared" si="369"/>
        <v>2.2243102603269464E-3</v>
      </c>
      <c r="D11307">
        <f t="shared" si="368"/>
        <v>0.14075772249765692</v>
      </c>
    </row>
    <row r="11308" spans="1:4" x14ac:dyDescent="0.3">
      <c r="A11308" s="1">
        <v>42338</v>
      </c>
      <c r="B11308">
        <v>5108.669922</v>
      </c>
      <c r="C11308">
        <f t="shared" si="369"/>
        <v>-3.6762602440311661E-3</v>
      </c>
      <c r="D11308">
        <f t="shared" si="368"/>
        <v>-0.33126365456009926</v>
      </c>
    </row>
    <row r="11309" spans="1:4" x14ac:dyDescent="0.3">
      <c r="A11309" s="1">
        <v>42339</v>
      </c>
      <c r="B11309">
        <v>5156.3100590000004</v>
      </c>
      <c r="C11309">
        <f t="shared" si="369"/>
        <v>9.3253503803098752E-3</v>
      </c>
      <c r="D11309">
        <f t="shared" si="368"/>
        <v>0.70881173244484308</v>
      </c>
    </row>
    <row r="11310" spans="1:4" x14ac:dyDescent="0.3">
      <c r="A11310" s="1">
        <v>42340</v>
      </c>
      <c r="B11310">
        <v>5123.2202150000003</v>
      </c>
      <c r="C11310">
        <f t="shared" si="369"/>
        <v>-6.4173495428662087E-3</v>
      </c>
      <c r="D11310">
        <f t="shared" si="368"/>
        <v>-0.55053952704035647</v>
      </c>
    </row>
    <row r="11311" spans="1:4" x14ac:dyDescent="0.3">
      <c r="A11311" s="1">
        <v>42341</v>
      </c>
      <c r="B11311">
        <v>5037.5297849999997</v>
      </c>
      <c r="C11311">
        <f t="shared" si="369"/>
        <v>-1.6725892388758181E-2</v>
      </c>
      <c r="D11311">
        <f t="shared" si="368"/>
        <v>-1.3751805657302478</v>
      </c>
    </row>
    <row r="11312" spans="1:4" x14ac:dyDescent="0.3">
      <c r="A11312" s="1">
        <v>42342</v>
      </c>
      <c r="B11312">
        <v>5142.2700199999999</v>
      </c>
      <c r="C11312">
        <f t="shared" si="369"/>
        <v>2.0791983267648355E-2</v>
      </c>
      <c r="D11312">
        <f t="shared" si="368"/>
        <v>1.6260952123557499</v>
      </c>
    </row>
    <row r="11313" spans="1:4" x14ac:dyDescent="0.3">
      <c r="A11313" s="1">
        <v>42345</v>
      </c>
      <c r="B11313">
        <v>5101.8100590000004</v>
      </c>
      <c r="C11313">
        <f t="shared" si="369"/>
        <v>-7.8681128845115699E-3</v>
      </c>
      <c r="D11313">
        <f t="shared" si="368"/>
        <v>-0.66659462879747877</v>
      </c>
    </row>
    <row r="11314" spans="1:4" x14ac:dyDescent="0.3">
      <c r="A11314" s="1">
        <v>42346</v>
      </c>
      <c r="B11314">
        <v>5098.2402339999999</v>
      </c>
      <c r="C11314">
        <f t="shared" si="369"/>
        <v>-6.9971734712134868E-4</v>
      </c>
      <c r="D11314">
        <f t="shared" si="368"/>
        <v>-9.3152462424840571E-2</v>
      </c>
    </row>
    <row r="11315" spans="1:4" x14ac:dyDescent="0.3">
      <c r="A11315" s="1">
        <v>42347</v>
      </c>
      <c r="B11315">
        <v>5022.8701170000004</v>
      </c>
      <c r="C11315">
        <f t="shared" si="369"/>
        <v>-1.4783555411406194E-2</v>
      </c>
      <c r="D11315">
        <f t="shared" si="368"/>
        <v>-1.2198015944794636</v>
      </c>
    </row>
    <row r="11316" spans="1:4" x14ac:dyDescent="0.3">
      <c r="A11316" s="1">
        <v>42348</v>
      </c>
      <c r="B11316">
        <v>5045.169922</v>
      </c>
      <c r="C11316">
        <f t="shared" si="369"/>
        <v>4.4396539190861284E-3</v>
      </c>
      <c r="D11316">
        <f t="shared" si="368"/>
        <v>0.31797610565083495</v>
      </c>
    </row>
    <row r="11317" spans="1:4" x14ac:dyDescent="0.3">
      <c r="A11317" s="1">
        <v>42349</v>
      </c>
      <c r="B11317">
        <v>4933.4702150000003</v>
      </c>
      <c r="C11317">
        <f t="shared" si="369"/>
        <v>-2.2139929621185068E-2</v>
      </c>
      <c r="D11317">
        <f t="shared" si="368"/>
        <v>-1.8082812816702745</v>
      </c>
    </row>
    <row r="11318" spans="1:4" x14ac:dyDescent="0.3">
      <c r="A11318" s="1">
        <v>42352</v>
      </c>
      <c r="B11318">
        <v>4952.2299800000001</v>
      </c>
      <c r="C11318">
        <f t="shared" si="369"/>
        <v>3.8025495609483044E-3</v>
      </c>
      <c r="D11318">
        <f t="shared" si="368"/>
        <v>0.26701037678858358</v>
      </c>
    </row>
    <row r="11319" spans="1:4" x14ac:dyDescent="0.3">
      <c r="A11319" s="1">
        <v>42353</v>
      </c>
      <c r="B11319">
        <v>4995.3598629999997</v>
      </c>
      <c r="C11319">
        <f t="shared" si="369"/>
        <v>8.7091841804971277E-3</v>
      </c>
      <c r="D11319">
        <f t="shared" si="368"/>
        <v>0.65952097015037636</v>
      </c>
    </row>
    <row r="11320" spans="1:4" x14ac:dyDescent="0.3">
      <c r="A11320" s="1">
        <v>42354</v>
      </c>
      <c r="B11320">
        <v>5071.1298829999996</v>
      </c>
      <c r="C11320">
        <f t="shared" si="369"/>
        <v>1.5168080394211218E-2</v>
      </c>
      <c r="D11320">
        <f t="shared" si="368"/>
        <v>1.1762061081075756</v>
      </c>
    </row>
    <row r="11321" spans="1:4" x14ac:dyDescent="0.3">
      <c r="A11321" s="1">
        <v>42355</v>
      </c>
      <c r="B11321">
        <v>5002.5498049999997</v>
      </c>
      <c r="C11321">
        <f t="shared" si="369"/>
        <v>-1.3523628773520799E-2</v>
      </c>
      <c r="D11321">
        <f t="shared" si="368"/>
        <v>-1.1190126442979236</v>
      </c>
    </row>
    <row r="11322" spans="1:4" x14ac:dyDescent="0.3">
      <c r="A11322" s="1">
        <v>42356</v>
      </c>
      <c r="B11322">
        <v>4923.080078</v>
      </c>
      <c r="C11322">
        <f t="shared" si="369"/>
        <v>-1.5885844238985983E-2</v>
      </c>
      <c r="D11322">
        <f t="shared" si="368"/>
        <v>-1.3079801680471042</v>
      </c>
    </row>
    <row r="11323" spans="1:4" x14ac:dyDescent="0.3">
      <c r="A11323" s="1">
        <v>42359</v>
      </c>
      <c r="B11323">
        <v>4968.919922</v>
      </c>
      <c r="C11323">
        <f t="shared" si="369"/>
        <v>9.3112123454677804E-3</v>
      </c>
      <c r="D11323">
        <f t="shared" si="368"/>
        <v>0.70768074779342216</v>
      </c>
    </row>
    <row r="11324" spans="1:4" x14ac:dyDescent="0.3">
      <c r="A11324" s="1">
        <v>42360</v>
      </c>
      <c r="B11324">
        <v>5001.1098629999997</v>
      </c>
      <c r="C11324">
        <f t="shared" si="369"/>
        <v>6.478257147489533E-3</v>
      </c>
      <c r="D11324">
        <f t="shared" si="368"/>
        <v>0.48105598113654302</v>
      </c>
    </row>
    <row r="11325" spans="1:4" x14ac:dyDescent="0.3">
      <c r="A11325" s="1">
        <v>42361</v>
      </c>
      <c r="B11325">
        <v>5045.9301759999998</v>
      </c>
      <c r="C11325">
        <f t="shared" si="369"/>
        <v>8.9620732652959459E-3</v>
      </c>
      <c r="D11325">
        <f t="shared" si="368"/>
        <v>0.67975105704815153</v>
      </c>
    </row>
    <row r="11326" spans="1:4" x14ac:dyDescent="0.3">
      <c r="A11326" s="1">
        <v>42362</v>
      </c>
      <c r="B11326">
        <v>5048.4902339999999</v>
      </c>
      <c r="C11326">
        <f t="shared" si="369"/>
        <v>5.0735105534683211E-4</v>
      </c>
      <c r="D11326">
        <f t="shared" si="368"/>
        <v>3.4080462776848895E-3</v>
      </c>
    </row>
    <row r="11327" spans="1:4" x14ac:dyDescent="0.3">
      <c r="A11327" s="1">
        <v>42366</v>
      </c>
      <c r="B11327">
        <v>5040.9902339999999</v>
      </c>
      <c r="C11327">
        <f t="shared" si="369"/>
        <v>-1.4855926529261858E-3</v>
      </c>
      <c r="D11327">
        <f t="shared" si="368"/>
        <v>-0.15601925535066086</v>
      </c>
    </row>
    <row r="11328" spans="1:4" x14ac:dyDescent="0.3">
      <c r="A11328" s="1">
        <v>42367</v>
      </c>
      <c r="B11328">
        <v>5107.9399409999996</v>
      </c>
      <c r="C11328">
        <f t="shared" si="369"/>
        <v>1.3281062627029831E-2</v>
      </c>
      <c r="D11328">
        <f t="shared" si="368"/>
        <v>1.025252446196488</v>
      </c>
    </row>
    <row r="11329" spans="1:4" x14ac:dyDescent="0.3">
      <c r="A11329" s="1">
        <v>42368</v>
      </c>
      <c r="B11329">
        <v>5065.8500979999999</v>
      </c>
      <c r="C11329">
        <f t="shared" si="369"/>
        <v>-8.2400818110949965E-3</v>
      </c>
      <c r="D11329">
        <f t="shared" si="368"/>
        <v>-0.69635061337878734</v>
      </c>
    </row>
    <row r="11330" spans="1:4" x14ac:dyDescent="0.3">
      <c r="A11330" s="1">
        <v>42369</v>
      </c>
      <c r="B11330">
        <v>5007.4101559999999</v>
      </c>
      <c r="C11330">
        <f t="shared" si="369"/>
        <v>-1.1536058286263166E-2</v>
      </c>
      <c r="D11330">
        <f t="shared" si="368"/>
        <v>-0.96001517825599181</v>
      </c>
    </row>
    <row r="11331" spans="1:4" x14ac:dyDescent="0.3">
      <c r="A11331" s="1">
        <v>42373</v>
      </c>
      <c r="B11331">
        <v>4903.0898440000001</v>
      </c>
      <c r="C11331">
        <f t="shared" si="369"/>
        <v>-2.0833186966919558E-2</v>
      </c>
      <c r="D11331">
        <f t="shared" ref="D11331:D11394" si="370">(C11331-avrtn)/sdrtn</f>
        <v>-1.7037472426869351</v>
      </c>
    </row>
    <row r="11332" spans="1:4" x14ac:dyDescent="0.3">
      <c r="A11332" s="1">
        <v>42374</v>
      </c>
      <c r="B11332">
        <v>4891.4301759999998</v>
      </c>
      <c r="C11332">
        <f t="shared" ref="C11332:C11395" si="371">(B11332-B11331)/B11331</f>
        <v>-2.378024545943898E-3</v>
      </c>
      <c r="D11332">
        <f t="shared" si="370"/>
        <v>-0.22741013709020644</v>
      </c>
    </row>
    <row r="11333" spans="1:4" x14ac:dyDescent="0.3">
      <c r="A11333" s="1">
        <v>42375</v>
      </c>
      <c r="B11333">
        <v>4835.7597660000001</v>
      </c>
      <c r="C11333">
        <f t="shared" si="371"/>
        <v>-1.1381213264200078E-2</v>
      </c>
      <c r="D11333">
        <f t="shared" si="370"/>
        <v>-0.94762821321748014</v>
      </c>
    </row>
    <row r="11334" spans="1:4" x14ac:dyDescent="0.3">
      <c r="A11334" s="1">
        <v>42376</v>
      </c>
      <c r="B11334">
        <v>4689.4301759999998</v>
      </c>
      <c r="C11334">
        <f t="shared" si="371"/>
        <v>-3.0259896496272781E-2</v>
      </c>
      <c r="D11334">
        <f t="shared" si="370"/>
        <v>-2.4578452421739909</v>
      </c>
    </row>
    <row r="11335" spans="1:4" x14ac:dyDescent="0.3">
      <c r="A11335" s="1">
        <v>42377</v>
      </c>
      <c r="B11335">
        <v>4643.6298829999996</v>
      </c>
      <c r="C11335">
        <f t="shared" si="371"/>
        <v>-9.7667075275800503E-3</v>
      </c>
      <c r="D11335">
        <f t="shared" si="370"/>
        <v>-0.81847439317513582</v>
      </c>
    </row>
    <row r="11336" spans="1:4" x14ac:dyDescent="0.3">
      <c r="A11336" s="1">
        <v>42380</v>
      </c>
      <c r="B11336">
        <v>4637.9902339999999</v>
      </c>
      <c r="C11336">
        <f t="shared" si="371"/>
        <v>-1.2144914952516117E-3</v>
      </c>
      <c r="D11336">
        <f t="shared" si="370"/>
        <v>-0.13433227751131632</v>
      </c>
    </row>
    <row r="11337" spans="1:4" x14ac:dyDescent="0.3">
      <c r="A11337" s="1">
        <v>42381</v>
      </c>
      <c r="B11337">
        <v>4685.919922</v>
      </c>
      <c r="C11337">
        <f t="shared" si="371"/>
        <v>1.0334150263758441E-2</v>
      </c>
      <c r="D11337">
        <f t="shared" si="370"/>
        <v>0.78951157491082113</v>
      </c>
    </row>
    <row r="11338" spans="1:4" x14ac:dyDescent="0.3">
      <c r="A11338" s="1">
        <v>42382</v>
      </c>
      <c r="B11338">
        <v>4526.0600590000004</v>
      </c>
      <c r="C11338">
        <f t="shared" si="371"/>
        <v>-3.4114937015775934E-2</v>
      </c>
      <c r="D11338">
        <f t="shared" si="370"/>
        <v>-2.7662326317129073</v>
      </c>
    </row>
    <row r="11339" spans="1:4" x14ac:dyDescent="0.3">
      <c r="A11339" s="1">
        <v>42383</v>
      </c>
      <c r="B11339">
        <v>4615</v>
      </c>
      <c r="C11339">
        <f t="shared" si="371"/>
        <v>1.9650632081901771E-2</v>
      </c>
      <c r="D11339">
        <f t="shared" si="370"/>
        <v>1.5347918107601424</v>
      </c>
    </row>
    <row r="11340" spans="1:4" x14ac:dyDescent="0.3">
      <c r="A11340" s="1">
        <v>42384</v>
      </c>
      <c r="B11340">
        <v>4488.419922</v>
      </c>
      <c r="C11340">
        <f t="shared" si="371"/>
        <v>-2.7427969230769223E-2</v>
      </c>
      <c r="D11340">
        <f t="shared" si="370"/>
        <v>-2.2313027058882033</v>
      </c>
    </row>
    <row r="11341" spans="1:4" x14ac:dyDescent="0.3">
      <c r="A11341" s="1">
        <v>42388</v>
      </c>
      <c r="B11341">
        <v>4476.9501950000003</v>
      </c>
      <c r="C11341">
        <f t="shared" si="371"/>
        <v>-2.5554041732550026E-3</v>
      </c>
      <c r="D11341">
        <f t="shared" si="370"/>
        <v>-0.24159977788570902</v>
      </c>
    </row>
    <row r="11342" spans="1:4" x14ac:dyDescent="0.3">
      <c r="A11342" s="1">
        <v>42389</v>
      </c>
      <c r="B11342">
        <v>4471.6899409999996</v>
      </c>
      <c r="C11342">
        <f t="shared" si="371"/>
        <v>-1.1749637076319348E-3</v>
      </c>
      <c r="D11342">
        <f t="shared" si="370"/>
        <v>-0.13117021704097609</v>
      </c>
    </row>
    <row r="11343" spans="1:4" x14ac:dyDescent="0.3">
      <c r="A11343" s="1">
        <v>42390</v>
      </c>
      <c r="B11343">
        <v>4472.0600590000004</v>
      </c>
      <c r="C11343">
        <f t="shared" si="371"/>
        <v>8.2769155483521898E-5</v>
      </c>
      <c r="D11343">
        <f t="shared" si="370"/>
        <v>-3.055675982017558E-2</v>
      </c>
    </row>
    <row r="11344" spans="1:4" x14ac:dyDescent="0.3">
      <c r="A11344" s="1">
        <v>42391</v>
      </c>
      <c r="B11344">
        <v>4591.1801759999998</v>
      </c>
      <c r="C11344">
        <f t="shared" si="371"/>
        <v>2.6636519954661788E-2</v>
      </c>
      <c r="D11344">
        <f t="shared" si="370"/>
        <v>2.0936341144383652</v>
      </c>
    </row>
    <row r="11345" spans="1:4" x14ac:dyDescent="0.3">
      <c r="A11345" s="1">
        <v>42394</v>
      </c>
      <c r="B11345">
        <v>4518.4902339999999</v>
      </c>
      <c r="C11345">
        <f t="shared" si="371"/>
        <v>-1.5832517830596238E-2</v>
      </c>
      <c r="D11345">
        <f t="shared" si="370"/>
        <v>-1.3037142746554262</v>
      </c>
    </row>
    <row r="11346" spans="1:4" x14ac:dyDescent="0.3">
      <c r="A11346" s="1">
        <v>42395</v>
      </c>
      <c r="B11346">
        <v>4567.669922</v>
      </c>
      <c r="C11346">
        <f t="shared" si="371"/>
        <v>1.0884097442535309E-2</v>
      </c>
      <c r="D11346">
        <f t="shared" si="370"/>
        <v>0.83350508781665911</v>
      </c>
    </row>
    <row r="11347" spans="1:4" x14ac:dyDescent="0.3">
      <c r="A11347" s="1">
        <v>42396</v>
      </c>
      <c r="B11347">
        <v>4468.169922</v>
      </c>
      <c r="C11347">
        <f t="shared" si="371"/>
        <v>-2.1783535522293812E-2</v>
      </c>
      <c r="D11347">
        <f t="shared" si="370"/>
        <v>-1.7797712192602653</v>
      </c>
    </row>
    <row r="11348" spans="1:4" x14ac:dyDescent="0.3">
      <c r="A11348" s="1">
        <v>42397</v>
      </c>
      <c r="B11348">
        <v>4506.6801759999998</v>
      </c>
      <c r="C11348">
        <f t="shared" si="371"/>
        <v>8.6187980028212992E-3</v>
      </c>
      <c r="D11348">
        <f t="shared" si="370"/>
        <v>0.65229044760649346</v>
      </c>
    </row>
    <row r="11349" spans="1:4" x14ac:dyDescent="0.3">
      <c r="A11349" s="1">
        <v>42398</v>
      </c>
      <c r="B11349">
        <v>4613.9501950000003</v>
      </c>
      <c r="C11349">
        <f t="shared" si="371"/>
        <v>2.3802447657870034E-2</v>
      </c>
      <c r="D11349">
        <f t="shared" si="370"/>
        <v>1.8669199844699436</v>
      </c>
    </row>
    <row r="11350" spans="1:4" x14ac:dyDescent="0.3">
      <c r="A11350" s="1">
        <v>42401</v>
      </c>
      <c r="B11350">
        <v>4620.3701170000004</v>
      </c>
      <c r="C11350">
        <f t="shared" si="371"/>
        <v>1.3914155395429104E-3</v>
      </c>
      <c r="D11350">
        <f t="shared" si="370"/>
        <v>7.4129569718490398E-2</v>
      </c>
    </row>
    <row r="11351" spans="1:4" x14ac:dyDescent="0.3">
      <c r="A11351" s="1">
        <v>42402</v>
      </c>
      <c r="B11351">
        <v>4516.9501950000003</v>
      </c>
      <c r="C11351">
        <f t="shared" si="371"/>
        <v>-2.2383471319641909E-2</v>
      </c>
      <c r="D11351">
        <f t="shared" si="370"/>
        <v>-1.8277636160973738</v>
      </c>
    </row>
    <row r="11352" spans="1:4" x14ac:dyDescent="0.3">
      <c r="A11352" s="1">
        <v>42403</v>
      </c>
      <c r="B11352">
        <v>4504.2402339999999</v>
      </c>
      <c r="C11352">
        <f t="shared" si="371"/>
        <v>-2.813836870300155E-3</v>
      </c>
      <c r="D11352">
        <f t="shared" si="370"/>
        <v>-0.26227333096772121</v>
      </c>
    </row>
    <row r="11353" spans="1:4" x14ac:dyDescent="0.3">
      <c r="A11353" s="1">
        <v>42404</v>
      </c>
      <c r="B11353">
        <v>4509.5600590000004</v>
      </c>
      <c r="C11353">
        <f t="shared" si="371"/>
        <v>1.1810704411021635E-3</v>
      </c>
      <c r="D11353">
        <f t="shared" si="370"/>
        <v>5.7302826787443681E-2</v>
      </c>
    </row>
    <row r="11354" spans="1:4" x14ac:dyDescent="0.3">
      <c r="A11354" s="1">
        <v>42405</v>
      </c>
      <c r="B11354">
        <v>4363.1401370000003</v>
      </c>
      <c r="C11354">
        <f t="shared" si="371"/>
        <v>-3.2468781895427026E-2</v>
      </c>
      <c r="D11354">
        <f t="shared" si="370"/>
        <v>-2.6345469911152959</v>
      </c>
    </row>
    <row r="11355" spans="1:4" x14ac:dyDescent="0.3">
      <c r="A11355" s="1">
        <v>42408</v>
      </c>
      <c r="B11355">
        <v>4283.75</v>
      </c>
      <c r="C11355">
        <f t="shared" si="371"/>
        <v>-1.819564224553815E-2</v>
      </c>
      <c r="D11355">
        <f t="shared" si="370"/>
        <v>-1.4927545106251221</v>
      </c>
    </row>
    <row r="11356" spans="1:4" x14ac:dyDescent="0.3">
      <c r="A11356" s="1">
        <v>42409</v>
      </c>
      <c r="B11356">
        <v>4268.7597660000001</v>
      </c>
      <c r="C11356">
        <f t="shared" si="371"/>
        <v>-3.4993251240151438E-3</v>
      </c>
      <c r="D11356">
        <f t="shared" si="370"/>
        <v>-0.31710957252037836</v>
      </c>
    </row>
    <row r="11357" spans="1:4" x14ac:dyDescent="0.3">
      <c r="A11357" s="1">
        <v>42410</v>
      </c>
      <c r="B11357">
        <v>4283.5898440000001</v>
      </c>
      <c r="C11357">
        <f t="shared" si="371"/>
        <v>3.4740952438034101E-3</v>
      </c>
      <c r="D11357">
        <f t="shared" si="370"/>
        <v>0.24073538202921435</v>
      </c>
    </row>
    <row r="11358" spans="1:4" x14ac:dyDescent="0.3">
      <c r="A11358" s="1">
        <v>42411</v>
      </c>
      <c r="B11358">
        <v>4266.8398440000001</v>
      </c>
      <c r="C11358">
        <f t="shared" si="371"/>
        <v>-3.91027166699016E-3</v>
      </c>
      <c r="D11358">
        <f t="shared" si="370"/>
        <v>-0.34998360613609786</v>
      </c>
    </row>
    <row r="11359" spans="1:4" x14ac:dyDescent="0.3">
      <c r="A11359" s="1">
        <v>42412</v>
      </c>
      <c r="B11359">
        <v>4337.5097660000001</v>
      </c>
      <c r="C11359">
        <f t="shared" si="371"/>
        <v>1.6562590719071769E-2</v>
      </c>
      <c r="D11359">
        <f t="shared" si="370"/>
        <v>1.2877611998357004</v>
      </c>
    </row>
    <row r="11360" spans="1:4" x14ac:dyDescent="0.3">
      <c r="A11360" s="1">
        <v>42416</v>
      </c>
      <c r="B11360">
        <v>4435.9599609999996</v>
      </c>
      <c r="C11360">
        <f t="shared" si="371"/>
        <v>2.2697400193011908E-2</v>
      </c>
      <c r="D11360">
        <f t="shared" si="370"/>
        <v>1.7785207312636202</v>
      </c>
    </row>
    <row r="11361" spans="1:4" x14ac:dyDescent="0.3">
      <c r="A11361" s="1">
        <v>42417</v>
      </c>
      <c r="B11361">
        <v>4534.0600590000004</v>
      </c>
      <c r="C11361">
        <f t="shared" si="371"/>
        <v>2.2114739281345108E-2</v>
      </c>
      <c r="D11361">
        <f t="shared" si="370"/>
        <v>1.7319102542462612</v>
      </c>
    </row>
    <row r="11362" spans="1:4" x14ac:dyDescent="0.3">
      <c r="A11362" s="1">
        <v>42418</v>
      </c>
      <c r="B11362">
        <v>4487.5400390000004</v>
      </c>
      <c r="C11362">
        <f t="shared" si="371"/>
        <v>-1.0260124346535466E-2</v>
      </c>
      <c r="D11362">
        <f t="shared" si="370"/>
        <v>-0.85794570974948614</v>
      </c>
    </row>
    <row r="11363" spans="1:4" x14ac:dyDescent="0.3">
      <c r="A11363" s="1">
        <v>42419</v>
      </c>
      <c r="B11363">
        <v>4504.4301759999998</v>
      </c>
      <c r="C11363">
        <f t="shared" si="371"/>
        <v>3.763785248312391E-3</v>
      </c>
      <c r="D11363">
        <f t="shared" si="370"/>
        <v>0.26390939117751649</v>
      </c>
    </row>
    <row r="11364" spans="1:4" x14ac:dyDescent="0.3">
      <c r="A11364" s="1">
        <v>42422</v>
      </c>
      <c r="B11364">
        <v>4570.6098629999997</v>
      </c>
      <c r="C11364">
        <f t="shared" si="371"/>
        <v>1.4692132947827901E-2</v>
      </c>
      <c r="D11364">
        <f t="shared" si="370"/>
        <v>1.138132269504504</v>
      </c>
    </row>
    <row r="11365" spans="1:4" x14ac:dyDescent="0.3">
      <c r="A11365" s="1">
        <v>42423</v>
      </c>
      <c r="B11365">
        <v>4503.580078</v>
      </c>
      <c r="C11365">
        <f t="shared" si="371"/>
        <v>-1.4665391929995868E-2</v>
      </c>
      <c r="D11365">
        <f t="shared" si="370"/>
        <v>-1.2103490018577763</v>
      </c>
    </row>
    <row r="11366" spans="1:4" x14ac:dyDescent="0.3">
      <c r="A11366" s="1">
        <v>42424</v>
      </c>
      <c r="B11366">
        <v>4542.6098629999997</v>
      </c>
      <c r="C11366">
        <f t="shared" si="371"/>
        <v>8.6663908099825562E-3</v>
      </c>
      <c r="D11366">
        <f t="shared" si="370"/>
        <v>0.65609767647660167</v>
      </c>
    </row>
    <row r="11367" spans="1:4" x14ac:dyDescent="0.3">
      <c r="A11367" s="1">
        <v>42425</v>
      </c>
      <c r="B11367">
        <v>4582.2001950000003</v>
      </c>
      <c r="C11367">
        <f t="shared" si="371"/>
        <v>8.7153273545385844E-3</v>
      </c>
      <c r="D11367">
        <f t="shared" si="370"/>
        <v>0.66001239881281026</v>
      </c>
    </row>
    <row r="11368" spans="1:4" x14ac:dyDescent="0.3">
      <c r="A11368" s="1">
        <v>42426</v>
      </c>
      <c r="B11368">
        <v>4590.4702150000003</v>
      </c>
      <c r="C11368">
        <f t="shared" si="371"/>
        <v>1.8048142045439222E-3</v>
      </c>
      <c r="D11368">
        <f t="shared" si="370"/>
        <v>0.10719976301310352</v>
      </c>
    </row>
    <row r="11369" spans="1:4" x14ac:dyDescent="0.3">
      <c r="A11369" s="1">
        <v>42429</v>
      </c>
      <c r="B11369">
        <v>4557.9501950000003</v>
      </c>
      <c r="C11369">
        <f t="shared" si="371"/>
        <v>-7.0842459436369371E-3</v>
      </c>
      <c r="D11369">
        <f t="shared" si="370"/>
        <v>-0.60388849680762891</v>
      </c>
    </row>
    <row r="11370" spans="1:4" x14ac:dyDescent="0.3">
      <c r="A11370" s="1">
        <v>42430</v>
      </c>
      <c r="B11370">
        <v>4689.6000979999999</v>
      </c>
      <c r="C11370">
        <f t="shared" si="371"/>
        <v>2.8883576469180688E-2</v>
      </c>
      <c r="D11370">
        <f t="shared" si="370"/>
        <v>2.2733893956482789</v>
      </c>
    </row>
    <row r="11371" spans="1:4" x14ac:dyDescent="0.3">
      <c r="A11371" s="1">
        <v>42431</v>
      </c>
      <c r="B11371">
        <v>4703.419922</v>
      </c>
      <c r="C11371">
        <f t="shared" si="371"/>
        <v>2.9469088432282258E-3</v>
      </c>
      <c r="D11371">
        <f t="shared" si="370"/>
        <v>0.19856263778663188</v>
      </c>
    </row>
    <row r="11372" spans="1:4" x14ac:dyDescent="0.3">
      <c r="A11372" s="1">
        <v>42432</v>
      </c>
      <c r="B11372">
        <v>4707.419922</v>
      </c>
      <c r="C11372">
        <f t="shared" si="371"/>
        <v>8.5044500944731936E-4</v>
      </c>
      <c r="D11372">
        <f t="shared" si="370"/>
        <v>3.0854151794954682E-2</v>
      </c>
    </row>
    <row r="11373" spans="1:4" x14ac:dyDescent="0.3">
      <c r="A11373" s="1">
        <v>42433</v>
      </c>
      <c r="B11373">
        <v>4717.0200199999999</v>
      </c>
      <c r="C11373">
        <f t="shared" si="371"/>
        <v>2.0393544997194938E-3</v>
      </c>
      <c r="D11373">
        <f t="shared" si="370"/>
        <v>0.12596202219169275</v>
      </c>
    </row>
    <row r="11374" spans="1:4" x14ac:dyDescent="0.3">
      <c r="A11374" s="1">
        <v>42436</v>
      </c>
      <c r="B11374">
        <v>4708.25</v>
      </c>
      <c r="C11374">
        <f t="shared" si="371"/>
        <v>-1.8592289120706194E-3</v>
      </c>
      <c r="D11374">
        <f t="shared" si="370"/>
        <v>-0.1859086196807376</v>
      </c>
    </row>
    <row r="11375" spans="1:4" x14ac:dyDescent="0.3">
      <c r="A11375" s="1">
        <v>42437</v>
      </c>
      <c r="B11375">
        <v>4648.8198240000002</v>
      </c>
      <c r="C11375">
        <f t="shared" si="371"/>
        <v>-1.2622561673657908E-2</v>
      </c>
      <c r="D11375">
        <f t="shared" si="370"/>
        <v>-1.0469309815189465</v>
      </c>
    </row>
    <row r="11376" spans="1:4" x14ac:dyDescent="0.3">
      <c r="A11376" s="1">
        <v>42438</v>
      </c>
      <c r="B11376">
        <v>4674.3798829999996</v>
      </c>
      <c r="C11376">
        <f t="shared" si="371"/>
        <v>5.4981823274894582E-3</v>
      </c>
      <c r="D11376">
        <f t="shared" si="370"/>
        <v>0.40265402562827762</v>
      </c>
    </row>
    <row r="11377" spans="1:4" x14ac:dyDescent="0.3">
      <c r="A11377" s="1">
        <v>42439</v>
      </c>
      <c r="B11377">
        <v>4662.1601559999999</v>
      </c>
      <c r="C11377">
        <f t="shared" si="371"/>
        <v>-2.6141921080143613E-3</v>
      </c>
      <c r="D11377">
        <f t="shared" si="370"/>
        <v>-0.24630257092902555</v>
      </c>
    </row>
    <row r="11378" spans="1:4" x14ac:dyDescent="0.3">
      <c r="A11378" s="1">
        <v>42440</v>
      </c>
      <c r="B11378">
        <v>4748.4702150000003</v>
      </c>
      <c r="C11378">
        <f t="shared" si="371"/>
        <v>1.8512890186520733E-2</v>
      </c>
      <c r="D11378">
        <f t="shared" si="370"/>
        <v>1.4437771375522876</v>
      </c>
    </row>
    <row r="11379" spans="1:4" x14ac:dyDescent="0.3">
      <c r="A11379" s="1">
        <v>42443</v>
      </c>
      <c r="B11379">
        <v>4750.2797849999997</v>
      </c>
      <c r="C11379">
        <f t="shared" si="371"/>
        <v>3.8108483744578764E-4</v>
      </c>
      <c r="D11379">
        <f t="shared" si="370"/>
        <v>-6.6927319446082583E-3</v>
      </c>
    </row>
    <row r="11380" spans="1:4" x14ac:dyDescent="0.3">
      <c r="A11380" s="1">
        <v>42444</v>
      </c>
      <c r="B11380">
        <v>4728.669922</v>
      </c>
      <c r="C11380">
        <f t="shared" si="371"/>
        <v>-4.5491768860093955E-3</v>
      </c>
      <c r="D11380">
        <f t="shared" si="370"/>
        <v>-0.40109339646367798</v>
      </c>
    </row>
    <row r="11381" spans="1:4" x14ac:dyDescent="0.3">
      <c r="A11381" s="1">
        <v>42445</v>
      </c>
      <c r="B11381">
        <v>4763.9702150000003</v>
      </c>
      <c r="C11381">
        <f t="shared" si="371"/>
        <v>7.4651632662636582E-3</v>
      </c>
      <c r="D11381">
        <f t="shared" si="370"/>
        <v>0.56000441245626398</v>
      </c>
    </row>
    <row r="11382" spans="1:4" x14ac:dyDescent="0.3">
      <c r="A11382" s="1">
        <v>42446</v>
      </c>
      <c r="B11382">
        <v>4774.9902339999999</v>
      </c>
      <c r="C11382">
        <f t="shared" si="371"/>
        <v>2.3132006504368104E-3</v>
      </c>
      <c r="D11382">
        <f t="shared" si="370"/>
        <v>0.14786858818697785</v>
      </c>
    </row>
    <row r="11383" spans="1:4" x14ac:dyDescent="0.3">
      <c r="A11383" s="1">
        <v>42447</v>
      </c>
      <c r="B11383">
        <v>4795.6499020000001</v>
      </c>
      <c r="C11383">
        <f t="shared" si="371"/>
        <v>4.3266408908848543E-3</v>
      </c>
      <c r="D11383">
        <f t="shared" si="370"/>
        <v>0.30893552810708175</v>
      </c>
    </row>
    <row r="11384" spans="1:4" x14ac:dyDescent="0.3">
      <c r="A11384" s="1">
        <v>42450</v>
      </c>
      <c r="B11384">
        <v>4808.8701170000004</v>
      </c>
      <c r="C11384">
        <f t="shared" si="371"/>
        <v>2.7567097828569303E-3</v>
      </c>
      <c r="D11384">
        <f t="shared" si="370"/>
        <v>0.18334749506013776</v>
      </c>
    </row>
    <row r="11385" spans="1:4" x14ac:dyDescent="0.3">
      <c r="A11385" s="1">
        <v>42451</v>
      </c>
      <c r="B11385">
        <v>4821.6601559999999</v>
      </c>
      <c r="C11385">
        <f t="shared" si="371"/>
        <v>2.659676532910511E-3</v>
      </c>
      <c r="D11385">
        <f t="shared" si="370"/>
        <v>0.17558523406753213</v>
      </c>
    </row>
    <row r="11386" spans="1:4" x14ac:dyDescent="0.3">
      <c r="A11386" s="1">
        <v>42452</v>
      </c>
      <c r="B11386">
        <v>4768.8598629999997</v>
      </c>
      <c r="C11386">
        <f t="shared" si="371"/>
        <v>-1.0950645896164284E-2</v>
      </c>
      <c r="D11386">
        <f t="shared" si="370"/>
        <v>-0.91318459427821308</v>
      </c>
    </row>
    <row r="11387" spans="1:4" x14ac:dyDescent="0.3">
      <c r="A11387" s="1">
        <v>42453</v>
      </c>
      <c r="B11387">
        <v>4773.5</v>
      </c>
      <c r="C11387">
        <f t="shared" si="371"/>
        <v>9.7300762305925677E-4</v>
      </c>
      <c r="D11387">
        <f t="shared" si="370"/>
        <v>4.0658656903431095E-2</v>
      </c>
    </row>
    <row r="11388" spans="1:4" x14ac:dyDescent="0.3">
      <c r="A11388" s="1">
        <v>42457</v>
      </c>
      <c r="B11388">
        <v>4766.7900390000004</v>
      </c>
      <c r="C11388">
        <f t="shared" si="371"/>
        <v>-1.4056690059703711E-3</v>
      </c>
      <c r="D11388">
        <f t="shared" si="370"/>
        <v>-0.14962569224219571</v>
      </c>
    </row>
    <row r="11389" spans="1:4" x14ac:dyDescent="0.3">
      <c r="A11389" s="1">
        <v>42458</v>
      </c>
      <c r="B11389">
        <v>4846.6201170000004</v>
      </c>
      <c r="C11389">
        <f t="shared" si="371"/>
        <v>1.6747135356678534E-2</v>
      </c>
      <c r="D11389">
        <f t="shared" si="370"/>
        <v>1.3025240119921573</v>
      </c>
    </row>
    <row r="11390" spans="1:4" x14ac:dyDescent="0.3">
      <c r="A11390" s="1">
        <v>42459</v>
      </c>
      <c r="B11390">
        <v>4869.2900390000004</v>
      </c>
      <c r="C11390">
        <f t="shared" si="371"/>
        <v>4.6774703716685045E-3</v>
      </c>
      <c r="D11390">
        <f t="shared" si="370"/>
        <v>0.3370004439503288</v>
      </c>
    </row>
    <row r="11391" spans="1:4" x14ac:dyDescent="0.3">
      <c r="A11391" s="1">
        <v>42460</v>
      </c>
      <c r="B11391">
        <v>4869.8500979999999</v>
      </c>
      <c r="C11391">
        <f t="shared" si="371"/>
        <v>1.150186157558349E-4</v>
      </c>
      <c r="D11391">
        <f t="shared" si="370"/>
        <v>-2.7976935608963562E-2</v>
      </c>
    </row>
    <row r="11392" spans="1:4" x14ac:dyDescent="0.3">
      <c r="A11392" s="1">
        <v>42461</v>
      </c>
      <c r="B11392">
        <v>4914.5400390000004</v>
      </c>
      <c r="C11392">
        <f t="shared" si="371"/>
        <v>9.1768617309913227E-3</v>
      </c>
      <c r="D11392">
        <f t="shared" si="370"/>
        <v>0.69693325108833337</v>
      </c>
    </row>
    <row r="11393" spans="1:4" x14ac:dyDescent="0.3">
      <c r="A11393" s="1">
        <v>42464</v>
      </c>
      <c r="B11393">
        <v>4891.7998049999997</v>
      </c>
      <c r="C11393">
        <f t="shared" si="371"/>
        <v>-4.6271337336846506E-3</v>
      </c>
      <c r="D11393">
        <f t="shared" si="370"/>
        <v>-0.40732962371722536</v>
      </c>
    </row>
    <row r="11394" spans="1:4" x14ac:dyDescent="0.3">
      <c r="A11394" s="1">
        <v>42465</v>
      </c>
      <c r="B11394">
        <v>4843.9301759999998</v>
      </c>
      <c r="C11394">
        <f t="shared" si="371"/>
        <v>-9.7856884803567325E-3</v>
      </c>
      <c r="D11394">
        <f t="shared" si="370"/>
        <v>-0.81999279134712622</v>
      </c>
    </row>
    <row r="11395" spans="1:4" x14ac:dyDescent="0.3">
      <c r="A11395" s="1">
        <v>42466</v>
      </c>
      <c r="B11395">
        <v>4920.7202150000003</v>
      </c>
      <c r="C11395">
        <f t="shared" si="371"/>
        <v>1.5852837718526278E-2</v>
      </c>
      <c r="D11395">
        <f t="shared" ref="D11395:D11458" si="372">(C11395-avrtn)/sdrtn</f>
        <v>1.2309838783138383</v>
      </c>
    </row>
    <row r="11396" spans="1:4" x14ac:dyDescent="0.3">
      <c r="A11396" s="1">
        <v>42467</v>
      </c>
      <c r="B11396">
        <v>4848.3701170000004</v>
      </c>
      <c r="C11396">
        <f t="shared" ref="C11396:C11459" si="373">(B11396-B11395)/B11395</f>
        <v>-1.4703152148226718E-2</v>
      </c>
      <c r="D11396">
        <f t="shared" si="372"/>
        <v>-1.2133696640452991</v>
      </c>
    </row>
    <row r="11397" spans="1:4" x14ac:dyDescent="0.3">
      <c r="A11397" s="1">
        <v>42468</v>
      </c>
      <c r="B11397">
        <v>4850.6899409999996</v>
      </c>
      <c r="C11397">
        <f t="shared" si="373"/>
        <v>4.784750223307351E-4</v>
      </c>
      <c r="D11397">
        <f t="shared" si="372"/>
        <v>1.0980823753543834E-3</v>
      </c>
    </row>
    <row r="11398" spans="1:4" x14ac:dyDescent="0.3">
      <c r="A11398" s="1">
        <v>42471</v>
      </c>
      <c r="B11398">
        <v>4833.3999020000001</v>
      </c>
      <c r="C11398">
        <f t="shared" si="373"/>
        <v>-3.5644494309679739E-3</v>
      </c>
      <c r="D11398">
        <f t="shared" si="372"/>
        <v>-0.32231924928385447</v>
      </c>
    </row>
    <row r="11399" spans="1:4" x14ac:dyDescent="0.3">
      <c r="A11399" s="1">
        <v>42472</v>
      </c>
      <c r="B11399">
        <v>4872.0898440000001</v>
      </c>
      <c r="C11399">
        <f t="shared" si="373"/>
        <v>8.0047053387803813E-3</v>
      </c>
      <c r="D11399">
        <f t="shared" si="372"/>
        <v>0.60316555964734297</v>
      </c>
    </row>
    <row r="11400" spans="1:4" x14ac:dyDescent="0.3">
      <c r="A11400" s="1">
        <v>42473</v>
      </c>
      <c r="B11400">
        <v>4947.419922</v>
      </c>
      <c r="C11400">
        <f t="shared" si="373"/>
        <v>1.5461553545193605E-2</v>
      </c>
      <c r="D11400">
        <f t="shared" si="372"/>
        <v>1.1996827534173591</v>
      </c>
    </row>
    <row r="11401" spans="1:4" x14ac:dyDescent="0.3">
      <c r="A11401" s="1">
        <v>42474</v>
      </c>
      <c r="B11401">
        <v>4945.8901370000003</v>
      </c>
      <c r="C11401">
        <f t="shared" si="373"/>
        <v>-3.0920864291246626E-4</v>
      </c>
      <c r="D11401">
        <f t="shared" si="372"/>
        <v>-6.1913371869516613E-2</v>
      </c>
    </row>
    <row r="11402" spans="1:4" x14ac:dyDescent="0.3">
      <c r="A11402" s="1">
        <v>42475</v>
      </c>
      <c r="B11402">
        <v>4938.2202150000003</v>
      </c>
      <c r="C11402">
        <f t="shared" si="373"/>
        <v>-1.5507667553352371E-3</v>
      </c>
      <c r="D11402">
        <f t="shared" si="372"/>
        <v>-0.16123291554587452</v>
      </c>
    </row>
    <row r="11403" spans="1:4" x14ac:dyDescent="0.3">
      <c r="A11403" s="1">
        <v>42478</v>
      </c>
      <c r="B11403">
        <v>4960.0200199999999</v>
      </c>
      <c r="C11403">
        <f t="shared" si="373"/>
        <v>4.4145064518957763E-3</v>
      </c>
      <c r="D11403">
        <f t="shared" si="372"/>
        <v>0.31596441168260975</v>
      </c>
    </row>
    <row r="11404" spans="1:4" x14ac:dyDescent="0.3">
      <c r="A11404" s="1">
        <v>42479</v>
      </c>
      <c r="B11404">
        <v>4940.330078</v>
      </c>
      <c r="C11404">
        <f t="shared" si="373"/>
        <v>-3.9697303479835503E-3</v>
      </c>
      <c r="D11404">
        <f t="shared" si="372"/>
        <v>-0.35474005612001192</v>
      </c>
    </row>
    <row r="11405" spans="1:4" x14ac:dyDescent="0.3">
      <c r="A11405" s="1">
        <v>42480</v>
      </c>
      <c r="B11405">
        <v>4948.1298829999996</v>
      </c>
      <c r="C11405">
        <f t="shared" si="373"/>
        <v>1.5788024032510103E-3</v>
      </c>
      <c r="D11405">
        <f t="shared" si="372"/>
        <v>8.9119748275750671E-2</v>
      </c>
    </row>
    <row r="11406" spans="1:4" x14ac:dyDescent="0.3">
      <c r="A11406" s="1">
        <v>42481</v>
      </c>
      <c r="B11406">
        <v>4945.8901370000003</v>
      </c>
      <c r="C11406">
        <f t="shared" si="373"/>
        <v>-4.5264494929574313E-4</v>
      </c>
      <c r="D11406">
        <f t="shared" si="372"/>
        <v>-7.3387686566562638E-2</v>
      </c>
    </row>
    <row r="11407" spans="1:4" x14ac:dyDescent="0.3">
      <c r="A11407" s="1">
        <v>42482</v>
      </c>
      <c r="B11407">
        <v>4906.2299800000001</v>
      </c>
      <c r="C11407">
        <f t="shared" si="373"/>
        <v>-8.0188107502235546E-3</v>
      </c>
      <c r="D11407">
        <f t="shared" si="372"/>
        <v>-0.67864983838111104</v>
      </c>
    </row>
    <row r="11408" spans="1:4" x14ac:dyDescent="0.3">
      <c r="A11408" s="1">
        <v>42485</v>
      </c>
      <c r="B11408">
        <v>4895.7900390000004</v>
      </c>
      <c r="C11408">
        <f t="shared" si="373"/>
        <v>-2.1278947465890367E-3</v>
      </c>
      <c r="D11408">
        <f t="shared" si="372"/>
        <v>-0.20740078168169823</v>
      </c>
    </row>
    <row r="11409" spans="1:4" x14ac:dyDescent="0.3">
      <c r="A11409" s="1">
        <v>42486</v>
      </c>
      <c r="B11409">
        <v>4888.2797849999997</v>
      </c>
      <c r="C11409">
        <f t="shared" si="373"/>
        <v>-1.5340228931743029E-3</v>
      </c>
      <c r="D11409">
        <f t="shared" si="372"/>
        <v>-0.15989347542417237</v>
      </c>
    </row>
    <row r="11410" spans="1:4" x14ac:dyDescent="0.3">
      <c r="A11410" s="1">
        <v>42487</v>
      </c>
      <c r="B11410">
        <v>4863.1401370000003</v>
      </c>
      <c r="C11410">
        <f t="shared" si="373"/>
        <v>-5.1428414709694037E-3</v>
      </c>
      <c r="D11410">
        <f t="shared" si="372"/>
        <v>-0.44858412209711879</v>
      </c>
    </row>
    <row r="11411" spans="1:4" x14ac:dyDescent="0.3">
      <c r="A11411" s="1">
        <v>42488</v>
      </c>
      <c r="B11411">
        <v>4805.2900390000004</v>
      </c>
      <c r="C11411">
        <f t="shared" si="373"/>
        <v>-1.1895626358751563E-2</v>
      </c>
      <c r="D11411">
        <f t="shared" si="372"/>
        <v>-0.98877914550231483</v>
      </c>
    </row>
    <row r="11412" spans="1:4" x14ac:dyDescent="0.3">
      <c r="A11412" s="1">
        <v>42489</v>
      </c>
      <c r="B11412">
        <v>4775.3598629999997</v>
      </c>
      <c r="C11412">
        <f t="shared" si="373"/>
        <v>-6.2285888587547862E-3</v>
      </c>
      <c r="D11412">
        <f t="shared" si="372"/>
        <v>-0.53543944850001368</v>
      </c>
    </row>
    <row r="11413" spans="1:4" x14ac:dyDescent="0.3">
      <c r="A11413" s="1">
        <v>42492</v>
      </c>
      <c r="B11413">
        <v>4817.5898440000001</v>
      </c>
      <c r="C11413">
        <f t="shared" si="373"/>
        <v>8.8433086116091117E-3</v>
      </c>
      <c r="D11413">
        <f t="shared" si="372"/>
        <v>0.67025037311637881</v>
      </c>
    </row>
    <row r="11414" spans="1:4" x14ac:dyDescent="0.3">
      <c r="A11414" s="1">
        <v>42493</v>
      </c>
      <c r="B11414">
        <v>4763.2202150000003</v>
      </c>
      <c r="C11414">
        <f t="shared" si="373"/>
        <v>-1.1285649206462377E-2</v>
      </c>
      <c r="D11414">
        <f t="shared" si="372"/>
        <v>-0.93998348156021749</v>
      </c>
    </row>
    <row r="11415" spans="1:4" x14ac:dyDescent="0.3">
      <c r="A11415" s="1">
        <v>42494</v>
      </c>
      <c r="B11415">
        <v>4725.6401370000003</v>
      </c>
      <c r="C11415">
        <f t="shared" si="373"/>
        <v>-7.889636906069428E-3</v>
      </c>
      <c r="D11415">
        <f t="shared" si="372"/>
        <v>-0.66831646201480188</v>
      </c>
    </row>
    <row r="11416" spans="1:4" x14ac:dyDescent="0.3">
      <c r="A11416" s="1">
        <v>42495</v>
      </c>
      <c r="B11416">
        <v>4717.0898440000001</v>
      </c>
      <c r="C11416">
        <f t="shared" si="373"/>
        <v>-1.8093406929263682E-3</v>
      </c>
      <c r="D11416">
        <f t="shared" si="372"/>
        <v>-0.18191776729078041</v>
      </c>
    </row>
    <row r="11417" spans="1:4" x14ac:dyDescent="0.3">
      <c r="A11417" s="1">
        <v>42496</v>
      </c>
      <c r="B11417">
        <v>4736.1601559999999</v>
      </c>
      <c r="C11417">
        <f t="shared" si="373"/>
        <v>4.0428129695805363E-3</v>
      </c>
      <c r="D11417">
        <f t="shared" si="372"/>
        <v>0.28623046151012249</v>
      </c>
    </row>
    <row r="11418" spans="1:4" x14ac:dyDescent="0.3">
      <c r="A11418" s="1">
        <v>42499</v>
      </c>
      <c r="B11418">
        <v>4750.2099609999996</v>
      </c>
      <c r="C11418">
        <f t="shared" si="373"/>
        <v>2.9664970223189494E-3</v>
      </c>
      <c r="D11418">
        <f t="shared" si="372"/>
        <v>0.20012961156681608</v>
      </c>
    </row>
    <row r="11419" spans="1:4" x14ac:dyDescent="0.3">
      <c r="A11419" s="1">
        <v>42500</v>
      </c>
      <c r="B11419">
        <v>4809.8798829999996</v>
      </c>
      <c r="C11419">
        <f t="shared" si="373"/>
        <v>1.2561533593230586E-2</v>
      </c>
      <c r="D11419">
        <f t="shared" si="372"/>
        <v>0.96769308221361439</v>
      </c>
    </row>
    <row r="11420" spans="1:4" x14ac:dyDescent="0.3">
      <c r="A11420" s="1">
        <v>42501</v>
      </c>
      <c r="B11420">
        <v>4760.6899409999996</v>
      </c>
      <c r="C11420">
        <f t="shared" si="373"/>
        <v>-1.0226854556983118E-2</v>
      </c>
      <c r="D11420">
        <f t="shared" si="372"/>
        <v>-0.85528426339149033</v>
      </c>
    </row>
    <row r="11421" spans="1:4" x14ac:dyDescent="0.3">
      <c r="A11421" s="1">
        <v>42502</v>
      </c>
      <c r="B11421">
        <v>4737.330078</v>
      </c>
      <c r="C11421">
        <f t="shared" si="373"/>
        <v>-4.906823021348216E-3</v>
      </c>
      <c r="D11421">
        <f t="shared" si="372"/>
        <v>-0.42970361664108764</v>
      </c>
    </row>
    <row r="11422" spans="1:4" x14ac:dyDescent="0.3">
      <c r="A11422" s="1">
        <v>42503</v>
      </c>
      <c r="B11422">
        <v>4717.6801759999998</v>
      </c>
      <c r="C11422">
        <f t="shared" si="373"/>
        <v>-4.1478853439521953E-3</v>
      </c>
      <c r="D11422">
        <f t="shared" si="372"/>
        <v>-0.3689917232197828</v>
      </c>
    </row>
    <row r="11423" spans="1:4" x14ac:dyDescent="0.3">
      <c r="A11423" s="1">
        <v>42506</v>
      </c>
      <c r="B11423">
        <v>4775.4599609999996</v>
      </c>
      <c r="C11423">
        <f t="shared" si="373"/>
        <v>1.2247499373514064E-2</v>
      </c>
      <c r="D11423">
        <f t="shared" si="372"/>
        <v>0.94257163595271998</v>
      </c>
    </row>
    <row r="11424" spans="1:4" x14ac:dyDescent="0.3">
      <c r="A11424" s="1">
        <v>42507</v>
      </c>
      <c r="B11424">
        <v>4715.7299800000001</v>
      </c>
      <c r="C11424">
        <f t="shared" si="373"/>
        <v>-1.2507691717195721E-2</v>
      </c>
      <c r="D11424">
        <f t="shared" si="372"/>
        <v>-1.037741857350055</v>
      </c>
    </row>
    <row r="11425" spans="1:4" x14ac:dyDescent="0.3">
      <c r="A11425" s="1">
        <v>42508</v>
      </c>
      <c r="B11425">
        <v>4739.1201170000004</v>
      </c>
      <c r="C11425">
        <f t="shared" si="373"/>
        <v>4.9600246619719143E-3</v>
      </c>
      <c r="D11425">
        <f t="shared" si="372"/>
        <v>0.35960362530441742</v>
      </c>
    </row>
    <row r="11426" spans="1:4" x14ac:dyDescent="0.3">
      <c r="A11426" s="1">
        <v>42509</v>
      </c>
      <c r="B11426">
        <v>4712.5297849999997</v>
      </c>
      <c r="C11426">
        <f t="shared" si="373"/>
        <v>-5.6108162155706484E-3</v>
      </c>
      <c r="D11426">
        <f t="shared" si="372"/>
        <v>-0.48602017734157027</v>
      </c>
    </row>
    <row r="11427" spans="1:4" x14ac:dyDescent="0.3">
      <c r="A11427" s="1">
        <v>42510</v>
      </c>
      <c r="B11427">
        <v>4769.5600590000004</v>
      </c>
      <c r="C11427">
        <f t="shared" si="373"/>
        <v>1.2101838418407078E-2</v>
      </c>
      <c r="D11427">
        <f t="shared" si="372"/>
        <v>0.93091935850558749</v>
      </c>
    </row>
    <row r="11428" spans="1:4" x14ac:dyDescent="0.3">
      <c r="A11428" s="1">
        <v>42513</v>
      </c>
      <c r="B11428">
        <v>4765.7797849999997</v>
      </c>
      <c r="C11428">
        <f t="shared" si="373"/>
        <v>-7.9258337314935259E-4</v>
      </c>
      <c r="D11428">
        <f t="shared" si="372"/>
        <v>-0.10058136263970012</v>
      </c>
    </row>
    <row r="11429" spans="1:4" x14ac:dyDescent="0.3">
      <c r="A11429" s="1">
        <v>42514</v>
      </c>
      <c r="B11429">
        <v>4861.0600590000004</v>
      </c>
      <c r="C11429">
        <f t="shared" si="373"/>
        <v>1.999258847416523E-2</v>
      </c>
      <c r="D11429">
        <f t="shared" si="372"/>
        <v>1.562146916008132</v>
      </c>
    </row>
    <row r="11430" spans="1:4" x14ac:dyDescent="0.3">
      <c r="A11430" s="1">
        <v>42515</v>
      </c>
      <c r="B11430">
        <v>4894.8901370000003</v>
      </c>
      <c r="C11430">
        <f t="shared" si="373"/>
        <v>6.9594034201172486E-3</v>
      </c>
      <c r="D11430">
        <f t="shared" si="372"/>
        <v>0.51954570446146531</v>
      </c>
    </row>
    <row r="11431" spans="1:4" x14ac:dyDescent="0.3">
      <c r="A11431" s="1">
        <v>42516</v>
      </c>
      <c r="B11431">
        <v>4901.7700199999999</v>
      </c>
      <c r="C11431">
        <f t="shared" si="373"/>
        <v>1.4055234760010729E-3</v>
      </c>
      <c r="D11431">
        <f t="shared" si="372"/>
        <v>7.5258146622962041E-2</v>
      </c>
    </row>
    <row r="11432" spans="1:4" x14ac:dyDescent="0.3">
      <c r="A11432" s="1">
        <v>42517</v>
      </c>
      <c r="B11432">
        <v>4933.5</v>
      </c>
      <c r="C11432">
        <f t="shared" si="373"/>
        <v>6.473167829281405E-3</v>
      </c>
      <c r="D11432">
        <f t="shared" si="372"/>
        <v>0.48064885660729428</v>
      </c>
    </row>
    <row r="11433" spans="1:4" x14ac:dyDescent="0.3">
      <c r="A11433" s="1">
        <v>42521</v>
      </c>
      <c r="B11433">
        <v>4948.0498049999997</v>
      </c>
      <c r="C11433">
        <f t="shared" si="373"/>
        <v>2.9491851626633528E-3</v>
      </c>
      <c r="D11433">
        <f t="shared" si="372"/>
        <v>0.1987447339811606</v>
      </c>
    </row>
    <row r="11434" spans="1:4" x14ac:dyDescent="0.3">
      <c r="A11434" s="1">
        <v>42522</v>
      </c>
      <c r="B11434">
        <v>4952.25</v>
      </c>
      <c r="C11434">
        <f t="shared" si="373"/>
        <v>8.4885867473606593E-4</v>
      </c>
      <c r="D11434">
        <f t="shared" si="372"/>
        <v>3.0727251541101716E-2</v>
      </c>
    </row>
    <row r="11435" spans="1:4" x14ac:dyDescent="0.3">
      <c r="A11435" s="1">
        <v>42523</v>
      </c>
      <c r="B11435">
        <v>4971.3598629999997</v>
      </c>
      <c r="C11435">
        <f t="shared" si="373"/>
        <v>3.8588243727597916E-3</v>
      </c>
      <c r="D11435">
        <f t="shared" si="372"/>
        <v>0.27151213033009369</v>
      </c>
    </row>
    <row r="11436" spans="1:4" x14ac:dyDescent="0.3">
      <c r="A11436" s="1">
        <v>42524</v>
      </c>
      <c r="B11436">
        <v>4942.5200199999999</v>
      </c>
      <c r="C11436">
        <f t="shared" si="373"/>
        <v>-5.801198021218314E-3</v>
      </c>
      <c r="D11436">
        <f t="shared" si="372"/>
        <v>-0.50124993893872094</v>
      </c>
    </row>
    <row r="11437" spans="1:4" x14ac:dyDescent="0.3">
      <c r="A11437" s="1">
        <v>42527</v>
      </c>
      <c r="B11437">
        <v>4968.7099609999996</v>
      </c>
      <c r="C11437">
        <f t="shared" si="373"/>
        <v>5.2989043835981542E-3</v>
      </c>
      <c r="D11437">
        <f t="shared" si="372"/>
        <v>0.38671260955277492</v>
      </c>
    </row>
    <row r="11438" spans="1:4" x14ac:dyDescent="0.3">
      <c r="A11438" s="1">
        <v>42528</v>
      </c>
      <c r="B11438">
        <v>4961.75</v>
      </c>
      <c r="C11438">
        <f t="shared" si="373"/>
        <v>-1.4007581554627126E-3</v>
      </c>
      <c r="D11438">
        <f t="shared" si="372"/>
        <v>-0.14923284439512099</v>
      </c>
    </row>
    <row r="11439" spans="1:4" x14ac:dyDescent="0.3">
      <c r="A11439" s="1">
        <v>42529</v>
      </c>
      <c r="B11439">
        <v>4974.6401370000003</v>
      </c>
      <c r="C11439">
        <f t="shared" si="373"/>
        <v>2.597901345291545E-3</v>
      </c>
      <c r="D11439">
        <f t="shared" si="372"/>
        <v>0.17064347307910419</v>
      </c>
    </row>
    <row r="11440" spans="1:4" x14ac:dyDescent="0.3">
      <c r="A11440" s="1">
        <v>42530</v>
      </c>
      <c r="B11440">
        <v>4958.6201170000004</v>
      </c>
      <c r="C11440">
        <f t="shared" si="373"/>
        <v>-3.2203374633769876E-3</v>
      </c>
      <c r="D11440">
        <f t="shared" si="372"/>
        <v>-0.29479170687344125</v>
      </c>
    </row>
    <row r="11441" spans="1:4" x14ac:dyDescent="0.3">
      <c r="A11441" s="1">
        <v>42531</v>
      </c>
      <c r="B11441">
        <v>4894.5498049999997</v>
      </c>
      <c r="C11441">
        <f t="shared" si="373"/>
        <v>-1.2920996262719097E-2</v>
      </c>
      <c r="D11441">
        <f t="shared" si="372"/>
        <v>-1.0708045214734787</v>
      </c>
    </row>
    <row r="11442" spans="1:4" x14ac:dyDescent="0.3">
      <c r="A11442" s="1">
        <v>42534</v>
      </c>
      <c r="B11442">
        <v>4848.4399409999996</v>
      </c>
      <c r="C11442">
        <f t="shared" si="373"/>
        <v>-9.4206547766449832E-3</v>
      </c>
      <c r="D11442">
        <f t="shared" si="372"/>
        <v>-0.79079159607774485</v>
      </c>
    </row>
    <row r="11443" spans="1:4" x14ac:dyDescent="0.3">
      <c r="A11443" s="1">
        <v>42535</v>
      </c>
      <c r="B11443">
        <v>4843.5498049999997</v>
      </c>
      <c r="C11443">
        <f t="shared" si="373"/>
        <v>-1.0085998918223961E-3</v>
      </c>
      <c r="D11443">
        <f t="shared" si="372"/>
        <v>-0.11786179586831121</v>
      </c>
    </row>
    <row r="11444" spans="1:4" x14ac:dyDescent="0.3">
      <c r="A11444" s="1">
        <v>42536</v>
      </c>
      <c r="B11444">
        <v>4834.9301759999998</v>
      </c>
      <c r="C11444">
        <f t="shared" si="373"/>
        <v>-1.7796098619862969E-3</v>
      </c>
      <c r="D11444">
        <f t="shared" si="372"/>
        <v>-0.17953942306948201</v>
      </c>
    </row>
    <row r="11445" spans="1:4" x14ac:dyDescent="0.3">
      <c r="A11445" s="1">
        <v>42537</v>
      </c>
      <c r="B11445">
        <v>4844.919922</v>
      </c>
      <c r="C11445">
        <f t="shared" si="373"/>
        <v>2.0661613790387439E-3</v>
      </c>
      <c r="D11445">
        <f t="shared" si="372"/>
        <v>0.12810646230668635</v>
      </c>
    </row>
    <row r="11446" spans="1:4" x14ac:dyDescent="0.3">
      <c r="A11446" s="1">
        <v>42538</v>
      </c>
      <c r="B11446">
        <v>4800.3398440000001</v>
      </c>
      <c r="C11446">
        <f t="shared" si="373"/>
        <v>-9.2014065697079966E-3</v>
      </c>
      <c r="D11446">
        <f t="shared" si="372"/>
        <v>-0.77325264107679992</v>
      </c>
    </row>
    <row r="11447" spans="1:4" x14ac:dyDescent="0.3">
      <c r="A11447" s="1">
        <v>42541</v>
      </c>
      <c r="B11447">
        <v>4837.2099609999996</v>
      </c>
      <c r="C11447">
        <f t="shared" si="373"/>
        <v>7.6807305728747235E-3</v>
      </c>
      <c r="D11447">
        <f t="shared" si="372"/>
        <v>0.57724891056708794</v>
      </c>
    </row>
    <row r="11448" spans="1:4" x14ac:dyDescent="0.3">
      <c r="A11448" s="1">
        <v>42542</v>
      </c>
      <c r="B11448">
        <v>4843.7597660000001</v>
      </c>
      <c r="C11448">
        <f t="shared" si="373"/>
        <v>1.3540460415835485E-3</v>
      </c>
      <c r="D11448">
        <f t="shared" si="372"/>
        <v>7.1140163546035237E-2</v>
      </c>
    </row>
    <row r="11449" spans="1:4" x14ac:dyDescent="0.3">
      <c r="A11449" s="1">
        <v>42543</v>
      </c>
      <c r="B11449">
        <v>4833.3198240000002</v>
      </c>
      <c r="C11449">
        <f t="shared" si="373"/>
        <v>-2.1553385189086961E-3</v>
      </c>
      <c r="D11449">
        <f t="shared" si="372"/>
        <v>-0.20959617061780492</v>
      </c>
    </row>
    <row r="11450" spans="1:4" x14ac:dyDescent="0.3">
      <c r="A11450" s="1">
        <v>42544</v>
      </c>
      <c r="B11450">
        <v>4910.0400390000004</v>
      </c>
      <c r="C11450">
        <f t="shared" si="373"/>
        <v>1.5873192297154361E-2</v>
      </c>
      <c r="D11450">
        <f t="shared" si="372"/>
        <v>1.2326121609055574</v>
      </c>
    </row>
    <row r="11451" spans="1:4" x14ac:dyDescent="0.3">
      <c r="A11451" s="1">
        <v>42545</v>
      </c>
      <c r="B11451">
        <v>4707.9799800000001</v>
      </c>
      <c r="C11451">
        <f t="shared" si="373"/>
        <v>-4.1152425926276714E-2</v>
      </c>
      <c r="D11451">
        <f t="shared" si="372"/>
        <v>-3.3292028062256565</v>
      </c>
    </row>
    <row r="11452" spans="1:4" x14ac:dyDescent="0.3">
      <c r="A11452" s="1">
        <v>42548</v>
      </c>
      <c r="B11452">
        <v>4594.4399409999996</v>
      </c>
      <c r="C11452">
        <f t="shared" si="373"/>
        <v>-2.4116508456350834E-2</v>
      </c>
      <c r="D11452">
        <f t="shared" si="372"/>
        <v>-1.9663994607428004</v>
      </c>
    </row>
    <row r="11453" spans="1:4" x14ac:dyDescent="0.3">
      <c r="A11453" s="1">
        <v>42549</v>
      </c>
      <c r="B11453">
        <v>4691.8701170000004</v>
      </c>
      <c r="C11453">
        <f t="shared" si="373"/>
        <v>2.1206105042434108E-2</v>
      </c>
      <c r="D11453">
        <f t="shared" si="372"/>
        <v>1.659223251459697</v>
      </c>
    </row>
    <row r="11454" spans="1:4" x14ac:dyDescent="0.3">
      <c r="A11454" s="1">
        <v>42550</v>
      </c>
      <c r="B11454">
        <v>4779.25</v>
      </c>
      <c r="C11454">
        <f t="shared" si="373"/>
        <v>1.8623679006670935E-2</v>
      </c>
      <c r="D11454">
        <f t="shared" si="372"/>
        <v>1.4526397875979533</v>
      </c>
    </row>
    <row r="11455" spans="1:4" x14ac:dyDescent="0.3">
      <c r="A11455" s="1">
        <v>42551</v>
      </c>
      <c r="B11455">
        <v>4842.669922</v>
      </c>
      <c r="C11455">
        <f t="shared" si="373"/>
        <v>1.3269848197939017E-2</v>
      </c>
      <c r="D11455">
        <f t="shared" si="372"/>
        <v>1.0243553379832309</v>
      </c>
    </row>
    <row r="11456" spans="1:4" x14ac:dyDescent="0.3">
      <c r="A11456" s="1">
        <v>42552</v>
      </c>
      <c r="B11456">
        <v>4862.5698240000002</v>
      </c>
      <c r="C11456">
        <f t="shared" si="373"/>
        <v>4.1092831682778708E-3</v>
      </c>
      <c r="D11456">
        <f t="shared" si="372"/>
        <v>0.29154780407881897</v>
      </c>
    </row>
    <row r="11457" spans="1:4" x14ac:dyDescent="0.3">
      <c r="A11457" s="1">
        <v>42556</v>
      </c>
      <c r="B11457">
        <v>4822.8999020000001</v>
      </c>
      <c r="C11457">
        <f t="shared" si="373"/>
        <v>-8.1582215651079641E-3</v>
      </c>
      <c r="D11457">
        <f t="shared" si="372"/>
        <v>-0.68980213031116755</v>
      </c>
    </row>
    <row r="11458" spans="1:4" x14ac:dyDescent="0.3">
      <c r="A11458" s="1">
        <v>42557</v>
      </c>
      <c r="B11458">
        <v>4859.1601559999999</v>
      </c>
      <c r="C11458">
        <f t="shared" si="373"/>
        <v>7.5183509375683086E-3</v>
      </c>
      <c r="D11458">
        <f t="shared" si="372"/>
        <v>0.56425920745162483</v>
      </c>
    </row>
    <row r="11459" spans="1:4" x14ac:dyDescent="0.3">
      <c r="A11459" s="1">
        <v>42558</v>
      </c>
      <c r="B11459">
        <v>4876.8100590000004</v>
      </c>
      <c r="C11459">
        <f t="shared" si="373"/>
        <v>3.6322949714276613E-3</v>
      </c>
      <c r="D11459">
        <f t="shared" ref="D11459:D11522" si="374">(C11459-avrtn)/sdrtn</f>
        <v>0.25339070971798744</v>
      </c>
    </row>
    <row r="11460" spans="1:4" x14ac:dyDescent="0.3">
      <c r="A11460" s="1">
        <v>42559</v>
      </c>
      <c r="B11460">
        <v>4956.7597660000001</v>
      </c>
      <c r="C11460">
        <f t="shared" ref="C11460:C11523" si="375">(B11460-B11459)/B11459</f>
        <v>1.6393852955674391E-2</v>
      </c>
      <c r="D11460">
        <f t="shared" si="374"/>
        <v>1.274262872617739</v>
      </c>
    </row>
    <row r="11461" spans="1:4" x14ac:dyDescent="0.3">
      <c r="A11461" s="1">
        <v>42562</v>
      </c>
      <c r="B11461">
        <v>4988.6401370000003</v>
      </c>
      <c r="C11461">
        <f t="shared" si="375"/>
        <v>6.4316958063366019E-3</v>
      </c>
      <c r="D11461">
        <f t="shared" si="374"/>
        <v>0.47733126530568737</v>
      </c>
    </row>
    <row r="11462" spans="1:4" x14ac:dyDescent="0.3">
      <c r="A11462" s="1">
        <v>42563</v>
      </c>
      <c r="B11462">
        <v>5022.8198240000002</v>
      </c>
      <c r="C11462">
        <f t="shared" si="375"/>
        <v>6.8515038289681763E-3</v>
      </c>
      <c r="D11462">
        <f t="shared" si="374"/>
        <v>0.51091418085530949</v>
      </c>
    </row>
    <row r="11463" spans="1:4" x14ac:dyDescent="0.3">
      <c r="A11463" s="1">
        <v>42564</v>
      </c>
      <c r="B11463">
        <v>5005.7299800000001</v>
      </c>
      <c r="C11463">
        <f t="shared" si="375"/>
        <v>-3.4024401827717409E-3</v>
      </c>
      <c r="D11463">
        <f t="shared" si="374"/>
        <v>-0.30935917561416504</v>
      </c>
    </row>
    <row r="11464" spans="1:4" x14ac:dyDescent="0.3">
      <c r="A11464" s="1">
        <v>42565</v>
      </c>
      <c r="B11464">
        <v>5034.0600590000004</v>
      </c>
      <c r="C11464">
        <f t="shared" si="375"/>
        <v>5.6595300012567389E-3</v>
      </c>
      <c r="D11464">
        <f t="shared" si="374"/>
        <v>0.41556117606406118</v>
      </c>
    </row>
    <row r="11465" spans="1:4" x14ac:dyDescent="0.3">
      <c r="A11465" s="1">
        <v>42566</v>
      </c>
      <c r="B11465">
        <v>5029.5898440000001</v>
      </c>
      <c r="C11465">
        <f t="shared" si="375"/>
        <v>-8.8799397456697682E-4</v>
      </c>
      <c r="D11465">
        <f t="shared" si="374"/>
        <v>-0.10821381842237275</v>
      </c>
    </row>
    <row r="11466" spans="1:4" x14ac:dyDescent="0.3">
      <c r="A11466" s="1">
        <v>42569</v>
      </c>
      <c r="B11466">
        <v>5055.7797849999997</v>
      </c>
      <c r="C11466">
        <f t="shared" si="375"/>
        <v>5.2071723166935112E-3</v>
      </c>
      <c r="D11466">
        <f t="shared" si="374"/>
        <v>0.37937442140491645</v>
      </c>
    </row>
    <row r="11467" spans="1:4" x14ac:dyDescent="0.3">
      <c r="A11467" s="1">
        <v>42570</v>
      </c>
      <c r="B11467">
        <v>5036.3701170000004</v>
      </c>
      <c r="C11467">
        <f t="shared" si="375"/>
        <v>-3.8391047129042091E-3</v>
      </c>
      <c r="D11467">
        <f t="shared" si="374"/>
        <v>-0.34429054244948559</v>
      </c>
    </row>
    <row r="11468" spans="1:4" x14ac:dyDescent="0.3">
      <c r="A11468" s="1">
        <v>42571</v>
      </c>
      <c r="B11468">
        <v>5089.9301759999998</v>
      </c>
      <c r="C11468">
        <f t="shared" si="375"/>
        <v>1.0634655070168555E-2</v>
      </c>
      <c r="D11468">
        <f t="shared" si="374"/>
        <v>0.81355072374048276</v>
      </c>
    </row>
    <row r="11469" spans="1:4" x14ac:dyDescent="0.3">
      <c r="A11469" s="1">
        <v>42572</v>
      </c>
      <c r="B11469">
        <v>5073.8999020000001</v>
      </c>
      <c r="C11469">
        <f t="shared" si="375"/>
        <v>-3.1494094114661066E-3</v>
      </c>
      <c r="D11469">
        <f t="shared" si="374"/>
        <v>-0.28911775437846293</v>
      </c>
    </row>
    <row r="11470" spans="1:4" x14ac:dyDescent="0.3">
      <c r="A11470" s="1">
        <v>42573</v>
      </c>
      <c r="B11470">
        <v>5100.1601559999999</v>
      </c>
      <c r="C11470">
        <f t="shared" si="375"/>
        <v>5.1755561810844343E-3</v>
      </c>
      <c r="D11470">
        <f t="shared" si="374"/>
        <v>0.37684526056251677</v>
      </c>
    </row>
    <row r="11471" spans="1:4" x14ac:dyDescent="0.3">
      <c r="A11471" s="1">
        <v>42576</v>
      </c>
      <c r="B11471">
        <v>5097.6298829999996</v>
      </c>
      <c r="C11471">
        <f t="shared" si="375"/>
        <v>-4.9611638117356147E-4</v>
      </c>
      <c r="D11471">
        <f t="shared" si="374"/>
        <v>-7.6865222361192115E-2</v>
      </c>
    </row>
    <row r="11472" spans="1:4" x14ac:dyDescent="0.3">
      <c r="A11472" s="1">
        <v>42577</v>
      </c>
      <c r="B11472">
        <v>5110.0498049999997</v>
      </c>
      <c r="C11472">
        <f t="shared" si="375"/>
        <v>2.4364110939907647E-3</v>
      </c>
      <c r="D11472">
        <f t="shared" si="374"/>
        <v>0.15772491702692296</v>
      </c>
    </row>
    <row r="11473" spans="1:4" x14ac:dyDescent="0.3">
      <c r="A11473" s="1">
        <v>42578</v>
      </c>
      <c r="B11473">
        <v>5139.8100590000004</v>
      </c>
      <c r="C11473">
        <f t="shared" si="375"/>
        <v>5.8238676990743565E-3</v>
      </c>
      <c r="D11473">
        <f t="shared" si="374"/>
        <v>0.42870751612881935</v>
      </c>
    </row>
    <row r="11474" spans="1:4" x14ac:dyDescent="0.3">
      <c r="A11474" s="1">
        <v>42579</v>
      </c>
      <c r="B11474">
        <v>5154.9799800000001</v>
      </c>
      <c r="C11474">
        <f t="shared" si="375"/>
        <v>2.9514555646733684E-3</v>
      </c>
      <c r="D11474">
        <f t="shared" si="374"/>
        <v>0.198926356806013</v>
      </c>
    </row>
    <row r="11475" spans="1:4" x14ac:dyDescent="0.3">
      <c r="A11475" s="1">
        <v>42580</v>
      </c>
      <c r="B11475">
        <v>5162.1298829999996</v>
      </c>
      <c r="C11475">
        <f t="shared" si="375"/>
        <v>1.3869894796370364E-3</v>
      </c>
      <c r="D11475">
        <f t="shared" si="374"/>
        <v>7.3775503126087563E-2</v>
      </c>
    </row>
    <row r="11476" spans="1:4" x14ac:dyDescent="0.3">
      <c r="A11476" s="1">
        <v>42583</v>
      </c>
      <c r="B11476">
        <v>5184.2001950000003</v>
      </c>
      <c r="C11476">
        <f t="shared" si="375"/>
        <v>4.275427488309236E-3</v>
      </c>
      <c r="D11476">
        <f t="shared" si="374"/>
        <v>0.30483866649180202</v>
      </c>
    </row>
    <row r="11477" spans="1:4" x14ac:dyDescent="0.3">
      <c r="A11477" s="1">
        <v>42584</v>
      </c>
      <c r="B11477">
        <v>5137.7299800000001</v>
      </c>
      <c r="C11477">
        <f t="shared" si="375"/>
        <v>-8.9638156807330394E-3</v>
      </c>
      <c r="D11477">
        <f t="shared" si="374"/>
        <v>-0.75424634693837644</v>
      </c>
    </row>
    <row r="11478" spans="1:4" x14ac:dyDescent="0.3">
      <c r="A11478" s="1">
        <v>42585</v>
      </c>
      <c r="B11478">
        <v>5159.7402339999999</v>
      </c>
      <c r="C11478">
        <f t="shared" si="375"/>
        <v>4.2840425802213537E-3</v>
      </c>
      <c r="D11478">
        <f t="shared" si="374"/>
        <v>0.30552783841930181</v>
      </c>
    </row>
    <row r="11479" spans="1:4" x14ac:dyDescent="0.3">
      <c r="A11479" s="1">
        <v>42586</v>
      </c>
      <c r="B11479">
        <v>5166.25</v>
      </c>
      <c r="C11479">
        <f t="shared" si="375"/>
        <v>1.2616460722390946E-3</v>
      </c>
      <c r="D11479">
        <f t="shared" si="374"/>
        <v>6.3748545949423169E-2</v>
      </c>
    </row>
    <row r="11480" spans="1:4" x14ac:dyDescent="0.3">
      <c r="A11480" s="1">
        <v>42587</v>
      </c>
      <c r="B11480">
        <v>5221.1201170000004</v>
      </c>
      <c r="C11480">
        <f t="shared" si="375"/>
        <v>1.0620879167674888E-2</v>
      </c>
      <c r="D11480">
        <f t="shared" si="374"/>
        <v>0.81244870818783888</v>
      </c>
    </row>
    <row r="11481" spans="1:4" x14ac:dyDescent="0.3">
      <c r="A11481" s="1">
        <v>42590</v>
      </c>
      <c r="B11481">
        <v>5213.1401370000003</v>
      </c>
      <c r="C11481">
        <f t="shared" si="375"/>
        <v>-1.5284038331194877E-3</v>
      </c>
      <c r="D11481">
        <f t="shared" si="374"/>
        <v>-0.1594439737255002</v>
      </c>
    </row>
    <row r="11482" spans="1:4" x14ac:dyDescent="0.3">
      <c r="A11482" s="1">
        <v>42591</v>
      </c>
      <c r="B11482">
        <v>5225.4799800000001</v>
      </c>
      <c r="C11482">
        <f t="shared" si="375"/>
        <v>2.367065276534258E-3</v>
      </c>
      <c r="D11482">
        <f t="shared" si="374"/>
        <v>0.15217753678210769</v>
      </c>
    </row>
    <row r="11483" spans="1:4" x14ac:dyDescent="0.3">
      <c r="A11483" s="1">
        <v>42592</v>
      </c>
      <c r="B11483">
        <v>5204.580078</v>
      </c>
      <c r="C11483">
        <f t="shared" si="375"/>
        <v>-3.9996138306896949E-3</v>
      </c>
      <c r="D11483">
        <f t="shared" si="374"/>
        <v>-0.35713061185488837</v>
      </c>
    </row>
    <row r="11484" spans="1:4" x14ac:dyDescent="0.3">
      <c r="A11484" s="1">
        <v>42593</v>
      </c>
      <c r="B11484">
        <v>5228.3999020000001</v>
      </c>
      <c r="C11484">
        <f t="shared" si="375"/>
        <v>4.5767042956429181E-3</v>
      </c>
      <c r="D11484">
        <f t="shared" si="374"/>
        <v>0.3289395722208624</v>
      </c>
    </row>
    <row r="11485" spans="1:4" x14ac:dyDescent="0.3">
      <c r="A11485" s="1">
        <v>42594</v>
      </c>
      <c r="B11485">
        <v>5232.8901370000003</v>
      </c>
      <c r="C11485">
        <f t="shared" si="375"/>
        <v>8.5881628876218494E-4</v>
      </c>
      <c r="D11485">
        <f t="shared" si="374"/>
        <v>3.1523819717237701E-2</v>
      </c>
    </row>
    <row r="11486" spans="1:4" x14ac:dyDescent="0.3">
      <c r="A11486" s="1">
        <v>42597</v>
      </c>
      <c r="B11486">
        <v>5262.0200199999999</v>
      </c>
      <c r="C11486">
        <f t="shared" si="375"/>
        <v>5.5666911089976906E-3</v>
      </c>
      <c r="D11486">
        <f t="shared" si="374"/>
        <v>0.40813444643914337</v>
      </c>
    </row>
    <row r="11487" spans="1:4" x14ac:dyDescent="0.3">
      <c r="A11487" s="1">
        <v>42598</v>
      </c>
      <c r="B11487">
        <v>5227.1098629999997</v>
      </c>
      <c r="C11487">
        <f t="shared" si="375"/>
        <v>-6.6343641543196285E-3</v>
      </c>
      <c r="D11487">
        <f t="shared" si="374"/>
        <v>-0.56789980358721559</v>
      </c>
    </row>
    <row r="11488" spans="1:4" x14ac:dyDescent="0.3">
      <c r="A11488" s="1">
        <v>42599</v>
      </c>
      <c r="B11488">
        <v>5228.6601559999999</v>
      </c>
      <c r="C11488">
        <f t="shared" si="375"/>
        <v>2.9658703196080847E-4</v>
      </c>
      <c r="D11488">
        <f t="shared" si="374"/>
        <v>-1.3452208926354301E-2</v>
      </c>
    </row>
    <row r="11489" spans="1:4" x14ac:dyDescent="0.3">
      <c r="A11489" s="1">
        <v>42600</v>
      </c>
      <c r="B11489">
        <v>5240.1499020000001</v>
      </c>
      <c r="C11489">
        <f t="shared" si="375"/>
        <v>2.1974551141587324E-3</v>
      </c>
      <c r="D11489">
        <f t="shared" si="374"/>
        <v>0.1386094212332207</v>
      </c>
    </row>
    <row r="11490" spans="1:4" x14ac:dyDescent="0.3">
      <c r="A11490" s="1">
        <v>42601</v>
      </c>
      <c r="B11490">
        <v>5238.3798829999996</v>
      </c>
      <c r="C11490">
        <f t="shared" si="375"/>
        <v>-3.3778022253236339E-4</v>
      </c>
      <c r="D11490">
        <f t="shared" si="374"/>
        <v>-6.4198980752070964E-2</v>
      </c>
    </row>
    <row r="11491" spans="1:4" x14ac:dyDescent="0.3">
      <c r="A11491" s="1">
        <v>42604</v>
      </c>
      <c r="B11491">
        <v>5244.6000979999999</v>
      </c>
      <c r="C11491">
        <f t="shared" si="375"/>
        <v>1.1874310643614468E-3</v>
      </c>
      <c r="D11491">
        <f t="shared" si="374"/>
        <v>5.7811650493147224E-2</v>
      </c>
    </row>
    <row r="11492" spans="1:4" x14ac:dyDescent="0.3">
      <c r="A11492" s="1">
        <v>42605</v>
      </c>
      <c r="B11492">
        <v>5260.080078</v>
      </c>
      <c r="C11492">
        <f t="shared" si="375"/>
        <v>2.9516034989785543E-3</v>
      </c>
      <c r="D11492">
        <f t="shared" si="374"/>
        <v>0.1989381909421184</v>
      </c>
    </row>
    <row r="11493" spans="1:4" x14ac:dyDescent="0.3">
      <c r="A11493" s="1">
        <v>42606</v>
      </c>
      <c r="B11493">
        <v>5217.6899409999996</v>
      </c>
      <c r="C11493">
        <f t="shared" si="375"/>
        <v>-8.0588387194512074E-3</v>
      </c>
      <c r="D11493">
        <f t="shared" si="374"/>
        <v>-0.68185191132333023</v>
      </c>
    </row>
    <row r="11494" spans="1:4" x14ac:dyDescent="0.3">
      <c r="A11494" s="1">
        <v>42607</v>
      </c>
      <c r="B11494">
        <v>5212.2001950000003</v>
      </c>
      <c r="C11494">
        <f t="shared" si="375"/>
        <v>-1.05214109348689E-3</v>
      </c>
      <c r="D11494">
        <f t="shared" si="374"/>
        <v>-0.12134491295897966</v>
      </c>
    </row>
    <row r="11495" spans="1:4" x14ac:dyDescent="0.3">
      <c r="A11495" s="1">
        <v>42608</v>
      </c>
      <c r="B11495">
        <v>5218.919922</v>
      </c>
      <c r="C11495">
        <f t="shared" si="375"/>
        <v>1.2892304110739732E-3</v>
      </c>
      <c r="D11495">
        <f t="shared" si="374"/>
        <v>6.5955179628734414E-2</v>
      </c>
    </row>
    <row r="11496" spans="1:4" x14ac:dyDescent="0.3">
      <c r="A11496" s="1">
        <v>42611</v>
      </c>
      <c r="B11496">
        <v>5232.330078</v>
      </c>
      <c r="C11496">
        <f t="shared" si="375"/>
        <v>2.5695270669837873E-3</v>
      </c>
      <c r="D11496">
        <f t="shared" si="374"/>
        <v>0.16837364749021314</v>
      </c>
    </row>
    <row r="11497" spans="1:4" x14ac:dyDescent="0.3">
      <c r="A11497" s="1">
        <v>42612</v>
      </c>
      <c r="B11497">
        <v>5222.9902339999999</v>
      </c>
      <c r="C11497">
        <f t="shared" si="375"/>
        <v>-1.7850257649590288E-3</v>
      </c>
      <c r="D11497">
        <f t="shared" si="374"/>
        <v>-0.17997267303697448</v>
      </c>
    </row>
    <row r="11498" spans="1:4" x14ac:dyDescent="0.3">
      <c r="A11498" s="1">
        <v>42613</v>
      </c>
      <c r="B11498">
        <v>5213.2202150000003</v>
      </c>
      <c r="C11498">
        <f t="shared" si="375"/>
        <v>-1.8705796033084432E-3</v>
      </c>
      <c r="D11498">
        <f t="shared" si="374"/>
        <v>-0.18681662830544224</v>
      </c>
    </row>
    <row r="11499" spans="1:4" x14ac:dyDescent="0.3">
      <c r="A11499" s="1">
        <v>42614</v>
      </c>
      <c r="B11499">
        <v>5227.2099609999996</v>
      </c>
      <c r="C11499">
        <f t="shared" si="375"/>
        <v>2.6835133416667468E-3</v>
      </c>
      <c r="D11499">
        <f t="shared" si="374"/>
        <v>0.1774920807504877</v>
      </c>
    </row>
    <row r="11500" spans="1:4" x14ac:dyDescent="0.3">
      <c r="A11500" s="1">
        <v>42615</v>
      </c>
      <c r="B11500">
        <v>5249.8999020000001</v>
      </c>
      <c r="C11500">
        <f t="shared" si="375"/>
        <v>4.3407364864410016E-3</v>
      </c>
      <c r="D11500">
        <f t="shared" si="374"/>
        <v>0.31006311779013829</v>
      </c>
    </row>
    <row r="11501" spans="1:4" x14ac:dyDescent="0.3">
      <c r="A11501" s="1">
        <v>42619</v>
      </c>
      <c r="B11501">
        <v>5275.9101559999999</v>
      </c>
      <c r="C11501">
        <f t="shared" si="375"/>
        <v>4.9544285577884919E-3</v>
      </c>
      <c r="D11501">
        <f t="shared" si="374"/>
        <v>0.35915595998106153</v>
      </c>
    </row>
    <row r="11502" spans="1:4" x14ac:dyDescent="0.3">
      <c r="A11502" s="1">
        <v>42620</v>
      </c>
      <c r="B11502">
        <v>5283.9301759999998</v>
      </c>
      <c r="C11502">
        <f t="shared" si="375"/>
        <v>1.5201206546095573E-3</v>
      </c>
      <c r="D11502">
        <f t="shared" si="374"/>
        <v>8.4425449685226681E-2</v>
      </c>
    </row>
    <row r="11503" spans="1:4" x14ac:dyDescent="0.3">
      <c r="A11503" s="1">
        <v>42621</v>
      </c>
      <c r="B11503">
        <v>5259.4799800000001</v>
      </c>
      <c r="C11503">
        <f t="shared" si="375"/>
        <v>-4.6272746205190916E-3</v>
      </c>
      <c r="D11503">
        <f t="shared" si="374"/>
        <v>-0.40734089408465052</v>
      </c>
    </row>
    <row r="11504" spans="1:4" x14ac:dyDescent="0.3">
      <c r="A11504" s="1">
        <v>42622</v>
      </c>
      <c r="B11504">
        <v>5125.9101559999999</v>
      </c>
      <c r="C11504">
        <f t="shared" si="375"/>
        <v>-2.5396013390662275E-2</v>
      </c>
      <c r="D11504">
        <f t="shared" si="374"/>
        <v>-2.0687545941319878</v>
      </c>
    </row>
    <row r="11505" spans="1:4" x14ac:dyDescent="0.3">
      <c r="A11505" s="1">
        <v>42625</v>
      </c>
      <c r="B11505">
        <v>5211.8901370000003</v>
      </c>
      <c r="C11505">
        <f t="shared" si="375"/>
        <v>1.6773602810685004E-2</v>
      </c>
      <c r="D11505">
        <f t="shared" si="374"/>
        <v>1.3046412994778536</v>
      </c>
    </row>
    <row r="11506" spans="1:4" x14ac:dyDescent="0.3">
      <c r="A11506" s="1">
        <v>42626</v>
      </c>
      <c r="B11506">
        <v>5155.25</v>
      </c>
      <c r="C11506">
        <f t="shared" si="375"/>
        <v>-1.086748483010096E-2</v>
      </c>
      <c r="D11506">
        <f t="shared" si="374"/>
        <v>-0.90653205095349421</v>
      </c>
    </row>
    <row r="11507" spans="1:4" x14ac:dyDescent="0.3">
      <c r="A11507" s="1">
        <v>42627</v>
      </c>
      <c r="B11507">
        <v>5173.7700199999999</v>
      </c>
      <c r="C11507">
        <f t="shared" si="375"/>
        <v>3.5924581737064023E-3</v>
      </c>
      <c r="D11507">
        <f t="shared" si="374"/>
        <v>0.25020392971017774</v>
      </c>
    </row>
    <row r="11508" spans="1:4" x14ac:dyDescent="0.3">
      <c r="A11508" s="1">
        <v>42628</v>
      </c>
      <c r="B11508">
        <v>5249.6899409999996</v>
      </c>
      <c r="C11508">
        <f t="shared" si="375"/>
        <v>1.467400381279408E-2</v>
      </c>
      <c r="D11508">
        <f t="shared" si="374"/>
        <v>1.136682013249247</v>
      </c>
    </row>
    <row r="11509" spans="1:4" x14ac:dyDescent="0.3">
      <c r="A11509" s="1">
        <v>42629</v>
      </c>
      <c r="B11509">
        <v>5244.5698240000002</v>
      </c>
      <c r="C11509">
        <f t="shared" si="375"/>
        <v>-9.7531798211765702E-4</v>
      </c>
      <c r="D11509">
        <f t="shared" si="374"/>
        <v>-0.11519937994796253</v>
      </c>
    </row>
    <row r="11510" spans="1:4" x14ac:dyDescent="0.3">
      <c r="A11510" s="1">
        <v>42632</v>
      </c>
      <c r="B11510">
        <v>5235.0297849999997</v>
      </c>
      <c r="C11510">
        <f t="shared" si="375"/>
        <v>-1.8190317452431793E-3</v>
      </c>
      <c r="D11510">
        <f t="shared" si="374"/>
        <v>-0.18269301162628004</v>
      </c>
    </row>
    <row r="11511" spans="1:4" x14ac:dyDescent="0.3">
      <c r="A11511" s="1">
        <v>42633</v>
      </c>
      <c r="B11511">
        <v>5241.3500979999999</v>
      </c>
      <c r="C11511">
        <f t="shared" si="375"/>
        <v>1.2073117555338169E-3</v>
      </c>
      <c r="D11511">
        <f t="shared" si="374"/>
        <v>5.9402024037046253E-2</v>
      </c>
    </row>
    <row r="11512" spans="1:4" x14ac:dyDescent="0.3">
      <c r="A11512" s="1">
        <v>42634</v>
      </c>
      <c r="B11512">
        <v>5295.1801759999998</v>
      </c>
      <c r="C11512">
        <f t="shared" si="375"/>
        <v>1.0270269490401052E-2</v>
      </c>
      <c r="D11512">
        <f t="shared" si="374"/>
        <v>0.78440137572153956</v>
      </c>
    </row>
    <row r="11513" spans="1:4" x14ac:dyDescent="0.3">
      <c r="A11513" s="1">
        <v>42635</v>
      </c>
      <c r="B11513">
        <v>5339.5200199999999</v>
      </c>
      <c r="C11513">
        <f t="shared" si="375"/>
        <v>8.3736232812184636E-3</v>
      </c>
      <c r="D11513">
        <f t="shared" si="374"/>
        <v>0.63267747804274588</v>
      </c>
    </row>
    <row r="11514" spans="1:4" x14ac:dyDescent="0.3">
      <c r="A11514" s="1">
        <v>42636</v>
      </c>
      <c r="B11514">
        <v>5305.75</v>
      </c>
      <c r="C11514">
        <f t="shared" si="375"/>
        <v>-6.3245422572645272E-3</v>
      </c>
      <c r="D11514">
        <f t="shared" si="374"/>
        <v>-0.54311532581806066</v>
      </c>
    </row>
    <row r="11515" spans="1:4" x14ac:dyDescent="0.3">
      <c r="A11515" s="1">
        <v>42639</v>
      </c>
      <c r="B11515">
        <v>5257.4902339999999</v>
      </c>
      <c r="C11515">
        <f t="shared" si="375"/>
        <v>-9.0957481977100556E-3</v>
      </c>
      <c r="D11515">
        <f t="shared" si="374"/>
        <v>-0.76480040578678632</v>
      </c>
    </row>
    <row r="11516" spans="1:4" x14ac:dyDescent="0.3">
      <c r="A11516" s="1">
        <v>42640</v>
      </c>
      <c r="B11516">
        <v>5305.7099609999996</v>
      </c>
      <c r="C11516">
        <f t="shared" si="375"/>
        <v>9.1716246448095059E-3</v>
      </c>
      <c r="D11516">
        <f t="shared" si="374"/>
        <v>0.69651430572881501</v>
      </c>
    </row>
    <row r="11517" spans="1:4" x14ac:dyDescent="0.3">
      <c r="A11517" s="1">
        <v>42641</v>
      </c>
      <c r="B11517">
        <v>5318.5498049999997</v>
      </c>
      <c r="C11517">
        <f t="shared" si="375"/>
        <v>2.4200048804741072E-3</v>
      </c>
      <c r="D11517">
        <f t="shared" si="374"/>
        <v>0.15641248740834346</v>
      </c>
    </row>
    <row r="11518" spans="1:4" x14ac:dyDescent="0.3">
      <c r="A11518" s="1">
        <v>42642</v>
      </c>
      <c r="B11518">
        <v>5269.1499020000001</v>
      </c>
      <c r="C11518">
        <f t="shared" si="375"/>
        <v>-9.2882279589745313E-3</v>
      </c>
      <c r="D11518">
        <f t="shared" si="374"/>
        <v>-0.78019799520643673</v>
      </c>
    </row>
    <row r="11519" spans="1:4" x14ac:dyDescent="0.3">
      <c r="A11519" s="1">
        <v>42643</v>
      </c>
      <c r="B11519">
        <v>5312</v>
      </c>
      <c r="C11519">
        <f t="shared" si="375"/>
        <v>8.1322601931927141E-3</v>
      </c>
      <c r="D11519">
        <f t="shared" si="374"/>
        <v>0.61336942349163415</v>
      </c>
    </row>
    <row r="11520" spans="1:4" x14ac:dyDescent="0.3">
      <c r="A11520" s="1">
        <v>42646</v>
      </c>
      <c r="B11520">
        <v>5300.8701170000004</v>
      </c>
      <c r="C11520">
        <f t="shared" si="375"/>
        <v>-2.0952339984939023E-3</v>
      </c>
      <c r="D11520">
        <f t="shared" si="374"/>
        <v>-0.20478805613588616</v>
      </c>
    </row>
    <row r="11521" spans="1:4" x14ac:dyDescent="0.3">
      <c r="A11521" s="1">
        <v>42647</v>
      </c>
      <c r="B11521">
        <v>5289.6601559999999</v>
      </c>
      <c r="C11521">
        <f t="shared" si="375"/>
        <v>-2.1147397979154213E-3</v>
      </c>
      <c r="D11521">
        <f t="shared" si="374"/>
        <v>-0.20634843988128118</v>
      </c>
    </row>
    <row r="11522" spans="1:4" x14ac:dyDescent="0.3">
      <c r="A11522" s="1">
        <v>42648</v>
      </c>
      <c r="B11522">
        <v>5316.0200199999999</v>
      </c>
      <c r="C11522">
        <f t="shared" si="375"/>
        <v>4.9832811981503824E-3</v>
      </c>
      <c r="D11522">
        <f t="shared" si="374"/>
        <v>0.36146405256724667</v>
      </c>
    </row>
    <row r="11523" spans="1:4" x14ac:dyDescent="0.3">
      <c r="A11523" s="1">
        <v>42649</v>
      </c>
      <c r="B11523">
        <v>5306.8500979999999</v>
      </c>
      <c r="C11523">
        <f t="shared" si="375"/>
        <v>-1.724960019996321E-3</v>
      </c>
      <c r="D11523">
        <f t="shared" ref="D11523:D11586" si="376">(C11523-avrtn)/sdrtn</f>
        <v>-0.17516766043177695</v>
      </c>
    </row>
    <row r="11524" spans="1:4" x14ac:dyDescent="0.3">
      <c r="A11524" s="1">
        <v>42650</v>
      </c>
      <c r="B11524">
        <v>5292.3999020000001</v>
      </c>
      <c r="C11524">
        <f t="shared" ref="C11524:C11587" si="377">(B11524-B11523)/B11523</f>
        <v>-2.7229327629671777E-3</v>
      </c>
      <c r="D11524">
        <f t="shared" si="376"/>
        <v>-0.25500137618100593</v>
      </c>
    </row>
    <row r="11525" spans="1:4" x14ac:dyDescent="0.3">
      <c r="A11525" s="1">
        <v>42653</v>
      </c>
      <c r="B11525">
        <v>5328.669922</v>
      </c>
      <c r="C11525">
        <f t="shared" si="377"/>
        <v>6.8532273961938277E-3</v>
      </c>
      <c r="D11525">
        <f t="shared" si="376"/>
        <v>0.51105205914601082</v>
      </c>
    </row>
    <row r="11526" spans="1:4" x14ac:dyDescent="0.3">
      <c r="A11526" s="1">
        <v>42654</v>
      </c>
      <c r="B11526">
        <v>5246.7900390000004</v>
      </c>
      <c r="C11526">
        <f t="shared" si="377"/>
        <v>-1.5365913858156142E-2</v>
      </c>
      <c r="D11526">
        <f t="shared" si="376"/>
        <v>-1.2663878755472178</v>
      </c>
    </row>
    <row r="11527" spans="1:4" x14ac:dyDescent="0.3">
      <c r="A11527" s="1">
        <v>42655</v>
      </c>
      <c r="B11527">
        <v>5239.0200199999999</v>
      </c>
      <c r="C11527">
        <f t="shared" si="377"/>
        <v>-1.4809090781687561E-3</v>
      </c>
      <c r="D11527">
        <f t="shared" si="376"/>
        <v>-0.15564458862904096</v>
      </c>
    </row>
    <row r="11528" spans="1:4" x14ac:dyDescent="0.3">
      <c r="A11528" s="1">
        <v>42656</v>
      </c>
      <c r="B11528">
        <v>5213.330078</v>
      </c>
      <c r="C11528">
        <f t="shared" si="377"/>
        <v>-4.9035777496418071E-3</v>
      </c>
      <c r="D11528">
        <f t="shared" si="376"/>
        <v>-0.42944400824921192</v>
      </c>
    </row>
    <row r="11529" spans="1:4" x14ac:dyDescent="0.3">
      <c r="A11529" s="1">
        <v>42657</v>
      </c>
      <c r="B11529">
        <v>5214.1601559999999</v>
      </c>
      <c r="C11529">
        <f t="shared" si="377"/>
        <v>1.5922222218440506E-4</v>
      </c>
      <c r="D11529">
        <f t="shared" si="376"/>
        <v>-2.4440828860993677E-2</v>
      </c>
    </row>
    <row r="11530" spans="1:4" x14ac:dyDescent="0.3">
      <c r="A11530" s="1">
        <v>42660</v>
      </c>
      <c r="B11530">
        <v>5199.8198240000002</v>
      </c>
      <c r="C11530">
        <f t="shared" si="377"/>
        <v>-2.7502668830565475E-3</v>
      </c>
      <c r="D11530">
        <f t="shared" si="376"/>
        <v>-0.25718799338958209</v>
      </c>
    </row>
    <row r="11531" spans="1:4" x14ac:dyDescent="0.3">
      <c r="A11531" s="1">
        <v>42661</v>
      </c>
      <c r="B11531">
        <v>5243.8398440000001</v>
      </c>
      <c r="C11531">
        <f t="shared" si="377"/>
        <v>8.4656817909004398E-3</v>
      </c>
      <c r="D11531">
        <f t="shared" si="376"/>
        <v>0.64004178027045022</v>
      </c>
    </row>
    <row r="11532" spans="1:4" x14ac:dyDescent="0.3">
      <c r="A11532" s="1">
        <v>42662</v>
      </c>
      <c r="B11532">
        <v>5246.4101559999999</v>
      </c>
      <c r="C11532">
        <f t="shared" si="377"/>
        <v>4.9015837181617603E-4</v>
      </c>
      <c r="D11532">
        <f t="shared" si="376"/>
        <v>2.0327022919695101E-3</v>
      </c>
    </row>
    <row r="11533" spans="1:4" x14ac:dyDescent="0.3">
      <c r="A11533" s="1">
        <v>42663</v>
      </c>
      <c r="B11533">
        <v>5241.830078</v>
      </c>
      <c r="C11533">
        <f t="shared" si="377"/>
        <v>-8.7299274433623941E-4</v>
      </c>
      <c r="D11533">
        <f t="shared" si="376"/>
        <v>-0.10701378168934106</v>
      </c>
    </row>
    <row r="11534" spans="1:4" x14ac:dyDescent="0.3">
      <c r="A11534" s="1">
        <v>42664</v>
      </c>
      <c r="B11534">
        <v>5257.3999020000001</v>
      </c>
      <c r="C11534">
        <f t="shared" si="377"/>
        <v>2.9703030751314931E-3</v>
      </c>
      <c r="D11534">
        <f t="shared" si="376"/>
        <v>0.2004340801412369</v>
      </c>
    </row>
    <row r="11535" spans="1:4" x14ac:dyDescent="0.3">
      <c r="A11535" s="1">
        <v>42667</v>
      </c>
      <c r="B11535">
        <v>5309.830078</v>
      </c>
      <c r="C11535">
        <f t="shared" si="377"/>
        <v>9.9726436978960949E-3</v>
      </c>
      <c r="D11535">
        <f t="shared" si="376"/>
        <v>0.76059253616571454</v>
      </c>
    </row>
    <row r="11536" spans="1:4" x14ac:dyDescent="0.3">
      <c r="A11536" s="1">
        <v>42668</v>
      </c>
      <c r="B11536">
        <v>5283.3999020000001</v>
      </c>
      <c r="C11536">
        <f t="shared" si="377"/>
        <v>-4.9775935598216046E-3</v>
      </c>
      <c r="D11536">
        <f t="shared" si="376"/>
        <v>-0.43536496870876568</v>
      </c>
    </row>
    <row r="11537" spans="1:4" x14ac:dyDescent="0.3">
      <c r="A11537" s="1">
        <v>42669</v>
      </c>
      <c r="B11537">
        <v>5250.2700199999999</v>
      </c>
      <c r="C11537">
        <f t="shared" si="377"/>
        <v>-6.2705611186953799E-3</v>
      </c>
      <c r="D11537">
        <f t="shared" si="376"/>
        <v>-0.53879705670429701</v>
      </c>
    </row>
    <row r="11538" spans="1:4" x14ac:dyDescent="0.3">
      <c r="A11538" s="1">
        <v>42670</v>
      </c>
      <c r="B11538">
        <v>5215.9702150000003</v>
      </c>
      <c r="C11538">
        <f t="shared" si="377"/>
        <v>-6.5329601847791538E-3</v>
      </c>
      <c r="D11538">
        <f t="shared" si="376"/>
        <v>-0.55978790299959191</v>
      </c>
    </row>
    <row r="11539" spans="1:4" x14ac:dyDescent="0.3">
      <c r="A11539" s="1">
        <v>42671</v>
      </c>
      <c r="B11539">
        <v>5190.1000979999999</v>
      </c>
      <c r="C11539">
        <f t="shared" si="377"/>
        <v>-4.95979001674579E-3</v>
      </c>
      <c r="D11539">
        <f t="shared" si="376"/>
        <v>-0.43394075847130709</v>
      </c>
    </row>
    <row r="11540" spans="1:4" x14ac:dyDescent="0.3">
      <c r="A11540" s="1">
        <v>42674</v>
      </c>
      <c r="B11540">
        <v>5189.1401370000003</v>
      </c>
      <c r="C11540">
        <f t="shared" si="377"/>
        <v>-1.8496001654563204E-4</v>
      </c>
      <c r="D11540">
        <f t="shared" si="376"/>
        <v>-5.1973992673574325E-2</v>
      </c>
    </row>
    <row r="11541" spans="1:4" x14ac:dyDescent="0.3">
      <c r="A11541" s="1">
        <v>42675</v>
      </c>
      <c r="B11541">
        <v>5153.580078</v>
      </c>
      <c r="C11541">
        <f t="shared" si="377"/>
        <v>-6.8527844808906465E-3</v>
      </c>
      <c r="D11541">
        <f t="shared" si="376"/>
        <v>-0.5853725315631475</v>
      </c>
    </row>
    <row r="11542" spans="1:4" x14ac:dyDescent="0.3">
      <c r="A11542" s="1">
        <v>42676</v>
      </c>
      <c r="B11542">
        <v>5105.5698240000002</v>
      </c>
      <c r="C11542">
        <f t="shared" si="377"/>
        <v>-9.3159033668555342E-3</v>
      </c>
      <c r="D11542">
        <f t="shared" si="376"/>
        <v>-0.7824119140349598</v>
      </c>
    </row>
    <row r="11543" spans="1:4" x14ac:dyDescent="0.3">
      <c r="A11543" s="1">
        <v>42677</v>
      </c>
      <c r="B11543">
        <v>5058.4101559999999</v>
      </c>
      <c r="C11543">
        <f t="shared" si="377"/>
        <v>-9.2369058940912907E-3</v>
      </c>
      <c r="D11543">
        <f t="shared" si="376"/>
        <v>-0.77609244105336928</v>
      </c>
    </row>
    <row r="11544" spans="1:4" x14ac:dyDescent="0.3">
      <c r="A11544" s="1">
        <v>42678</v>
      </c>
      <c r="B11544">
        <v>5046.3701170000004</v>
      </c>
      <c r="C11544">
        <f t="shared" si="377"/>
        <v>-2.3802022035951972E-3</v>
      </c>
      <c r="D11544">
        <f t="shared" si="376"/>
        <v>-0.2275843407477286</v>
      </c>
    </row>
    <row r="11545" spans="1:4" x14ac:dyDescent="0.3">
      <c r="A11545" s="1">
        <v>42681</v>
      </c>
      <c r="B11545">
        <v>5166.169922</v>
      </c>
      <c r="C11545">
        <f t="shared" si="377"/>
        <v>2.373979756189961E-2</v>
      </c>
      <c r="D11545">
        <f t="shared" si="376"/>
        <v>1.8619082344110436</v>
      </c>
    </row>
    <row r="11546" spans="1:4" x14ac:dyDescent="0.3">
      <c r="A11546" s="1">
        <v>42682</v>
      </c>
      <c r="B11546">
        <v>5193.4902339999999</v>
      </c>
      <c r="C11546">
        <f t="shared" si="377"/>
        <v>5.2883107626129355E-3</v>
      </c>
      <c r="D11546">
        <f t="shared" si="376"/>
        <v>0.38586516343518718</v>
      </c>
    </row>
    <row r="11547" spans="1:4" x14ac:dyDescent="0.3">
      <c r="A11547" s="1">
        <v>42683</v>
      </c>
      <c r="B11547">
        <v>5251.0698240000002</v>
      </c>
      <c r="C11547">
        <f t="shared" si="377"/>
        <v>1.1086877495801657E-2</v>
      </c>
      <c r="D11547">
        <f t="shared" si="376"/>
        <v>0.84972665824140547</v>
      </c>
    </row>
    <row r="11548" spans="1:4" x14ac:dyDescent="0.3">
      <c r="A11548" s="1">
        <v>42684</v>
      </c>
      <c r="B11548">
        <v>5208.7998049999997</v>
      </c>
      <c r="C11548">
        <f t="shared" si="377"/>
        <v>-8.0497918360950931E-3</v>
      </c>
      <c r="D11548">
        <f t="shared" si="376"/>
        <v>-0.68112819785584777</v>
      </c>
    </row>
    <row r="11549" spans="1:4" x14ac:dyDescent="0.3">
      <c r="A11549" s="1">
        <v>42685</v>
      </c>
      <c r="B11549">
        <v>5237.1098629999997</v>
      </c>
      <c r="C11549">
        <f t="shared" si="377"/>
        <v>5.4350443595134537E-3</v>
      </c>
      <c r="D11549">
        <f t="shared" si="376"/>
        <v>0.39760324781507289</v>
      </c>
    </row>
    <row r="11550" spans="1:4" x14ac:dyDescent="0.3">
      <c r="A11550" s="1">
        <v>42688</v>
      </c>
      <c r="B11550">
        <v>5218.3999020000001</v>
      </c>
      <c r="C11550">
        <f t="shared" si="377"/>
        <v>-3.5725737075299477E-3</v>
      </c>
      <c r="D11550">
        <f t="shared" si="376"/>
        <v>-0.32296915800158754</v>
      </c>
    </row>
    <row r="11551" spans="1:4" x14ac:dyDescent="0.3">
      <c r="A11551" s="1">
        <v>42689</v>
      </c>
      <c r="B11551">
        <v>5275.6201170000004</v>
      </c>
      <c r="C11551">
        <f t="shared" si="377"/>
        <v>1.0965088163915936E-2</v>
      </c>
      <c r="D11551">
        <f t="shared" si="376"/>
        <v>0.83998401249127297</v>
      </c>
    </row>
    <row r="11552" spans="1:4" x14ac:dyDescent="0.3">
      <c r="A11552" s="1">
        <v>42690</v>
      </c>
      <c r="B11552">
        <v>5294.580078</v>
      </c>
      <c r="C11552">
        <f t="shared" si="377"/>
        <v>3.5938829141437907E-3</v>
      </c>
      <c r="D11552">
        <f t="shared" si="376"/>
        <v>0.25031790308660112</v>
      </c>
    </row>
    <row r="11553" spans="1:4" x14ac:dyDescent="0.3">
      <c r="A11553" s="1">
        <v>42691</v>
      </c>
      <c r="B11553">
        <v>5333.9702150000003</v>
      </c>
      <c r="C11553">
        <f t="shared" si="377"/>
        <v>7.4397093668814133E-3</v>
      </c>
      <c r="D11553">
        <f t="shared" si="376"/>
        <v>0.55796820517274415</v>
      </c>
    </row>
    <row r="11554" spans="1:4" x14ac:dyDescent="0.3">
      <c r="A11554" s="1">
        <v>42692</v>
      </c>
      <c r="B11554">
        <v>5321.5097660000001</v>
      </c>
      <c r="C11554">
        <f t="shared" si="377"/>
        <v>-2.3360552267351108E-3</v>
      </c>
      <c r="D11554">
        <f t="shared" si="376"/>
        <v>-0.22405276413237524</v>
      </c>
    </row>
    <row r="11555" spans="1:4" x14ac:dyDescent="0.3">
      <c r="A11555" s="1">
        <v>42695</v>
      </c>
      <c r="B11555">
        <v>5368.8598629999997</v>
      </c>
      <c r="C11555">
        <f t="shared" si="377"/>
        <v>8.8978690413249063E-3</v>
      </c>
      <c r="D11555">
        <f t="shared" si="376"/>
        <v>0.67461498313981483</v>
      </c>
    </row>
    <row r="11556" spans="1:4" x14ac:dyDescent="0.3">
      <c r="A11556" s="1">
        <v>42696</v>
      </c>
      <c r="B11556">
        <v>5386.3500979999999</v>
      </c>
      <c r="C11556">
        <f t="shared" si="377"/>
        <v>3.2577186677074221E-3</v>
      </c>
      <c r="D11556">
        <f t="shared" si="376"/>
        <v>0.22342614568733266</v>
      </c>
    </row>
    <row r="11557" spans="1:4" x14ac:dyDescent="0.3">
      <c r="A11557" s="1">
        <v>42697</v>
      </c>
      <c r="B11557">
        <v>5380.6801759999998</v>
      </c>
      <c r="C11557">
        <f t="shared" si="377"/>
        <v>-1.052646392611081E-3</v>
      </c>
      <c r="D11557">
        <f t="shared" si="376"/>
        <v>-0.12138533481111252</v>
      </c>
    </row>
    <row r="11558" spans="1:4" x14ac:dyDescent="0.3">
      <c r="A11558" s="1">
        <v>42699</v>
      </c>
      <c r="B11558">
        <v>5398.919922</v>
      </c>
      <c r="C11558">
        <f t="shared" si="377"/>
        <v>3.3898587917112798E-3</v>
      </c>
      <c r="D11558">
        <f t="shared" si="376"/>
        <v>0.23399681224420463</v>
      </c>
    </row>
    <row r="11559" spans="1:4" x14ac:dyDescent="0.3">
      <c r="A11559" s="1">
        <v>42702</v>
      </c>
      <c r="B11559">
        <v>5368.8100590000004</v>
      </c>
      <c r="C11559">
        <f t="shared" si="377"/>
        <v>-5.5770160393202586E-3</v>
      </c>
      <c r="D11559">
        <f t="shared" si="376"/>
        <v>-0.48331630222869432</v>
      </c>
    </row>
    <row r="11560" spans="1:4" x14ac:dyDescent="0.3">
      <c r="A11560" s="1">
        <v>42703</v>
      </c>
      <c r="B11560">
        <v>5379.919922</v>
      </c>
      <c r="C11560">
        <f t="shared" si="377"/>
        <v>2.069334336269853E-3</v>
      </c>
      <c r="D11560">
        <f t="shared" si="376"/>
        <v>0.12836028583789699</v>
      </c>
    </row>
    <row r="11561" spans="1:4" x14ac:dyDescent="0.3">
      <c r="A11561" s="1">
        <v>42704</v>
      </c>
      <c r="B11561">
        <v>5323.6801759999998</v>
      </c>
      <c r="C11561">
        <f t="shared" si="377"/>
        <v>-1.0453639982636194E-2</v>
      </c>
      <c r="D11561">
        <f t="shared" si="376"/>
        <v>-0.87342616489649394</v>
      </c>
    </row>
    <row r="11562" spans="1:4" x14ac:dyDescent="0.3">
      <c r="A11562" s="1">
        <v>42705</v>
      </c>
      <c r="B11562">
        <v>5251.1098629999997</v>
      </c>
      <c r="C11562">
        <f t="shared" si="377"/>
        <v>-1.3631606445323054E-2</v>
      </c>
      <c r="D11562">
        <f t="shared" si="376"/>
        <v>-1.1276504140352646</v>
      </c>
    </row>
    <row r="11563" spans="1:4" x14ac:dyDescent="0.3">
      <c r="A11563" s="1">
        <v>42706</v>
      </c>
      <c r="B11563">
        <v>5255.6499020000001</v>
      </c>
      <c r="C11563">
        <f t="shared" si="377"/>
        <v>8.6458655759425959E-4</v>
      </c>
      <c r="D11563">
        <f t="shared" si="376"/>
        <v>3.1985417496316455E-2</v>
      </c>
    </row>
    <row r="11564" spans="1:4" x14ac:dyDescent="0.3">
      <c r="A11564" s="1">
        <v>42709</v>
      </c>
      <c r="B11564">
        <v>5308.8901370000003</v>
      </c>
      <c r="C11564">
        <f t="shared" si="377"/>
        <v>1.0130095419738673E-2</v>
      </c>
      <c r="D11564">
        <f t="shared" si="376"/>
        <v>0.77318802646777196</v>
      </c>
    </row>
    <row r="11565" spans="1:4" x14ac:dyDescent="0.3">
      <c r="A11565" s="1">
        <v>42710</v>
      </c>
      <c r="B11565">
        <v>5333</v>
      </c>
      <c r="C11565">
        <f t="shared" si="377"/>
        <v>4.5414130595710376E-3</v>
      </c>
      <c r="D11565">
        <f t="shared" si="376"/>
        <v>0.32611641845354178</v>
      </c>
    </row>
    <row r="11566" spans="1:4" x14ac:dyDescent="0.3">
      <c r="A11566" s="1">
        <v>42711</v>
      </c>
      <c r="B11566">
        <v>5393.7597660000001</v>
      </c>
      <c r="C11566">
        <f t="shared" si="377"/>
        <v>1.13931681980124E-2</v>
      </c>
      <c r="D11566">
        <f t="shared" si="376"/>
        <v>0.87422865494337176</v>
      </c>
    </row>
    <row r="11567" spans="1:4" x14ac:dyDescent="0.3">
      <c r="A11567" s="1">
        <v>42712</v>
      </c>
      <c r="B11567">
        <v>5417.3598629999997</v>
      </c>
      <c r="C11567">
        <f t="shared" si="377"/>
        <v>4.37544459224244E-3</v>
      </c>
      <c r="D11567">
        <f t="shared" si="376"/>
        <v>0.31283962353366951</v>
      </c>
    </row>
    <row r="11568" spans="1:4" x14ac:dyDescent="0.3">
      <c r="A11568" s="1">
        <v>42713</v>
      </c>
      <c r="B11568">
        <v>5444.5</v>
      </c>
      <c r="C11568">
        <f t="shared" si="377"/>
        <v>5.0098456972306037E-3</v>
      </c>
      <c r="D11568">
        <f t="shared" si="376"/>
        <v>0.36358910325979149</v>
      </c>
    </row>
    <row r="11569" spans="1:4" x14ac:dyDescent="0.3">
      <c r="A11569" s="1">
        <v>42716</v>
      </c>
      <c r="B11569">
        <v>5412.5400390000004</v>
      </c>
      <c r="C11569">
        <f t="shared" si="377"/>
        <v>-5.8701370190099309E-3</v>
      </c>
      <c r="D11569">
        <f t="shared" si="376"/>
        <v>-0.50676477528319752</v>
      </c>
    </row>
    <row r="11570" spans="1:4" x14ac:dyDescent="0.3">
      <c r="A11570" s="1">
        <v>42717</v>
      </c>
      <c r="B11570">
        <v>5463.830078</v>
      </c>
      <c r="C11570">
        <f t="shared" si="377"/>
        <v>9.4761495768030703E-3</v>
      </c>
      <c r="D11570">
        <f t="shared" si="376"/>
        <v>0.72087504807429759</v>
      </c>
    </row>
    <row r="11571" spans="1:4" x14ac:dyDescent="0.3">
      <c r="A11571" s="1">
        <v>42718</v>
      </c>
      <c r="B11571">
        <v>5436.669922</v>
      </c>
      <c r="C11571">
        <f t="shared" si="377"/>
        <v>-4.9709005610111719E-3</v>
      </c>
      <c r="D11571">
        <f t="shared" si="376"/>
        <v>-0.43482955632570663</v>
      </c>
    </row>
    <row r="11572" spans="1:4" x14ac:dyDescent="0.3">
      <c r="A11572" s="1">
        <v>42719</v>
      </c>
      <c r="B11572">
        <v>5456.8500979999999</v>
      </c>
      <c r="C11572">
        <f t="shared" si="377"/>
        <v>3.7118633813575572E-3</v>
      </c>
      <c r="D11572">
        <f t="shared" si="376"/>
        <v>0.25975585532512246</v>
      </c>
    </row>
    <row r="11573" spans="1:4" x14ac:dyDescent="0.3">
      <c r="A11573" s="1">
        <v>42720</v>
      </c>
      <c r="B11573">
        <v>5437.1601559999999</v>
      </c>
      <c r="C11573">
        <f t="shared" si="377"/>
        <v>-3.6082981292113138E-3</v>
      </c>
      <c r="D11573">
        <f t="shared" si="376"/>
        <v>-0.32582696483639711</v>
      </c>
    </row>
    <row r="11574" spans="1:4" x14ac:dyDescent="0.3">
      <c r="A11574" s="1">
        <v>42723</v>
      </c>
      <c r="B11574">
        <v>5457.4399409999996</v>
      </c>
      <c r="C11574">
        <f t="shared" si="377"/>
        <v>3.7298487479020879E-3</v>
      </c>
      <c r="D11574">
        <f t="shared" si="376"/>
        <v>0.26119461069241579</v>
      </c>
    </row>
    <row r="11575" spans="1:4" x14ac:dyDescent="0.3">
      <c r="A11575" s="1">
        <v>42724</v>
      </c>
      <c r="B11575">
        <v>5483.9399409999996</v>
      </c>
      <c r="C11575">
        <f t="shared" si="377"/>
        <v>4.8557565976885941E-3</v>
      </c>
      <c r="D11575">
        <f t="shared" si="376"/>
        <v>0.35126260891459404</v>
      </c>
    </row>
    <row r="11576" spans="1:4" x14ac:dyDescent="0.3">
      <c r="A11576" s="1">
        <v>42725</v>
      </c>
      <c r="B11576">
        <v>5471.4301759999998</v>
      </c>
      <c r="C11576">
        <f t="shared" si="377"/>
        <v>-2.2811637498930423E-3</v>
      </c>
      <c r="D11576">
        <f t="shared" si="376"/>
        <v>-0.21966167170011125</v>
      </c>
    </row>
    <row r="11577" spans="1:4" x14ac:dyDescent="0.3">
      <c r="A11577" s="1">
        <v>42726</v>
      </c>
      <c r="B11577">
        <v>5447.419922</v>
      </c>
      <c r="C11577">
        <f t="shared" si="377"/>
        <v>-4.3882957887900875E-3</v>
      </c>
      <c r="D11577">
        <f t="shared" si="376"/>
        <v>-0.38822357023315801</v>
      </c>
    </row>
    <row r="11578" spans="1:4" x14ac:dyDescent="0.3">
      <c r="A11578" s="1">
        <v>42727</v>
      </c>
      <c r="B11578">
        <v>5462.6899409999996</v>
      </c>
      <c r="C11578">
        <f t="shared" si="377"/>
        <v>2.8031653918086899E-3</v>
      </c>
      <c r="D11578">
        <f t="shared" si="376"/>
        <v>0.1870637527496731</v>
      </c>
    </row>
    <row r="11579" spans="1:4" x14ac:dyDescent="0.3">
      <c r="A11579" s="1">
        <v>42731</v>
      </c>
      <c r="B11579">
        <v>5487.4399409999996</v>
      </c>
      <c r="C11579">
        <f t="shared" si="377"/>
        <v>4.530734906669308E-3</v>
      </c>
      <c r="D11579">
        <f t="shared" si="376"/>
        <v>0.32526221013023049</v>
      </c>
    </row>
    <row r="11580" spans="1:4" x14ac:dyDescent="0.3">
      <c r="A11580" s="1">
        <v>42732</v>
      </c>
      <c r="B11580">
        <v>5438.5600590000004</v>
      </c>
      <c r="C11580">
        <f t="shared" si="377"/>
        <v>-8.9075930717324048E-3</v>
      </c>
      <c r="D11580">
        <f t="shared" si="376"/>
        <v>-0.74974876940707535</v>
      </c>
    </row>
    <row r="11581" spans="1:4" x14ac:dyDescent="0.3">
      <c r="A11581" s="1">
        <v>42733</v>
      </c>
      <c r="B11581">
        <v>5432.0898440000001</v>
      </c>
      <c r="C11581">
        <f t="shared" si="377"/>
        <v>-1.1896926630961895E-3</v>
      </c>
      <c r="D11581">
        <f t="shared" si="376"/>
        <v>-0.13234847291228971</v>
      </c>
    </row>
    <row r="11582" spans="1:4" x14ac:dyDescent="0.3">
      <c r="A11582" s="1">
        <v>42734</v>
      </c>
      <c r="B11582">
        <v>5383.1201170000004</v>
      </c>
      <c r="C11582">
        <f t="shared" si="377"/>
        <v>-9.0148963670196054E-3</v>
      </c>
      <c r="D11582">
        <f t="shared" si="376"/>
        <v>-0.75833259179626467</v>
      </c>
    </row>
    <row r="11583" spans="1:4" x14ac:dyDescent="0.3">
      <c r="A11583" s="1">
        <v>42738</v>
      </c>
      <c r="B11583">
        <v>5429.080078</v>
      </c>
      <c r="C11583">
        <f t="shared" si="377"/>
        <v>8.5377922099224759E-3</v>
      </c>
      <c r="D11583">
        <f t="shared" si="376"/>
        <v>0.64581031727239835</v>
      </c>
    </row>
    <row r="11584" spans="1:4" x14ac:dyDescent="0.3">
      <c r="A11584" s="1">
        <v>42739</v>
      </c>
      <c r="B11584">
        <v>5477</v>
      </c>
      <c r="C11584">
        <f t="shared" si="377"/>
        <v>8.8265270195928107E-3</v>
      </c>
      <c r="D11584">
        <f t="shared" si="376"/>
        <v>0.66890791476139344</v>
      </c>
    </row>
    <row r="11585" spans="1:4" x14ac:dyDescent="0.3">
      <c r="A11585" s="1">
        <v>42740</v>
      </c>
      <c r="B11585">
        <v>5487.9399409999996</v>
      </c>
      <c r="C11585">
        <f t="shared" si="377"/>
        <v>1.9974330838049359E-3</v>
      </c>
      <c r="D11585">
        <f t="shared" si="376"/>
        <v>0.12260848130042039</v>
      </c>
    </row>
    <row r="11586" spans="1:4" x14ac:dyDescent="0.3">
      <c r="A11586" s="1">
        <v>42741</v>
      </c>
      <c r="B11586">
        <v>5521.0600590000004</v>
      </c>
      <c r="C11586">
        <f t="shared" si="377"/>
        <v>6.0350729701982965E-3</v>
      </c>
      <c r="D11586">
        <f t="shared" si="376"/>
        <v>0.44560306933747029</v>
      </c>
    </row>
    <row r="11587" spans="1:4" x14ac:dyDescent="0.3">
      <c r="A11587" s="1">
        <v>42744</v>
      </c>
      <c r="B11587">
        <v>5531.8198240000002</v>
      </c>
      <c r="C11587">
        <f t="shared" si="377"/>
        <v>1.9488585316981041E-3</v>
      </c>
      <c r="D11587">
        <f t="shared" ref="D11587:D11650" si="378">(C11587-avrtn)/sdrtn</f>
        <v>0.1187227168716256</v>
      </c>
    </row>
    <row r="11588" spans="1:4" x14ac:dyDescent="0.3">
      <c r="A11588" s="1">
        <v>42745</v>
      </c>
      <c r="B11588">
        <v>5551.8198240000002</v>
      </c>
      <c r="C11588">
        <f t="shared" ref="C11588:C11651" si="379">(B11588-B11587)/B11587</f>
        <v>3.6154467492287581E-3</v>
      </c>
      <c r="D11588">
        <f t="shared" si="378"/>
        <v>0.25204292122237881</v>
      </c>
    </row>
    <row r="11589" spans="1:4" x14ac:dyDescent="0.3">
      <c r="A11589" s="1">
        <v>42746</v>
      </c>
      <c r="B11589">
        <v>5563.6499020000001</v>
      </c>
      <c r="C11589">
        <f t="shared" si="379"/>
        <v>2.1308468889533541E-3</v>
      </c>
      <c r="D11589">
        <f t="shared" si="378"/>
        <v>0.13328103711144906</v>
      </c>
    </row>
    <row r="11590" spans="1:4" x14ac:dyDescent="0.3">
      <c r="A11590" s="1">
        <v>42747</v>
      </c>
      <c r="B11590">
        <v>5547.4902339999999</v>
      </c>
      <c r="C11590">
        <f t="shared" si="379"/>
        <v>-2.9045084224640413E-3</v>
      </c>
      <c r="D11590">
        <f t="shared" si="378"/>
        <v>-0.2695266822971818</v>
      </c>
    </row>
    <row r="11591" spans="1:4" x14ac:dyDescent="0.3">
      <c r="A11591" s="1">
        <v>42748</v>
      </c>
      <c r="B11591">
        <v>5574.1201170000004</v>
      </c>
      <c r="C11591">
        <f t="shared" si="379"/>
        <v>4.8003478828657848E-3</v>
      </c>
      <c r="D11591">
        <f t="shared" si="378"/>
        <v>0.34683013957076603</v>
      </c>
    </row>
    <row r="11592" spans="1:4" x14ac:dyDescent="0.3">
      <c r="A11592" s="1">
        <v>42752</v>
      </c>
      <c r="B11592">
        <v>5538.7299800000001</v>
      </c>
      <c r="C11592">
        <f t="shared" si="379"/>
        <v>-6.3490086788885606E-3</v>
      </c>
      <c r="D11592">
        <f t="shared" si="378"/>
        <v>-0.54507253894145646</v>
      </c>
    </row>
    <row r="11593" spans="1:4" x14ac:dyDescent="0.3">
      <c r="A11593" s="1">
        <v>42753</v>
      </c>
      <c r="B11593">
        <v>5555.6499020000001</v>
      </c>
      <c r="C11593">
        <f t="shared" si="379"/>
        <v>3.0548378529187737E-3</v>
      </c>
      <c r="D11593">
        <f t="shared" si="378"/>
        <v>0.20719651475513604</v>
      </c>
    </row>
    <row r="11594" spans="1:4" x14ac:dyDescent="0.3">
      <c r="A11594" s="1">
        <v>42754</v>
      </c>
      <c r="B11594">
        <v>5540.080078</v>
      </c>
      <c r="C11594">
        <f t="shared" si="379"/>
        <v>-2.8025207265841411E-3</v>
      </c>
      <c r="D11594">
        <f t="shared" si="378"/>
        <v>-0.26136808600270112</v>
      </c>
    </row>
    <row r="11595" spans="1:4" x14ac:dyDescent="0.3">
      <c r="A11595" s="1">
        <v>42755</v>
      </c>
      <c r="B11595">
        <v>5555.330078</v>
      </c>
      <c r="C11595">
        <f t="shared" si="379"/>
        <v>2.7526677927560456E-3</v>
      </c>
      <c r="D11595">
        <f t="shared" si="378"/>
        <v>0.18302415247282958</v>
      </c>
    </row>
    <row r="11596" spans="1:4" x14ac:dyDescent="0.3">
      <c r="A11596" s="1">
        <v>42758</v>
      </c>
      <c r="B11596">
        <v>5552.9399409999996</v>
      </c>
      <c r="C11596">
        <f t="shared" si="379"/>
        <v>-4.3024212178960336E-4</v>
      </c>
      <c r="D11596">
        <f t="shared" si="378"/>
        <v>-7.1595552487048603E-2</v>
      </c>
    </row>
    <row r="11597" spans="1:4" x14ac:dyDescent="0.3">
      <c r="A11597" s="1">
        <v>42759</v>
      </c>
      <c r="B11597">
        <v>5600.9599609999996</v>
      </c>
      <c r="C11597">
        <f t="shared" si="379"/>
        <v>8.6476750172364125E-3</v>
      </c>
      <c r="D11597">
        <f t="shared" si="378"/>
        <v>0.65460049001670972</v>
      </c>
    </row>
    <row r="11598" spans="1:4" x14ac:dyDescent="0.3">
      <c r="A11598" s="1">
        <v>42760</v>
      </c>
      <c r="B11598">
        <v>5656.3398440000001</v>
      </c>
      <c r="C11598">
        <f t="shared" si="379"/>
        <v>9.8875698783093876E-3</v>
      </c>
      <c r="D11598">
        <f t="shared" si="378"/>
        <v>0.75378698042441439</v>
      </c>
    </row>
    <row r="11599" spans="1:4" x14ac:dyDescent="0.3">
      <c r="A11599" s="1">
        <v>42761</v>
      </c>
      <c r="B11599">
        <v>5655.1801759999998</v>
      </c>
      <c r="C11599">
        <f t="shared" si="379"/>
        <v>-2.0502092023879425E-4</v>
      </c>
      <c r="D11599">
        <f t="shared" si="378"/>
        <v>-5.3578782478098406E-2</v>
      </c>
    </row>
    <row r="11600" spans="1:4" x14ac:dyDescent="0.3">
      <c r="A11600" s="1">
        <v>42762</v>
      </c>
      <c r="B11600">
        <v>5660.7797849999997</v>
      </c>
      <c r="C11600">
        <f t="shared" si="379"/>
        <v>9.9017340309757681E-4</v>
      </c>
      <c r="D11600">
        <f t="shared" si="378"/>
        <v>4.203184872038742E-2</v>
      </c>
    </row>
    <row r="11601" spans="1:4" x14ac:dyDescent="0.3">
      <c r="A11601" s="1">
        <v>42765</v>
      </c>
      <c r="B11601">
        <v>5613.7099609999996</v>
      </c>
      <c r="C11601">
        <f t="shared" si="379"/>
        <v>-8.3150777433042573E-3</v>
      </c>
      <c r="D11601">
        <f t="shared" si="378"/>
        <v>-0.70234997957041234</v>
      </c>
    </row>
    <row r="11602" spans="1:4" x14ac:dyDescent="0.3">
      <c r="A11602" s="1">
        <v>42766</v>
      </c>
      <c r="B11602">
        <v>5614.7900390000004</v>
      </c>
      <c r="C11602">
        <f t="shared" si="379"/>
        <v>1.9240003625133265E-4</v>
      </c>
      <c r="D11602">
        <f t="shared" si="378"/>
        <v>-2.1786740163626105E-2</v>
      </c>
    </row>
    <row r="11603" spans="1:4" x14ac:dyDescent="0.3">
      <c r="A11603" s="1">
        <v>42767</v>
      </c>
      <c r="B11603">
        <v>5642.6499020000001</v>
      </c>
      <c r="C11603">
        <f t="shared" si="379"/>
        <v>4.9618708458351451E-3</v>
      </c>
      <c r="D11603">
        <f t="shared" si="378"/>
        <v>0.35975131242192249</v>
      </c>
    </row>
    <row r="11604" spans="1:4" x14ac:dyDescent="0.3">
      <c r="A11604" s="1">
        <v>42768</v>
      </c>
      <c r="B11604">
        <v>5636.2001950000003</v>
      </c>
      <c r="C11604">
        <f t="shared" si="379"/>
        <v>-1.1430280297407263E-3</v>
      </c>
      <c r="D11604">
        <f t="shared" si="378"/>
        <v>-0.12861549412997156</v>
      </c>
    </row>
    <row r="11605" spans="1:4" x14ac:dyDescent="0.3">
      <c r="A11605" s="1">
        <v>42769</v>
      </c>
      <c r="B11605">
        <v>5666.7700199999999</v>
      </c>
      <c r="C11605">
        <f t="shared" si="379"/>
        <v>5.4238359075887265E-3</v>
      </c>
      <c r="D11605">
        <f t="shared" si="378"/>
        <v>0.3967066177505244</v>
      </c>
    </row>
    <row r="11606" spans="1:4" x14ac:dyDescent="0.3">
      <c r="A11606" s="1">
        <v>42772</v>
      </c>
      <c r="B11606">
        <v>5663.5498049999997</v>
      </c>
      <c r="C11606">
        <f t="shared" si="379"/>
        <v>-5.682628708479474E-4</v>
      </c>
      <c r="D11606">
        <f t="shared" si="378"/>
        <v>-8.2636644867004796E-2</v>
      </c>
    </row>
    <row r="11607" spans="1:4" x14ac:dyDescent="0.3">
      <c r="A11607" s="1">
        <v>42773</v>
      </c>
      <c r="B11607">
        <v>5674.2202150000003</v>
      </c>
      <c r="C11607">
        <f t="shared" si="379"/>
        <v>1.8840498216472609E-3</v>
      </c>
      <c r="D11607">
        <f t="shared" si="378"/>
        <v>0.11353828656256625</v>
      </c>
    </row>
    <row r="11608" spans="1:4" x14ac:dyDescent="0.3">
      <c r="A11608" s="1">
        <v>42774</v>
      </c>
      <c r="B11608">
        <v>5682.4501950000003</v>
      </c>
      <c r="C11608">
        <f t="shared" si="379"/>
        <v>1.4504160374748637E-3</v>
      </c>
      <c r="D11608">
        <f t="shared" si="378"/>
        <v>7.8849366941549509E-2</v>
      </c>
    </row>
    <row r="11609" spans="1:4" x14ac:dyDescent="0.3">
      <c r="A11609" s="1">
        <v>42775</v>
      </c>
      <c r="B11609">
        <v>5715.1801759999998</v>
      </c>
      <c r="C11609">
        <f t="shared" si="379"/>
        <v>5.7598359645630818E-3</v>
      </c>
      <c r="D11609">
        <f t="shared" si="378"/>
        <v>0.42358524066798292</v>
      </c>
    </row>
    <row r="11610" spans="1:4" x14ac:dyDescent="0.3">
      <c r="A11610" s="1">
        <v>42776</v>
      </c>
      <c r="B11610">
        <v>5734.1298829999996</v>
      </c>
      <c r="C11610">
        <f t="shared" si="379"/>
        <v>3.3156797190009996E-3</v>
      </c>
      <c r="D11610">
        <f t="shared" si="378"/>
        <v>0.22806279145355179</v>
      </c>
    </row>
    <row r="11611" spans="1:4" x14ac:dyDescent="0.3">
      <c r="A11611" s="1">
        <v>42779</v>
      </c>
      <c r="B11611">
        <v>5763.9599609999996</v>
      </c>
      <c r="C11611">
        <f t="shared" si="379"/>
        <v>5.2021978240216222E-3</v>
      </c>
      <c r="D11611">
        <f t="shared" si="378"/>
        <v>0.37897648244640142</v>
      </c>
    </row>
    <row r="11612" spans="1:4" x14ac:dyDescent="0.3">
      <c r="A11612" s="1">
        <v>42780</v>
      </c>
      <c r="B11612">
        <v>5782.5698240000002</v>
      </c>
      <c r="C11612">
        <f t="shared" si="379"/>
        <v>3.2286593116396195E-3</v>
      </c>
      <c r="D11612">
        <f t="shared" si="378"/>
        <v>0.22110151669469461</v>
      </c>
    </row>
    <row r="11613" spans="1:4" x14ac:dyDescent="0.3">
      <c r="A11613" s="1">
        <v>42781</v>
      </c>
      <c r="B11613">
        <v>5819.4399409999996</v>
      </c>
      <c r="C11613">
        <f t="shared" si="379"/>
        <v>6.376078131728493E-3</v>
      </c>
      <c r="D11613">
        <f t="shared" si="378"/>
        <v>0.47288208003828319</v>
      </c>
    </row>
    <row r="11614" spans="1:4" x14ac:dyDescent="0.3">
      <c r="A11614" s="1">
        <v>42782</v>
      </c>
      <c r="B11614">
        <v>5814.8999020000001</v>
      </c>
      <c r="C11614">
        <f t="shared" si="379"/>
        <v>-7.8015050348975224E-4</v>
      </c>
      <c r="D11614">
        <f t="shared" si="378"/>
        <v>-9.9586784191197611E-2</v>
      </c>
    </row>
    <row r="11615" spans="1:4" x14ac:dyDescent="0.3">
      <c r="A11615" s="1">
        <v>42783</v>
      </c>
      <c r="B11615">
        <v>5838.580078</v>
      </c>
      <c r="C11615">
        <f t="shared" si="379"/>
        <v>4.0723273657479802E-3</v>
      </c>
      <c r="D11615">
        <f t="shared" si="378"/>
        <v>0.28859149183959576</v>
      </c>
    </row>
    <row r="11616" spans="1:4" x14ac:dyDescent="0.3">
      <c r="A11616" s="1">
        <v>42787</v>
      </c>
      <c r="B11616">
        <v>5865.9501950000003</v>
      </c>
      <c r="C11616">
        <f t="shared" si="379"/>
        <v>4.6878036499203067E-3</v>
      </c>
      <c r="D11616">
        <f t="shared" si="378"/>
        <v>0.33782706371977894</v>
      </c>
    </row>
    <row r="11617" spans="1:4" x14ac:dyDescent="0.3">
      <c r="A11617" s="1">
        <v>42788</v>
      </c>
      <c r="B11617">
        <v>5860.6298829999996</v>
      </c>
      <c r="C11617">
        <f t="shared" si="379"/>
        <v>-9.0698212960206354E-4</v>
      </c>
      <c r="D11617">
        <f t="shared" si="378"/>
        <v>-0.10973279274541964</v>
      </c>
    </row>
    <row r="11618" spans="1:4" x14ac:dyDescent="0.3">
      <c r="A11618" s="1">
        <v>42789</v>
      </c>
      <c r="B11618">
        <v>5835.5097660000001</v>
      </c>
      <c r="C11618">
        <f t="shared" si="379"/>
        <v>-4.286248662940772E-3</v>
      </c>
      <c r="D11618">
        <f t="shared" si="378"/>
        <v>-0.38006021978550159</v>
      </c>
    </row>
    <row r="11619" spans="1:4" x14ac:dyDescent="0.3">
      <c r="A11619" s="1">
        <v>42790</v>
      </c>
      <c r="B11619">
        <v>5845.3100590000004</v>
      </c>
      <c r="C11619">
        <f t="shared" si="379"/>
        <v>1.6794236310083211E-3</v>
      </c>
      <c r="D11619">
        <f t="shared" si="378"/>
        <v>9.7169032739374703E-2</v>
      </c>
    </row>
    <row r="11620" spans="1:4" x14ac:dyDescent="0.3">
      <c r="A11620" s="1">
        <v>42793</v>
      </c>
      <c r="B11620">
        <v>5861.8999020000001</v>
      </c>
      <c r="C11620">
        <f t="shared" si="379"/>
        <v>2.8381459379483954E-3</v>
      </c>
      <c r="D11620">
        <f t="shared" si="378"/>
        <v>0.18986205259998432</v>
      </c>
    </row>
    <row r="11621" spans="1:4" x14ac:dyDescent="0.3">
      <c r="A11621" s="1">
        <v>42794</v>
      </c>
      <c r="B11621">
        <v>5825.4399409999996</v>
      </c>
      <c r="C11621">
        <f t="shared" si="379"/>
        <v>-6.219819787021753E-3</v>
      </c>
      <c r="D11621">
        <f t="shared" si="378"/>
        <v>-0.53473795882000941</v>
      </c>
    </row>
    <row r="11622" spans="1:4" x14ac:dyDescent="0.3">
      <c r="A11622" s="1">
        <v>42795</v>
      </c>
      <c r="B11622">
        <v>5904.0297849999997</v>
      </c>
      <c r="C11622">
        <f t="shared" si="379"/>
        <v>1.349079980155272E-2</v>
      </c>
      <c r="D11622">
        <f t="shared" si="378"/>
        <v>1.0420305577139042</v>
      </c>
    </row>
    <row r="11623" spans="1:4" x14ac:dyDescent="0.3">
      <c r="A11623" s="1">
        <v>42796</v>
      </c>
      <c r="B11623">
        <v>5861.2202150000003</v>
      </c>
      <c r="C11623">
        <f t="shared" si="379"/>
        <v>-7.2509068481942697E-3</v>
      </c>
      <c r="D11623">
        <f t="shared" si="378"/>
        <v>-0.61722068385848106</v>
      </c>
    </row>
    <row r="11624" spans="1:4" x14ac:dyDescent="0.3">
      <c r="A11624" s="1">
        <v>42797</v>
      </c>
      <c r="B11624">
        <v>5870.75</v>
      </c>
      <c r="C11624">
        <f t="shared" si="379"/>
        <v>1.625904615494765E-3</v>
      </c>
      <c r="D11624">
        <f t="shared" si="378"/>
        <v>9.2887731569796989E-2</v>
      </c>
    </row>
    <row r="11625" spans="1:4" x14ac:dyDescent="0.3">
      <c r="A11625" s="1">
        <v>42800</v>
      </c>
      <c r="B11625">
        <v>5849.1801759999998</v>
      </c>
      <c r="C11625">
        <f t="shared" si="379"/>
        <v>-3.6741172763275821E-3</v>
      </c>
      <c r="D11625">
        <f t="shared" si="378"/>
        <v>-0.33109222595574839</v>
      </c>
    </row>
    <row r="11626" spans="1:4" x14ac:dyDescent="0.3">
      <c r="A11626" s="1">
        <v>42801</v>
      </c>
      <c r="B11626">
        <v>5833.9301759999998</v>
      </c>
      <c r="C11626">
        <f t="shared" si="379"/>
        <v>-2.6072029824919518E-3</v>
      </c>
      <c r="D11626">
        <f t="shared" si="378"/>
        <v>-0.24574346962668867</v>
      </c>
    </row>
    <row r="11627" spans="1:4" x14ac:dyDescent="0.3">
      <c r="A11627" s="1">
        <v>42802</v>
      </c>
      <c r="B11627">
        <v>5837.5498049999997</v>
      </c>
      <c r="C11627">
        <f t="shared" si="379"/>
        <v>6.2044434725846889E-4</v>
      </c>
      <c r="D11627">
        <f t="shared" si="378"/>
        <v>1.2455044588220754E-2</v>
      </c>
    </row>
    <row r="11628" spans="1:4" x14ac:dyDescent="0.3">
      <c r="A11628" s="1">
        <v>42803</v>
      </c>
      <c r="B11628">
        <v>5838.8100590000004</v>
      </c>
      <c r="C11628">
        <f t="shared" si="379"/>
        <v>2.1588749425679871E-4</v>
      </c>
      <c r="D11628">
        <f t="shared" si="378"/>
        <v>-1.9907840104193227E-2</v>
      </c>
    </row>
    <row r="11629" spans="1:4" x14ac:dyDescent="0.3">
      <c r="A11629" s="1">
        <v>42804</v>
      </c>
      <c r="B11629">
        <v>5861.7299800000001</v>
      </c>
      <c r="C11629">
        <f t="shared" si="379"/>
        <v>3.9254438435911629E-3</v>
      </c>
      <c r="D11629">
        <f t="shared" si="378"/>
        <v>0.27684141405570245</v>
      </c>
    </row>
    <row r="11630" spans="1:4" x14ac:dyDescent="0.3">
      <c r="A11630" s="1">
        <v>42807</v>
      </c>
      <c r="B11630">
        <v>5875.7797849999997</v>
      </c>
      <c r="C11630">
        <f t="shared" si="379"/>
        <v>2.3968700448395016E-3</v>
      </c>
      <c r="D11630">
        <f t="shared" si="378"/>
        <v>0.15456179568858758</v>
      </c>
    </row>
    <row r="11631" spans="1:4" x14ac:dyDescent="0.3">
      <c r="A11631" s="1">
        <v>42808</v>
      </c>
      <c r="B11631">
        <v>5856.8198240000002</v>
      </c>
      <c r="C11631">
        <f t="shared" si="379"/>
        <v>-3.2267991132686005E-3</v>
      </c>
      <c r="D11631">
        <f t="shared" si="378"/>
        <v>-0.29530861229430716</v>
      </c>
    </row>
    <row r="11632" spans="1:4" x14ac:dyDescent="0.3">
      <c r="A11632" s="1">
        <v>42809</v>
      </c>
      <c r="B11632">
        <v>5900.0498049999997</v>
      </c>
      <c r="C11632">
        <f t="shared" si="379"/>
        <v>7.3811355478022806E-3</v>
      </c>
      <c r="D11632">
        <f t="shared" si="378"/>
        <v>0.55328254050339676</v>
      </c>
    </row>
    <row r="11633" spans="1:4" x14ac:dyDescent="0.3">
      <c r="A11633" s="1">
        <v>42810</v>
      </c>
      <c r="B11633">
        <v>5900.7597660000001</v>
      </c>
      <c r="C11633">
        <f t="shared" si="379"/>
        <v>1.2033135710122635E-4</v>
      </c>
      <c r="D11633">
        <f t="shared" si="378"/>
        <v>-2.7551938147455188E-2</v>
      </c>
    </row>
    <row r="11634" spans="1:4" x14ac:dyDescent="0.3">
      <c r="A11634" s="1">
        <v>42811</v>
      </c>
      <c r="B11634">
        <v>5901</v>
      </c>
      <c r="C11634">
        <f t="shared" si="379"/>
        <v>4.0712384426170698E-5</v>
      </c>
      <c r="D11634">
        <f t="shared" si="378"/>
        <v>-3.3921128566287741E-2</v>
      </c>
    </row>
    <row r="11635" spans="1:4" x14ac:dyDescent="0.3">
      <c r="A11635" s="1">
        <v>42814</v>
      </c>
      <c r="B11635">
        <v>5901.5297849999997</v>
      </c>
      <c r="C11635">
        <f t="shared" si="379"/>
        <v>8.9778851042148747E-5</v>
      </c>
      <c r="D11635">
        <f t="shared" si="378"/>
        <v>-2.9996012999525798E-2</v>
      </c>
    </row>
    <row r="11636" spans="1:4" x14ac:dyDescent="0.3">
      <c r="A11636" s="1">
        <v>42815</v>
      </c>
      <c r="B11636">
        <v>5793.830078</v>
      </c>
      <c r="C11636">
        <f t="shared" si="379"/>
        <v>-1.8249455806143962E-2</v>
      </c>
      <c r="D11636">
        <f t="shared" si="378"/>
        <v>-1.4970593741909035</v>
      </c>
    </row>
    <row r="11637" spans="1:4" x14ac:dyDescent="0.3">
      <c r="A11637" s="1">
        <v>42816</v>
      </c>
      <c r="B11637">
        <v>5821.6401370000003</v>
      </c>
      <c r="C11637">
        <f t="shared" si="379"/>
        <v>4.7999438412250177E-3</v>
      </c>
      <c r="D11637">
        <f t="shared" si="378"/>
        <v>0.34679781790093384</v>
      </c>
    </row>
    <row r="11638" spans="1:4" x14ac:dyDescent="0.3">
      <c r="A11638" s="1">
        <v>42817</v>
      </c>
      <c r="B11638">
        <v>5817.6899409999996</v>
      </c>
      <c r="C11638">
        <f t="shared" si="379"/>
        <v>-6.7853661632137521E-4</v>
      </c>
      <c r="D11638">
        <f t="shared" si="378"/>
        <v>-9.1458091056528162E-2</v>
      </c>
    </row>
    <row r="11639" spans="1:4" x14ac:dyDescent="0.3">
      <c r="A11639" s="1">
        <v>42818</v>
      </c>
      <c r="B11639">
        <v>5828.7402339999999</v>
      </c>
      <c r="C11639">
        <f t="shared" si="379"/>
        <v>1.8994296898024114E-3</v>
      </c>
      <c r="D11639">
        <f t="shared" si="378"/>
        <v>0.11476861277258255</v>
      </c>
    </row>
    <row r="11640" spans="1:4" x14ac:dyDescent="0.3">
      <c r="A11640" s="1">
        <v>42821</v>
      </c>
      <c r="B11640">
        <v>5840.3701170000004</v>
      </c>
      <c r="C11640">
        <f t="shared" si="379"/>
        <v>1.9952652774198956E-3</v>
      </c>
      <c r="D11640">
        <f t="shared" si="378"/>
        <v>0.12243506570369028</v>
      </c>
    </row>
    <row r="11641" spans="1:4" x14ac:dyDescent="0.3">
      <c r="A11641" s="1">
        <v>42822</v>
      </c>
      <c r="B11641">
        <v>5875.1401370000003</v>
      </c>
      <c r="C11641">
        <f t="shared" si="379"/>
        <v>5.9533932445124055E-3</v>
      </c>
      <c r="D11641">
        <f t="shared" si="378"/>
        <v>0.43906902715163793</v>
      </c>
    </row>
    <row r="11642" spans="1:4" x14ac:dyDescent="0.3">
      <c r="A11642" s="1">
        <v>42823</v>
      </c>
      <c r="B11642">
        <v>5897.5498049999997</v>
      </c>
      <c r="C11642">
        <f t="shared" si="379"/>
        <v>3.8143205910731331E-3</v>
      </c>
      <c r="D11642">
        <f t="shared" si="378"/>
        <v>0.26795201079580477</v>
      </c>
    </row>
    <row r="11643" spans="1:4" x14ac:dyDescent="0.3">
      <c r="A11643" s="1">
        <v>42824</v>
      </c>
      <c r="B11643">
        <v>5914.3398440000001</v>
      </c>
      <c r="C11643">
        <f t="shared" si="379"/>
        <v>2.8469516248537108E-3</v>
      </c>
      <c r="D11643">
        <f t="shared" si="378"/>
        <v>0.19056647134320864</v>
      </c>
    </row>
    <row r="11644" spans="1:4" x14ac:dyDescent="0.3">
      <c r="A11644" s="1">
        <v>42825</v>
      </c>
      <c r="B11644">
        <v>5911.7402339999999</v>
      </c>
      <c r="C11644">
        <f t="shared" si="379"/>
        <v>-4.3954356167704377E-4</v>
      </c>
      <c r="D11644">
        <f t="shared" si="378"/>
        <v>-7.2339629430294469E-2</v>
      </c>
    </row>
    <row r="11645" spans="1:4" x14ac:dyDescent="0.3">
      <c r="A11645" s="1">
        <v>42828</v>
      </c>
      <c r="B11645">
        <v>5894.6801759999998</v>
      </c>
      <c r="C11645">
        <f t="shared" si="379"/>
        <v>-2.8857929010282063E-3</v>
      </c>
      <c r="D11645">
        <f t="shared" si="378"/>
        <v>-0.26802951754099896</v>
      </c>
    </row>
    <row r="11646" spans="1:4" x14ac:dyDescent="0.3">
      <c r="A11646" s="1">
        <v>42829</v>
      </c>
      <c r="B11646">
        <v>5898.6098629999997</v>
      </c>
      <c r="C11646">
        <f t="shared" si="379"/>
        <v>6.6664973886105378E-4</v>
      </c>
      <c r="D11646">
        <f t="shared" si="378"/>
        <v>1.6151285918721992E-2</v>
      </c>
    </row>
    <row r="11647" spans="1:4" x14ac:dyDescent="0.3">
      <c r="A11647" s="1">
        <v>42830</v>
      </c>
      <c r="B11647">
        <v>5864.4799800000001</v>
      </c>
      <c r="C11647">
        <f t="shared" si="379"/>
        <v>-5.7860892299531307E-3</v>
      </c>
      <c r="D11647">
        <f t="shared" si="378"/>
        <v>-0.50004129776522721</v>
      </c>
    </row>
    <row r="11648" spans="1:4" x14ac:dyDescent="0.3">
      <c r="A11648" s="1">
        <v>42831</v>
      </c>
      <c r="B11648">
        <v>5878.9501950000003</v>
      </c>
      <c r="C11648">
        <f t="shared" si="379"/>
        <v>2.4674336086658922E-3</v>
      </c>
      <c r="D11648">
        <f t="shared" si="378"/>
        <v>0.16020659063559059</v>
      </c>
    </row>
    <row r="11649" spans="1:4" x14ac:dyDescent="0.3">
      <c r="A11649" s="1">
        <v>42832</v>
      </c>
      <c r="B11649">
        <v>5877.8100590000004</v>
      </c>
      <c r="C11649">
        <f t="shared" si="379"/>
        <v>-1.9393530514506834E-4</v>
      </c>
      <c r="D11649">
        <f t="shared" si="378"/>
        <v>-5.2691978854921981E-2</v>
      </c>
    </row>
    <row r="11650" spans="1:4" x14ac:dyDescent="0.3">
      <c r="A11650" s="1">
        <v>42835</v>
      </c>
      <c r="B11650">
        <v>5880.9301759999998</v>
      </c>
      <c r="C11650">
        <f t="shared" si="379"/>
        <v>5.3082984456464578E-4</v>
      </c>
      <c r="D11650">
        <f t="shared" si="378"/>
        <v>5.2862528697518382E-3</v>
      </c>
    </row>
    <row r="11651" spans="1:4" x14ac:dyDescent="0.3">
      <c r="A11651" s="1">
        <v>42836</v>
      </c>
      <c r="B11651">
        <v>5866.7700199999999</v>
      </c>
      <c r="C11651">
        <f t="shared" si="379"/>
        <v>-2.4078088969305108E-3</v>
      </c>
      <c r="D11651">
        <f t="shared" ref="D11651:D11714" si="380">(C11651-avrtn)/sdrtn</f>
        <v>-0.22979276269515239</v>
      </c>
    </row>
    <row r="11652" spans="1:4" x14ac:dyDescent="0.3">
      <c r="A11652" s="1">
        <v>42837</v>
      </c>
      <c r="B11652">
        <v>5836.1601559999999</v>
      </c>
      <c r="C11652">
        <f t="shared" ref="C11652:C11715" si="381">(B11652-B11651)/B11651</f>
        <v>-5.2174985376365604E-3</v>
      </c>
      <c r="D11652">
        <f t="shared" si="380"/>
        <v>-0.45455638043879881</v>
      </c>
    </row>
    <row r="11653" spans="1:4" x14ac:dyDescent="0.3">
      <c r="A11653" s="1">
        <v>42838</v>
      </c>
      <c r="B11653">
        <v>5805.1499020000001</v>
      </c>
      <c r="C11653">
        <f t="shared" si="381"/>
        <v>-5.3134686456674761E-3</v>
      </c>
      <c r="D11653">
        <f t="shared" si="380"/>
        <v>-0.46223359444982981</v>
      </c>
    </row>
    <row r="11654" spans="1:4" x14ac:dyDescent="0.3">
      <c r="A11654" s="1">
        <v>42842</v>
      </c>
      <c r="B11654">
        <v>5856.7900390000004</v>
      </c>
      <c r="C11654">
        <f t="shared" si="381"/>
        <v>8.8955733911727543E-3</v>
      </c>
      <c r="D11654">
        <f t="shared" si="380"/>
        <v>0.6744313405674125</v>
      </c>
    </row>
    <row r="11655" spans="1:4" x14ac:dyDescent="0.3">
      <c r="A11655" s="1">
        <v>42843</v>
      </c>
      <c r="B11655">
        <v>5849.4702150000003</v>
      </c>
      <c r="C11655">
        <f t="shared" si="381"/>
        <v>-1.2498013333682616E-3</v>
      </c>
      <c r="D11655">
        <f t="shared" si="380"/>
        <v>-0.13715691936572641</v>
      </c>
    </row>
    <row r="11656" spans="1:4" x14ac:dyDescent="0.3">
      <c r="A11656" s="1">
        <v>42844</v>
      </c>
      <c r="B11656">
        <v>5863.0297849999997</v>
      </c>
      <c r="C11656">
        <f t="shared" si="381"/>
        <v>2.3180851430319557E-3</v>
      </c>
      <c r="D11656">
        <f t="shared" si="380"/>
        <v>0.14825932750943591</v>
      </c>
    </row>
    <row r="11657" spans="1:4" x14ac:dyDescent="0.3">
      <c r="A11657" s="1">
        <v>42845</v>
      </c>
      <c r="B11657">
        <v>5916.7797849999997</v>
      </c>
      <c r="C11657">
        <f t="shared" si="381"/>
        <v>9.1676150337005324E-3</v>
      </c>
      <c r="D11657">
        <f t="shared" si="380"/>
        <v>0.6961935533277166</v>
      </c>
    </row>
    <row r="11658" spans="1:4" x14ac:dyDescent="0.3">
      <c r="A11658" s="1">
        <v>42846</v>
      </c>
      <c r="B11658">
        <v>5910.5200199999999</v>
      </c>
      <c r="C11658">
        <f t="shared" si="381"/>
        <v>-1.0579682238418459E-3</v>
      </c>
      <c r="D11658">
        <f t="shared" si="380"/>
        <v>-0.12181105942607294</v>
      </c>
    </row>
    <row r="11659" spans="1:4" x14ac:dyDescent="0.3">
      <c r="A11659" s="1">
        <v>42849</v>
      </c>
      <c r="B11659">
        <v>5983.8198240000002</v>
      </c>
      <c r="C11659">
        <f t="shared" si="381"/>
        <v>1.2401582898284511E-2</v>
      </c>
      <c r="D11659">
        <f t="shared" si="380"/>
        <v>0.95489768433911604</v>
      </c>
    </row>
    <row r="11660" spans="1:4" x14ac:dyDescent="0.3">
      <c r="A11660" s="1">
        <v>42850</v>
      </c>
      <c r="B11660">
        <v>6025.4902339999999</v>
      </c>
      <c r="C11660">
        <f t="shared" si="381"/>
        <v>6.9638477136071799E-3</v>
      </c>
      <c r="D11660">
        <f t="shared" si="380"/>
        <v>0.5199012296656158</v>
      </c>
    </row>
    <row r="11661" spans="1:4" x14ac:dyDescent="0.3">
      <c r="A11661" s="1">
        <v>42851</v>
      </c>
      <c r="B11661">
        <v>6025.2299800000001</v>
      </c>
      <c r="C11661">
        <f t="shared" si="381"/>
        <v>-4.319217024554626E-5</v>
      </c>
      <c r="D11661">
        <f t="shared" si="380"/>
        <v>-4.0633147922434727E-2</v>
      </c>
    </row>
    <row r="11662" spans="1:4" x14ac:dyDescent="0.3">
      <c r="A11662" s="1">
        <v>42852</v>
      </c>
      <c r="B11662">
        <v>6048.9399409999996</v>
      </c>
      <c r="C11662">
        <f t="shared" si="381"/>
        <v>3.935113029494613E-3</v>
      </c>
      <c r="D11662">
        <f t="shared" si="380"/>
        <v>0.27761490916804848</v>
      </c>
    </row>
    <row r="11663" spans="1:4" x14ac:dyDescent="0.3">
      <c r="A11663" s="1">
        <v>42853</v>
      </c>
      <c r="B11663">
        <v>6047.6098629999997</v>
      </c>
      <c r="C11663">
        <f t="shared" si="381"/>
        <v>-2.1988613095405798E-4</v>
      </c>
      <c r="D11663">
        <f t="shared" si="380"/>
        <v>-5.4767938209207799E-2</v>
      </c>
    </row>
    <row r="11664" spans="1:4" x14ac:dyDescent="0.3">
      <c r="A11664" s="1">
        <v>42856</v>
      </c>
      <c r="B11664">
        <v>6091.6000979999999</v>
      </c>
      <c r="C11664">
        <f t="shared" si="381"/>
        <v>7.2739869132659712E-3</v>
      </c>
      <c r="D11664">
        <f t="shared" si="380"/>
        <v>0.54471109033830989</v>
      </c>
    </row>
    <row r="11665" spans="1:4" x14ac:dyDescent="0.3">
      <c r="A11665" s="1">
        <v>42857</v>
      </c>
      <c r="B11665">
        <v>6095.3701170000004</v>
      </c>
      <c r="C11665">
        <f t="shared" si="381"/>
        <v>6.1888813109026619E-4</v>
      </c>
      <c r="D11665">
        <f t="shared" si="380"/>
        <v>1.2330553693963658E-2</v>
      </c>
    </row>
    <row r="11666" spans="1:4" x14ac:dyDescent="0.3">
      <c r="A11666" s="1">
        <v>42858</v>
      </c>
      <c r="B11666">
        <v>6072.5498049999997</v>
      </c>
      <c r="C11666">
        <f t="shared" si="381"/>
        <v>-3.7438763458111988E-3</v>
      </c>
      <c r="D11666">
        <f t="shared" si="380"/>
        <v>-0.33667266466342999</v>
      </c>
    </row>
    <row r="11667" spans="1:4" x14ac:dyDescent="0.3">
      <c r="A11667" s="1">
        <v>42859</v>
      </c>
      <c r="B11667">
        <v>6075.3398440000001</v>
      </c>
      <c r="C11667">
        <f t="shared" si="381"/>
        <v>4.5945098675076798E-4</v>
      </c>
      <c r="D11667">
        <f t="shared" si="380"/>
        <v>-4.2376224374125418E-4</v>
      </c>
    </row>
    <row r="11668" spans="1:4" x14ac:dyDescent="0.3">
      <c r="A11668" s="1">
        <v>42860</v>
      </c>
      <c r="B11668">
        <v>6100.7597660000001</v>
      </c>
      <c r="C11668">
        <f t="shared" si="381"/>
        <v>4.1841152351509573E-3</v>
      </c>
      <c r="D11668">
        <f t="shared" si="380"/>
        <v>0.29753406171736829</v>
      </c>
    </row>
    <row r="11669" spans="1:4" x14ac:dyDescent="0.3">
      <c r="A11669" s="1">
        <v>42863</v>
      </c>
      <c r="B11669">
        <v>6102.6601559999999</v>
      </c>
      <c r="C11669">
        <f t="shared" si="381"/>
        <v>3.1150054630749548E-4</v>
      </c>
      <c r="D11669">
        <f t="shared" si="380"/>
        <v>-1.2259189103356763E-2</v>
      </c>
    </row>
    <row r="11670" spans="1:4" x14ac:dyDescent="0.3">
      <c r="A11670" s="1">
        <v>42864</v>
      </c>
      <c r="B11670">
        <v>6120.5898440000001</v>
      </c>
      <c r="C11670">
        <f t="shared" si="381"/>
        <v>2.9380118737845984E-3</v>
      </c>
      <c r="D11670">
        <f t="shared" si="380"/>
        <v>0.19785091681569866</v>
      </c>
    </row>
    <row r="11671" spans="1:4" x14ac:dyDescent="0.3">
      <c r="A11671" s="1">
        <v>42865</v>
      </c>
      <c r="B11671">
        <v>6129.1401370000003</v>
      </c>
      <c r="C11671">
        <f t="shared" si="381"/>
        <v>1.3969720595445666E-3</v>
      </c>
      <c r="D11671">
        <f t="shared" si="380"/>
        <v>7.4574068470076124E-2</v>
      </c>
    </row>
    <row r="11672" spans="1:4" x14ac:dyDescent="0.3">
      <c r="A11672" s="1">
        <v>42866</v>
      </c>
      <c r="B11672">
        <v>6115.9599609999996</v>
      </c>
      <c r="C11672">
        <f t="shared" si="381"/>
        <v>-2.1504119183758772E-3</v>
      </c>
      <c r="D11672">
        <f t="shared" si="380"/>
        <v>-0.20920206283348183</v>
      </c>
    </row>
    <row r="11673" spans="1:4" x14ac:dyDescent="0.3">
      <c r="A11673" s="1">
        <v>42867</v>
      </c>
      <c r="B11673">
        <v>6121.2299800000001</v>
      </c>
      <c r="C11673">
        <f t="shared" si="381"/>
        <v>8.6168304462523322E-4</v>
      </c>
      <c r="D11673">
        <f t="shared" si="380"/>
        <v>3.1753148398111018E-2</v>
      </c>
    </row>
    <row r="11674" spans="1:4" x14ac:dyDescent="0.3">
      <c r="A11674" s="1">
        <v>42870</v>
      </c>
      <c r="B11674">
        <v>6149.669922</v>
      </c>
      <c r="C11674">
        <f t="shared" si="381"/>
        <v>4.646115583456639E-3</v>
      </c>
      <c r="D11674">
        <f t="shared" si="380"/>
        <v>0.33449218982503909</v>
      </c>
    </row>
    <row r="11675" spans="1:4" x14ac:dyDescent="0.3">
      <c r="A11675" s="1">
        <v>42871</v>
      </c>
      <c r="B11675">
        <v>6169.8701170000004</v>
      </c>
      <c r="C11675">
        <f t="shared" si="381"/>
        <v>3.2847608499662088E-3</v>
      </c>
      <c r="D11675">
        <f t="shared" si="380"/>
        <v>0.2255894090699177</v>
      </c>
    </row>
    <row r="11676" spans="1:4" x14ac:dyDescent="0.3">
      <c r="A11676" s="1">
        <v>42872</v>
      </c>
      <c r="B11676">
        <v>6011.2402339999999</v>
      </c>
      <c r="C11676">
        <f t="shared" si="381"/>
        <v>-2.5710408807946145E-2</v>
      </c>
      <c r="D11676">
        <f t="shared" si="380"/>
        <v>-2.093904934713017</v>
      </c>
    </row>
    <row r="11677" spans="1:4" x14ac:dyDescent="0.3">
      <c r="A11677" s="1">
        <v>42873</v>
      </c>
      <c r="B11677">
        <v>6055.1298829999996</v>
      </c>
      <c r="C11677">
        <f t="shared" si="381"/>
        <v>7.3012635149327047E-3</v>
      </c>
      <c r="D11677">
        <f t="shared" si="380"/>
        <v>0.54689310630959231</v>
      </c>
    </row>
    <row r="11678" spans="1:4" x14ac:dyDescent="0.3">
      <c r="A11678" s="1">
        <v>42874</v>
      </c>
      <c r="B11678">
        <v>6083.7001950000003</v>
      </c>
      <c r="C11678">
        <f t="shared" si="381"/>
        <v>4.7183648496480551E-3</v>
      </c>
      <c r="D11678">
        <f t="shared" si="380"/>
        <v>0.3402718340295946</v>
      </c>
    </row>
    <row r="11679" spans="1:4" x14ac:dyDescent="0.3">
      <c r="A11679" s="1">
        <v>42877</v>
      </c>
      <c r="B11679">
        <v>6133.6201170000004</v>
      </c>
      <c r="C11679">
        <f t="shared" si="381"/>
        <v>8.205519733044642E-3</v>
      </c>
      <c r="D11679">
        <f t="shared" si="380"/>
        <v>0.61922988543476054</v>
      </c>
    </row>
    <row r="11680" spans="1:4" x14ac:dyDescent="0.3">
      <c r="A11680" s="1">
        <v>42878</v>
      </c>
      <c r="B11680">
        <v>6138.7099609999996</v>
      </c>
      <c r="C11680">
        <f t="shared" si="381"/>
        <v>8.2982706833964405E-4</v>
      </c>
      <c r="D11680">
        <f t="shared" si="380"/>
        <v>2.9204801287821082E-2</v>
      </c>
    </row>
    <row r="11681" spans="1:4" x14ac:dyDescent="0.3">
      <c r="A11681" s="1">
        <v>42879</v>
      </c>
      <c r="B11681">
        <v>6163.0200199999999</v>
      </c>
      <c r="C11681">
        <f t="shared" si="381"/>
        <v>3.9601250351369004E-3</v>
      </c>
      <c r="D11681">
        <f t="shared" si="380"/>
        <v>0.27961576676944971</v>
      </c>
    </row>
    <row r="11682" spans="1:4" x14ac:dyDescent="0.3">
      <c r="A11682" s="1">
        <v>42880</v>
      </c>
      <c r="B11682">
        <v>6205.2597660000001</v>
      </c>
      <c r="C11682">
        <f t="shared" si="381"/>
        <v>6.8537414876027282E-3</v>
      </c>
      <c r="D11682">
        <f t="shared" si="380"/>
        <v>0.51109318434476636</v>
      </c>
    </row>
    <row r="11683" spans="1:4" x14ac:dyDescent="0.3">
      <c r="A11683" s="1">
        <v>42881</v>
      </c>
      <c r="B11683">
        <v>6210.1899409999996</v>
      </c>
      <c r="C11683">
        <f t="shared" si="381"/>
        <v>7.9451548942608894E-4</v>
      </c>
      <c r="D11683">
        <f t="shared" si="380"/>
        <v>2.6380020176816781E-2</v>
      </c>
    </row>
    <row r="11684" spans="1:4" x14ac:dyDescent="0.3">
      <c r="A11684" s="1">
        <v>42885</v>
      </c>
      <c r="B11684">
        <v>6203.1899409999996</v>
      </c>
      <c r="C11684">
        <f t="shared" si="381"/>
        <v>-1.1271796944221678E-3</v>
      </c>
      <c r="D11684">
        <f t="shared" si="380"/>
        <v>-0.12734769247323111</v>
      </c>
    </row>
    <row r="11685" spans="1:4" x14ac:dyDescent="0.3">
      <c r="A11685" s="1">
        <v>42886</v>
      </c>
      <c r="B11685">
        <v>6198.5200199999999</v>
      </c>
      <c r="C11685">
        <f t="shared" si="381"/>
        <v>-7.5282573069927283E-4</v>
      </c>
      <c r="D11685">
        <f t="shared" si="380"/>
        <v>-9.7400914728096352E-2</v>
      </c>
    </row>
    <row r="11686" spans="1:4" x14ac:dyDescent="0.3">
      <c r="A11686" s="1">
        <v>42887</v>
      </c>
      <c r="B11686">
        <v>6246.830078</v>
      </c>
      <c r="C11686">
        <f t="shared" si="381"/>
        <v>7.7938052703103193E-3</v>
      </c>
      <c r="D11686">
        <f t="shared" si="380"/>
        <v>0.58629442139600141</v>
      </c>
    </row>
    <row r="11687" spans="1:4" x14ac:dyDescent="0.3">
      <c r="A11687" s="1">
        <v>42888</v>
      </c>
      <c r="B11687">
        <v>6305.7998049999997</v>
      </c>
      <c r="C11687">
        <f t="shared" si="381"/>
        <v>9.4399441418581993E-3</v>
      </c>
      <c r="D11687">
        <f t="shared" si="380"/>
        <v>0.71797876215634593</v>
      </c>
    </row>
    <row r="11688" spans="1:4" x14ac:dyDescent="0.3">
      <c r="A11688" s="1">
        <v>42891</v>
      </c>
      <c r="B11688">
        <v>6295.6801759999998</v>
      </c>
      <c r="C11688">
        <f t="shared" si="381"/>
        <v>-1.604812920317537E-3</v>
      </c>
      <c r="D11688">
        <f t="shared" si="380"/>
        <v>-0.16555638650530016</v>
      </c>
    </row>
    <row r="11689" spans="1:4" x14ac:dyDescent="0.3">
      <c r="A11689" s="1">
        <v>42892</v>
      </c>
      <c r="B11689">
        <v>6275.0600590000004</v>
      </c>
      <c r="C11689">
        <f t="shared" si="381"/>
        <v>-3.2752802594080634E-3</v>
      </c>
      <c r="D11689">
        <f t="shared" si="380"/>
        <v>-0.29918690462980002</v>
      </c>
    </row>
    <row r="11690" spans="1:4" x14ac:dyDescent="0.3">
      <c r="A11690" s="1">
        <v>42893</v>
      </c>
      <c r="B11690">
        <v>6297.3798829999996</v>
      </c>
      <c r="C11690">
        <f t="shared" si="381"/>
        <v>3.5569100200064305E-3</v>
      </c>
      <c r="D11690">
        <f t="shared" si="380"/>
        <v>0.24736022358906143</v>
      </c>
    </row>
    <row r="11691" spans="1:4" x14ac:dyDescent="0.3">
      <c r="A11691" s="1">
        <v>42894</v>
      </c>
      <c r="B11691">
        <v>6321.7597660000001</v>
      </c>
      <c r="C11691">
        <f t="shared" si="381"/>
        <v>3.8714327947429179E-3</v>
      </c>
      <c r="D11691">
        <f t="shared" si="380"/>
        <v>0.2725207522426028</v>
      </c>
    </row>
    <row r="11692" spans="1:4" x14ac:dyDescent="0.3">
      <c r="A11692" s="1">
        <v>42895</v>
      </c>
      <c r="B11692">
        <v>6207.919922</v>
      </c>
      <c r="C11692">
        <f t="shared" si="381"/>
        <v>-1.8007619430946923E-2</v>
      </c>
      <c r="D11692">
        <f t="shared" si="380"/>
        <v>-1.4777134586122573</v>
      </c>
    </row>
    <row r="11693" spans="1:4" x14ac:dyDescent="0.3">
      <c r="A11693" s="1">
        <v>42898</v>
      </c>
      <c r="B11693">
        <v>6175.4599609999996</v>
      </c>
      <c r="C11693">
        <f t="shared" si="381"/>
        <v>-5.2287982783036412E-3</v>
      </c>
      <c r="D11693">
        <f t="shared" si="380"/>
        <v>-0.45546031322735403</v>
      </c>
    </row>
    <row r="11694" spans="1:4" x14ac:dyDescent="0.3">
      <c r="A11694" s="1">
        <v>42899</v>
      </c>
      <c r="B11694">
        <v>6220.3701170000004</v>
      </c>
      <c r="C11694">
        <f t="shared" si="381"/>
        <v>7.2723580565047449E-3</v>
      </c>
      <c r="D11694">
        <f t="shared" si="380"/>
        <v>0.54458078849531077</v>
      </c>
    </row>
    <row r="11695" spans="1:4" x14ac:dyDescent="0.3">
      <c r="A11695" s="1">
        <v>42900</v>
      </c>
      <c r="B11695">
        <v>6194.8901370000003</v>
      </c>
      <c r="C11695">
        <f t="shared" si="381"/>
        <v>-4.0962160644371299E-3</v>
      </c>
      <c r="D11695">
        <f t="shared" si="380"/>
        <v>-0.36485839332392445</v>
      </c>
    </row>
    <row r="11696" spans="1:4" x14ac:dyDescent="0.3">
      <c r="A11696" s="1">
        <v>42901</v>
      </c>
      <c r="B11696">
        <v>6165.5</v>
      </c>
      <c r="C11696">
        <f t="shared" si="381"/>
        <v>-4.7442547567490981E-3</v>
      </c>
      <c r="D11696">
        <f t="shared" si="380"/>
        <v>-0.41669882395785657</v>
      </c>
    </row>
    <row r="11697" spans="1:4" x14ac:dyDescent="0.3">
      <c r="A11697" s="1">
        <v>42902</v>
      </c>
      <c r="B11697">
        <v>6151.7597660000001</v>
      </c>
      <c r="C11697">
        <f t="shared" si="381"/>
        <v>-2.2285676749655135E-3</v>
      </c>
      <c r="D11697">
        <f t="shared" si="380"/>
        <v>-0.21545420198226134</v>
      </c>
    </row>
    <row r="11698" spans="1:4" x14ac:dyDescent="0.3">
      <c r="A11698" s="1">
        <v>42905</v>
      </c>
      <c r="B11698">
        <v>6239.0097660000001</v>
      </c>
      <c r="C11698">
        <f t="shared" si="381"/>
        <v>1.418293355378078E-2</v>
      </c>
      <c r="D11698">
        <f t="shared" si="380"/>
        <v>1.0973984118211539</v>
      </c>
    </row>
    <row r="11699" spans="1:4" x14ac:dyDescent="0.3">
      <c r="A11699" s="1">
        <v>42906</v>
      </c>
      <c r="B11699">
        <v>6188.0297849999997</v>
      </c>
      <c r="C11699">
        <f t="shared" si="381"/>
        <v>-8.1711654432438992E-3</v>
      </c>
      <c r="D11699">
        <f t="shared" si="380"/>
        <v>-0.69083758733649747</v>
      </c>
    </row>
    <row r="11700" spans="1:4" x14ac:dyDescent="0.3">
      <c r="A11700" s="1">
        <v>42907</v>
      </c>
      <c r="B11700">
        <v>6233.9501950000003</v>
      </c>
      <c r="C11700">
        <f t="shared" si="381"/>
        <v>7.4208450177976363E-3</v>
      </c>
      <c r="D11700">
        <f t="shared" si="380"/>
        <v>0.55645913481670894</v>
      </c>
    </row>
    <row r="11701" spans="1:4" x14ac:dyDescent="0.3">
      <c r="A11701" s="1">
        <v>42908</v>
      </c>
      <c r="B11701">
        <v>6236.6899409999996</v>
      </c>
      <c r="C11701">
        <f t="shared" si="381"/>
        <v>4.3948795134692058E-4</v>
      </c>
      <c r="D11701">
        <f t="shared" si="380"/>
        <v>-2.0207229875569676E-3</v>
      </c>
    </row>
    <row r="11702" spans="1:4" x14ac:dyDescent="0.3">
      <c r="A11702" s="1">
        <v>42909</v>
      </c>
      <c r="B11702">
        <v>6265.25</v>
      </c>
      <c r="C11702">
        <f t="shared" si="381"/>
        <v>4.5793616918882781E-3</v>
      </c>
      <c r="D11702">
        <f t="shared" si="380"/>
        <v>0.32915215299321249</v>
      </c>
    </row>
    <row r="11703" spans="1:4" x14ac:dyDescent="0.3">
      <c r="A11703" s="1">
        <v>42912</v>
      </c>
      <c r="B11703">
        <v>6247.1499020000001</v>
      </c>
      <c r="C11703">
        <f t="shared" si="381"/>
        <v>-2.8889666014923409E-3</v>
      </c>
      <c r="D11703">
        <f t="shared" si="380"/>
        <v>-0.26828340052779542</v>
      </c>
    </row>
    <row r="11704" spans="1:4" x14ac:dyDescent="0.3">
      <c r="A11704" s="1">
        <v>42913</v>
      </c>
      <c r="B11704">
        <v>6146.6201170000004</v>
      </c>
      <c r="C11704">
        <f t="shared" si="381"/>
        <v>-1.6092103851680511E-2</v>
      </c>
      <c r="D11704">
        <f t="shared" si="380"/>
        <v>-1.324480088918071</v>
      </c>
    </row>
    <row r="11705" spans="1:4" x14ac:dyDescent="0.3">
      <c r="A11705" s="1">
        <v>42914</v>
      </c>
      <c r="B11705">
        <v>6234.4101559999999</v>
      </c>
      <c r="C11705">
        <f t="shared" si="381"/>
        <v>1.4282652470614611E-2</v>
      </c>
      <c r="D11705">
        <f t="shared" si="380"/>
        <v>1.1053755151212241</v>
      </c>
    </row>
    <row r="11706" spans="1:4" x14ac:dyDescent="0.3">
      <c r="A11706" s="1">
        <v>42915</v>
      </c>
      <c r="B11706">
        <v>6144.3500979999999</v>
      </c>
      <c r="C11706">
        <f t="shared" si="381"/>
        <v>-1.4445642129163763E-2</v>
      </c>
      <c r="D11706">
        <f t="shared" si="380"/>
        <v>-1.1927699214077883</v>
      </c>
    </row>
    <row r="11707" spans="1:4" x14ac:dyDescent="0.3">
      <c r="A11707" s="1">
        <v>42916</v>
      </c>
      <c r="B11707">
        <v>6140.419922</v>
      </c>
      <c r="C11707">
        <f t="shared" si="381"/>
        <v>-6.3964063526899748E-4</v>
      </c>
      <c r="D11707">
        <f t="shared" si="380"/>
        <v>-8.8346572513567714E-2</v>
      </c>
    </row>
    <row r="11708" spans="1:4" x14ac:dyDescent="0.3">
      <c r="A11708" s="1">
        <v>42919</v>
      </c>
      <c r="B11708">
        <v>6110.0600590000004</v>
      </c>
      <c r="C11708">
        <f t="shared" si="381"/>
        <v>-4.9442649502236561E-3</v>
      </c>
      <c r="D11708">
        <f t="shared" si="380"/>
        <v>-0.43269881698899137</v>
      </c>
    </row>
    <row r="11709" spans="1:4" x14ac:dyDescent="0.3">
      <c r="A11709" s="1">
        <v>42921</v>
      </c>
      <c r="B11709">
        <v>6150.8598629999997</v>
      </c>
      <c r="C11709">
        <f t="shared" si="381"/>
        <v>6.6774800257326421E-3</v>
      </c>
      <c r="D11709">
        <f t="shared" si="380"/>
        <v>0.49699299218662146</v>
      </c>
    </row>
    <row r="11710" spans="1:4" x14ac:dyDescent="0.3">
      <c r="A11710" s="1">
        <v>42922</v>
      </c>
      <c r="B11710">
        <v>6089.4599609999996</v>
      </c>
      <c r="C11710">
        <f t="shared" si="381"/>
        <v>-9.9823282220013274E-3</v>
      </c>
      <c r="D11710">
        <f t="shared" si="380"/>
        <v>-0.83572316209124464</v>
      </c>
    </row>
    <row r="11711" spans="1:4" x14ac:dyDescent="0.3">
      <c r="A11711" s="1">
        <v>42923</v>
      </c>
      <c r="B11711">
        <v>6153.080078</v>
      </c>
      <c r="C11711">
        <f t="shared" si="381"/>
        <v>1.0447579491031388E-2</v>
      </c>
      <c r="D11711">
        <f t="shared" si="380"/>
        <v>0.79858544666888731</v>
      </c>
    </row>
    <row r="11712" spans="1:4" x14ac:dyDescent="0.3">
      <c r="A11712" s="1">
        <v>42926</v>
      </c>
      <c r="B11712">
        <v>6176.3901370000003</v>
      </c>
      <c r="C11712">
        <f t="shared" si="381"/>
        <v>3.7883561898282782E-3</v>
      </c>
      <c r="D11712">
        <f t="shared" si="380"/>
        <v>0.26587496546247225</v>
      </c>
    </row>
    <row r="11713" spans="1:4" x14ac:dyDescent="0.3">
      <c r="A11713" s="1">
        <v>42927</v>
      </c>
      <c r="B11713">
        <v>6193.2998049999997</v>
      </c>
      <c r="C11713">
        <f t="shared" si="381"/>
        <v>2.7377914323612825E-3</v>
      </c>
      <c r="D11713">
        <f t="shared" si="380"/>
        <v>0.181834104813208</v>
      </c>
    </row>
    <row r="11714" spans="1:4" x14ac:dyDescent="0.3">
      <c r="A11714" s="1">
        <v>42928</v>
      </c>
      <c r="B11714">
        <v>6261.169922</v>
      </c>
      <c r="C11714">
        <f t="shared" si="381"/>
        <v>1.0958635805940998E-2</v>
      </c>
      <c r="D11714">
        <f t="shared" si="380"/>
        <v>0.8394678503855324</v>
      </c>
    </row>
    <row r="11715" spans="1:4" x14ac:dyDescent="0.3">
      <c r="A11715" s="1">
        <v>42929</v>
      </c>
      <c r="B11715">
        <v>6274.4399409999996</v>
      </c>
      <c r="C11715">
        <f t="shared" si="381"/>
        <v>2.1194152475198695E-3</v>
      </c>
      <c r="D11715">
        <f t="shared" ref="D11715:D11778" si="382">(C11715-avrtn)/sdrtn</f>
        <v>0.13236655280396076</v>
      </c>
    </row>
    <row r="11716" spans="1:4" x14ac:dyDescent="0.3">
      <c r="A11716" s="1">
        <v>42930</v>
      </c>
      <c r="B11716">
        <v>6312.4702150000003</v>
      </c>
      <c r="C11716">
        <f t="shared" ref="C11716:C11779" si="383">(B11716-B11715)/B11715</f>
        <v>6.0611424059530492E-3</v>
      </c>
      <c r="D11716">
        <f t="shared" si="382"/>
        <v>0.44768851699969014</v>
      </c>
    </row>
    <row r="11717" spans="1:4" x14ac:dyDescent="0.3">
      <c r="A11717" s="1">
        <v>42933</v>
      </c>
      <c r="B11717">
        <v>6314.4301759999998</v>
      </c>
      <c r="C11717">
        <f t="shared" si="383"/>
        <v>3.1049033630958149E-4</v>
      </c>
      <c r="D11717">
        <f t="shared" si="382"/>
        <v>-1.234000174918155E-2</v>
      </c>
    </row>
    <row r="11718" spans="1:4" x14ac:dyDescent="0.3">
      <c r="A11718" s="1">
        <v>42934</v>
      </c>
      <c r="B11718">
        <v>6344.3100590000004</v>
      </c>
      <c r="C11718">
        <f t="shared" si="383"/>
        <v>4.7319999061148097E-3</v>
      </c>
      <c r="D11718">
        <f t="shared" si="382"/>
        <v>0.34136258247924778</v>
      </c>
    </row>
    <row r="11719" spans="1:4" x14ac:dyDescent="0.3">
      <c r="A11719" s="1">
        <v>42935</v>
      </c>
      <c r="B11719">
        <v>6385.0400390000004</v>
      </c>
      <c r="C11719">
        <f t="shared" si="383"/>
        <v>6.4199226742111641E-3</v>
      </c>
      <c r="D11719">
        <f t="shared" si="382"/>
        <v>0.47638946314706093</v>
      </c>
    </row>
    <row r="11720" spans="1:4" x14ac:dyDescent="0.3">
      <c r="A11720" s="1">
        <v>42936</v>
      </c>
      <c r="B11720">
        <v>6390</v>
      </c>
      <c r="C11720">
        <f t="shared" si="383"/>
        <v>7.7680969417638548E-4</v>
      </c>
      <c r="D11720">
        <f t="shared" si="382"/>
        <v>2.4963629363505609E-2</v>
      </c>
    </row>
    <row r="11721" spans="1:4" x14ac:dyDescent="0.3">
      <c r="A11721" s="1">
        <v>42937</v>
      </c>
      <c r="B11721">
        <v>6387.75</v>
      </c>
      <c r="C11721">
        <f t="shared" si="383"/>
        <v>-3.5211267605633805E-4</v>
      </c>
      <c r="D11721">
        <f t="shared" si="382"/>
        <v>-6.5345518098587893E-2</v>
      </c>
    </row>
    <row r="11722" spans="1:4" x14ac:dyDescent="0.3">
      <c r="A11722" s="1">
        <v>42940</v>
      </c>
      <c r="B11722">
        <v>6410.8100590000004</v>
      </c>
      <c r="C11722">
        <f t="shared" si="383"/>
        <v>3.6100440687253516E-3</v>
      </c>
      <c r="D11722">
        <f t="shared" si="382"/>
        <v>0.25161072899806125</v>
      </c>
    </row>
    <row r="11723" spans="1:4" x14ac:dyDescent="0.3">
      <c r="A11723" s="1">
        <v>42941</v>
      </c>
      <c r="B11723">
        <v>6412.169922</v>
      </c>
      <c r="C11723">
        <f t="shared" si="383"/>
        <v>2.1212030733785265E-4</v>
      </c>
      <c r="D11723">
        <f t="shared" si="382"/>
        <v>-2.0209199566943743E-2</v>
      </c>
    </row>
    <row r="11724" spans="1:4" x14ac:dyDescent="0.3">
      <c r="A11724" s="1">
        <v>42942</v>
      </c>
      <c r="B11724">
        <v>6422.75</v>
      </c>
      <c r="C11724">
        <f t="shared" si="383"/>
        <v>1.6499996301875854E-3</v>
      </c>
      <c r="D11724">
        <f t="shared" si="382"/>
        <v>9.4815233665930171E-2</v>
      </c>
    </row>
    <row r="11725" spans="1:4" x14ac:dyDescent="0.3">
      <c r="A11725" s="1">
        <v>42943</v>
      </c>
      <c r="B11725">
        <v>6382.1899409999996</v>
      </c>
      <c r="C11725">
        <f t="shared" si="383"/>
        <v>-6.3150611498190594E-3</v>
      </c>
      <c r="D11725">
        <f t="shared" si="382"/>
        <v>-0.54235687620897</v>
      </c>
    </row>
    <row r="11726" spans="1:4" x14ac:dyDescent="0.3">
      <c r="A11726" s="1">
        <v>42944</v>
      </c>
      <c r="B11726">
        <v>6374.6801759999998</v>
      </c>
      <c r="C11726">
        <f t="shared" si="383"/>
        <v>-1.1766752587158372E-3</v>
      </c>
      <c r="D11726">
        <f t="shared" si="382"/>
        <v>-0.13130713408974817</v>
      </c>
    </row>
    <row r="11727" spans="1:4" x14ac:dyDescent="0.3">
      <c r="A11727" s="1">
        <v>42947</v>
      </c>
      <c r="B11727">
        <v>6348.1201170000004</v>
      </c>
      <c r="C11727">
        <f t="shared" si="383"/>
        <v>-4.1664927912768521E-3</v>
      </c>
      <c r="D11727">
        <f t="shared" si="382"/>
        <v>-0.37048024249147471</v>
      </c>
    </row>
    <row r="11728" spans="1:4" x14ac:dyDescent="0.3">
      <c r="A11728" s="1">
        <v>42948</v>
      </c>
      <c r="B11728">
        <v>6362.9399409999996</v>
      </c>
      <c r="C11728">
        <f t="shared" si="383"/>
        <v>2.3345216736388422E-3</v>
      </c>
      <c r="D11728">
        <f t="shared" si="382"/>
        <v>0.14957418237056913</v>
      </c>
    </row>
    <row r="11729" spans="1:4" x14ac:dyDescent="0.3">
      <c r="A11729" s="1">
        <v>42949</v>
      </c>
      <c r="B11729">
        <v>6362.6499020000001</v>
      </c>
      <c r="C11729">
        <f t="shared" si="383"/>
        <v>-4.5582545598244567E-5</v>
      </c>
      <c r="D11729">
        <f t="shared" si="382"/>
        <v>-4.0824368121368401E-2</v>
      </c>
    </row>
    <row r="11730" spans="1:4" x14ac:dyDescent="0.3">
      <c r="A11730" s="1">
        <v>42950</v>
      </c>
      <c r="B11730">
        <v>6340.3398440000001</v>
      </c>
      <c r="C11730">
        <f t="shared" si="383"/>
        <v>-3.5064098046612949E-3</v>
      </c>
      <c r="D11730">
        <f t="shared" si="382"/>
        <v>-0.31767631783968953</v>
      </c>
    </row>
    <row r="11731" spans="1:4" x14ac:dyDescent="0.3">
      <c r="A11731" s="1">
        <v>42951</v>
      </c>
      <c r="B11731">
        <v>6351.5600590000004</v>
      </c>
      <c r="C11731">
        <f t="shared" si="383"/>
        <v>1.7696551409019834E-3</v>
      </c>
      <c r="D11731">
        <f t="shared" si="382"/>
        <v>0.10438718249668198</v>
      </c>
    </row>
    <row r="11732" spans="1:4" x14ac:dyDescent="0.3">
      <c r="A11732" s="1">
        <v>42954</v>
      </c>
      <c r="B11732">
        <v>6383.7700199999999</v>
      </c>
      <c r="C11732">
        <f t="shared" si="383"/>
        <v>5.0711889206430261E-3</v>
      </c>
      <c r="D11732">
        <f t="shared" si="382"/>
        <v>0.36849630888794338</v>
      </c>
    </row>
    <row r="11733" spans="1:4" x14ac:dyDescent="0.3">
      <c r="A11733" s="1">
        <v>42955</v>
      </c>
      <c r="B11733">
        <v>6370.4599609999996</v>
      </c>
      <c r="C11733">
        <f t="shared" si="383"/>
        <v>-2.0849841016046446E-3</v>
      </c>
      <c r="D11733">
        <f t="shared" si="382"/>
        <v>-0.20396810653257338</v>
      </c>
    </row>
    <row r="11734" spans="1:4" x14ac:dyDescent="0.3">
      <c r="A11734" s="1">
        <v>42956</v>
      </c>
      <c r="B11734">
        <v>6352.330078</v>
      </c>
      <c r="C11734">
        <f t="shared" si="383"/>
        <v>-2.8459299816639425E-3</v>
      </c>
      <c r="D11734">
        <f t="shared" si="382"/>
        <v>-0.26484064790916173</v>
      </c>
    </row>
    <row r="11735" spans="1:4" x14ac:dyDescent="0.3">
      <c r="A11735" s="1">
        <v>42957</v>
      </c>
      <c r="B11735">
        <v>6216.8701170000004</v>
      </c>
      <c r="C11735">
        <f t="shared" si="383"/>
        <v>-2.1324452498011324E-2</v>
      </c>
      <c r="D11735">
        <f t="shared" si="382"/>
        <v>-1.7430464650783419</v>
      </c>
    </row>
    <row r="11736" spans="1:4" x14ac:dyDescent="0.3">
      <c r="A11736" s="1">
        <v>42958</v>
      </c>
      <c r="B11736">
        <v>6256.5600590000004</v>
      </c>
      <c r="C11736">
        <f t="shared" si="383"/>
        <v>6.3842321382053691E-3</v>
      </c>
      <c r="D11736">
        <f t="shared" si="382"/>
        <v>0.47353436702695828</v>
      </c>
    </row>
    <row r="11737" spans="1:4" x14ac:dyDescent="0.3">
      <c r="A11737" s="1">
        <v>42961</v>
      </c>
      <c r="B11737">
        <v>6340.2299800000001</v>
      </c>
      <c r="C11737">
        <f t="shared" si="383"/>
        <v>1.3373150774704278E-2</v>
      </c>
      <c r="D11737">
        <f t="shared" si="382"/>
        <v>1.0326191193417178</v>
      </c>
    </row>
    <row r="11738" spans="1:4" x14ac:dyDescent="0.3">
      <c r="A11738" s="1">
        <v>42962</v>
      </c>
      <c r="B11738">
        <v>6333.0097660000001</v>
      </c>
      <c r="C11738">
        <f t="shared" si="383"/>
        <v>-1.1387937066598239E-3</v>
      </c>
      <c r="D11738">
        <f t="shared" si="382"/>
        <v>-0.12827676569513993</v>
      </c>
    </row>
    <row r="11739" spans="1:4" x14ac:dyDescent="0.3">
      <c r="A11739" s="1">
        <v>42963</v>
      </c>
      <c r="B11739">
        <v>6345.1098629999997</v>
      </c>
      <c r="C11739">
        <f t="shared" si="383"/>
        <v>1.9106392453334408E-3</v>
      </c>
      <c r="D11739">
        <f t="shared" si="382"/>
        <v>0.11566533112109713</v>
      </c>
    </row>
    <row r="11740" spans="1:4" x14ac:dyDescent="0.3">
      <c r="A11740" s="1">
        <v>42964</v>
      </c>
      <c r="B11740">
        <v>6221.9101559999999</v>
      </c>
      <c r="C11740">
        <f t="shared" si="383"/>
        <v>-1.9416481299781675E-2</v>
      </c>
      <c r="D11740">
        <f t="shared" si="382"/>
        <v>-1.5904166148444165</v>
      </c>
    </row>
    <row r="11741" spans="1:4" x14ac:dyDescent="0.3">
      <c r="A11741" s="1">
        <v>42965</v>
      </c>
      <c r="B11741">
        <v>6216.5297849999997</v>
      </c>
      <c r="C11741">
        <f t="shared" si="383"/>
        <v>-8.6474585217398555E-4</v>
      </c>
      <c r="D11741">
        <f t="shared" si="382"/>
        <v>-0.10635406422778394</v>
      </c>
    </row>
    <row r="11742" spans="1:4" x14ac:dyDescent="0.3">
      <c r="A11742" s="1">
        <v>42968</v>
      </c>
      <c r="B11742">
        <v>6213.1298829999996</v>
      </c>
      <c r="C11742">
        <f t="shared" si="383"/>
        <v>-5.4691316821224101E-4</v>
      </c>
      <c r="D11742">
        <f t="shared" si="382"/>
        <v>-8.0928756446650083E-2</v>
      </c>
    </row>
    <row r="11743" spans="1:4" x14ac:dyDescent="0.3">
      <c r="A11743" s="1">
        <v>42969</v>
      </c>
      <c r="B11743">
        <v>6297.4799800000001</v>
      </c>
      <c r="C11743">
        <f t="shared" si="383"/>
        <v>1.3576103926427521E-2</v>
      </c>
      <c r="D11743">
        <f t="shared" si="382"/>
        <v>1.0488545369312308</v>
      </c>
    </row>
    <row r="11744" spans="1:4" x14ac:dyDescent="0.3">
      <c r="A11744" s="1">
        <v>42970</v>
      </c>
      <c r="B11744">
        <v>6278.4101559999999</v>
      </c>
      <c r="C11744">
        <f t="shared" si="383"/>
        <v>-3.0281674670762752E-3</v>
      </c>
      <c r="D11744">
        <f t="shared" si="382"/>
        <v>-0.27941889737713071</v>
      </c>
    </row>
    <row r="11745" spans="1:4" x14ac:dyDescent="0.3">
      <c r="A11745" s="1">
        <v>42971</v>
      </c>
      <c r="B11745">
        <v>6271.330078</v>
      </c>
      <c r="C11745">
        <f t="shared" si="383"/>
        <v>-1.1276864403695957E-3</v>
      </c>
      <c r="D11745">
        <f t="shared" si="382"/>
        <v>-0.12738823006527356</v>
      </c>
    </row>
    <row r="11746" spans="1:4" x14ac:dyDescent="0.3">
      <c r="A11746" s="1">
        <v>42972</v>
      </c>
      <c r="B11746">
        <v>6265.6401370000003</v>
      </c>
      <c r="C11746">
        <f t="shared" si="383"/>
        <v>-9.0729413525212233E-4</v>
      </c>
      <c r="D11746">
        <f t="shared" si="382"/>
        <v>-0.10975775191444945</v>
      </c>
    </row>
    <row r="11747" spans="1:4" x14ac:dyDescent="0.3">
      <c r="A11747" s="1">
        <v>42975</v>
      </c>
      <c r="B11747">
        <v>6283.0200199999999</v>
      </c>
      <c r="C11747">
        <f t="shared" si="383"/>
        <v>2.7738399620762656E-3</v>
      </c>
      <c r="D11747">
        <f t="shared" si="382"/>
        <v>0.18471783895796673</v>
      </c>
    </row>
    <row r="11748" spans="1:4" x14ac:dyDescent="0.3">
      <c r="A11748" s="1">
        <v>42976</v>
      </c>
      <c r="B11748">
        <v>6301.8901370000003</v>
      </c>
      <c r="C11748">
        <f t="shared" si="383"/>
        <v>3.0033514042504023E-3</v>
      </c>
      <c r="D11748">
        <f t="shared" si="382"/>
        <v>0.2030778105752083</v>
      </c>
    </row>
    <row r="11749" spans="1:4" x14ac:dyDescent="0.3">
      <c r="A11749" s="1">
        <v>42977</v>
      </c>
      <c r="B11749">
        <v>6368.3100590000004</v>
      </c>
      <c r="C11749">
        <f t="shared" si="383"/>
        <v>1.0539682627920119E-2</v>
      </c>
      <c r="D11749">
        <f t="shared" si="382"/>
        <v>0.80595331888962385</v>
      </c>
    </row>
    <row r="11750" spans="1:4" x14ac:dyDescent="0.3">
      <c r="A11750" s="1">
        <v>42978</v>
      </c>
      <c r="B11750">
        <v>6428.6601559999999</v>
      </c>
      <c r="C11750">
        <f t="shared" si="383"/>
        <v>9.4766266781734203E-3</v>
      </c>
      <c r="D11750">
        <f t="shared" si="382"/>
        <v>0.720913214222073</v>
      </c>
    </row>
    <row r="11751" spans="1:4" x14ac:dyDescent="0.3">
      <c r="A11751" s="1">
        <v>42979</v>
      </c>
      <c r="B11751">
        <v>6435.330078</v>
      </c>
      <c r="C11751">
        <f t="shared" si="383"/>
        <v>1.0375291021994478E-3</v>
      </c>
      <c r="D11751">
        <f t="shared" si="382"/>
        <v>4.5820109920738851E-2</v>
      </c>
    </row>
    <row r="11752" spans="1:4" x14ac:dyDescent="0.3">
      <c r="A11752" s="1">
        <v>42983</v>
      </c>
      <c r="B11752">
        <v>6375.5698240000002</v>
      </c>
      <c r="C11752">
        <f t="shared" si="383"/>
        <v>-9.2862764264878793E-3</v>
      </c>
      <c r="D11752">
        <f t="shared" si="382"/>
        <v>-0.7800418806322541</v>
      </c>
    </row>
    <row r="11753" spans="1:4" x14ac:dyDescent="0.3">
      <c r="A11753" s="1">
        <v>42984</v>
      </c>
      <c r="B11753">
        <v>6393.3100590000004</v>
      </c>
      <c r="C11753">
        <f t="shared" si="383"/>
        <v>2.782533246396175E-3</v>
      </c>
      <c r="D11753">
        <f t="shared" si="382"/>
        <v>0.18541326595656077</v>
      </c>
    </row>
    <row r="11754" spans="1:4" x14ac:dyDescent="0.3">
      <c r="A11754" s="1">
        <v>42985</v>
      </c>
      <c r="B11754">
        <v>6397.8701170000004</v>
      </c>
      <c r="C11754">
        <f t="shared" si="383"/>
        <v>7.132546299050105E-4</v>
      </c>
      <c r="D11754">
        <f t="shared" si="382"/>
        <v>1.987948556178146E-2</v>
      </c>
    </row>
    <row r="11755" spans="1:4" x14ac:dyDescent="0.3">
      <c r="A11755" s="1">
        <v>42986</v>
      </c>
      <c r="B11755">
        <v>6360.1899409999996</v>
      </c>
      <c r="C11755">
        <f t="shared" si="383"/>
        <v>-5.8894874873873211E-3</v>
      </c>
      <c r="D11755">
        <f t="shared" si="382"/>
        <v>-0.50831273318378734</v>
      </c>
    </row>
    <row r="11756" spans="1:4" x14ac:dyDescent="0.3">
      <c r="A11756" s="1">
        <v>42989</v>
      </c>
      <c r="B11756">
        <v>6432.2597660000001</v>
      </c>
      <c r="C11756">
        <f t="shared" si="383"/>
        <v>1.1331395079164744E-2</v>
      </c>
      <c r="D11756">
        <f t="shared" si="382"/>
        <v>0.86928705944814177</v>
      </c>
    </row>
    <row r="11757" spans="1:4" x14ac:dyDescent="0.3">
      <c r="A11757" s="1">
        <v>42990</v>
      </c>
      <c r="B11757">
        <v>6454.2797849999997</v>
      </c>
      <c r="C11757">
        <f t="shared" si="383"/>
        <v>3.4233721586298871E-3</v>
      </c>
      <c r="D11757">
        <f t="shared" si="382"/>
        <v>0.23667774378990503</v>
      </c>
    </row>
    <row r="11758" spans="1:4" x14ac:dyDescent="0.3">
      <c r="A11758" s="1">
        <v>42991</v>
      </c>
      <c r="B11758">
        <v>6460.1899409999996</v>
      </c>
      <c r="C11758">
        <f t="shared" si="383"/>
        <v>9.1569566192890341E-4</v>
      </c>
      <c r="D11758">
        <f t="shared" si="382"/>
        <v>3.6073935681195171E-2</v>
      </c>
    </row>
    <row r="11759" spans="1:4" x14ac:dyDescent="0.3">
      <c r="A11759" s="1">
        <v>42992</v>
      </c>
      <c r="B11759">
        <v>6429.080078</v>
      </c>
      <c r="C11759">
        <f t="shared" si="383"/>
        <v>-4.8156266741568986E-3</v>
      </c>
      <c r="D11759">
        <f t="shared" si="382"/>
        <v>-0.42240828386740265</v>
      </c>
    </row>
    <row r="11760" spans="1:4" x14ac:dyDescent="0.3">
      <c r="A11760" s="1">
        <v>42993</v>
      </c>
      <c r="B11760">
        <v>6448.4702150000003</v>
      </c>
      <c r="C11760">
        <f t="shared" si="383"/>
        <v>3.0160048972406534E-3</v>
      </c>
      <c r="D11760">
        <f t="shared" si="382"/>
        <v>0.2040900379829543</v>
      </c>
    </row>
    <row r="11761" spans="1:4" x14ac:dyDescent="0.3">
      <c r="A11761" s="1">
        <v>42996</v>
      </c>
      <c r="B11761">
        <v>6454.6401370000003</v>
      </c>
      <c r="C11761">
        <f t="shared" si="383"/>
        <v>9.5680398517589214E-4</v>
      </c>
      <c r="D11761">
        <f t="shared" si="382"/>
        <v>3.9362432502519029E-2</v>
      </c>
    </row>
    <row r="11762" spans="1:4" x14ac:dyDescent="0.3">
      <c r="A11762" s="1">
        <v>42997</v>
      </c>
      <c r="B11762">
        <v>6461.3198240000002</v>
      </c>
      <c r="C11762">
        <f t="shared" si="383"/>
        <v>1.0348659039424665E-3</v>
      </c>
      <c r="D11762">
        <f t="shared" si="382"/>
        <v>4.5607065011317012E-2</v>
      </c>
    </row>
    <row r="11763" spans="1:4" x14ac:dyDescent="0.3">
      <c r="A11763" s="1">
        <v>42998</v>
      </c>
      <c r="B11763">
        <v>6456.0400390000004</v>
      </c>
      <c r="C11763">
        <f t="shared" si="383"/>
        <v>-8.1713723261127335E-4</v>
      </c>
      <c r="D11763">
        <f t="shared" si="382"/>
        <v>-0.10254557043058038</v>
      </c>
    </row>
    <row r="11764" spans="1:4" x14ac:dyDescent="0.3">
      <c r="A11764" s="1">
        <v>42999</v>
      </c>
      <c r="B11764">
        <v>6422.6899409999996</v>
      </c>
      <c r="C11764">
        <f t="shared" si="383"/>
        <v>-5.16572044140645E-3</v>
      </c>
      <c r="D11764">
        <f t="shared" si="382"/>
        <v>-0.45041434565319388</v>
      </c>
    </row>
    <row r="11765" spans="1:4" x14ac:dyDescent="0.3">
      <c r="A11765" s="1">
        <v>43000</v>
      </c>
      <c r="B11765">
        <v>6426.919922</v>
      </c>
      <c r="C11765">
        <f t="shared" si="383"/>
        <v>6.5859959594154215E-4</v>
      </c>
      <c r="D11765">
        <f t="shared" si="382"/>
        <v>1.5507307587546542E-2</v>
      </c>
    </row>
    <row r="11766" spans="1:4" x14ac:dyDescent="0.3">
      <c r="A11766" s="1">
        <v>43003</v>
      </c>
      <c r="B11766">
        <v>6370.5898440000001</v>
      </c>
      <c r="C11766">
        <f t="shared" si="383"/>
        <v>-8.7647082402841792E-3</v>
      </c>
      <c r="D11766">
        <f t="shared" si="382"/>
        <v>-0.73831857043715488</v>
      </c>
    </row>
    <row r="11767" spans="1:4" x14ac:dyDescent="0.3">
      <c r="A11767" s="1">
        <v>43004</v>
      </c>
      <c r="B11767">
        <v>6380.1601559999999</v>
      </c>
      <c r="C11767">
        <f t="shared" si="383"/>
        <v>1.5022646621981823E-3</v>
      </c>
      <c r="D11767">
        <f t="shared" si="382"/>
        <v>8.2997043716596192E-2</v>
      </c>
    </row>
    <row r="11768" spans="1:4" x14ac:dyDescent="0.3">
      <c r="A11768" s="1">
        <v>43005</v>
      </c>
      <c r="B11768">
        <v>6453.2597660000001</v>
      </c>
      <c r="C11768">
        <f t="shared" si="383"/>
        <v>1.1457331510911403E-2</v>
      </c>
      <c r="D11768">
        <f t="shared" si="382"/>
        <v>0.87936145613417283</v>
      </c>
    </row>
    <row r="11769" spans="1:4" x14ac:dyDescent="0.3">
      <c r="A11769" s="1">
        <v>43006</v>
      </c>
      <c r="B11769">
        <v>6453.4501950000003</v>
      </c>
      <c r="C11769">
        <f t="shared" si="383"/>
        <v>2.9508962432215533E-5</v>
      </c>
      <c r="D11769">
        <f t="shared" si="382"/>
        <v>-3.481735625705764E-2</v>
      </c>
    </row>
    <row r="11770" spans="1:4" x14ac:dyDescent="0.3">
      <c r="A11770" s="1">
        <v>43007</v>
      </c>
      <c r="B11770">
        <v>6495.9599609999996</v>
      </c>
      <c r="C11770">
        <f t="shared" si="383"/>
        <v>6.5871378434027277E-3</v>
      </c>
      <c r="D11770">
        <f t="shared" si="382"/>
        <v>0.48976598908950175</v>
      </c>
    </row>
    <row r="11771" spans="1:4" x14ac:dyDescent="0.3">
      <c r="A11771" s="1">
        <v>43010</v>
      </c>
      <c r="B11771">
        <v>6516.7202150000003</v>
      </c>
      <c r="C11771">
        <f t="shared" si="383"/>
        <v>3.1958716070665011E-3</v>
      </c>
      <c r="D11771">
        <f t="shared" si="382"/>
        <v>0.21847863515269192</v>
      </c>
    </row>
    <row r="11772" spans="1:4" x14ac:dyDescent="0.3">
      <c r="A11772" s="1">
        <v>43011</v>
      </c>
      <c r="B11772">
        <v>6531.7099609999996</v>
      </c>
      <c r="C11772">
        <f t="shared" si="383"/>
        <v>2.3001978764557542E-3</v>
      </c>
      <c r="D11772">
        <f t="shared" si="382"/>
        <v>0.14682841973621946</v>
      </c>
    </row>
    <row r="11773" spans="1:4" x14ac:dyDescent="0.3">
      <c r="A11773" s="1">
        <v>43012</v>
      </c>
      <c r="B11773">
        <v>6534.6298829999996</v>
      </c>
      <c r="C11773">
        <f t="shared" si="383"/>
        <v>4.4703791464019703E-4</v>
      </c>
      <c r="D11773">
        <f t="shared" si="382"/>
        <v>-1.4167569697294184E-3</v>
      </c>
    </row>
    <row r="11774" spans="1:4" x14ac:dyDescent="0.3">
      <c r="A11774" s="1">
        <v>43013</v>
      </c>
      <c r="B11774">
        <v>6585.3598629999997</v>
      </c>
      <c r="C11774">
        <f t="shared" si="383"/>
        <v>7.7632522282517265E-3</v>
      </c>
      <c r="D11774">
        <f t="shared" si="382"/>
        <v>0.58385030366617363</v>
      </c>
    </row>
    <row r="11775" spans="1:4" x14ac:dyDescent="0.3">
      <c r="A11775" s="1">
        <v>43014</v>
      </c>
      <c r="B11775">
        <v>6590.1801759999998</v>
      </c>
      <c r="C11775">
        <f t="shared" si="383"/>
        <v>7.3197412142701757E-4</v>
      </c>
      <c r="D11775">
        <f t="shared" si="382"/>
        <v>2.1376967908532944E-2</v>
      </c>
    </row>
    <row r="11776" spans="1:4" x14ac:dyDescent="0.3">
      <c r="A11776" s="1">
        <v>43017</v>
      </c>
      <c r="B11776">
        <v>6579.7299800000001</v>
      </c>
      <c r="C11776">
        <f t="shared" si="383"/>
        <v>-1.5857223506660887E-3</v>
      </c>
      <c r="D11776">
        <f t="shared" si="382"/>
        <v>-0.16402921943407578</v>
      </c>
    </row>
    <row r="11777" spans="1:4" x14ac:dyDescent="0.3">
      <c r="A11777" s="1">
        <v>43018</v>
      </c>
      <c r="B11777">
        <v>6587.25</v>
      </c>
      <c r="C11777">
        <f t="shared" si="383"/>
        <v>1.1429070832478039E-3</v>
      </c>
      <c r="D11777">
        <f t="shared" si="382"/>
        <v>5.4249915087760101E-2</v>
      </c>
    </row>
    <row r="11778" spans="1:4" x14ac:dyDescent="0.3">
      <c r="A11778" s="1">
        <v>43019</v>
      </c>
      <c r="B11778">
        <v>6603.5498049999997</v>
      </c>
      <c r="C11778">
        <f t="shared" si="383"/>
        <v>2.4744476071197619E-3</v>
      </c>
      <c r="D11778">
        <f t="shared" si="382"/>
        <v>0.1607676816701662</v>
      </c>
    </row>
    <row r="11779" spans="1:4" x14ac:dyDescent="0.3">
      <c r="A11779" s="1">
        <v>43020</v>
      </c>
      <c r="B11779">
        <v>6591.5097660000001</v>
      </c>
      <c r="C11779">
        <f t="shared" si="383"/>
        <v>-1.8232676901873575E-3</v>
      </c>
      <c r="D11779">
        <f t="shared" ref="D11779:D11842" si="384">(C11779-avrtn)/sdrtn</f>
        <v>-0.18303186980350461</v>
      </c>
    </row>
    <row r="11780" spans="1:4" x14ac:dyDescent="0.3">
      <c r="A11780" s="1">
        <v>43021</v>
      </c>
      <c r="B11780">
        <v>6605.7998049999997</v>
      </c>
      <c r="C11780">
        <f t="shared" ref="C11780:C11843" si="385">(B11780-B11779)/B11779</f>
        <v>2.1679462683510987E-3</v>
      </c>
      <c r="D11780">
        <f t="shared" si="384"/>
        <v>0.13624883490970902</v>
      </c>
    </row>
    <row r="11781" spans="1:4" x14ac:dyDescent="0.3">
      <c r="A11781" s="1">
        <v>43024</v>
      </c>
      <c r="B11781">
        <v>6624</v>
      </c>
      <c r="C11781">
        <f t="shared" si="385"/>
        <v>2.7551841619881411E-3</v>
      </c>
      <c r="D11781">
        <f t="shared" si="384"/>
        <v>0.18322545166402512</v>
      </c>
    </row>
    <row r="11782" spans="1:4" x14ac:dyDescent="0.3">
      <c r="A11782" s="1">
        <v>43025</v>
      </c>
      <c r="B11782">
        <v>6623.6601559999999</v>
      </c>
      <c r="C11782">
        <f t="shared" si="385"/>
        <v>-5.1304951690834031E-5</v>
      </c>
      <c r="D11782">
        <f t="shared" si="384"/>
        <v>-4.1282137078101105E-2</v>
      </c>
    </row>
    <row r="11783" spans="1:4" x14ac:dyDescent="0.3">
      <c r="A11783" s="1">
        <v>43026</v>
      </c>
      <c r="B11783">
        <v>6624.2202150000003</v>
      </c>
      <c r="C11783">
        <f t="shared" si="385"/>
        <v>8.4554307861498464E-5</v>
      </c>
      <c r="D11783">
        <f t="shared" si="384"/>
        <v>-3.0413954970527891E-2</v>
      </c>
    </row>
    <row r="11784" spans="1:4" x14ac:dyDescent="0.3">
      <c r="A11784" s="1">
        <v>43027</v>
      </c>
      <c r="B11784">
        <v>6605.0698240000002</v>
      </c>
      <c r="C11784">
        <f t="shared" si="385"/>
        <v>-2.8909653330418646E-3</v>
      </c>
      <c r="D11784">
        <f t="shared" si="384"/>
        <v>-0.26844329083292412</v>
      </c>
    </row>
    <row r="11785" spans="1:4" x14ac:dyDescent="0.3">
      <c r="A11785" s="1">
        <v>43028</v>
      </c>
      <c r="B11785">
        <v>6629.0498049999997</v>
      </c>
      <c r="C11785">
        <f t="shared" si="385"/>
        <v>3.6305416352854438E-3</v>
      </c>
      <c r="D11785">
        <f t="shared" si="384"/>
        <v>0.25325045003637131</v>
      </c>
    </row>
    <row r="11786" spans="1:4" x14ac:dyDescent="0.3">
      <c r="A11786" s="1">
        <v>43031</v>
      </c>
      <c r="B11786">
        <v>6586.830078</v>
      </c>
      <c r="C11786">
        <f t="shared" si="385"/>
        <v>-6.3688957304492144E-3</v>
      </c>
      <c r="D11786">
        <f t="shared" si="384"/>
        <v>-0.54666342129026413</v>
      </c>
    </row>
    <row r="11787" spans="1:4" x14ac:dyDescent="0.3">
      <c r="A11787" s="1">
        <v>43032</v>
      </c>
      <c r="B11787">
        <v>6598.4301759999998</v>
      </c>
      <c r="C11787">
        <f t="shared" si="385"/>
        <v>1.7611047898053716E-3</v>
      </c>
      <c r="D11787">
        <f t="shared" si="384"/>
        <v>0.10370318956820683</v>
      </c>
    </row>
    <row r="11788" spans="1:4" x14ac:dyDescent="0.3">
      <c r="A11788" s="1">
        <v>43033</v>
      </c>
      <c r="B11788">
        <v>6563.8901370000003</v>
      </c>
      <c r="C11788">
        <f t="shared" si="385"/>
        <v>-5.2345842994034469E-3</v>
      </c>
      <c r="D11788">
        <f t="shared" si="384"/>
        <v>-0.45592317112307756</v>
      </c>
    </row>
    <row r="11789" spans="1:4" x14ac:dyDescent="0.3">
      <c r="A11789" s="1">
        <v>43034</v>
      </c>
      <c r="B11789">
        <v>6556.7700199999999</v>
      </c>
      <c r="C11789">
        <f t="shared" si="385"/>
        <v>-1.0847404285249985E-3</v>
      </c>
      <c r="D11789">
        <f t="shared" si="384"/>
        <v>-0.12395272571276168</v>
      </c>
    </row>
    <row r="11790" spans="1:4" x14ac:dyDescent="0.3">
      <c r="A11790" s="1">
        <v>43035</v>
      </c>
      <c r="B11790">
        <v>6701.2597660000001</v>
      </c>
      <c r="C11790">
        <f t="shared" si="385"/>
        <v>2.2036726247720399E-2</v>
      </c>
      <c r="D11790">
        <f t="shared" si="384"/>
        <v>1.7256695323477955</v>
      </c>
    </row>
    <row r="11791" spans="1:4" x14ac:dyDescent="0.3">
      <c r="A11791" s="1">
        <v>43038</v>
      </c>
      <c r="B11791">
        <v>6698.9599609999996</v>
      </c>
      <c r="C11791">
        <f t="shared" si="385"/>
        <v>-3.4318994939862188E-4</v>
      </c>
      <c r="D11791">
        <f t="shared" si="384"/>
        <v>-6.4631736656441854E-2</v>
      </c>
    </row>
    <row r="11792" spans="1:4" x14ac:dyDescent="0.3">
      <c r="A11792" s="1">
        <v>43039</v>
      </c>
      <c r="B11792">
        <v>6727.669922</v>
      </c>
      <c r="C11792">
        <f t="shared" si="385"/>
        <v>4.28573407919201E-3</v>
      </c>
      <c r="D11792">
        <f t="shared" si="384"/>
        <v>0.30566315138146899</v>
      </c>
    </row>
    <row r="11793" spans="1:4" x14ac:dyDescent="0.3">
      <c r="A11793" s="1">
        <v>43040</v>
      </c>
      <c r="B11793">
        <v>6716.5297849999997</v>
      </c>
      <c r="C11793">
        <f t="shared" si="385"/>
        <v>-1.6558685442594641E-3</v>
      </c>
      <c r="D11793">
        <f t="shared" si="384"/>
        <v>-0.16964062647867423</v>
      </c>
    </row>
    <row r="11794" spans="1:4" x14ac:dyDescent="0.3">
      <c r="A11794" s="1">
        <v>43041</v>
      </c>
      <c r="B11794">
        <v>6714.9399409999996</v>
      </c>
      <c r="C11794">
        <f t="shared" si="385"/>
        <v>-2.3670616388103826E-4</v>
      </c>
      <c r="D11794">
        <f t="shared" si="384"/>
        <v>-5.611347167897756E-2</v>
      </c>
    </row>
    <row r="11795" spans="1:4" x14ac:dyDescent="0.3">
      <c r="A11795" s="1">
        <v>43042</v>
      </c>
      <c r="B11795">
        <v>6764.4399409999996</v>
      </c>
      <c r="C11795">
        <f t="shared" si="385"/>
        <v>7.3716221492560931E-3</v>
      </c>
      <c r="D11795">
        <f t="shared" si="384"/>
        <v>0.5525215077390303</v>
      </c>
    </row>
    <row r="11796" spans="1:4" x14ac:dyDescent="0.3">
      <c r="A11796" s="1">
        <v>43045</v>
      </c>
      <c r="B11796">
        <v>6786.4399409999996</v>
      </c>
      <c r="C11796">
        <f t="shared" si="385"/>
        <v>3.252301771009249E-3</v>
      </c>
      <c r="D11796">
        <f t="shared" si="384"/>
        <v>0.22299281622589112</v>
      </c>
    </row>
    <row r="11797" spans="1:4" x14ac:dyDescent="0.3">
      <c r="A11797" s="1">
        <v>43046</v>
      </c>
      <c r="B11797">
        <v>6767.7797849999997</v>
      </c>
      <c r="C11797">
        <f t="shared" si="385"/>
        <v>-2.7496236852057507E-3</v>
      </c>
      <c r="D11797">
        <f t="shared" si="384"/>
        <v>-0.25713654020636373</v>
      </c>
    </row>
    <row r="11798" spans="1:4" x14ac:dyDescent="0.3">
      <c r="A11798" s="1">
        <v>43047</v>
      </c>
      <c r="B11798">
        <v>6789.1201170000004</v>
      </c>
      <c r="C11798">
        <f t="shared" si="385"/>
        <v>3.1532249390411678E-3</v>
      </c>
      <c r="D11798">
        <f t="shared" si="384"/>
        <v>0.21506707707481201</v>
      </c>
    </row>
    <row r="11799" spans="1:4" x14ac:dyDescent="0.3">
      <c r="A11799" s="1">
        <v>43048</v>
      </c>
      <c r="B11799">
        <v>6750.0498049999997</v>
      </c>
      <c r="C11799">
        <f t="shared" si="385"/>
        <v>-5.7548417654547648E-3</v>
      </c>
      <c r="D11799">
        <f t="shared" si="384"/>
        <v>-0.49754162909569971</v>
      </c>
    </row>
    <row r="11800" spans="1:4" x14ac:dyDescent="0.3">
      <c r="A11800" s="1">
        <v>43049</v>
      </c>
      <c r="B11800">
        <v>6750.9399409999996</v>
      </c>
      <c r="C11800">
        <f t="shared" si="385"/>
        <v>1.3187102698718295E-4</v>
      </c>
      <c r="D11800">
        <f t="shared" si="384"/>
        <v>-2.6628812007984767E-2</v>
      </c>
    </row>
    <row r="11801" spans="1:4" x14ac:dyDescent="0.3">
      <c r="A11801" s="1">
        <v>43052</v>
      </c>
      <c r="B11801">
        <v>6757.6000979999999</v>
      </c>
      <c r="C11801">
        <f t="shared" si="385"/>
        <v>9.865525479721127E-4</v>
      </c>
      <c r="D11801">
        <f t="shared" si="384"/>
        <v>4.1742195199395531E-2</v>
      </c>
    </row>
    <row r="11802" spans="1:4" x14ac:dyDescent="0.3">
      <c r="A11802" s="1">
        <v>43053</v>
      </c>
      <c r="B11802">
        <v>6737.8701170000004</v>
      </c>
      <c r="C11802">
        <f t="shared" si="385"/>
        <v>-2.9196727704912345E-3</v>
      </c>
      <c r="D11802">
        <f t="shared" si="384"/>
        <v>-0.27073976778318554</v>
      </c>
    </row>
    <row r="11803" spans="1:4" x14ac:dyDescent="0.3">
      <c r="A11803" s="1">
        <v>43054</v>
      </c>
      <c r="B11803">
        <v>6706.2099609999996</v>
      </c>
      <c r="C11803">
        <f t="shared" si="385"/>
        <v>-4.6988373848466727E-3</v>
      </c>
      <c r="D11803">
        <f t="shared" si="384"/>
        <v>-0.41306562096301175</v>
      </c>
    </row>
    <row r="11804" spans="1:4" x14ac:dyDescent="0.3">
      <c r="A11804" s="1">
        <v>43055</v>
      </c>
      <c r="B11804">
        <v>6793.2900390000004</v>
      </c>
      <c r="C11804">
        <f t="shared" si="385"/>
        <v>1.2984991300065989E-2</v>
      </c>
      <c r="D11804">
        <f t="shared" si="384"/>
        <v>1.0015679574919516</v>
      </c>
    </row>
    <row r="11805" spans="1:4" x14ac:dyDescent="0.3">
      <c r="A11805" s="1">
        <v>43056</v>
      </c>
      <c r="B11805">
        <v>6782.7900390000004</v>
      </c>
      <c r="C11805">
        <f t="shared" si="385"/>
        <v>-1.5456428239807116E-3</v>
      </c>
      <c r="D11805">
        <f t="shared" si="384"/>
        <v>-0.16082302210724411</v>
      </c>
    </row>
    <row r="11806" spans="1:4" x14ac:dyDescent="0.3">
      <c r="A11806" s="1">
        <v>43059</v>
      </c>
      <c r="B11806">
        <v>6790.7099609999996</v>
      </c>
      <c r="C11806">
        <f t="shared" si="385"/>
        <v>1.1676495888064938E-3</v>
      </c>
      <c r="D11806">
        <f t="shared" si="384"/>
        <v>5.6229213790664499E-2</v>
      </c>
    </row>
    <row r="11807" spans="1:4" x14ac:dyDescent="0.3">
      <c r="A11807" s="1">
        <v>43060</v>
      </c>
      <c r="B11807">
        <v>6862.4799800000001</v>
      </c>
      <c r="C11807">
        <f t="shared" si="385"/>
        <v>1.0568853538464431E-2</v>
      </c>
      <c r="D11807">
        <f t="shared" si="384"/>
        <v>0.80828687178166791</v>
      </c>
    </row>
    <row r="11808" spans="1:4" x14ac:dyDescent="0.3">
      <c r="A11808" s="1">
        <v>43061</v>
      </c>
      <c r="B11808">
        <v>6867.3598629999997</v>
      </c>
      <c r="C11808">
        <f t="shared" si="385"/>
        <v>7.1109613641446407E-4</v>
      </c>
      <c r="D11808">
        <f t="shared" si="384"/>
        <v>1.9706814958316016E-2</v>
      </c>
    </row>
    <row r="11809" spans="1:4" x14ac:dyDescent="0.3">
      <c r="A11809" s="1">
        <v>43063</v>
      </c>
      <c r="B11809">
        <v>6889.1601559999999</v>
      </c>
      <c r="C11809">
        <f t="shared" si="385"/>
        <v>3.1744794848244345E-3</v>
      </c>
      <c r="D11809">
        <f t="shared" si="384"/>
        <v>0.21676735333825886</v>
      </c>
    </row>
    <row r="11810" spans="1:4" x14ac:dyDescent="0.3">
      <c r="A11810" s="1">
        <v>43066</v>
      </c>
      <c r="B11810">
        <v>6878.5200199999999</v>
      </c>
      <c r="C11810">
        <f t="shared" si="385"/>
        <v>-1.5444750534262342E-3</v>
      </c>
      <c r="D11810">
        <f t="shared" si="384"/>
        <v>-0.16072960526478711</v>
      </c>
    </row>
    <row r="11811" spans="1:4" x14ac:dyDescent="0.3">
      <c r="A11811" s="1">
        <v>43067</v>
      </c>
      <c r="B11811">
        <v>6912.3598629999997</v>
      </c>
      <c r="C11811">
        <f t="shared" si="385"/>
        <v>4.9196401117692391E-3</v>
      </c>
      <c r="D11811">
        <f t="shared" si="384"/>
        <v>0.35637302735046611</v>
      </c>
    </row>
    <row r="11812" spans="1:4" x14ac:dyDescent="0.3">
      <c r="A11812" s="1">
        <v>43068</v>
      </c>
      <c r="B11812">
        <v>6824.3901370000003</v>
      </c>
      <c r="C11812">
        <f t="shared" si="385"/>
        <v>-1.2726438979382079E-2</v>
      </c>
      <c r="D11812">
        <f t="shared" si="384"/>
        <v>-1.0552407388308467</v>
      </c>
    </row>
    <row r="11813" spans="1:4" x14ac:dyDescent="0.3">
      <c r="A11813" s="1">
        <v>43069</v>
      </c>
      <c r="B11813">
        <v>6873.9702150000003</v>
      </c>
      <c r="C11813">
        <f t="shared" si="385"/>
        <v>7.2651294847857779E-3</v>
      </c>
      <c r="D11813">
        <f t="shared" si="384"/>
        <v>0.54400253248185793</v>
      </c>
    </row>
    <row r="11814" spans="1:4" x14ac:dyDescent="0.3">
      <c r="A11814" s="1">
        <v>43070</v>
      </c>
      <c r="B11814">
        <v>6847.5898440000001</v>
      </c>
      <c r="C11814">
        <f t="shared" si="385"/>
        <v>-3.8377197129010536E-3</v>
      </c>
      <c r="D11814">
        <f t="shared" si="384"/>
        <v>-0.34417974814438718</v>
      </c>
    </row>
    <row r="11815" spans="1:4" x14ac:dyDescent="0.3">
      <c r="A11815" s="1">
        <v>43073</v>
      </c>
      <c r="B11815">
        <v>6775.3701170000004</v>
      </c>
      <c r="C11815">
        <f t="shared" si="385"/>
        <v>-1.0546736683313488E-2</v>
      </c>
      <c r="D11815">
        <f t="shared" si="384"/>
        <v>-0.88087351813475689</v>
      </c>
    </row>
    <row r="11816" spans="1:4" x14ac:dyDescent="0.3">
      <c r="A11816" s="1">
        <v>43074</v>
      </c>
      <c r="B11816">
        <v>6762.2099609999996</v>
      </c>
      <c r="C11816">
        <f t="shared" si="385"/>
        <v>-1.9423523398346659E-3</v>
      </c>
      <c r="D11816">
        <f t="shared" si="384"/>
        <v>-0.19255815209628396</v>
      </c>
    </row>
    <row r="11817" spans="1:4" x14ac:dyDescent="0.3">
      <c r="A11817" s="1">
        <v>43075</v>
      </c>
      <c r="B11817">
        <v>6776.3798829999996</v>
      </c>
      <c r="C11817">
        <f t="shared" si="385"/>
        <v>2.0954572664443837E-3</v>
      </c>
      <c r="D11817">
        <f t="shared" si="384"/>
        <v>0.13045001283372873</v>
      </c>
    </row>
    <row r="11818" spans="1:4" x14ac:dyDescent="0.3">
      <c r="A11818" s="1">
        <v>43076</v>
      </c>
      <c r="B11818">
        <v>6812.8398440000001</v>
      </c>
      <c r="C11818">
        <f t="shared" si="385"/>
        <v>5.3804482082635448E-3</v>
      </c>
      <c r="D11818">
        <f t="shared" si="384"/>
        <v>0.39323578021579558</v>
      </c>
    </row>
    <row r="11819" spans="1:4" x14ac:dyDescent="0.3">
      <c r="A11819" s="1">
        <v>43077</v>
      </c>
      <c r="B11819">
        <v>6840.080078</v>
      </c>
      <c r="C11819">
        <f t="shared" si="385"/>
        <v>3.9983669987472365E-3</v>
      </c>
      <c r="D11819">
        <f t="shared" si="384"/>
        <v>0.28267496660638258</v>
      </c>
    </row>
    <row r="11820" spans="1:4" x14ac:dyDescent="0.3">
      <c r="A11820" s="1">
        <v>43080</v>
      </c>
      <c r="B11820">
        <v>6875.080078</v>
      </c>
      <c r="C11820">
        <f t="shared" si="385"/>
        <v>5.1168991592030894E-3</v>
      </c>
      <c r="D11820">
        <f t="shared" si="384"/>
        <v>0.37215294001112437</v>
      </c>
    </row>
    <row r="11821" spans="1:4" x14ac:dyDescent="0.3">
      <c r="A11821" s="1">
        <v>43081</v>
      </c>
      <c r="B11821">
        <v>6862.3198240000002</v>
      </c>
      <c r="C11821">
        <f t="shared" si="385"/>
        <v>-1.8560153271279184E-3</v>
      </c>
      <c r="D11821">
        <f t="shared" si="384"/>
        <v>-0.18565154609966178</v>
      </c>
    </row>
    <row r="11822" spans="1:4" x14ac:dyDescent="0.3">
      <c r="A11822" s="1">
        <v>43082</v>
      </c>
      <c r="B11822">
        <v>6875.7998049999997</v>
      </c>
      <c r="C11822">
        <f t="shared" si="385"/>
        <v>1.9643475305326278E-3</v>
      </c>
      <c r="D11822">
        <f t="shared" si="384"/>
        <v>0.11996177308724372</v>
      </c>
    </row>
    <row r="11823" spans="1:4" x14ac:dyDescent="0.3">
      <c r="A11823" s="1">
        <v>43083</v>
      </c>
      <c r="B11823">
        <v>6856.5297849999997</v>
      </c>
      <c r="C11823">
        <f t="shared" si="385"/>
        <v>-2.8025859603979454E-3</v>
      </c>
      <c r="D11823">
        <f t="shared" si="384"/>
        <v>-0.26137330443956241</v>
      </c>
    </row>
    <row r="11824" spans="1:4" x14ac:dyDescent="0.3">
      <c r="A11824" s="1">
        <v>43084</v>
      </c>
      <c r="B11824">
        <v>6936.580078</v>
      </c>
      <c r="C11824">
        <f t="shared" si="385"/>
        <v>1.1675044885697998E-2</v>
      </c>
      <c r="D11824">
        <f t="shared" si="384"/>
        <v>0.89677763087435414</v>
      </c>
    </row>
    <row r="11825" spans="1:4" x14ac:dyDescent="0.3">
      <c r="A11825" s="1">
        <v>43087</v>
      </c>
      <c r="B11825">
        <v>6994.7597660000001</v>
      </c>
      <c r="C11825">
        <f t="shared" si="385"/>
        <v>8.3873735105462685E-3</v>
      </c>
      <c r="D11825">
        <f t="shared" si="384"/>
        <v>0.63377743984768942</v>
      </c>
    </row>
    <row r="11826" spans="1:4" x14ac:dyDescent="0.3">
      <c r="A11826" s="1">
        <v>43088</v>
      </c>
      <c r="B11826">
        <v>6963.8500979999999</v>
      </c>
      <c r="C11826">
        <f t="shared" si="385"/>
        <v>-4.4189749232340161E-3</v>
      </c>
      <c r="D11826">
        <f t="shared" si="384"/>
        <v>-0.39067777483531768</v>
      </c>
    </row>
    <row r="11827" spans="1:4" x14ac:dyDescent="0.3">
      <c r="A11827" s="1">
        <v>43089</v>
      </c>
      <c r="B11827">
        <v>6960.9599609999996</v>
      </c>
      <c r="C11827">
        <f t="shared" si="385"/>
        <v>-4.1501999028243909E-4</v>
      </c>
      <c r="D11827">
        <f t="shared" si="384"/>
        <v>-7.0377844560254227E-2</v>
      </c>
    </row>
    <row r="11828" spans="1:4" x14ac:dyDescent="0.3">
      <c r="A11828" s="1">
        <v>43090</v>
      </c>
      <c r="B11828">
        <v>6965.3598629999997</v>
      </c>
      <c r="C11828">
        <f t="shared" si="385"/>
        <v>6.320826473146426E-4</v>
      </c>
      <c r="D11828">
        <f t="shared" si="384"/>
        <v>1.3386060735738862E-2</v>
      </c>
    </row>
    <row r="11829" spans="1:4" x14ac:dyDescent="0.3">
      <c r="A11829" s="1">
        <v>43091</v>
      </c>
      <c r="B11829">
        <v>6959.9599609999996</v>
      </c>
      <c r="C11829">
        <f t="shared" si="385"/>
        <v>-7.7525097140844035E-4</v>
      </c>
      <c r="D11829">
        <f t="shared" si="384"/>
        <v>-9.9194841771688955E-2</v>
      </c>
    </row>
    <row r="11830" spans="1:4" x14ac:dyDescent="0.3">
      <c r="A11830" s="1">
        <v>43095</v>
      </c>
      <c r="B11830">
        <v>6936.25</v>
      </c>
      <c r="C11830">
        <f t="shared" si="385"/>
        <v>-3.4066231893369893E-3</v>
      </c>
      <c r="D11830">
        <f t="shared" si="384"/>
        <v>-0.30969379893875915</v>
      </c>
    </row>
    <row r="11831" spans="1:4" x14ac:dyDescent="0.3">
      <c r="A11831" s="1">
        <v>43096</v>
      </c>
      <c r="B11831">
        <v>6939.3398440000001</v>
      </c>
      <c r="C11831">
        <f t="shared" si="385"/>
        <v>4.4546318255542759E-4</v>
      </c>
      <c r="D11831">
        <f t="shared" si="384"/>
        <v>-1.5427290611739496E-3</v>
      </c>
    </row>
    <row r="11832" spans="1:4" x14ac:dyDescent="0.3">
      <c r="A11832" s="1">
        <v>43097</v>
      </c>
      <c r="B11832">
        <v>6950.1601559999999</v>
      </c>
      <c r="C11832">
        <f t="shared" si="385"/>
        <v>1.5592710896491771E-3</v>
      </c>
      <c r="D11832">
        <f t="shared" si="384"/>
        <v>8.7557323500845427E-2</v>
      </c>
    </row>
    <row r="11833" spans="1:4" x14ac:dyDescent="0.3">
      <c r="A11833" s="1">
        <v>43098</v>
      </c>
      <c r="B11833">
        <v>6903.3901370000003</v>
      </c>
      <c r="C11833">
        <f t="shared" si="385"/>
        <v>-6.7293440654922938E-3</v>
      </c>
      <c r="D11833">
        <f t="shared" si="384"/>
        <v>-0.5754978059213004</v>
      </c>
    </row>
    <row r="11834" spans="1:4" x14ac:dyDescent="0.3">
      <c r="A11834" s="1">
        <v>43102</v>
      </c>
      <c r="B11834">
        <v>7006.8999020000001</v>
      </c>
      <c r="C11834">
        <f t="shared" si="385"/>
        <v>1.4994048278572581E-2</v>
      </c>
      <c r="D11834">
        <f t="shared" si="384"/>
        <v>1.1622842544808203</v>
      </c>
    </row>
    <row r="11835" spans="1:4" x14ac:dyDescent="0.3">
      <c r="A11835" s="1">
        <v>43103</v>
      </c>
      <c r="B11835">
        <v>7065.5297849999997</v>
      </c>
      <c r="C11835">
        <f t="shared" si="385"/>
        <v>8.3674497737957852E-3</v>
      </c>
      <c r="D11835">
        <f t="shared" si="384"/>
        <v>0.63218362283454588</v>
      </c>
    </row>
    <row r="11836" spans="1:4" x14ac:dyDescent="0.3">
      <c r="A11836" s="1">
        <v>43104</v>
      </c>
      <c r="B11836">
        <v>7077.9101559999999</v>
      </c>
      <c r="C11836">
        <f t="shared" si="385"/>
        <v>1.752221188888555E-3</v>
      </c>
      <c r="D11836">
        <f t="shared" si="384"/>
        <v>0.10299253802444674</v>
      </c>
    </row>
    <row r="11837" spans="1:4" x14ac:dyDescent="0.3">
      <c r="A11837" s="1">
        <v>43105</v>
      </c>
      <c r="B11837">
        <v>7136.5600590000004</v>
      </c>
      <c r="C11837">
        <f t="shared" si="385"/>
        <v>8.2863305279853635E-3</v>
      </c>
      <c r="D11837">
        <f t="shared" si="384"/>
        <v>0.62569441673404402</v>
      </c>
    </row>
    <row r="11838" spans="1:4" x14ac:dyDescent="0.3">
      <c r="A11838" s="1">
        <v>43108</v>
      </c>
      <c r="B11838">
        <v>7157.3901370000003</v>
      </c>
      <c r="C11838">
        <f t="shared" si="385"/>
        <v>2.9187840959498269E-3</v>
      </c>
      <c r="D11838">
        <f t="shared" si="384"/>
        <v>0.19631277365401184</v>
      </c>
    </row>
    <row r="11839" spans="1:4" x14ac:dyDescent="0.3">
      <c r="A11839" s="1">
        <v>43109</v>
      </c>
      <c r="B11839">
        <v>7163.580078</v>
      </c>
      <c r="C11839">
        <f t="shared" si="385"/>
        <v>8.6483213594866731E-4</v>
      </c>
      <c r="D11839">
        <f t="shared" si="384"/>
        <v>3.2005062754844847E-2</v>
      </c>
    </row>
    <row r="11840" spans="1:4" x14ac:dyDescent="0.3">
      <c r="A11840" s="1">
        <v>43110</v>
      </c>
      <c r="B11840">
        <v>7153.5698240000002</v>
      </c>
      <c r="C11840">
        <f t="shared" si="385"/>
        <v>-1.3973814616440453E-3</v>
      </c>
      <c r="D11840">
        <f t="shared" si="384"/>
        <v>-0.14896272277467557</v>
      </c>
    </row>
    <row r="11841" spans="1:4" x14ac:dyDescent="0.3">
      <c r="A11841" s="1">
        <v>43111</v>
      </c>
      <c r="B11841">
        <v>7211.7797849999997</v>
      </c>
      <c r="C11841">
        <f t="shared" si="385"/>
        <v>8.1371905820653342E-3</v>
      </c>
      <c r="D11841">
        <f t="shared" si="384"/>
        <v>0.61376383432756365</v>
      </c>
    </row>
    <row r="11842" spans="1:4" x14ac:dyDescent="0.3">
      <c r="A11842" s="1">
        <v>43112</v>
      </c>
      <c r="B11842">
        <v>7261.0600590000004</v>
      </c>
      <c r="C11842">
        <f t="shared" si="385"/>
        <v>6.8333026616398057E-3</v>
      </c>
      <c r="D11842">
        <f t="shared" si="384"/>
        <v>0.50945816231268704</v>
      </c>
    </row>
    <row r="11843" spans="1:4" x14ac:dyDescent="0.3">
      <c r="A11843" s="1">
        <v>43116</v>
      </c>
      <c r="B11843">
        <v>7223.6899409999996</v>
      </c>
      <c r="C11843">
        <f t="shared" si="385"/>
        <v>-5.1466476928091094E-3</v>
      </c>
      <c r="D11843">
        <f t="shared" ref="D11843:D11906" si="386">(C11843-avrtn)/sdrtn</f>
        <v>-0.44888860419301752</v>
      </c>
    </row>
    <row r="11844" spans="1:4" x14ac:dyDescent="0.3">
      <c r="A11844" s="1">
        <v>43117</v>
      </c>
      <c r="B11844">
        <v>7298.2797849999997</v>
      </c>
      <c r="C11844">
        <f t="shared" ref="C11844:C11907" si="387">(B11844-B11843)/B11843</f>
        <v>1.0325726132934544E-2</v>
      </c>
      <c r="D11844">
        <f t="shared" si="386"/>
        <v>0.78883767908514224</v>
      </c>
    </row>
    <row r="11845" spans="1:4" x14ac:dyDescent="0.3">
      <c r="A11845" s="1">
        <v>43118</v>
      </c>
      <c r="B11845">
        <v>7296.0498049999997</v>
      </c>
      <c r="C11845">
        <f t="shared" si="387"/>
        <v>-3.0554871362746322E-4</v>
      </c>
      <c r="D11845">
        <f t="shared" si="386"/>
        <v>-6.1620592576435505E-2</v>
      </c>
    </row>
    <row r="11846" spans="1:4" x14ac:dyDescent="0.3">
      <c r="A11846" s="1">
        <v>43119</v>
      </c>
      <c r="B11846">
        <v>7336.3798829999996</v>
      </c>
      <c r="C11846">
        <f t="shared" si="387"/>
        <v>5.5276593605983419E-3</v>
      </c>
      <c r="D11846">
        <f t="shared" si="386"/>
        <v>0.4050120670667039</v>
      </c>
    </row>
    <row r="11847" spans="1:4" x14ac:dyDescent="0.3">
      <c r="A11847" s="1">
        <v>43122</v>
      </c>
      <c r="B11847">
        <v>7408.0297849999997</v>
      </c>
      <c r="C11847">
        <f t="shared" si="387"/>
        <v>9.7663838490736603E-3</v>
      </c>
      <c r="D11847">
        <f t="shared" si="386"/>
        <v>0.74409259640548608</v>
      </c>
    </row>
    <row r="11848" spans="1:4" x14ac:dyDescent="0.3">
      <c r="A11848" s="1">
        <v>43123</v>
      </c>
      <c r="B11848">
        <v>7460.2900390000004</v>
      </c>
      <c r="C11848">
        <f t="shared" si="387"/>
        <v>7.0545415605400017E-3</v>
      </c>
      <c r="D11848">
        <f t="shared" si="386"/>
        <v>0.52715636448491454</v>
      </c>
    </row>
    <row r="11849" spans="1:4" x14ac:dyDescent="0.3">
      <c r="A11849" s="1">
        <v>43124</v>
      </c>
      <c r="B11849">
        <v>7415.0600590000004</v>
      </c>
      <c r="C11849">
        <f t="shared" si="387"/>
        <v>-6.0627642844383071E-3</v>
      </c>
      <c r="D11849">
        <f t="shared" si="386"/>
        <v>-0.52217416442941922</v>
      </c>
    </row>
    <row r="11850" spans="1:4" x14ac:dyDescent="0.3">
      <c r="A11850" s="1">
        <v>43125</v>
      </c>
      <c r="B11850">
        <v>7411.1601559999999</v>
      </c>
      <c r="C11850">
        <f t="shared" si="387"/>
        <v>-5.2594354853093299E-4</v>
      </c>
      <c r="D11850">
        <f t="shared" si="386"/>
        <v>-7.9251273099736799E-2</v>
      </c>
    </row>
    <row r="11851" spans="1:4" x14ac:dyDescent="0.3">
      <c r="A11851" s="1">
        <v>43126</v>
      </c>
      <c r="B11851">
        <v>7505.7700199999999</v>
      </c>
      <c r="C11851">
        <f t="shared" si="387"/>
        <v>1.2765864184355108E-2</v>
      </c>
      <c r="D11851">
        <f t="shared" si="386"/>
        <v>0.984038689291165</v>
      </c>
    </row>
    <row r="11852" spans="1:4" x14ac:dyDescent="0.3">
      <c r="A11852" s="1">
        <v>43129</v>
      </c>
      <c r="B11852">
        <v>7466.5097660000001</v>
      </c>
      <c r="C11852">
        <f t="shared" si="387"/>
        <v>-5.2306763856854498E-3</v>
      </c>
      <c r="D11852">
        <f t="shared" si="386"/>
        <v>-0.455610554095075</v>
      </c>
    </row>
    <row r="11853" spans="1:4" x14ac:dyDescent="0.3">
      <c r="A11853" s="1">
        <v>43130</v>
      </c>
      <c r="B11853">
        <v>7402.4799800000001</v>
      </c>
      <c r="C11853">
        <f t="shared" si="387"/>
        <v>-8.5755979710319796E-3</v>
      </c>
      <c r="D11853">
        <f t="shared" si="386"/>
        <v>-0.7231905265230526</v>
      </c>
    </row>
    <row r="11854" spans="1:4" x14ac:dyDescent="0.3">
      <c r="A11854" s="1">
        <v>43131</v>
      </c>
      <c r="B11854">
        <v>7411.4799800000001</v>
      </c>
      <c r="C11854">
        <f t="shared" si="387"/>
        <v>1.2158087592693495E-3</v>
      </c>
      <c r="D11854">
        <f t="shared" si="386"/>
        <v>6.0081749396000729E-2</v>
      </c>
    </row>
    <row r="11855" spans="1:4" x14ac:dyDescent="0.3">
      <c r="A11855" s="1">
        <v>43132</v>
      </c>
      <c r="B11855">
        <v>7385.8598629999997</v>
      </c>
      <c r="C11855">
        <f t="shared" si="387"/>
        <v>-3.4568152473104827E-3</v>
      </c>
      <c r="D11855">
        <f t="shared" si="386"/>
        <v>-0.31370895718566294</v>
      </c>
    </row>
    <row r="11856" spans="1:4" x14ac:dyDescent="0.3">
      <c r="A11856" s="1">
        <v>43133</v>
      </c>
      <c r="B11856">
        <v>7240.9501950000003</v>
      </c>
      <c r="C11856">
        <f t="shared" si="387"/>
        <v>-1.961987780541773E-2</v>
      </c>
      <c r="D11856">
        <f t="shared" si="386"/>
        <v>-1.6066874989238724</v>
      </c>
    </row>
    <row r="11857" spans="1:4" x14ac:dyDescent="0.3">
      <c r="A11857" s="1">
        <v>43136</v>
      </c>
      <c r="B11857">
        <v>6967.5297849999997</v>
      </c>
      <c r="C11857">
        <f t="shared" si="387"/>
        <v>-3.7760294248233066E-2</v>
      </c>
      <c r="D11857">
        <f t="shared" si="386"/>
        <v>-3.0578462205109704</v>
      </c>
    </row>
    <row r="11858" spans="1:4" x14ac:dyDescent="0.3">
      <c r="A11858" s="1">
        <v>43137</v>
      </c>
      <c r="B11858">
        <v>7115.8798829999996</v>
      </c>
      <c r="C11858">
        <f t="shared" si="387"/>
        <v>2.1291634564573288E-2</v>
      </c>
      <c r="D11858">
        <f t="shared" si="386"/>
        <v>1.6660652615313349</v>
      </c>
    </row>
    <row r="11859" spans="1:4" x14ac:dyDescent="0.3">
      <c r="A11859" s="1">
        <v>43138</v>
      </c>
      <c r="B11859">
        <v>7051.9799800000001</v>
      </c>
      <c r="C11859">
        <f t="shared" si="387"/>
        <v>-8.9799018604372286E-3</v>
      </c>
      <c r="D11859">
        <f t="shared" si="386"/>
        <v>-0.75553317516794538</v>
      </c>
    </row>
    <row r="11860" spans="1:4" x14ac:dyDescent="0.3">
      <c r="A11860" s="1">
        <v>43139</v>
      </c>
      <c r="B11860">
        <v>6777.1601559999999</v>
      </c>
      <c r="C11860">
        <f t="shared" si="387"/>
        <v>-3.8970590497904412E-2</v>
      </c>
      <c r="D11860">
        <f t="shared" si="386"/>
        <v>-3.154664943716762</v>
      </c>
    </row>
    <row r="11861" spans="1:4" x14ac:dyDescent="0.3">
      <c r="A11861" s="1">
        <v>43140</v>
      </c>
      <c r="B11861">
        <v>6874.4902339999999</v>
      </c>
      <c r="C11861">
        <f t="shared" si="387"/>
        <v>1.4361484126036338E-2</v>
      </c>
      <c r="D11861">
        <f t="shared" si="386"/>
        <v>1.1116817233972585</v>
      </c>
    </row>
    <row r="11862" spans="1:4" x14ac:dyDescent="0.3">
      <c r="A11862" s="1">
        <v>43143</v>
      </c>
      <c r="B11862">
        <v>6981.9599609999996</v>
      </c>
      <c r="C11862">
        <f t="shared" si="387"/>
        <v>1.5633119452039313E-2</v>
      </c>
      <c r="D11862">
        <f t="shared" si="386"/>
        <v>1.2134073204817912</v>
      </c>
    </row>
    <row r="11863" spans="1:4" x14ac:dyDescent="0.3">
      <c r="A11863" s="1">
        <v>43144</v>
      </c>
      <c r="B11863">
        <v>7013.5097660000001</v>
      </c>
      <c r="C11863">
        <f t="shared" si="387"/>
        <v>4.5187605165644346E-3</v>
      </c>
      <c r="D11863">
        <f t="shared" si="386"/>
        <v>0.32430430816082695</v>
      </c>
    </row>
    <row r="11864" spans="1:4" x14ac:dyDescent="0.3">
      <c r="A11864" s="1">
        <v>43145</v>
      </c>
      <c r="B11864">
        <v>7143.6201170000004</v>
      </c>
      <c r="C11864">
        <f t="shared" si="387"/>
        <v>1.855138943853012E-2</v>
      </c>
      <c r="D11864">
        <f t="shared" si="386"/>
        <v>1.4468569194031684</v>
      </c>
    </row>
    <row r="11865" spans="1:4" x14ac:dyDescent="0.3">
      <c r="A11865" s="1">
        <v>43146</v>
      </c>
      <c r="B11865">
        <v>7256.4301759999998</v>
      </c>
      <c r="C11865">
        <f t="shared" si="387"/>
        <v>1.5791721445481147E-2</v>
      </c>
      <c r="D11865">
        <f t="shared" si="386"/>
        <v>1.226094827781844</v>
      </c>
    </row>
    <row r="11866" spans="1:4" x14ac:dyDescent="0.3">
      <c r="A11866" s="1">
        <v>43147</v>
      </c>
      <c r="B11866">
        <v>7239.4702150000003</v>
      </c>
      <c r="C11866">
        <f t="shared" si="387"/>
        <v>-2.3372320257546383E-3</v>
      </c>
      <c r="D11866">
        <f t="shared" si="386"/>
        <v>-0.22414690321491096</v>
      </c>
    </row>
    <row r="11867" spans="1:4" x14ac:dyDescent="0.3">
      <c r="A11867" s="1">
        <v>43151</v>
      </c>
      <c r="B11867">
        <v>7234.3100590000004</v>
      </c>
      <c r="C11867">
        <f t="shared" si="387"/>
        <v>-7.1278088682624893E-4</v>
      </c>
      <c r="D11867">
        <f t="shared" si="386"/>
        <v>-9.4197491883636353E-2</v>
      </c>
    </row>
    <row r="11868" spans="1:4" x14ac:dyDescent="0.3">
      <c r="A11868" s="1">
        <v>43152</v>
      </c>
      <c r="B11868">
        <v>7218.2299800000001</v>
      </c>
      <c r="C11868">
        <f t="shared" si="387"/>
        <v>-2.2227522554131508E-3</v>
      </c>
      <c r="D11868">
        <f t="shared" si="386"/>
        <v>-0.21498899233122043</v>
      </c>
    </row>
    <row r="11869" spans="1:4" x14ac:dyDescent="0.3">
      <c r="A11869" s="1">
        <v>43153</v>
      </c>
      <c r="B11869">
        <v>7210.0898440000001</v>
      </c>
      <c r="C11869">
        <f t="shared" si="387"/>
        <v>-1.1277191254025387E-3</v>
      </c>
      <c r="D11869">
        <f t="shared" si="386"/>
        <v>-0.12739084473350734</v>
      </c>
    </row>
    <row r="11870" spans="1:4" x14ac:dyDescent="0.3">
      <c r="A11870" s="1">
        <v>43154</v>
      </c>
      <c r="B11870">
        <v>7337.3901370000003</v>
      </c>
      <c r="C11870">
        <f t="shared" si="387"/>
        <v>1.7655853915043148E-2</v>
      </c>
      <c r="D11870">
        <f t="shared" si="386"/>
        <v>1.3752177599882869</v>
      </c>
    </row>
    <row r="11871" spans="1:4" x14ac:dyDescent="0.3">
      <c r="A11871" s="1">
        <v>43157</v>
      </c>
      <c r="B11871">
        <v>7421.4599609999996</v>
      </c>
      <c r="C11871">
        <f t="shared" si="387"/>
        <v>1.14577284879624E-2</v>
      </c>
      <c r="D11871">
        <f t="shared" si="386"/>
        <v>0.87939321266587323</v>
      </c>
    </row>
    <row r="11872" spans="1:4" x14ac:dyDescent="0.3">
      <c r="A11872" s="1">
        <v>43158</v>
      </c>
      <c r="B11872">
        <v>7330.3500979999999</v>
      </c>
      <c r="C11872">
        <f t="shared" si="387"/>
        <v>-1.2276541742296639E-2</v>
      </c>
      <c r="D11872">
        <f t="shared" si="386"/>
        <v>-1.0192508098525046</v>
      </c>
    </row>
    <row r="11873" spans="1:4" x14ac:dyDescent="0.3">
      <c r="A11873" s="1">
        <v>43159</v>
      </c>
      <c r="B11873">
        <v>7273.0097660000001</v>
      </c>
      <c r="C11873">
        <f t="shared" si="387"/>
        <v>-7.8223183386076471E-3</v>
      </c>
      <c r="D11873">
        <f t="shared" si="386"/>
        <v>-0.66293125343346282</v>
      </c>
    </row>
    <row r="11874" spans="1:4" x14ac:dyDescent="0.3">
      <c r="A11874" s="1">
        <v>43160</v>
      </c>
      <c r="B11874">
        <v>7180.5600590000004</v>
      </c>
      <c r="C11874">
        <f t="shared" si="387"/>
        <v>-1.2711340968107228E-2</v>
      </c>
      <c r="D11874">
        <f t="shared" si="386"/>
        <v>-1.054032960012252</v>
      </c>
    </row>
    <row r="11875" spans="1:4" x14ac:dyDescent="0.3">
      <c r="A11875" s="1">
        <v>43161</v>
      </c>
      <c r="B11875">
        <v>7257.8701170000004</v>
      </c>
      <c r="C11875">
        <f t="shared" si="387"/>
        <v>1.0766577727192856E-2</v>
      </c>
      <c r="D11875">
        <f t="shared" si="386"/>
        <v>0.82410399383321975</v>
      </c>
    </row>
    <row r="11876" spans="1:4" x14ac:dyDescent="0.3">
      <c r="A11876" s="1">
        <v>43164</v>
      </c>
      <c r="B11876">
        <v>7330.7099609999996</v>
      </c>
      <c r="C11876">
        <f t="shared" si="387"/>
        <v>1.0035980642501097E-2</v>
      </c>
      <c r="D11876">
        <f t="shared" si="386"/>
        <v>0.76565923129104241</v>
      </c>
    </row>
    <row r="11877" spans="1:4" x14ac:dyDescent="0.3">
      <c r="A11877" s="1">
        <v>43165</v>
      </c>
      <c r="B11877">
        <v>7372.0097660000001</v>
      </c>
      <c r="C11877">
        <f t="shared" si="387"/>
        <v>5.6338069872794092E-3</v>
      </c>
      <c r="D11877">
        <f t="shared" si="386"/>
        <v>0.41350344071954032</v>
      </c>
    </row>
    <row r="11878" spans="1:4" x14ac:dyDescent="0.3">
      <c r="A11878" s="1">
        <v>43166</v>
      </c>
      <c r="B11878">
        <v>7396.6499020000001</v>
      </c>
      <c r="C11878">
        <f t="shared" si="387"/>
        <v>3.3423905803328237E-3</v>
      </c>
      <c r="D11878">
        <f t="shared" si="386"/>
        <v>0.23019955052437965</v>
      </c>
    </row>
    <row r="11879" spans="1:4" x14ac:dyDescent="0.3">
      <c r="A11879" s="1">
        <v>43167</v>
      </c>
      <c r="B11879">
        <v>7427.9501950000003</v>
      </c>
      <c r="C11879">
        <f t="shared" si="387"/>
        <v>4.2316850756363182E-3</v>
      </c>
      <c r="D11879">
        <f t="shared" si="386"/>
        <v>0.30133945334784429</v>
      </c>
    </row>
    <row r="11880" spans="1:4" x14ac:dyDescent="0.3">
      <c r="A11880" s="1">
        <v>43168</v>
      </c>
      <c r="B11880">
        <v>7560.8100590000004</v>
      </c>
      <c r="C11880">
        <f t="shared" si="387"/>
        <v>1.7886477495424297E-2</v>
      </c>
      <c r="D11880">
        <f t="shared" si="386"/>
        <v>1.3936666980889498</v>
      </c>
    </row>
    <row r="11881" spans="1:4" x14ac:dyDescent="0.3">
      <c r="A11881" s="1">
        <v>43171</v>
      </c>
      <c r="B11881">
        <v>7588.3198240000002</v>
      </c>
      <c r="C11881">
        <f t="shared" si="387"/>
        <v>3.6384679399866122E-3</v>
      </c>
      <c r="D11881">
        <f t="shared" si="386"/>
        <v>0.2538845218193051</v>
      </c>
    </row>
    <row r="11882" spans="1:4" x14ac:dyDescent="0.3">
      <c r="A11882" s="1">
        <v>43172</v>
      </c>
      <c r="B11882">
        <v>7511.0097660000001</v>
      </c>
      <c r="C11882">
        <f t="shared" si="387"/>
        <v>-1.01880336877061E-2</v>
      </c>
      <c r="D11882">
        <f t="shared" si="386"/>
        <v>-0.85217875348169714</v>
      </c>
    </row>
    <row r="11883" spans="1:4" x14ac:dyDescent="0.3">
      <c r="A11883" s="1">
        <v>43173</v>
      </c>
      <c r="B11883">
        <v>7496.8100590000004</v>
      </c>
      <c r="C11883">
        <f t="shared" si="387"/>
        <v>-1.8905190436946853E-3</v>
      </c>
      <c r="D11883">
        <f t="shared" si="386"/>
        <v>-0.18841170154487283</v>
      </c>
    </row>
    <row r="11884" spans="1:4" x14ac:dyDescent="0.3">
      <c r="A11884" s="1">
        <v>43174</v>
      </c>
      <c r="B11884">
        <v>7481.7402339999999</v>
      </c>
      <c r="C11884">
        <f t="shared" si="387"/>
        <v>-2.0101649743558604E-3</v>
      </c>
      <c r="D11884">
        <f t="shared" si="386"/>
        <v>-0.19798288401076022</v>
      </c>
    </row>
    <row r="11885" spans="1:4" x14ac:dyDescent="0.3">
      <c r="A11885" s="1">
        <v>43175</v>
      </c>
      <c r="B11885">
        <v>7481.9902339999999</v>
      </c>
      <c r="C11885">
        <f t="shared" si="387"/>
        <v>3.3414685912764076E-5</v>
      </c>
      <c r="D11885">
        <f t="shared" si="386"/>
        <v>-3.4504914439044673E-2</v>
      </c>
    </row>
    <row r="11886" spans="1:4" x14ac:dyDescent="0.3">
      <c r="A11886" s="1">
        <v>43178</v>
      </c>
      <c r="B11886">
        <v>7344.2402339999999</v>
      </c>
      <c r="C11886">
        <f t="shared" si="387"/>
        <v>-1.8410876744269219E-2</v>
      </c>
      <c r="D11886">
        <f t="shared" si="386"/>
        <v>-1.5099723854740603</v>
      </c>
    </row>
    <row r="11887" spans="1:4" x14ac:dyDescent="0.3">
      <c r="A11887" s="1">
        <v>43179</v>
      </c>
      <c r="B11887">
        <v>7364.2998049999997</v>
      </c>
      <c r="C11887">
        <f t="shared" si="387"/>
        <v>2.7313337201490813E-3</v>
      </c>
      <c r="D11887">
        <f t="shared" si="386"/>
        <v>0.1813175143905032</v>
      </c>
    </row>
    <row r="11888" spans="1:4" x14ac:dyDescent="0.3">
      <c r="A11888" s="1">
        <v>43180</v>
      </c>
      <c r="B11888">
        <v>7345.2900390000004</v>
      </c>
      <c r="C11888">
        <f t="shared" si="387"/>
        <v>-2.5813405895143645E-3</v>
      </c>
      <c r="D11888">
        <f t="shared" si="386"/>
        <v>-0.24367458453527704</v>
      </c>
    </row>
    <row r="11889" spans="1:4" x14ac:dyDescent="0.3">
      <c r="A11889" s="1">
        <v>43181</v>
      </c>
      <c r="B11889">
        <v>7166.6801759999998</v>
      </c>
      <c r="C11889">
        <f t="shared" si="387"/>
        <v>-2.431624374962283E-2</v>
      </c>
      <c r="D11889">
        <f t="shared" si="386"/>
        <v>-1.9823774628881266</v>
      </c>
    </row>
    <row r="11890" spans="1:4" x14ac:dyDescent="0.3">
      <c r="A11890" s="1">
        <v>43182</v>
      </c>
      <c r="B11890">
        <v>6992.669922</v>
      </c>
      <c r="C11890">
        <f t="shared" si="387"/>
        <v>-2.428045478891757E-2</v>
      </c>
      <c r="D11890">
        <f t="shared" si="386"/>
        <v>-1.9795144931967916</v>
      </c>
    </row>
    <row r="11891" spans="1:4" x14ac:dyDescent="0.3">
      <c r="A11891" s="1">
        <v>43185</v>
      </c>
      <c r="B11891">
        <v>7220.5400390000004</v>
      </c>
      <c r="C11891">
        <f t="shared" si="387"/>
        <v>3.2586997461883115E-2</v>
      </c>
      <c r="D11891">
        <f t="shared" si="386"/>
        <v>2.5696478465063568</v>
      </c>
    </row>
    <row r="11892" spans="1:4" x14ac:dyDescent="0.3">
      <c r="A11892" s="1">
        <v>43186</v>
      </c>
      <c r="B11892">
        <v>7008.8100590000004</v>
      </c>
      <c r="C11892">
        <f t="shared" si="387"/>
        <v>-2.9323288681510219E-2</v>
      </c>
      <c r="D11892">
        <f t="shared" si="386"/>
        <v>-2.3829204683473333</v>
      </c>
    </row>
    <row r="11893" spans="1:4" x14ac:dyDescent="0.3">
      <c r="A11893" s="1">
        <v>43187</v>
      </c>
      <c r="B11893">
        <v>6949.2299800000001</v>
      </c>
      <c r="C11893">
        <f t="shared" si="387"/>
        <v>-8.5007409957548533E-3</v>
      </c>
      <c r="D11893">
        <f t="shared" si="386"/>
        <v>-0.71720227631460409</v>
      </c>
    </row>
    <row r="11894" spans="1:4" x14ac:dyDescent="0.3">
      <c r="A11894" s="1">
        <v>43188</v>
      </c>
      <c r="B11894">
        <v>7063.4501950000003</v>
      </c>
      <c r="C11894">
        <f t="shared" si="387"/>
        <v>1.6436384366142431E-2</v>
      </c>
      <c r="D11894">
        <f t="shared" si="386"/>
        <v>1.2776652105649773</v>
      </c>
    </row>
    <row r="11895" spans="1:4" x14ac:dyDescent="0.3">
      <c r="A11895" s="1">
        <v>43192</v>
      </c>
      <c r="B11895">
        <v>6870.1201170000004</v>
      </c>
      <c r="C11895">
        <f t="shared" si="387"/>
        <v>-2.7370487886621241E-2</v>
      </c>
      <c r="D11895">
        <f t="shared" si="386"/>
        <v>-2.2267044347210643</v>
      </c>
    </row>
    <row r="11896" spans="1:4" x14ac:dyDescent="0.3">
      <c r="A11896" s="1">
        <v>43193</v>
      </c>
      <c r="B11896">
        <v>6941.2797849999997</v>
      </c>
      <c r="C11896">
        <f t="shared" si="387"/>
        <v>1.0357849177034894E-2</v>
      </c>
      <c r="D11896">
        <f t="shared" si="386"/>
        <v>0.7914073905224237</v>
      </c>
    </row>
    <row r="11897" spans="1:4" x14ac:dyDescent="0.3">
      <c r="A11897" s="1">
        <v>43194</v>
      </c>
      <c r="B11897">
        <v>7042.1098629999997</v>
      </c>
      <c r="C11897">
        <f t="shared" si="387"/>
        <v>1.452615095819826E-2</v>
      </c>
      <c r="D11897">
        <f t="shared" si="386"/>
        <v>1.1248543928561523</v>
      </c>
    </row>
    <row r="11898" spans="1:4" x14ac:dyDescent="0.3">
      <c r="A11898" s="1">
        <v>43195</v>
      </c>
      <c r="B11898">
        <v>7076.5498049999997</v>
      </c>
      <c r="C11898">
        <f t="shared" si="387"/>
        <v>4.8905715289889358E-3</v>
      </c>
      <c r="D11898">
        <f t="shared" si="386"/>
        <v>0.35404766025876844</v>
      </c>
    </row>
    <row r="11899" spans="1:4" x14ac:dyDescent="0.3">
      <c r="A11899" s="1">
        <v>43196</v>
      </c>
      <c r="B11899">
        <v>6915.1098629999997</v>
      </c>
      <c r="C11899">
        <f t="shared" si="387"/>
        <v>-2.2813369007299734E-2</v>
      </c>
      <c r="D11899">
        <f t="shared" si="386"/>
        <v>-1.8621536633601454</v>
      </c>
    </row>
    <row r="11900" spans="1:4" x14ac:dyDescent="0.3">
      <c r="A11900" s="1">
        <v>43199</v>
      </c>
      <c r="B11900">
        <v>6950.3398440000001</v>
      </c>
      <c r="C11900">
        <f t="shared" si="387"/>
        <v>5.0946379302665911E-3</v>
      </c>
      <c r="D11900">
        <f t="shared" si="386"/>
        <v>0.37037213323492485</v>
      </c>
    </row>
    <row r="11901" spans="1:4" x14ac:dyDescent="0.3">
      <c r="A11901" s="1">
        <v>43200</v>
      </c>
      <c r="B11901">
        <v>7094.2998049999997</v>
      </c>
      <c r="C11901">
        <f t="shared" si="387"/>
        <v>2.0712650637403792E-2</v>
      </c>
      <c r="D11901">
        <f t="shared" si="386"/>
        <v>1.6197489281539097</v>
      </c>
    </row>
    <row r="11902" spans="1:4" x14ac:dyDescent="0.3">
      <c r="A11902" s="1">
        <v>43201</v>
      </c>
      <c r="B11902">
        <v>7069.0297849999997</v>
      </c>
      <c r="C11902">
        <f t="shared" si="387"/>
        <v>-3.562017492154736E-3</v>
      </c>
      <c r="D11902">
        <f t="shared" si="386"/>
        <v>-0.32212470417898759</v>
      </c>
    </row>
    <row r="11903" spans="1:4" x14ac:dyDescent="0.3">
      <c r="A11903" s="1">
        <v>43202</v>
      </c>
      <c r="B11903">
        <v>7140.25</v>
      </c>
      <c r="C11903">
        <f t="shared" si="387"/>
        <v>1.0074963207981487E-2</v>
      </c>
      <c r="D11903">
        <f t="shared" si="386"/>
        <v>0.7687776762322065</v>
      </c>
    </row>
    <row r="11904" spans="1:4" x14ac:dyDescent="0.3">
      <c r="A11904" s="1">
        <v>43203</v>
      </c>
      <c r="B11904">
        <v>7106.6499020000001</v>
      </c>
      <c r="C11904">
        <f t="shared" si="387"/>
        <v>-4.7057313119288381E-3</v>
      </c>
      <c r="D11904">
        <f t="shared" si="386"/>
        <v>-0.41361710678158742</v>
      </c>
    </row>
    <row r="11905" spans="1:4" x14ac:dyDescent="0.3">
      <c r="A11905" s="1">
        <v>43206</v>
      </c>
      <c r="B11905">
        <v>7156.2797849999997</v>
      </c>
      <c r="C11905">
        <f t="shared" si="387"/>
        <v>6.9835835005791465E-3</v>
      </c>
      <c r="D11905">
        <f t="shared" si="386"/>
        <v>0.52148001146933221</v>
      </c>
    </row>
    <row r="11906" spans="1:4" x14ac:dyDescent="0.3">
      <c r="A11906" s="1">
        <v>43207</v>
      </c>
      <c r="B11906">
        <v>7281.1000979999999</v>
      </c>
      <c r="C11906">
        <f t="shared" si="387"/>
        <v>1.7442067212300891E-2</v>
      </c>
      <c r="D11906">
        <f t="shared" si="386"/>
        <v>1.3581157028650808</v>
      </c>
    </row>
    <row r="11907" spans="1:4" x14ac:dyDescent="0.3">
      <c r="A11907" s="1">
        <v>43208</v>
      </c>
      <c r="B11907">
        <v>7295.2402339999999</v>
      </c>
      <c r="C11907">
        <f t="shared" si="387"/>
        <v>1.9420329084452567E-3</v>
      </c>
      <c r="D11907">
        <f t="shared" ref="D11907:D11970" si="388">(C11907-avrtn)/sdrtn</f>
        <v>0.11817669507852833</v>
      </c>
    </row>
    <row r="11908" spans="1:4" x14ac:dyDescent="0.3">
      <c r="A11908" s="1">
        <v>43209</v>
      </c>
      <c r="B11908">
        <v>7238.0600590000004</v>
      </c>
      <c r="C11908">
        <f t="shared" ref="C11908:C11971" si="389">(B11908-B11907)/B11907</f>
        <v>-7.8380112464983848E-3</v>
      </c>
      <c r="D11908">
        <f t="shared" si="388"/>
        <v>-0.664186621535099</v>
      </c>
    </row>
    <row r="11909" spans="1:4" x14ac:dyDescent="0.3">
      <c r="A11909" s="1">
        <v>43210</v>
      </c>
      <c r="B11909">
        <v>7146.1298829999996</v>
      </c>
      <c r="C11909">
        <f t="shared" si="389"/>
        <v>-1.2700941308948145E-2</v>
      </c>
      <c r="D11909">
        <f t="shared" si="388"/>
        <v>-1.0532010300431793</v>
      </c>
    </row>
    <row r="11910" spans="1:4" x14ac:dyDescent="0.3">
      <c r="A11910" s="1">
        <v>43213</v>
      </c>
      <c r="B11910">
        <v>7128.6000979999999</v>
      </c>
      <c r="C11910">
        <f t="shared" si="389"/>
        <v>-2.4530459545244903E-3</v>
      </c>
      <c r="D11910">
        <f t="shared" si="388"/>
        <v>-0.23341154128677843</v>
      </c>
    </row>
    <row r="11911" spans="1:4" x14ac:dyDescent="0.3">
      <c r="A11911" s="1">
        <v>43214</v>
      </c>
      <c r="B11911">
        <v>7007.3500979999999</v>
      </c>
      <c r="C11911">
        <f t="shared" si="389"/>
        <v>-1.7008949630098889E-2</v>
      </c>
      <c r="D11911">
        <f t="shared" si="388"/>
        <v>-1.3978239810991733</v>
      </c>
    </row>
    <row r="11912" spans="1:4" x14ac:dyDescent="0.3">
      <c r="A11912" s="1">
        <v>43215</v>
      </c>
      <c r="B11912">
        <v>7003.7402339999999</v>
      </c>
      <c r="C11912">
        <f t="shared" si="389"/>
        <v>-5.15153938295494E-4</v>
      </c>
      <c r="D11912">
        <f t="shared" si="388"/>
        <v>-7.8388148648044068E-2</v>
      </c>
    </row>
    <row r="11913" spans="1:4" x14ac:dyDescent="0.3">
      <c r="A11913" s="1">
        <v>43216</v>
      </c>
      <c r="B11913">
        <v>7118.6801759999998</v>
      </c>
      <c r="C11913">
        <f t="shared" si="389"/>
        <v>1.6411222883741233E-2</v>
      </c>
      <c r="D11913">
        <f t="shared" si="388"/>
        <v>1.2756523954375154</v>
      </c>
    </row>
    <row r="11914" spans="1:4" x14ac:dyDescent="0.3">
      <c r="A11914" s="1">
        <v>43217</v>
      </c>
      <c r="B11914">
        <v>7119.7998049999997</v>
      </c>
      <c r="C11914">
        <f t="shared" si="389"/>
        <v>1.5728041888642987E-4</v>
      </c>
      <c r="D11914">
        <f t="shared" si="388"/>
        <v>-2.4596165140088819E-2</v>
      </c>
    </row>
    <row r="11915" spans="1:4" x14ac:dyDescent="0.3">
      <c r="A11915" s="1">
        <v>43220</v>
      </c>
      <c r="B11915">
        <v>7066.2700199999999</v>
      </c>
      <c r="C11915">
        <f t="shared" si="389"/>
        <v>-7.5184396283737532E-3</v>
      </c>
      <c r="D11915">
        <f t="shared" si="388"/>
        <v>-0.63862220617147425</v>
      </c>
    </row>
    <row r="11916" spans="1:4" x14ac:dyDescent="0.3">
      <c r="A11916" s="1">
        <v>43221</v>
      </c>
      <c r="B11916">
        <v>7130.7001950000003</v>
      </c>
      <c r="C11916">
        <f t="shared" si="389"/>
        <v>9.117989380202092E-3</v>
      </c>
      <c r="D11916">
        <f t="shared" si="388"/>
        <v>0.69222370510974784</v>
      </c>
    </row>
    <row r="11917" spans="1:4" x14ac:dyDescent="0.3">
      <c r="A11917" s="1">
        <v>43222</v>
      </c>
      <c r="B11917">
        <v>7100.8999020000001</v>
      </c>
      <c r="C11917">
        <f t="shared" si="389"/>
        <v>-4.1791538257205099E-3</v>
      </c>
      <c r="D11917">
        <f t="shared" si="388"/>
        <v>-0.37149307318448266</v>
      </c>
    </row>
    <row r="11918" spans="1:4" x14ac:dyDescent="0.3">
      <c r="A11918" s="1">
        <v>43223</v>
      </c>
      <c r="B11918">
        <v>7088.1499020000001</v>
      </c>
      <c r="C11918">
        <f t="shared" si="389"/>
        <v>-1.7955470681130016E-3</v>
      </c>
      <c r="D11918">
        <f t="shared" si="388"/>
        <v>-0.18081433402543523</v>
      </c>
    </row>
    <row r="11919" spans="1:4" x14ac:dyDescent="0.3">
      <c r="A11919" s="1">
        <v>43224</v>
      </c>
      <c r="B11919">
        <v>7209.6201170000004</v>
      </c>
      <c r="C11919">
        <f t="shared" si="389"/>
        <v>1.7137083255776817E-2</v>
      </c>
      <c r="D11919">
        <f t="shared" si="388"/>
        <v>1.3337182404446777</v>
      </c>
    </row>
    <row r="11920" spans="1:4" x14ac:dyDescent="0.3">
      <c r="A11920" s="1">
        <v>43227</v>
      </c>
      <c r="B11920">
        <v>7265.2099609999996</v>
      </c>
      <c r="C11920">
        <f t="shared" si="389"/>
        <v>7.7105094440302769E-3</v>
      </c>
      <c r="D11920">
        <f t="shared" si="388"/>
        <v>0.57963109780808231</v>
      </c>
    </row>
    <row r="11921" spans="1:4" x14ac:dyDescent="0.3">
      <c r="A11921" s="1">
        <v>43228</v>
      </c>
      <c r="B11921">
        <v>7266.8999020000001</v>
      </c>
      <c r="C11921">
        <f t="shared" si="389"/>
        <v>2.3260731748596806E-4</v>
      </c>
      <c r="D11921">
        <f t="shared" si="388"/>
        <v>-1.8570322998183609E-2</v>
      </c>
    </row>
    <row r="11922" spans="1:4" x14ac:dyDescent="0.3">
      <c r="A11922" s="1">
        <v>43229</v>
      </c>
      <c r="B11922">
        <v>7339.9101559999999</v>
      </c>
      <c r="C11922">
        <f t="shared" si="389"/>
        <v>1.0046960187232782E-2</v>
      </c>
      <c r="D11922">
        <f t="shared" si="388"/>
        <v>0.76653754972141941</v>
      </c>
    </row>
    <row r="11923" spans="1:4" x14ac:dyDescent="0.3">
      <c r="A11923" s="1">
        <v>43230</v>
      </c>
      <c r="B11923">
        <v>7404.9702150000003</v>
      </c>
      <c r="C11923">
        <f t="shared" si="389"/>
        <v>8.8638767528805649E-3</v>
      </c>
      <c r="D11923">
        <f t="shared" si="388"/>
        <v>0.67189573984139284</v>
      </c>
    </row>
    <row r="11924" spans="1:4" x14ac:dyDescent="0.3">
      <c r="A11924" s="1">
        <v>43231</v>
      </c>
      <c r="B11924">
        <v>7402.8798829999996</v>
      </c>
      <c r="C11924">
        <f t="shared" si="389"/>
        <v>-2.8228769857390596E-4</v>
      </c>
      <c r="D11924">
        <f t="shared" si="388"/>
        <v>-5.9759807022016359E-2</v>
      </c>
    </row>
    <row r="11925" spans="1:4" x14ac:dyDescent="0.3">
      <c r="A11925" s="1">
        <v>43234</v>
      </c>
      <c r="B11925">
        <v>7411.3198240000002</v>
      </c>
      <c r="C11925">
        <f t="shared" si="389"/>
        <v>1.1400888753283782E-3</v>
      </c>
      <c r="D11925">
        <f t="shared" si="388"/>
        <v>5.4024470042746249E-2</v>
      </c>
    </row>
    <row r="11926" spans="1:4" x14ac:dyDescent="0.3">
      <c r="A11926" s="1">
        <v>43235</v>
      </c>
      <c r="B11926">
        <v>7351.6298829999996</v>
      </c>
      <c r="C11926">
        <f t="shared" si="389"/>
        <v>-8.0538881626329526E-3</v>
      </c>
      <c r="D11926">
        <f t="shared" si="388"/>
        <v>-0.68145588713468119</v>
      </c>
    </row>
    <row r="11927" spans="1:4" x14ac:dyDescent="0.3">
      <c r="A11927" s="1">
        <v>43236</v>
      </c>
      <c r="B11927">
        <v>7398.2998049999997</v>
      </c>
      <c r="C11927">
        <f t="shared" si="389"/>
        <v>6.3482415114395454E-3</v>
      </c>
      <c r="D11927">
        <f t="shared" si="388"/>
        <v>0.47065526488003395</v>
      </c>
    </row>
    <row r="11928" spans="1:4" x14ac:dyDescent="0.3">
      <c r="A11928" s="1">
        <v>43237</v>
      </c>
      <c r="B11928">
        <v>7382.4702150000003</v>
      </c>
      <c r="C11928">
        <f t="shared" si="389"/>
        <v>-2.1396253757250071E-3</v>
      </c>
      <c r="D11928">
        <f t="shared" si="388"/>
        <v>-0.20833918377594066</v>
      </c>
    </row>
    <row r="11929" spans="1:4" x14ac:dyDescent="0.3">
      <c r="A11929" s="1">
        <v>43238</v>
      </c>
      <c r="B11929">
        <v>7354.3398440000001</v>
      </c>
      <c r="C11929">
        <f t="shared" si="389"/>
        <v>-3.810427970687071E-3</v>
      </c>
      <c r="D11929">
        <f t="shared" si="388"/>
        <v>-0.34199652099158312</v>
      </c>
    </row>
    <row r="11930" spans="1:4" x14ac:dyDescent="0.3">
      <c r="A11930" s="1">
        <v>43241</v>
      </c>
      <c r="B11930">
        <v>7394.0400390000004</v>
      </c>
      <c r="C11930">
        <f t="shared" si="389"/>
        <v>5.3981996810209343E-3</v>
      </c>
      <c r="D11930">
        <f t="shared" si="388"/>
        <v>0.39465582504189461</v>
      </c>
    </row>
    <row r="11931" spans="1:4" x14ac:dyDescent="0.3">
      <c r="A11931" s="1">
        <v>43242</v>
      </c>
      <c r="B11931">
        <v>7378.4599609999996</v>
      </c>
      <c r="C11931">
        <f t="shared" si="389"/>
        <v>-2.1071130150531318E-3</v>
      </c>
      <c r="D11931">
        <f t="shared" si="388"/>
        <v>-0.20573832861381655</v>
      </c>
    </row>
    <row r="11932" spans="1:4" x14ac:dyDescent="0.3">
      <c r="A11932" s="1">
        <v>43243</v>
      </c>
      <c r="B11932">
        <v>7425.9599609999996</v>
      </c>
      <c r="C11932">
        <f t="shared" si="389"/>
        <v>6.4376577566414477E-3</v>
      </c>
      <c r="D11932">
        <f t="shared" si="388"/>
        <v>0.47780819681438891</v>
      </c>
    </row>
    <row r="11933" spans="1:4" x14ac:dyDescent="0.3">
      <c r="A11933" s="1">
        <v>43244</v>
      </c>
      <c r="B11933">
        <v>7424.4301759999998</v>
      </c>
      <c r="C11933">
        <f t="shared" si="389"/>
        <v>-2.060050159217011E-4</v>
      </c>
      <c r="D11933">
        <f t="shared" si="388"/>
        <v>-5.3657506086105325E-2</v>
      </c>
    </row>
    <row r="11934" spans="1:4" x14ac:dyDescent="0.3">
      <c r="A11934" s="1">
        <v>43245</v>
      </c>
      <c r="B11934">
        <v>7433.8500979999999</v>
      </c>
      <c r="C11934">
        <f t="shared" si="389"/>
        <v>1.2687737343736645E-3</v>
      </c>
      <c r="D11934">
        <f t="shared" si="388"/>
        <v>6.4318729611066924E-2</v>
      </c>
    </row>
    <row r="11935" spans="1:4" x14ac:dyDescent="0.3">
      <c r="A11935" s="1">
        <v>43249</v>
      </c>
      <c r="B11935">
        <v>7396.5898440000001</v>
      </c>
      <c r="C11935">
        <f t="shared" si="389"/>
        <v>-5.0122417736166471E-3</v>
      </c>
      <c r="D11935">
        <f t="shared" si="388"/>
        <v>-0.4381366833380626</v>
      </c>
    </row>
    <row r="11936" spans="1:4" x14ac:dyDescent="0.3">
      <c r="A11936" s="1">
        <v>43250</v>
      </c>
      <c r="B11936">
        <v>7462.4501950000003</v>
      </c>
      <c r="C11936">
        <f t="shared" si="389"/>
        <v>8.9041507490678524E-3</v>
      </c>
      <c r="D11936">
        <f t="shared" si="388"/>
        <v>0.67511749392871401</v>
      </c>
    </row>
    <row r="11937" spans="1:4" x14ac:dyDescent="0.3">
      <c r="A11937" s="1">
        <v>43251</v>
      </c>
      <c r="B11937">
        <v>7442.1201170000004</v>
      </c>
      <c r="C11937">
        <f t="shared" si="389"/>
        <v>-2.7243167416543083E-3</v>
      </c>
      <c r="D11937">
        <f t="shared" si="388"/>
        <v>-0.25511208878502201</v>
      </c>
    </row>
    <row r="11938" spans="1:4" x14ac:dyDescent="0.3">
      <c r="A11938" s="1">
        <v>43252</v>
      </c>
      <c r="B11938">
        <v>7554.330078</v>
      </c>
      <c r="C11938">
        <f t="shared" si="389"/>
        <v>1.5077687437976025E-2</v>
      </c>
      <c r="D11938">
        <f t="shared" si="388"/>
        <v>1.1689750433068171</v>
      </c>
    </row>
    <row r="11939" spans="1:4" x14ac:dyDescent="0.3">
      <c r="A11939" s="1">
        <v>43255</v>
      </c>
      <c r="B11939">
        <v>7606.4599609999996</v>
      </c>
      <c r="C11939">
        <f t="shared" si="389"/>
        <v>6.9006625950611012E-3</v>
      </c>
      <c r="D11939">
        <f t="shared" si="388"/>
        <v>0.51484668000068945</v>
      </c>
    </row>
    <row r="11940" spans="1:4" x14ac:dyDescent="0.3">
      <c r="A11940" s="1">
        <v>43256</v>
      </c>
      <c r="B11940">
        <v>7637.8598629999997</v>
      </c>
      <c r="C11940">
        <f t="shared" si="389"/>
        <v>4.128057225173648E-3</v>
      </c>
      <c r="D11940">
        <f t="shared" si="388"/>
        <v>0.29304965143109796</v>
      </c>
    </row>
    <row r="11941" spans="1:4" x14ac:dyDescent="0.3">
      <c r="A11941" s="1">
        <v>43257</v>
      </c>
      <c r="B11941">
        <v>7689.2402339999999</v>
      </c>
      <c r="C11941">
        <f t="shared" si="389"/>
        <v>6.7270638531745728E-3</v>
      </c>
      <c r="D11941">
        <f t="shared" si="388"/>
        <v>0.50095949449205912</v>
      </c>
    </row>
    <row r="11942" spans="1:4" x14ac:dyDescent="0.3">
      <c r="A11942" s="1">
        <v>43258</v>
      </c>
      <c r="B11942">
        <v>7635.0698240000002</v>
      </c>
      <c r="C11942">
        <f t="shared" si="389"/>
        <v>-7.0449626167837743E-3</v>
      </c>
      <c r="D11942">
        <f t="shared" si="388"/>
        <v>-0.6007459921933811</v>
      </c>
    </row>
    <row r="11943" spans="1:4" x14ac:dyDescent="0.3">
      <c r="A11943" s="1">
        <v>43259</v>
      </c>
      <c r="B11943">
        <v>7645.5097660000001</v>
      </c>
      <c r="C11943">
        <f t="shared" si="389"/>
        <v>1.3673669318888437E-3</v>
      </c>
      <c r="D11943">
        <f t="shared" si="388"/>
        <v>7.2205779994630626E-2</v>
      </c>
    </row>
    <row r="11944" spans="1:4" x14ac:dyDescent="0.3">
      <c r="A11944" s="1">
        <v>43262</v>
      </c>
      <c r="B11944">
        <v>7659.9301759999998</v>
      </c>
      <c r="C11944">
        <f t="shared" si="389"/>
        <v>1.886127994254624E-3</v>
      </c>
      <c r="D11944">
        <f t="shared" si="388"/>
        <v>0.11370453182565847</v>
      </c>
    </row>
    <row r="11945" spans="1:4" x14ac:dyDescent="0.3">
      <c r="A11945" s="1">
        <v>43263</v>
      </c>
      <c r="B11945">
        <v>7703.7900390000004</v>
      </c>
      <c r="C11945">
        <f t="shared" si="389"/>
        <v>5.7258828725908987E-3</v>
      </c>
      <c r="D11945">
        <f t="shared" si="388"/>
        <v>0.42086913292615674</v>
      </c>
    </row>
    <row r="11946" spans="1:4" x14ac:dyDescent="0.3">
      <c r="A11946" s="1">
        <v>43264</v>
      </c>
      <c r="B11946">
        <v>7695.7001950000003</v>
      </c>
      <c r="C11946">
        <f t="shared" si="389"/>
        <v>-1.0501122121768258E-3</v>
      </c>
      <c r="D11946">
        <f t="shared" si="388"/>
        <v>-0.12118261079698432</v>
      </c>
    </row>
    <row r="11947" spans="1:4" x14ac:dyDescent="0.3">
      <c r="A11947" s="1">
        <v>43265</v>
      </c>
      <c r="B11947">
        <v>7761.0400390000004</v>
      </c>
      <c r="C11947">
        <f t="shared" si="389"/>
        <v>8.490435222834207E-3</v>
      </c>
      <c r="D11947">
        <f t="shared" si="388"/>
        <v>0.64202195303843135</v>
      </c>
    </row>
    <row r="11948" spans="1:4" x14ac:dyDescent="0.3">
      <c r="A11948" s="1">
        <v>43266</v>
      </c>
      <c r="B11948">
        <v>7746.3798829999996</v>
      </c>
      <c r="C11948">
        <f t="shared" si="389"/>
        <v>-1.8889421941301783E-3</v>
      </c>
      <c r="D11948">
        <f t="shared" si="388"/>
        <v>-0.18828556006375644</v>
      </c>
    </row>
    <row r="11949" spans="1:4" x14ac:dyDescent="0.3">
      <c r="A11949" s="1">
        <v>43269</v>
      </c>
      <c r="B11949">
        <v>7747.0297849999997</v>
      </c>
      <c r="C11949">
        <f t="shared" si="389"/>
        <v>8.3897512104508159E-5</v>
      </c>
      <c r="D11949">
        <f t="shared" si="388"/>
        <v>-3.0466495930326829E-2</v>
      </c>
    </row>
    <row r="11950" spans="1:4" x14ac:dyDescent="0.3">
      <c r="A11950" s="1">
        <v>43270</v>
      </c>
      <c r="B11950">
        <v>7725.5898440000001</v>
      </c>
      <c r="C11950">
        <f t="shared" si="389"/>
        <v>-2.7675046559795351E-3</v>
      </c>
      <c r="D11950">
        <f t="shared" si="388"/>
        <v>-0.25856694434127531</v>
      </c>
    </row>
    <row r="11951" spans="1:4" x14ac:dyDescent="0.3">
      <c r="A11951" s="1">
        <v>43271</v>
      </c>
      <c r="B11951">
        <v>7781.5097660000001</v>
      </c>
      <c r="C11951">
        <f t="shared" si="389"/>
        <v>7.2382721745744335E-3</v>
      </c>
      <c r="D11951">
        <f t="shared" si="388"/>
        <v>0.54185405810286991</v>
      </c>
    </row>
    <row r="11952" spans="1:4" x14ac:dyDescent="0.3">
      <c r="A11952" s="1">
        <v>43272</v>
      </c>
      <c r="B11952">
        <v>7712.9501950000003</v>
      </c>
      <c r="C11952">
        <f t="shared" si="389"/>
        <v>-8.8105744337119915E-3</v>
      </c>
      <c r="D11952">
        <f t="shared" si="388"/>
        <v>-0.7419876773084656</v>
      </c>
    </row>
    <row r="11953" spans="1:4" x14ac:dyDescent="0.3">
      <c r="A11953" s="1">
        <v>43273</v>
      </c>
      <c r="B11953">
        <v>7692.8198240000002</v>
      </c>
      <c r="C11953">
        <f t="shared" si="389"/>
        <v>-2.6099443780993057E-3</v>
      </c>
      <c r="D11953">
        <f t="shared" si="388"/>
        <v>-0.2459627700025909</v>
      </c>
    </row>
    <row r="11954" spans="1:4" x14ac:dyDescent="0.3">
      <c r="A11954" s="1">
        <v>43276</v>
      </c>
      <c r="B11954">
        <v>7532.0097660000001</v>
      </c>
      <c r="C11954">
        <f t="shared" si="389"/>
        <v>-2.0903915817488152E-2</v>
      </c>
      <c r="D11954">
        <f t="shared" si="388"/>
        <v>-1.7094052598936513</v>
      </c>
    </row>
    <row r="11955" spans="1:4" x14ac:dyDescent="0.3">
      <c r="A11955" s="1">
        <v>43277</v>
      </c>
      <c r="B11955">
        <v>7561.6298829999996</v>
      </c>
      <c r="C11955">
        <f t="shared" si="389"/>
        <v>3.93256486916768E-3</v>
      </c>
      <c r="D11955">
        <f t="shared" si="388"/>
        <v>0.27741106681999167</v>
      </c>
    </row>
    <row r="11956" spans="1:4" x14ac:dyDescent="0.3">
      <c r="A11956" s="1">
        <v>43278</v>
      </c>
      <c r="B11956">
        <v>7445.080078</v>
      </c>
      <c r="C11956">
        <f t="shared" si="389"/>
        <v>-1.5413317869739441E-2</v>
      </c>
      <c r="D11956">
        <f t="shared" si="388"/>
        <v>-1.2701800015474212</v>
      </c>
    </row>
    <row r="11957" spans="1:4" x14ac:dyDescent="0.3">
      <c r="A11957" s="1">
        <v>43279</v>
      </c>
      <c r="B11957">
        <v>7503.6801759999998</v>
      </c>
      <c r="C11957">
        <f t="shared" si="389"/>
        <v>7.8709829022741498E-3</v>
      </c>
      <c r="D11957">
        <f t="shared" si="388"/>
        <v>0.59246831459678895</v>
      </c>
    </row>
    <row r="11958" spans="1:4" x14ac:dyDescent="0.3">
      <c r="A11958" s="1">
        <v>43280</v>
      </c>
      <c r="B11958">
        <v>7510.2998049999997</v>
      </c>
      <c r="C11958">
        <f t="shared" si="389"/>
        <v>8.8218432085794757E-4</v>
      </c>
      <c r="D11958">
        <f t="shared" si="388"/>
        <v>3.3393166194976572E-2</v>
      </c>
    </row>
    <row r="11959" spans="1:4" x14ac:dyDescent="0.3">
      <c r="A11959" s="1">
        <v>43283</v>
      </c>
      <c r="B11959">
        <v>7567.6899409999996</v>
      </c>
      <c r="C11959">
        <f t="shared" si="389"/>
        <v>7.6415239724241593E-3</v>
      </c>
      <c r="D11959">
        <f t="shared" si="388"/>
        <v>0.57411254374954712</v>
      </c>
    </row>
    <row r="11960" spans="1:4" x14ac:dyDescent="0.3">
      <c r="A11960" s="1">
        <v>43284</v>
      </c>
      <c r="B11960">
        <v>7502.669922</v>
      </c>
      <c r="C11960">
        <f t="shared" si="389"/>
        <v>-8.59179214620516E-3</v>
      </c>
      <c r="D11960">
        <f t="shared" si="388"/>
        <v>-0.72448599394606084</v>
      </c>
    </row>
    <row r="11961" spans="1:4" x14ac:dyDescent="0.3">
      <c r="A11961" s="1">
        <v>43286</v>
      </c>
      <c r="B11961">
        <v>7586.4301759999998</v>
      </c>
      <c r="C11961">
        <f t="shared" si="389"/>
        <v>1.1164059577563248E-2</v>
      </c>
      <c r="D11961">
        <f t="shared" si="388"/>
        <v>0.85590090740771618</v>
      </c>
    </row>
    <row r="11962" spans="1:4" x14ac:dyDescent="0.3">
      <c r="A11962" s="1">
        <v>43287</v>
      </c>
      <c r="B11962">
        <v>7688.3901370000003</v>
      </c>
      <c r="C11962">
        <f t="shared" si="389"/>
        <v>1.3439781113725296E-2</v>
      </c>
      <c r="D11962">
        <f t="shared" si="388"/>
        <v>1.0379492724778081</v>
      </c>
    </row>
    <row r="11963" spans="1:4" x14ac:dyDescent="0.3">
      <c r="A11963" s="1">
        <v>43290</v>
      </c>
      <c r="B11963">
        <v>7756.2001950000003</v>
      </c>
      <c r="C11963">
        <f t="shared" si="389"/>
        <v>8.8197993067062833E-3</v>
      </c>
      <c r="D11963">
        <f t="shared" si="388"/>
        <v>0.66836972539499195</v>
      </c>
    </row>
    <row r="11964" spans="1:4" x14ac:dyDescent="0.3">
      <c r="A11964" s="1">
        <v>43291</v>
      </c>
      <c r="B11964">
        <v>7759.2001950000003</v>
      </c>
      <c r="C11964">
        <f t="shared" si="389"/>
        <v>3.867873345938049E-4</v>
      </c>
      <c r="D11964">
        <f t="shared" si="388"/>
        <v>-6.2365556215752621E-3</v>
      </c>
    </row>
    <row r="11965" spans="1:4" x14ac:dyDescent="0.3">
      <c r="A11965" s="1">
        <v>43292</v>
      </c>
      <c r="B11965">
        <v>7716.6098629999997</v>
      </c>
      <c r="C11965">
        <f t="shared" si="389"/>
        <v>-5.4890105848081766E-3</v>
      </c>
      <c r="D11965">
        <f t="shared" si="388"/>
        <v>-0.47627622774831901</v>
      </c>
    </row>
    <row r="11966" spans="1:4" x14ac:dyDescent="0.3">
      <c r="A11966" s="1">
        <v>43293</v>
      </c>
      <c r="B11966">
        <v>7823.919922</v>
      </c>
      <c r="C11966">
        <f t="shared" si="389"/>
        <v>1.3906373511836614E-2</v>
      </c>
      <c r="D11966">
        <f t="shared" si="388"/>
        <v>1.0752747456873082</v>
      </c>
    </row>
    <row r="11967" spans="1:4" x14ac:dyDescent="0.3">
      <c r="A11967" s="1">
        <v>43294</v>
      </c>
      <c r="B11967">
        <v>7825.9799800000001</v>
      </c>
      <c r="C11967">
        <f t="shared" si="389"/>
        <v>2.6330254150574452E-4</v>
      </c>
      <c r="D11967">
        <f t="shared" si="388"/>
        <v>-1.6114831296116853E-2</v>
      </c>
    </row>
    <row r="11968" spans="1:4" x14ac:dyDescent="0.3">
      <c r="A11968" s="1">
        <v>43297</v>
      </c>
      <c r="B11968">
        <v>7805.7202150000003</v>
      </c>
      <c r="C11968">
        <f t="shared" si="389"/>
        <v>-2.5887831366519531E-3</v>
      </c>
      <c r="D11968">
        <f t="shared" si="388"/>
        <v>-0.24426995770234744</v>
      </c>
    </row>
    <row r="11969" spans="1:4" x14ac:dyDescent="0.3">
      <c r="A11969" s="1">
        <v>43298</v>
      </c>
      <c r="B11969">
        <v>7855.1201170000004</v>
      </c>
      <c r="C11969">
        <f t="shared" si="389"/>
        <v>6.3286795631067993E-3</v>
      </c>
      <c r="D11969">
        <f t="shared" si="388"/>
        <v>0.46909038945262649</v>
      </c>
    </row>
    <row r="11970" spans="1:4" x14ac:dyDescent="0.3">
      <c r="A11970" s="1">
        <v>43299</v>
      </c>
      <c r="B11970">
        <v>7854.4399409999996</v>
      </c>
      <c r="C11970">
        <f t="shared" si="389"/>
        <v>-8.6590146282896897E-5</v>
      </c>
      <c r="D11970">
        <f t="shared" si="388"/>
        <v>-4.4104807551879004E-2</v>
      </c>
    </row>
    <row r="11971" spans="1:4" x14ac:dyDescent="0.3">
      <c r="A11971" s="1">
        <v>43300</v>
      </c>
      <c r="B11971">
        <v>7825.2998049999997</v>
      </c>
      <c r="C11971">
        <f t="shared" si="389"/>
        <v>-3.7100208568518209E-3</v>
      </c>
      <c r="D11971">
        <f t="shared" ref="D11971:D12034" si="390">(C11971-avrtn)/sdrtn</f>
        <v>-0.33396436476128227</v>
      </c>
    </row>
    <row r="11972" spans="1:4" x14ac:dyDescent="0.3">
      <c r="A11972" s="1">
        <v>43301</v>
      </c>
      <c r="B11972">
        <v>7820.2001950000003</v>
      </c>
      <c r="C11972">
        <f t="shared" ref="C11972:C12035" si="391">(B11972-B11971)/B11971</f>
        <v>-6.5168237985474889E-4</v>
      </c>
      <c r="D11972">
        <f t="shared" si="390"/>
        <v>-8.9309862564478232E-2</v>
      </c>
    </row>
    <row r="11973" spans="1:4" x14ac:dyDescent="0.3">
      <c r="A11973" s="1">
        <v>43304</v>
      </c>
      <c r="B11973">
        <v>7841.8701170000004</v>
      </c>
      <c r="C11973">
        <f t="shared" si="391"/>
        <v>2.7710188306758611E-3</v>
      </c>
      <c r="D11973">
        <f t="shared" si="390"/>
        <v>0.18449216004649602</v>
      </c>
    </row>
    <row r="11974" spans="1:4" x14ac:dyDescent="0.3">
      <c r="A11974" s="1">
        <v>43305</v>
      </c>
      <c r="B11974">
        <v>7840.7700199999999</v>
      </c>
      <c r="C11974">
        <f t="shared" si="391"/>
        <v>-1.4028503196139583E-4</v>
      </c>
      <c r="D11974">
        <f t="shared" si="390"/>
        <v>-4.8400177611469711E-2</v>
      </c>
    </row>
    <row r="11975" spans="1:4" x14ac:dyDescent="0.3">
      <c r="A11975" s="1">
        <v>43306</v>
      </c>
      <c r="B11975">
        <v>7932.2402339999999</v>
      </c>
      <c r="C11975">
        <f t="shared" si="391"/>
        <v>1.1665973337654399E-2</v>
      </c>
      <c r="D11975">
        <f t="shared" si="390"/>
        <v>0.8960519443332946</v>
      </c>
    </row>
    <row r="11976" spans="1:4" x14ac:dyDescent="0.3">
      <c r="A11976" s="1">
        <v>43307</v>
      </c>
      <c r="B11976">
        <v>7852.1801759999998</v>
      </c>
      <c r="C11976">
        <f t="shared" si="391"/>
        <v>-1.0092994619204574E-2</v>
      </c>
      <c r="D11976">
        <f t="shared" si="390"/>
        <v>-0.8445760188045599</v>
      </c>
    </row>
    <row r="11977" spans="1:4" x14ac:dyDescent="0.3">
      <c r="A11977" s="1">
        <v>43308</v>
      </c>
      <c r="B11977">
        <v>7737.419922</v>
      </c>
      <c r="C11977">
        <f t="shared" si="391"/>
        <v>-1.4615081598708314E-2</v>
      </c>
      <c r="D11977">
        <f t="shared" si="390"/>
        <v>-1.2063243822320904</v>
      </c>
    </row>
    <row r="11978" spans="1:4" x14ac:dyDescent="0.3">
      <c r="A11978" s="1">
        <v>43311</v>
      </c>
      <c r="B11978">
        <v>7630</v>
      </c>
      <c r="C11978">
        <f t="shared" si="391"/>
        <v>-1.3883170757550625E-2</v>
      </c>
      <c r="D11978">
        <f t="shared" si="390"/>
        <v>-1.1477745245748374</v>
      </c>
    </row>
    <row r="11979" spans="1:4" x14ac:dyDescent="0.3">
      <c r="A11979" s="1">
        <v>43312</v>
      </c>
      <c r="B11979">
        <v>7671.7900390000004</v>
      </c>
      <c r="C11979">
        <f t="shared" si="391"/>
        <v>5.4770693315859022E-3</v>
      </c>
      <c r="D11979">
        <f t="shared" si="390"/>
        <v>0.40096507277315102</v>
      </c>
    </row>
    <row r="11980" spans="1:4" x14ac:dyDescent="0.3">
      <c r="A11980" s="1">
        <v>43313</v>
      </c>
      <c r="B11980">
        <v>7707.2900390000004</v>
      </c>
      <c r="C11980">
        <f t="shared" si="391"/>
        <v>4.6273424871553625E-3</v>
      </c>
      <c r="D11980">
        <f t="shared" si="390"/>
        <v>0.33299041931637025</v>
      </c>
    </row>
    <row r="11981" spans="1:4" x14ac:dyDescent="0.3">
      <c r="A11981" s="1">
        <v>43314</v>
      </c>
      <c r="B11981">
        <v>7802.6899409999996</v>
      </c>
      <c r="C11981">
        <f t="shared" si="391"/>
        <v>1.2377878802700032E-2</v>
      </c>
      <c r="D11981">
        <f t="shared" si="390"/>
        <v>0.95300145416418114</v>
      </c>
    </row>
    <row r="11982" spans="1:4" x14ac:dyDescent="0.3">
      <c r="A11982" s="1">
        <v>43315</v>
      </c>
      <c r="B11982">
        <v>7812.0097660000001</v>
      </c>
      <c r="C11982">
        <f t="shared" si="391"/>
        <v>1.1944374402253967E-3</v>
      </c>
      <c r="D11982">
        <f t="shared" si="390"/>
        <v>5.8372131751873516E-2</v>
      </c>
    </row>
    <row r="11983" spans="1:4" x14ac:dyDescent="0.3">
      <c r="A11983" s="1">
        <v>43318</v>
      </c>
      <c r="B11983">
        <v>7859.6801759999998</v>
      </c>
      <c r="C11983">
        <f t="shared" si="391"/>
        <v>6.1021953924679361E-3</v>
      </c>
      <c r="D11983">
        <f t="shared" si="390"/>
        <v>0.45097258710999188</v>
      </c>
    </row>
    <row r="11984" spans="1:4" x14ac:dyDescent="0.3">
      <c r="A11984" s="1">
        <v>43319</v>
      </c>
      <c r="B11984">
        <v>7883.6601559999999</v>
      </c>
      <c r="C11984">
        <f t="shared" si="391"/>
        <v>3.0510121866312526E-3</v>
      </c>
      <c r="D11984">
        <f t="shared" si="390"/>
        <v>0.20689047718336812</v>
      </c>
    </row>
    <row r="11985" spans="1:4" x14ac:dyDescent="0.3">
      <c r="A11985" s="1">
        <v>43320</v>
      </c>
      <c r="B11985">
        <v>7888.330078</v>
      </c>
      <c r="C11985">
        <f t="shared" si="391"/>
        <v>5.9235455455876232E-4</v>
      </c>
      <c r="D11985">
        <f t="shared" si="390"/>
        <v>1.0207976678161984E-2</v>
      </c>
    </row>
    <row r="11986" spans="1:4" x14ac:dyDescent="0.3">
      <c r="A11986" s="1">
        <v>43321</v>
      </c>
      <c r="B11986">
        <v>7891.7797849999997</v>
      </c>
      <c r="C11986">
        <f t="shared" si="391"/>
        <v>4.3731778030191119E-4</v>
      </c>
      <c r="D11986">
        <f t="shared" si="390"/>
        <v>-2.1943277473610596E-3</v>
      </c>
    </row>
    <row r="11987" spans="1:4" x14ac:dyDescent="0.3">
      <c r="A11987" s="1">
        <v>43322</v>
      </c>
      <c r="B11987">
        <v>7839.1098629999997</v>
      </c>
      <c r="C11987">
        <f t="shared" si="391"/>
        <v>-6.6740232792747703E-3</v>
      </c>
      <c r="D11987">
        <f t="shared" si="390"/>
        <v>-0.57107237050433068</v>
      </c>
    </row>
    <row r="11988" spans="1:4" x14ac:dyDescent="0.3">
      <c r="A11988" s="1">
        <v>43325</v>
      </c>
      <c r="B11988">
        <v>7819.7099609999996</v>
      </c>
      <c r="C11988">
        <f t="shared" si="391"/>
        <v>-2.474758274732973E-3</v>
      </c>
      <c r="D11988">
        <f t="shared" si="390"/>
        <v>-0.23514843762186288</v>
      </c>
    </row>
    <row r="11989" spans="1:4" x14ac:dyDescent="0.3">
      <c r="A11989" s="1">
        <v>43326</v>
      </c>
      <c r="B11989">
        <v>7870.8901370000003</v>
      </c>
      <c r="C11989">
        <f t="shared" si="391"/>
        <v>6.5450222905013905E-3</v>
      </c>
      <c r="D11989">
        <f t="shared" si="390"/>
        <v>0.48639691803758311</v>
      </c>
    </row>
    <row r="11990" spans="1:4" x14ac:dyDescent="0.3">
      <c r="A11990" s="1">
        <v>43327</v>
      </c>
      <c r="B11990">
        <v>7774.1201170000004</v>
      </c>
      <c r="C11990">
        <f t="shared" si="391"/>
        <v>-1.2294672942402923E-2</v>
      </c>
      <c r="D11990">
        <f t="shared" si="390"/>
        <v>-1.020701231305067</v>
      </c>
    </row>
    <row r="11991" spans="1:4" x14ac:dyDescent="0.3">
      <c r="A11991" s="1">
        <v>43328</v>
      </c>
      <c r="B11991">
        <v>7806.5200199999999</v>
      </c>
      <c r="C11991">
        <f t="shared" si="391"/>
        <v>4.1676617433719972E-3</v>
      </c>
      <c r="D11991">
        <f t="shared" si="390"/>
        <v>0.29621785003221396</v>
      </c>
    </row>
    <row r="11992" spans="1:4" x14ac:dyDescent="0.3">
      <c r="A11992" s="1">
        <v>43329</v>
      </c>
      <c r="B11992">
        <v>7816.330078</v>
      </c>
      <c r="C11992">
        <f t="shared" si="391"/>
        <v>1.2566493104311576E-3</v>
      </c>
      <c r="D11992">
        <f t="shared" si="390"/>
        <v>6.3348825551595531E-2</v>
      </c>
    </row>
    <row r="11993" spans="1:4" x14ac:dyDescent="0.3">
      <c r="A11993" s="1">
        <v>43332</v>
      </c>
      <c r="B11993">
        <v>7821.0097660000001</v>
      </c>
      <c r="C11993">
        <f t="shared" si="391"/>
        <v>5.9870654812438297E-4</v>
      </c>
      <c r="D11993">
        <f t="shared" si="390"/>
        <v>1.0716110043858024E-2</v>
      </c>
    </row>
    <row r="11994" spans="1:4" x14ac:dyDescent="0.3">
      <c r="A11994" s="1">
        <v>43333</v>
      </c>
      <c r="B11994">
        <v>7859.169922</v>
      </c>
      <c r="C11994">
        <f t="shared" si="391"/>
        <v>4.879185315161249E-3</v>
      </c>
      <c r="D11994">
        <f t="shared" si="390"/>
        <v>0.3531368099729445</v>
      </c>
    </row>
    <row r="11995" spans="1:4" x14ac:dyDescent="0.3">
      <c r="A11995" s="1">
        <v>43334</v>
      </c>
      <c r="B11995">
        <v>7889.1000979999999</v>
      </c>
      <c r="C11995">
        <f t="shared" si="391"/>
        <v>3.8083126204227968E-3</v>
      </c>
      <c r="D11995">
        <f t="shared" si="390"/>
        <v>0.26747139784870078</v>
      </c>
    </row>
    <row r="11996" spans="1:4" x14ac:dyDescent="0.3">
      <c r="A11996" s="1">
        <v>43335</v>
      </c>
      <c r="B11996">
        <v>7878.4599609999996</v>
      </c>
      <c r="C11996">
        <f t="shared" si="391"/>
        <v>-1.3487136514718262E-3</v>
      </c>
      <c r="D11996">
        <f t="shared" si="390"/>
        <v>-0.14506949808412925</v>
      </c>
    </row>
    <row r="11997" spans="1:4" x14ac:dyDescent="0.3">
      <c r="A11997" s="1">
        <v>43336</v>
      </c>
      <c r="B11997">
        <v>7945.9799800000001</v>
      </c>
      <c r="C11997">
        <f t="shared" si="391"/>
        <v>8.5702052601953314E-3</v>
      </c>
      <c r="D11997">
        <f t="shared" si="390"/>
        <v>0.64840322801096772</v>
      </c>
    </row>
    <row r="11998" spans="1:4" x14ac:dyDescent="0.3">
      <c r="A11998" s="1">
        <v>43339</v>
      </c>
      <c r="B11998">
        <v>8017.8999020000001</v>
      </c>
      <c r="C11998">
        <f t="shared" si="391"/>
        <v>9.0511078785778729E-3</v>
      </c>
      <c r="D11998">
        <f t="shared" si="390"/>
        <v>0.68687345999818827</v>
      </c>
    </row>
    <row r="11999" spans="1:4" x14ac:dyDescent="0.3">
      <c r="A11999" s="1">
        <v>43340</v>
      </c>
      <c r="B11999">
        <v>8030.0400390000004</v>
      </c>
      <c r="C11999">
        <f t="shared" si="391"/>
        <v>1.5141292792857221E-3</v>
      </c>
      <c r="D11999">
        <f t="shared" si="390"/>
        <v>8.3946164296002393E-2</v>
      </c>
    </row>
    <row r="12000" spans="1:4" x14ac:dyDescent="0.3">
      <c r="A12000" s="1">
        <v>43341</v>
      </c>
      <c r="B12000">
        <v>8109.6899409999996</v>
      </c>
      <c r="C12000">
        <f t="shared" si="391"/>
        <v>9.9189918871087218E-3</v>
      </c>
      <c r="D12000">
        <f t="shared" si="390"/>
        <v>0.75630061192028897</v>
      </c>
    </row>
    <row r="12001" spans="1:4" x14ac:dyDescent="0.3">
      <c r="A12001" s="1">
        <v>43342</v>
      </c>
      <c r="B12001">
        <v>8088.3598629999997</v>
      </c>
      <c r="C12001">
        <f t="shared" si="391"/>
        <v>-2.6301964878042874E-3</v>
      </c>
      <c r="D12001">
        <f t="shared" si="390"/>
        <v>-0.24758285550181672</v>
      </c>
    </row>
    <row r="12002" spans="1:4" x14ac:dyDescent="0.3">
      <c r="A12002" s="1">
        <v>43343</v>
      </c>
      <c r="B12002">
        <v>8109.5400390000004</v>
      </c>
      <c r="C12002">
        <f t="shared" si="391"/>
        <v>2.6185996121276629E-3</v>
      </c>
      <c r="D12002">
        <f t="shared" si="390"/>
        <v>0.17229924931421181</v>
      </c>
    </row>
    <row r="12003" spans="1:4" x14ac:dyDescent="0.3">
      <c r="A12003" s="1">
        <v>43347</v>
      </c>
      <c r="B12003">
        <v>8091.25</v>
      </c>
      <c r="C12003">
        <f t="shared" si="391"/>
        <v>-2.2553731669170975E-3</v>
      </c>
      <c r="D12003">
        <f t="shared" si="390"/>
        <v>-0.21759853111354654</v>
      </c>
    </row>
    <row r="12004" spans="1:4" x14ac:dyDescent="0.3">
      <c r="A12004" s="1">
        <v>43348</v>
      </c>
      <c r="B12004">
        <v>7995.169922</v>
      </c>
      <c r="C12004">
        <f t="shared" si="391"/>
        <v>-1.1874565487409233E-2</v>
      </c>
      <c r="D12004">
        <f t="shared" si="390"/>
        <v>-0.98709436239774884</v>
      </c>
    </row>
    <row r="12005" spans="1:4" x14ac:dyDescent="0.3">
      <c r="A12005" s="1">
        <v>43349</v>
      </c>
      <c r="B12005">
        <v>7922.7299800000001</v>
      </c>
      <c r="C12005">
        <f t="shared" si="391"/>
        <v>-9.06046309293187E-3</v>
      </c>
      <c r="D12005">
        <f t="shared" si="390"/>
        <v>-0.7619777424977493</v>
      </c>
    </row>
    <row r="12006" spans="1:4" x14ac:dyDescent="0.3">
      <c r="A12006" s="1">
        <v>43350</v>
      </c>
      <c r="B12006">
        <v>7902.5400390000004</v>
      </c>
      <c r="C12006">
        <f t="shared" si="391"/>
        <v>-2.5483565703951498E-3</v>
      </c>
      <c r="D12006">
        <f t="shared" si="390"/>
        <v>-0.24103599863683692</v>
      </c>
    </row>
    <row r="12007" spans="1:4" x14ac:dyDescent="0.3">
      <c r="A12007" s="1">
        <v>43353</v>
      </c>
      <c r="B12007">
        <v>7924.1601559999999</v>
      </c>
      <c r="C12007">
        <f t="shared" si="391"/>
        <v>2.7358440315773868E-3</v>
      </c>
      <c r="D12007">
        <f t="shared" si="390"/>
        <v>0.18167832075825621</v>
      </c>
    </row>
    <row r="12008" spans="1:4" x14ac:dyDescent="0.3">
      <c r="A12008" s="1">
        <v>43354</v>
      </c>
      <c r="B12008">
        <v>7972.4702150000003</v>
      </c>
      <c r="C12008">
        <f t="shared" si="391"/>
        <v>6.0965525745237557E-3</v>
      </c>
      <c r="D12008">
        <f t="shared" si="390"/>
        <v>0.45052118487786347</v>
      </c>
    </row>
    <row r="12009" spans="1:4" x14ac:dyDescent="0.3">
      <c r="A12009" s="1">
        <v>43355</v>
      </c>
      <c r="B12009">
        <v>7954.2299800000001</v>
      </c>
      <c r="C12009">
        <f t="shared" si="391"/>
        <v>-2.28790255819102E-3</v>
      </c>
      <c r="D12009">
        <f t="shared" si="390"/>
        <v>-0.22020074865380415</v>
      </c>
    </row>
    <row r="12010" spans="1:4" x14ac:dyDescent="0.3">
      <c r="A12010" s="1">
        <v>43356</v>
      </c>
      <c r="B12010">
        <v>8013.7099609999996</v>
      </c>
      <c r="C12010">
        <f t="shared" si="391"/>
        <v>7.477779891900925E-3</v>
      </c>
      <c r="D12010">
        <f t="shared" si="390"/>
        <v>0.56101369062737072</v>
      </c>
    </row>
    <row r="12011" spans="1:4" x14ac:dyDescent="0.3">
      <c r="A12011" s="1">
        <v>43357</v>
      </c>
      <c r="B12011">
        <v>8010.0400390000004</v>
      </c>
      <c r="C12011">
        <f t="shared" si="391"/>
        <v>-4.5795543111235557E-4</v>
      </c>
      <c r="D12011">
        <f t="shared" si="390"/>
        <v>-7.3812503275059921E-2</v>
      </c>
    </row>
    <row r="12012" spans="1:4" x14ac:dyDescent="0.3">
      <c r="A12012" s="1">
        <v>43360</v>
      </c>
      <c r="B12012">
        <v>7895.7900390000004</v>
      </c>
      <c r="C12012">
        <f t="shared" si="391"/>
        <v>-1.4263349426935367E-2</v>
      </c>
      <c r="D12012">
        <f t="shared" si="390"/>
        <v>-1.178187254821587</v>
      </c>
    </row>
    <row r="12013" spans="1:4" x14ac:dyDescent="0.3">
      <c r="A12013" s="1">
        <v>43361</v>
      </c>
      <c r="B12013">
        <v>7956.1098629999997</v>
      </c>
      <c r="C12013">
        <f t="shared" si="391"/>
        <v>7.6394918940421485E-3</v>
      </c>
      <c r="D12013">
        <f t="shared" si="390"/>
        <v>0.5739499858349425</v>
      </c>
    </row>
    <row r="12014" spans="1:4" x14ac:dyDescent="0.3">
      <c r="A12014" s="1">
        <v>43362</v>
      </c>
      <c r="B12014">
        <v>7950.0400390000004</v>
      </c>
      <c r="C12014">
        <f t="shared" si="391"/>
        <v>-7.6291354751485338E-4</v>
      </c>
      <c r="D12014">
        <f t="shared" si="390"/>
        <v>-9.8207898591992179E-2</v>
      </c>
    </row>
    <row r="12015" spans="1:4" x14ac:dyDescent="0.3">
      <c r="A12015" s="1">
        <v>43363</v>
      </c>
      <c r="B12015">
        <v>8028.2299800000001</v>
      </c>
      <c r="C12015">
        <f t="shared" si="391"/>
        <v>9.8351631710567825E-3</v>
      </c>
      <c r="D12015">
        <f t="shared" si="390"/>
        <v>0.74959465934187386</v>
      </c>
    </row>
    <row r="12016" spans="1:4" x14ac:dyDescent="0.3">
      <c r="A12016" s="1">
        <v>43364</v>
      </c>
      <c r="B12016">
        <v>7986.9599609999996</v>
      </c>
      <c r="C12016">
        <f t="shared" si="391"/>
        <v>-5.1406124516627889E-3</v>
      </c>
      <c r="D12016">
        <f t="shared" si="390"/>
        <v>-0.44840580971837174</v>
      </c>
    </row>
    <row r="12017" spans="1:4" x14ac:dyDescent="0.3">
      <c r="A12017" s="1">
        <v>43367</v>
      </c>
      <c r="B12017">
        <v>7993.25</v>
      </c>
      <c r="C12017">
        <f t="shared" si="391"/>
        <v>7.875385667030307E-4</v>
      </c>
      <c r="D12017">
        <f t="shared" si="390"/>
        <v>2.5821895048249784E-2</v>
      </c>
    </row>
    <row r="12018" spans="1:4" x14ac:dyDescent="0.3">
      <c r="A12018" s="1">
        <v>43368</v>
      </c>
      <c r="B12018">
        <v>8007.4702150000003</v>
      </c>
      <c r="C12018">
        <f t="shared" si="391"/>
        <v>1.7790279298158171E-3</v>
      </c>
      <c r="D12018">
        <f t="shared" si="390"/>
        <v>0.10513696706865037</v>
      </c>
    </row>
    <row r="12019" spans="1:4" x14ac:dyDescent="0.3">
      <c r="A12019" s="1">
        <v>43369</v>
      </c>
      <c r="B12019">
        <v>7990.3701170000004</v>
      </c>
      <c r="C12019">
        <f t="shared" si="391"/>
        <v>-2.1355181525330078E-3</v>
      </c>
      <c r="D12019">
        <f t="shared" si="390"/>
        <v>-0.20801062280958338</v>
      </c>
    </row>
    <row r="12020" spans="1:4" x14ac:dyDescent="0.3">
      <c r="A12020" s="1">
        <v>43370</v>
      </c>
      <c r="B12020">
        <v>8041.9702150000003</v>
      </c>
      <c r="C12020">
        <f t="shared" si="391"/>
        <v>6.4577857151094323E-3</v>
      </c>
      <c r="D12020">
        <f t="shared" si="390"/>
        <v>0.47941835072516792</v>
      </c>
    </row>
    <row r="12021" spans="1:4" x14ac:dyDescent="0.3">
      <c r="A12021" s="1">
        <v>43371</v>
      </c>
      <c r="B12021">
        <v>8046.3500979999999</v>
      </c>
      <c r="C12021">
        <f t="shared" si="391"/>
        <v>5.446281051663418E-4</v>
      </c>
      <c r="D12021">
        <f t="shared" si="390"/>
        <v>6.3900569791008974E-3</v>
      </c>
    </row>
    <row r="12022" spans="1:4" x14ac:dyDescent="0.3">
      <c r="A12022" s="1">
        <v>43374</v>
      </c>
      <c r="B12022">
        <v>8037.2998049999997</v>
      </c>
      <c r="C12022">
        <f t="shared" si="391"/>
        <v>-1.1247699751779105E-3</v>
      </c>
      <c r="D12022">
        <f t="shared" si="390"/>
        <v>-0.12715492484251528</v>
      </c>
    </row>
    <row r="12023" spans="1:4" x14ac:dyDescent="0.3">
      <c r="A12023" s="1">
        <v>43375</v>
      </c>
      <c r="B12023">
        <v>7999.5498049999997</v>
      </c>
      <c r="C12023">
        <f t="shared" si="391"/>
        <v>-4.6968510464815245E-3</v>
      </c>
      <c r="D12023">
        <f t="shared" si="390"/>
        <v>-0.41290672206167206</v>
      </c>
    </row>
    <row r="12024" spans="1:4" x14ac:dyDescent="0.3">
      <c r="A12024" s="1">
        <v>43376</v>
      </c>
      <c r="B12024">
        <v>8025.0898440000001</v>
      </c>
      <c r="C12024">
        <f t="shared" si="391"/>
        <v>3.1926845413271896E-3</v>
      </c>
      <c r="D12024">
        <f t="shared" si="390"/>
        <v>0.21822368299883962</v>
      </c>
    </row>
    <row r="12025" spans="1:4" x14ac:dyDescent="0.3">
      <c r="A12025" s="1">
        <v>43377</v>
      </c>
      <c r="B12025">
        <v>7879.5097660000001</v>
      </c>
      <c r="C12025">
        <f t="shared" si="391"/>
        <v>-1.8140616594946118E-2</v>
      </c>
      <c r="D12025">
        <f t="shared" si="390"/>
        <v>-1.4883526848445867</v>
      </c>
    </row>
    <row r="12026" spans="1:4" x14ac:dyDescent="0.3">
      <c r="A12026" s="1">
        <v>43378</v>
      </c>
      <c r="B12026">
        <v>7788.4501950000003</v>
      </c>
      <c r="C12026">
        <f t="shared" si="391"/>
        <v>-1.1556502079979753E-2</v>
      </c>
      <c r="D12026">
        <f t="shared" si="390"/>
        <v>-0.96165059768793681</v>
      </c>
    </row>
    <row r="12027" spans="1:4" x14ac:dyDescent="0.3">
      <c r="A12027" s="1">
        <v>43381</v>
      </c>
      <c r="B12027">
        <v>7735.9501950000003</v>
      </c>
      <c r="C12027">
        <f t="shared" si="391"/>
        <v>-6.7407505582694422E-3</v>
      </c>
      <c r="D12027">
        <f t="shared" si="390"/>
        <v>-0.57641027843969372</v>
      </c>
    </row>
    <row r="12028" spans="1:4" x14ac:dyDescent="0.3">
      <c r="A12028" s="1">
        <v>43382</v>
      </c>
      <c r="B12028">
        <v>7738.0200199999999</v>
      </c>
      <c r="C12028">
        <f t="shared" si="391"/>
        <v>2.6755924583606787E-4</v>
      </c>
      <c r="D12028">
        <f t="shared" si="390"/>
        <v>-1.5774312453363783E-2</v>
      </c>
    </row>
    <row r="12029" spans="1:4" x14ac:dyDescent="0.3">
      <c r="A12029" s="1">
        <v>43383</v>
      </c>
      <c r="B12029">
        <v>7422.0498049999997</v>
      </c>
      <c r="C12029">
        <f t="shared" si="391"/>
        <v>-4.0833470859900967E-2</v>
      </c>
      <c r="D12029">
        <f t="shared" si="390"/>
        <v>-3.3036877124666661</v>
      </c>
    </row>
    <row r="12030" spans="1:4" x14ac:dyDescent="0.3">
      <c r="A12030" s="1">
        <v>43384</v>
      </c>
      <c r="B12030">
        <v>7329.0600590000004</v>
      </c>
      <c r="C12030">
        <f t="shared" si="391"/>
        <v>-1.2528849636303309E-2</v>
      </c>
      <c r="D12030">
        <f t="shared" si="390"/>
        <v>-1.0394344038767787</v>
      </c>
    </row>
    <row r="12031" spans="1:4" x14ac:dyDescent="0.3">
      <c r="A12031" s="1">
        <v>43385</v>
      </c>
      <c r="B12031">
        <v>7496.8901370000003</v>
      </c>
      <c r="C12031">
        <f t="shared" si="391"/>
        <v>2.289926356844444E-2</v>
      </c>
      <c r="D12031">
        <f t="shared" si="390"/>
        <v>1.7946689712310633</v>
      </c>
    </row>
    <row r="12032" spans="1:4" x14ac:dyDescent="0.3">
      <c r="A12032" s="1">
        <v>43388</v>
      </c>
      <c r="B12032">
        <v>7430.7402339999999</v>
      </c>
      <c r="C12032">
        <f t="shared" si="391"/>
        <v>-8.8236457772704387E-3</v>
      </c>
      <c r="D12032">
        <f t="shared" si="390"/>
        <v>-0.74303333104345548</v>
      </c>
    </row>
    <row r="12033" spans="1:4" x14ac:dyDescent="0.3">
      <c r="A12033" s="1">
        <v>43389</v>
      </c>
      <c r="B12033">
        <v>7645.4902339999999</v>
      </c>
      <c r="C12033">
        <f t="shared" si="391"/>
        <v>2.890021629573224E-2</v>
      </c>
      <c r="D12033">
        <f t="shared" si="390"/>
        <v>2.2747205133490271</v>
      </c>
    </row>
    <row r="12034" spans="1:4" x14ac:dyDescent="0.3">
      <c r="A12034" s="1">
        <v>43390</v>
      </c>
      <c r="B12034">
        <v>7642.7001950000003</v>
      </c>
      <c r="C12034">
        <f t="shared" si="391"/>
        <v>-3.6492610867410916E-4</v>
      </c>
      <c r="D12034">
        <f t="shared" si="390"/>
        <v>-6.6370540018859836E-2</v>
      </c>
    </row>
    <row r="12035" spans="1:4" x14ac:dyDescent="0.3">
      <c r="A12035" s="1">
        <v>43391</v>
      </c>
      <c r="B12035">
        <v>7485.1401370000003</v>
      </c>
      <c r="C12035">
        <f t="shared" si="391"/>
        <v>-2.0615758040996926E-2</v>
      </c>
      <c r="D12035">
        <f t="shared" ref="D12035:D12098" si="392">(C12035-avrtn)/sdrtn</f>
        <v>-1.6863538226862103</v>
      </c>
    </row>
    <row r="12036" spans="1:4" x14ac:dyDescent="0.3">
      <c r="A12036" s="1">
        <v>43392</v>
      </c>
      <c r="B12036">
        <v>7449.0297849999997</v>
      </c>
      <c r="C12036">
        <f t="shared" ref="C12036:C12099" si="393">(B12036-B12035)/B12035</f>
        <v>-4.8242720028049361E-3</v>
      </c>
      <c r="D12036">
        <f t="shared" si="392"/>
        <v>-0.42309987460944182</v>
      </c>
    </row>
    <row r="12037" spans="1:4" x14ac:dyDescent="0.3">
      <c r="A12037" s="1">
        <v>43395</v>
      </c>
      <c r="B12037">
        <v>7468.6298829999996</v>
      </c>
      <c r="C12037">
        <f t="shared" si="393"/>
        <v>2.631228302975552E-3</v>
      </c>
      <c r="D12037">
        <f t="shared" si="392"/>
        <v>0.17330949265255588</v>
      </c>
    </row>
    <row r="12038" spans="1:4" x14ac:dyDescent="0.3">
      <c r="A12038" s="1">
        <v>43396</v>
      </c>
      <c r="B12038">
        <v>7437.5400390000004</v>
      </c>
      <c r="C12038">
        <f t="shared" si="393"/>
        <v>-4.1627238847068166E-3</v>
      </c>
      <c r="D12038">
        <f t="shared" si="392"/>
        <v>-0.37017874546370833</v>
      </c>
    </row>
    <row r="12039" spans="1:4" x14ac:dyDescent="0.3">
      <c r="A12039" s="1">
        <v>43397</v>
      </c>
      <c r="B12039">
        <v>7108.3999020000001</v>
      </c>
      <c r="C12039">
        <f t="shared" si="393"/>
        <v>-4.4253897831016478E-2</v>
      </c>
      <c r="D12039">
        <f t="shared" si="392"/>
        <v>-3.5773078052761611</v>
      </c>
    </row>
    <row r="12040" spans="1:4" x14ac:dyDescent="0.3">
      <c r="A12040" s="1">
        <v>43398</v>
      </c>
      <c r="B12040">
        <v>7318.3398440000001</v>
      </c>
      <c r="C12040">
        <f t="shared" si="393"/>
        <v>2.9534064612899993E-2</v>
      </c>
      <c r="D12040">
        <f t="shared" si="392"/>
        <v>2.3254257723225935</v>
      </c>
    </row>
    <row r="12041" spans="1:4" x14ac:dyDescent="0.3">
      <c r="A12041" s="1">
        <v>43399</v>
      </c>
      <c r="B12041">
        <v>7167.2099609999996</v>
      </c>
      <c r="C12041">
        <f t="shared" si="393"/>
        <v>-2.0650842434422553E-2</v>
      </c>
      <c r="D12041">
        <f t="shared" si="392"/>
        <v>-1.6891604298923726</v>
      </c>
    </row>
    <row r="12042" spans="1:4" x14ac:dyDescent="0.3">
      <c r="A12042" s="1">
        <v>43402</v>
      </c>
      <c r="B12042">
        <v>7050.2900390000004</v>
      </c>
      <c r="C12042">
        <f t="shared" si="393"/>
        <v>-1.6313171043713357E-2</v>
      </c>
      <c r="D12042">
        <f t="shared" si="392"/>
        <v>-1.3421645552469734</v>
      </c>
    </row>
    <row r="12043" spans="1:4" x14ac:dyDescent="0.3">
      <c r="A12043" s="1">
        <v>43403</v>
      </c>
      <c r="B12043">
        <v>7161.6499020000001</v>
      </c>
      <c r="C12043">
        <f t="shared" si="393"/>
        <v>1.5795075434342661E-2</v>
      </c>
      <c r="D12043">
        <f t="shared" si="392"/>
        <v>1.2263631330990807</v>
      </c>
    </row>
    <row r="12044" spans="1:4" x14ac:dyDescent="0.3">
      <c r="A12044" s="1">
        <v>43404</v>
      </c>
      <c r="B12044">
        <v>7305.8999020000001</v>
      </c>
      <c r="C12044">
        <f t="shared" si="393"/>
        <v>2.0142006656834199E-2</v>
      </c>
      <c r="D12044">
        <f t="shared" si="392"/>
        <v>1.5740997562104111</v>
      </c>
    </row>
    <row r="12045" spans="1:4" x14ac:dyDescent="0.3">
      <c r="A12045" s="1">
        <v>43405</v>
      </c>
      <c r="B12045">
        <v>7434.0600590000004</v>
      </c>
      <c r="C12045">
        <f t="shared" si="393"/>
        <v>1.7542008338345318E-2</v>
      </c>
      <c r="D12045">
        <f t="shared" si="392"/>
        <v>1.3661105819882691</v>
      </c>
    </row>
    <row r="12046" spans="1:4" x14ac:dyDescent="0.3">
      <c r="A12046" s="1">
        <v>43406</v>
      </c>
      <c r="B12046">
        <v>7356.9902339999999</v>
      </c>
      <c r="C12046">
        <f t="shared" si="393"/>
        <v>-1.0367124342329784E-2</v>
      </c>
      <c r="D12046">
        <f t="shared" si="392"/>
        <v>-0.86650526942641981</v>
      </c>
    </row>
    <row r="12047" spans="1:4" x14ac:dyDescent="0.3">
      <c r="A12047" s="1">
        <v>43409</v>
      </c>
      <c r="B12047">
        <v>7328.8500979999999</v>
      </c>
      <c r="C12047">
        <f t="shared" si="393"/>
        <v>-3.8249522025938826E-3</v>
      </c>
      <c r="D12047">
        <f t="shared" si="392"/>
        <v>-0.34315839982012958</v>
      </c>
    </row>
    <row r="12048" spans="1:4" x14ac:dyDescent="0.3">
      <c r="A12048" s="1">
        <v>43410</v>
      </c>
      <c r="B12048">
        <v>7375.9599609999996</v>
      </c>
      <c r="C12048">
        <f t="shared" si="393"/>
        <v>6.4280019880411637E-3</v>
      </c>
      <c r="D12048">
        <f t="shared" si="392"/>
        <v>0.47703577503112388</v>
      </c>
    </row>
    <row r="12049" spans="1:4" x14ac:dyDescent="0.3">
      <c r="A12049" s="1">
        <v>43411</v>
      </c>
      <c r="B12049">
        <v>7570.75</v>
      </c>
      <c r="C12049">
        <f t="shared" si="393"/>
        <v>2.6408771201300241E-2</v>
      </c>
      <c r="D12049">
        <f t="shared" si="392"/>
        <v>2.0754151506779115</v>
      </c>
    </row>
    <row r="12050" spans="1:4" x14ac:dyDescent="0.3">
      <c r="A12050" s="1">
        <v>43412</v>
      </c>
      <c r="B12050">
        <v>7530.8798829999996</v>
      </c>
      <c r="C12050">
        <f t="shared" si="393"/>
        <v>-5.2663364924215427E-3</v>
      </c>
      <c r="D12050">
        <f t="shared" si="392"/>
        <v>-0.45846321599872736</v>
      </c>
    </row>
    <row r="12051" spans="1:4" x14ac:dyDescent="0.3">
      <c r="A12051" s="1">
        <v>43413</v>
      </c>
      <c r="B12051">
        <v>7406.8999020000001</v>
      </c>
      <c r="C12051">
        <f t="shared" si="393"/>
        <v>-1.646288122054217E-2</v>
      </c>
      <c r="D12051">
        <f t="shared" si="392"/>
        <v>-1.354140753781353</v>
      </c>
    </row>
    <row r="12052" spans="1:4" x14ac:dyDescent="0.3">
      <c r="A12052" s="1">
        <v>43416</v>
      </c>
      <c r="B12052">
        <v>7200.8701170000004</v>
      </c>
      <c r="C12052">
        <f t="shared" si="393"/>
        <v>-2.781592673398595E-2</v>
      </c>
      <c r="D12052">
        <f t="shared" si="392"/>
        <v>-2.262337710854756</v>
      </c>
    </row>
    <row r="12053" spans="1:4" x14ac:dyDescent="0.3">
      <c r="A12053" s="1">
        <v>43417</v>
      </c>
      <c r="B12053">
        <v>7200.8701170000004</v>
      </c>
      <c r="C12053">
        <f t="shared" si="393"/>
        <v>0</v>
      </c>
      <c r="D12053">
        <f t="shared" si="392"/>
        <v>-3.7177951910056316E-2</v>
      </c>
    </row>
    <row r="12054" spans="1:4" x14ac:dyDescent="0.3">
      <c r="A12054" s="1">
        <v>43418</v>
      </c>
      <c r="B12054">
        <v>7136.3901370000003</v>
      </c>
      <c r="C12054">
        <f t="shared" si="393"/>
        <v>-8.9544706337327303E-3</v>
      </c>
      <c r="D12054">
        <f t="shared" si="392"/>
        <v>-0.75349878160541461</v>
      </c>
    </row>
    <row r="12055" spans="1:4" x14ac:dyDescent="0.3">
      <c r="A12055" s="1">
        <v>43419</v>
      </c>
      <c r="B12055">
        <v>7259.0297849999997</v>
      </c>
      <c r="C12055">
        <f t="shared" si="393"/>
        <v>1.7185109788792282E-2</v>
      </c>
      <c r="D12055">
        <f t="shared" si="392"/>
        <v>1.337560165599631</v>
      </c>
    </row>
    <row r="12056" spans="1:4" x14ac:dyDescent="0.3">
      <c r="A12056" s="1">
        <v>43420</v>
      </c>
      <c r="B12056">
        <v>7247.8701170000004</v>
      </c>
      <c r="C12056">
        <f t="shared" si="393"/>
        <v>-1.537349801630457E-3</v>
      </c>
      <c r="D12056">
        <f t="shared" si="392"/>
        <v>-0.16015961442033541</v>
      </c>
    </row>
    <row r="12057" spans="1:4" x14ac:dyDescent="0.3">
      <c r="A12057" s="1">
        <v>43423</v>
      </c>
      <c r="B12057">
        <v>7028.4799800000001</v>
      </c>
      <c r="C12057">
        <f t="shared" si="393"/>
        <v>-3.0269601063271968E-2</v>
      </c>
      <c r="D12057">
        <f t="shared" si="392"/>
        <v>-2.4586215676285081</v>
      </c>
    </row>
    <row r="12058" spans="1:4" x14ac:dyDescent="0.3">
      <c r="A12058" s="1">
        <v>43424</v>
      </c>
      <c r="B12058">
        <v>6908.8198240000002</v>
      </c>
      <c r="C12058">
        <f t="shared" si="393"/>
        <v>-1.7025040455475541E-2</v>
      </c>
      <c r="D12058">
        <f t="shared" si="392"/>
        <v>-1.3991111809634362</v>
      </c>
    </row>
    <row r="12059" spans="1:4" x14ac:dyDescent="0.3">
      <c r="A12059" s="1">
        <v>43425</v>
      </c>
      <c r="B12059">
        <v>6972.25</v>
      </c>
      <c r="C12059">
        <f t="shared" si="393"/>
        <v>9.1810435958475569E-3</v>
      </c>
      <c r="D12059">
        <f t="shared" si="392"/>
        <v>0.69726778308090098</v>
      </c>
    </row>
    <row r="12060" spans="1:4" x14ac:dyDescent="0.3">
      <c r="A12060" s="1">
        <v>43427</v>
      </c>
      <c r="B12060">
        <v>6938.9799800000001</v>
      </c>
      <c r="C12060">
        <f t="shared" si="393"/>
        <v>-4.7717766861486511E-3</v>
      </c>
      <c r="D12060">
        <f t="shared" si="392"/>
        <v>-0.41890046513897089</v>
      </c>
    </row>
    <row r="12061" spans="1:4" x14ac:dyDescent="0.3">
      <c r="A12061" s="1">
        <v>43430</v>
      </c>
      <c r="B12061">
        <v>7081.8500979999999</v>
      </c>
      <c r="C12061">
        <f t="shared" si="393"/>
        <v>2.0589498515889912E-2</v>
      </c>
      <c r="D12061">
        <f t="shared" si="392"/>
        <v>1.6098972648373489</v>
      </c>
    </row>
    <row r="12062" spans="1:4" x14ac:dyDescent="0.3">
      <c r="A12062" s="1">
        <v>43431</v>
      </c>
      <c r="B12062">
        <v>7082.7001950000003</v>
      </c>
      <c r="C12062">
        <f t="shared" si="393"/>
        <v>1.2003883000016305E-4</v>
      </c>
      <c r="D12062">
        <f t="shared" si="392"/>
        <v>-2.7575339112661627E-2</v>
      </c>
    </row>
    <row r="12063" spans="1:4" x14ac:dyDescent="0.3">
      <c r="A12063" s="1">
        <v>43432</v>
      </c>
      <c r="B12063">
        <v>7291.5898440000001</v>
      </c>
      <c r="C12063">
        <f t="shared" si="393"/>
        <v>2.9492939592087271E-2</v>
      </c>
      <c r="D12063">
        <f t="shared" si="392"/>
        <v>2.3221359397646717</v>
      </c>
    </row>
    <row r="12064" spans="1:4" x14ac:dyDescent="0.3">
      <c r="A12064" s="1">
        <v>43433</v>
      </c>
      <c r="B12064">
        <v>7273.080078</v>
      </c>
      <c r="C12064">
        <f t="shared" si="393"/>
        <v>-2.5385089392035922E-3</v>
      </c>
      <c r="D12064">
        <f t="shared" si="392"/>
        <v>-0.24024822863521372</v>
      </c>
    </row>
    <row r="12065" spans="1:4" x14ac:dyDescent="0.3">
      <c r="A12065" s="1">
        <v>43434</v>
      </c>
      <c r="B12065">
        <v>7330.5400390000004</v>
      </c>
      <c r="C12065">
        <f t="shared" si="393"/>
        <v>7.9003613852415052E-3</v>
      </c>
      <c r="D12065">
        <f t="shared" si="392"/>
        <v>0.59481847242913355</v>
      </c>
    </row>
    <row r="12066" spans="1:4" x14ac:dyDescent="0.3">
      <c r="A12066" s="1">
        <v>43437</v>
      </c>
      <c r="B12066">
        <v>7441.5097660000001</v>
      </c>
      <c r="C12066">
        <f t="shared" si="393"/>
        <v>1.5138001621929301E-2</v>
      </c>
      <c r="D12066">
        <f t="shared" si="392"/>
        <v>1.1737999300096731</v>
      </c>
    </row>
    <row r="12067" spans="1:4" x14ac:dyDescent="0.3">
      <c r="A12067" s="1">
        <v>43438</v>
      </c>
      <c r="B12067">
        <v>7158.4301759999998</v>
      </c>
      <c r="C12067">
        <f t="shared" si="393"/>
        <v>-3.8040612577488121E-2</v>
      </c>
      <c r="D12067">
        <f t="shared" si="392"/>
        <v>-3.0802705341755172</v>
      </c>
    </row>
    <row r="12068" spans="1:4" x14ac:dyDescent="0.3">
      <c r="A12068" s="1">
        <v>43440</v>
      </c>
      <c r="B12068">
        <v>7188.2597660000001</v>
      </c>
      <c r="C12068">
        <f t="shared" si="393"/>
        <v>4.16705747860888E-3</v>
      </c>
      <c r="D12068">
        <f t="shared" si="392"/>
        <v>0.29616951133591612</v>
      </c>
    </row>
    <row r="12069" spans="1:4" x14ac:dyDescent="0.3">
      <c r="A12069" s="1">
        <v>43441</v>
      </c>
      <c r="B12069">
        <v>6969.25</v>
      </c>
      <c r="C12069">
        <f t="shared" si="393"/>
        <v>-3.0467703328683534E-2</v>
      </c>
      <c r="D12069">
        <f t="shared" si="392"/>
        <v>-2.4744689342600505</v>
      </c>
    </row>
    <row r="12070" spans="1:4" x14ac:dyDescent="0.3">
      <c r="A12070" s="1">
        <v>43444</v>
      </c>
      <c r="B12070">
        <v>7020.5200199999999</v>
      </c>
      <c r="C12070">
        <f t="shared" si="393"/>
        <v>7.3566050866305461E-3</v>
      </c>
      <c r="D12070">
        <f t="shared" si="392"/>
        <v>0.55132020447951702</v>
      </c>
    </row>
    <row r="12071" spans="1:4" x14ac:dyDescent="0.3">
      <c r="A12071" s="1">
        <v>43445</v>
      </c>
      <c r="B12071">
        <v>7031.830078</v>
      </c>
      <c r="C12071">
        <f t="shared" si="393"/>
        <v>1.6110000352936855E-3</v>
      </c>
      <c r="D12071">
        <f t="shared" si="392"/>
        <v>9.1695426441710623E-2</v>
      </c>
    </row>
    <row r="12072" spans="1:4" x14ac:dyDescent="0.3">
      <c r="A12072" s="1">
        <v>43446</v>
      </c>
      <c r="B12072">
        <v>7098.3100590000004</v>
      </c>
      <c r="C12072">
        <f t="shared" si="393"/>
        <v>9.4541506638494751E-3</v>
      </c>
      <c r="D12072">
        <f t="shared" si="392"/>
        <v>0.71911522549808049</v>
      </c>
    </row>
    <row r="12073" spans="1:4" x14ac:dyDescent="0.3">
      <c r="A12073" s="1">
        <v>43447</v>
      </c>
      <c r="B12073">
        <v>7070.330078</v>
      </c>
      <c r="C12073">
        <f t="shared" si="393"/>
        <v>-3.9417806164333971E-3</v>
      </c>
      <c r="D12073">
        <f t="shared" si="392"/>
        <v>-0.35250419252598253</v>
      </c>
    </row>
    <row r="12074" spans="1:4" x14ac:dyDescent="0.3">
      <c r="A12074" s="1">
        <v>43448</v>
      </c>
      <c r="B12074">
        <v>6910.6601559999999</v>
      </c>
      <c r="C12074">
        <f t="shared" si="393"/>
        <v>-2.2583093043538106E-2</v>
      </c>
      <c r="D12074">
        <f t="shared" si="392"/>
        <v>-1.8437325331596361</v>
      </c>
    </row>
    <row r="12075" spans="1:4" x14ac:dyDescent="0.3">
      <c r="A12075" s="1">
        <v>43451</v>
      </c>
      <c r="B12075">
        <v>6753.7299800000001</v>
      </c>
      <c r="C12075">
        <f t="shared" si="393"/>
        <v>-2.2708420390742168E-2</v>
      </c>
      <c r="D12075">
        <f t="shared" si="392"/>
        <v>-1.85375820558683</v>
      </c>
    </row>
    <row r="12076" spans="1:4" x14ac:dyDescent="0.3">
      <c r="A12076" s="1">
        <v>43452</v>
      </c>
      <c r="B12076">
        <v>6783.9101559999999</v>
      </c>
      <c r="C12076">
        <f t="shared" si="393"/>
        <v>4.468667845675383E-3</v>
      </c>
      <c r="D12076">
        <f t="shared" si="392"/>
        <v>0.32029710047199633</v>
      </c>
    </row>
    <row r="12077" spans="1:4" x14ac:dyDescent="0.3">
      <c r="A12077" s="1">
        <v>43453</v>
      </c>
      <c r="B12077">
        <v>6636.830078</v>
      </c>
      <c r="C12077">
        <f t="shared" si="393"/>
        <v>-2.1680723154907294E-2</v>
      </c>
      <c r="D12077">
        <f t="shared" si="392"/>
        <v>-1.7715466526363248</v>
      </c>
    </row>
    <row r="12078" spans="1:4" x14ac:dyDescent="0.3">
      <c r="A12078" s="1">
        <v>43454</v>
      </c>
      <c r="B12078">
        <v>6528.4101559999999</v>
      </c>
      <c r="C12078">
        <f t="shared" si="393"/>
        <v>-1.6336100325876093E-2</v>
      </c>
      <c r="D12078">
        <f t="shared" si="392"/>
        <v>-1.3439988035342207</v>
      </c>
    </row>
    <row r="12079" spans="1:4" x14ac:dyDescent="0.3">
      <c r="A12079" s="1">
        <v>43455</v>
      </c>
      <c r="B12079">
        <v>6332.9902339999999</v>
      </c>
      <c r="C12079">
        <f t="shared" si="393"/>
        <v>-2.9933769069395467E-2</v>
      </c>
      <c r="D12079">
        <f t="shared" si="392"/>
        <v>-2.4317563890677985</v>
      </c>
    </row>
    <row r="12080" spans="1:4" x14ac:dyDescent="0.3">
      <c r="A12080" s="1">
        <v>43458</v>
      </c>
      <c r="B12080">
        <v>6192.919922</v>
      </c>
      <c r="C12080">
        <f t="shared" si="393"/>
        <v>-2.2117563240189868E-2</v>
      </c>
      <c r="D12080">
        <f t="shared" si="392"/>
        <v>-1.8064920631617667</v>
      </c>
    </row>
    <row r="12081" spans="1:4" x14ac:dyDescent="0.3">
      <c r="A12081" s="1">
        <v>43460</v>
      </c>
      <c r="B12081">
        <v>6554.3598629999997</v>
      </c>
      <c r="C12081">
        <f t="shared" si="393"/>
        <v>5.836341266354899E-2</v>
      </c>
      <c r="D12081">
        <f t="shared" si="392"/>
        <v>4.6316550693869827</v>
      </c>
    </row>
    <row r="12082" spans="1:4" x14ac:dyDescent="0.3">
      <c r="A12082" s="1">
        <v>43461</v>
      </c>
      <c r="B12082">
        <v>6579.4902339999999</v>
      </c>
      <c r="C12082">
        <f t="shared" si="393"/>
        <v>3.8341457480636043E-3</v>
      </c>
      <c r="D12082">
        <f t="shared" si="392"/>
        <v>0.26953794183350982</v>
      </c>
    </row>
    <row r="12083" spans="1:4" x14ac:dyDescent="0.3">
      <c r="A12083" s="1">
        <v>43462</v>
      </c>
      <c r="B12083">
        <v>6584.5200199999999</v>
      </c>
      <c r="C12083">
        <f t="shared" si="393"/>
        <v>7.6446439178650479E-4</v>
      </c>
      <c r="D12083">
        <f t="shared" si="392"/>
        <v>2.3976055936501907E-2</v>
      </c>
    </row>
    <row r="12084" spans="1:4" x14ac:dyDescent="0.3">
      <c r="A12084" s="1">
        <v>43465</v>
      </c>
      <c r="B12084">
        <v>6635.2797849999997</v>
      </c>
      <c r="C12084">
        <f t="shared" si="393"/>
        <v>7.7089544637757501E-3</v>
      </c>
      <c r="D12084">
        <f t="shared" si="392"/>
        <v>0.57950670578183716</v>
      </c>
    </row>
    <row r="12085" spans="1:4" x14ac:dyDescent="0.3">
      <c r="A12085" s="1">
        <v>43467</v>
      </c>
      <c r="B12085">
        <v>6665.9399409999996</v>
      </c>
      <c r="C12085">
        <f t="shared" si="393"/>
        <v>4.6207781726569528E-3</v>
      </c>
      <c r="D12085">
        <f t="shared" si="392"/>
        <v>0.33246530114911993</v>
      </c>
    </row>
    <row r="12086" spans="1:4" x14ac:dyDescent="0.3">
      <c r="A12086" s="1">
        <v>43468</v>
      </c>
      <c r="B12086">
        <v>6463.5</v>
      </c>
      <c r="C12086">
        <f t="shared" si="393"/>
        <v>-3.0369301672650586E-2</v>
      </c>
      <c r="D12086">
        <f t="shared" si="392"/>
        <v>-2.466597206407442</v>
      </c>
    </row>
    <row r="12087" spans="1:4" x14ac:dyDescent="0.3">
      <c r="A12087" s="1">
        <v>43469</v>
      </c>
      <c r="B12087">
        <v>6738.8598629999997</v>
      </c>
      <c r="C12087">
        <f t="shared" si="393"/>
        <v>4.2602284056625618E-2</v>
      </c>
      <c r="D12087">
        <f t="shared" si="392"/>
        <v>3.3708295909812009</v>
      </c>
    </row>
    <row r="12088" spans="1:4" x14ac:dyDescent="0.3">
      <c r="A12088" s="1">
        <v>43472</v>
      </c>
      <c r="B12088">
        <v>6823.4702150000003</v>
      </c>
      <c r="C12088">
        <f t="shared" si="393"/>
        <v>1.255558858918515E-2</v>
      </c>
      <c r="D12088">
        <f t="shared" si="392"/>
        <v>0.96721750633598225</v>
      </c>
    </row>
    <row r="12089" spans="1:4" x14ac:dyDescent="0.3">
      <c r="A12089" s="1">
        <v>43473</v>
      </c>
      <c r="B12089">
        <v>6897</v>
      </c>
      <c r="C12089">
        <f t="shared" si="393"/>
        <v>1.0776010253310634E-2</v>
      </c>
      <c r="D12089">
        <f t="shared" si="392"/>
        <v>0.82485855713586287</v>
      </c>
    </row>
    <row r="12090" spans="1:4" x14ac:dyDescent="0.3">
      <c r="A12090" s="1">
        <v>43474</v>
      </c>
      <c r="B12090">
        <v>6957.080078</v>
      </c>
      <c r="C12090">
        <f t="shared" si="393"/>
        <v>8.7110450920690093E-3</v>
      </c>
      <c r="D12090">
        <f t="shared" si="392"/>
        <v>0.65966983542401281</v>
      </c>
    </row>
    <row r="12091" spans="1:4" x14ac:dyDescent="0.3">
      <c r="A12091" s="1">
        <v>43475</v>
      </c>
      <c r="B12091">
        <v>6986.0698240000002</v>
      </c>
      <c r="C12091">
        <f t="shared" si="393"/>
        <v>4.166941543719313E-3</v>
      </c>
      <c r="D12091">
        <f t="shared" si="392"/>
        <v>0.29616023702147787</v>
      </c>
    </row>
    <row r="12092" spans="1:4" x14ac:dyDescent="0.3">
      <c r="A12092" s="1">
        <v>43476</v>
      </c>
      <c r="B12092">
        <v>6971.4799800000001</v>
      </c>
      <c r="C12092">
        <f t="shared" si="393"/>
        <v>-2.0884194357574295E-3</v>
      </c>
      <c r="D12092">
        <f t="shared" si="392"/>
        <v>-0.20424291913861772</v>
      </c>
    </row>
    <row r="12093" spans="1:4" x14ac:dyDescent="0.3">
      <c r="A12093" s="1">
        <v>43479</v>
      </c>
      <c r="B12093">
        <v>6905.919922</v>
      </c>
      <c r="C12093">
        <f t="shared" si="393"/>
        <v>-9.4040373332607667E-3</v>
      </c>
      <c r="D12093">
        <f t="shared" si="392"/>
        <v>-0.78946226893834304</v>
      </c>
    </row>
    <row r="12094" spans="1:4" x14ac:dyDescent="0.3">
      <c r="A12094" s="1">
        <v>43480</v>
      </c>
      <c r="B12094">
        <v>7023.830078</v>
      </c>
      <c r="C12094">
        <f t="shared" si="393"/>
        <v>1.7073779790636835E-2</v>
      </c>
      <c r="D12094">
        <f t="shared" si="392"/>
        <v>1.3286542235388832</v>
      </c>
    </row>
    <row r="12095" spans="1:4" x14ac:dyDescent="0.3">
      <c r="A12095" s="1">
        <v>43481</v>
      </c>
      <c r="B12095">
        <v>7034.6899409999996</v>
      </c>
      <c r="C12095">
        <f t="shared" si="393"/>
        <v>1.5461454618634464E-3</v>
      </c>
      <c r="D12095">
        <f t="shared" si="392"/>
        <v>8.6507327250890942E-2</v>
      </c>
    </row>
    <row r="12096" spans="1:4" x14ac:dyDescent="0.3">
      <c r="A12096" s="1">
        <v>43482</v>
      </c>
      <c r="B12096">
        <v>7084.4599609999996</v>
      </c>
      <c r="C12096">
        <f t="shared" si="393"/>
        <v>7.074941527973725E-3</v>
      </c>
      <c r="D12096">
        <f t="shared" si="392"/>
        <v>0.52878827799444506</v>
      </c>
    </row>
    <row r="12097" spans="1:4" x14ac:dyDescent="0.3">
      <c r="A12097" s="1">
        <v>43483</v>
      </c>
      <c r="B12097">
        <v>7157.2299800000001</v>
      </c>
      <c r="C12097">
        <f t="shared" si="393"/>
        <v>1.0271780686262602E-2</v>
      </c>
      <c r="D12097">
        <f t="shared" si="392"/>
        <v>0.78452226517638912</v>
      </c>
    </row>
    <row r="12098" spans="1:4" x14ac:dyDescent="0.3">
      <c r="A12098" s="1">
        <v>43487</v>
      </c>
      <c r="B12098">
        <v>7020.3598629999997</v>
      </c>
      <c r="C12098">
        <f t="shared" si="393"/>
        <v>-1.9123336455928775E-2</v>
      </c>
      <c r="D12098">
        <f t="shared" si="392"/>
        <v>-1.5669662327549851</v>
      </c>
    </row>
    <row r="12099" spans="1:4" x14ac:dyDescent="0.3">
      <c r="A12099" s="1">
        <v>43488</v>
      </c>
      <c r="B12099">
        <v>7025.7700199999999</v>
      </c>
      <c r="C12099">
        <f t="shared" si="393"/>
        <v>7.7063813046306432E-4</v>
      </c>
      <c r="D12099">
        <f t="shared" ref="D12099:D12162" si="394">(C12099-avrtn)/sdrtn</f>
        <v>2.4469929644061542E-2</v>
      </c>
    </row>
    <row r="12100" spans="1:4" x14ac:dyDescent="0.3">
      <c r="A12100" s="1">
        <v>43489</v>
      </c>
      <c r="B12100">
        <v>7073.4599609999996</v>
      </c>
      <c r="C12100">
        <f t="shared" ref="C12100:C12163" si="395">(B12100-B12099)/B12099</f>
        <v>6.7878596743477853E-3</v>
      </c>
      <c r="D12100">
        <f t="shared" si="394"/>
        <v>0.50582291019200576</v>
      </c>
    </row>
    <row r="12101" spans="1:4" x14ac:dyDescent="0.3">
      <c r="A12101" s="1">
        <v>43490</v>
      </c>
      <c r="B12101">
        <v>7164.8598629999997</v>
      </c>
      <c r="C12101">
        <f t="shared" si="395"/>
        <v>1.2921526735704968E-2</v>
      </c>
      <c r="D12101">
        <f t="shared" si="394"/>
        <v>0.99649105331091803</v>
      </c>
    </row>
    <row r="12102" spans="1:4" x14ac:dyDescent="0.3">
      <c r="A12102" s="1">
        <v>43493</v>
      </c>
      <c r="B12102">
        <v>7085.6801759999998</v>
      </c>
      <c r="C12102">
        <f t="shared" si="395"/>
        <v>-1.1051114538735234E-2</v>
      </c>
      <c r="D12102">
        <f t="shared" si="394"/>
        <v>-0.92122167255436238</v>
      </c>
    </row>
    <row r="12103" spans="1:4" x14ac:dyDescent="0.3">
      <c r="A12103" s="1">
        <v>43494</v>
      </c>
      <c r="B12103">
        <v>7028.2900390000004</v>
      </c>
      <c r="C12103">
        <f t="shared" si="395"/>
        <v>-8.0994534856916479E-3</v>
      </c>
      <c r="D12103">
        <f t="shared" si="394"/>
        <v>-0.68510092561364877</v>
      </c>
    </row>
    <row r="12104" spans="1:4" x14ac:dyDescent="0.3">
      <c r="A12104" s="1">
        <v>43495</v>
      </c>
      <c r="B12104">
        <v>7183.080078</v>
      </c>
      <c r="C12104">
        <f t="shared" si="395"/>
        <v>2.2023854755718556E-2</v>
      </c>
      <c r="D12104">
        <f t="shared" si="394"/>
        <v>1.7246398659155395</v>
      </c>
    </row>
    <row r="12105" spans="1:4" x14ac:dyDescent="0.3">
      <c r="A12105" s="1">
        <v>43496</v>
      </c>
      <c r="B12105">
        <v>7281.7402339999999</v>
      </c>
      <c r="C12105">
        <f t="shared" si="395"/>
        <v>1.3735076725953759E-2</v>
      </c>
      <c r="D12105">
        <f t="shared" si="394"/>
        <v>1.0615717071932722</v>
      </c>
    </row>
    <row r="12106" spans="1:4" x14ac:dyDescent="0.3">
      <c r="A12106" s="1">
        <v>43497</v>
      </c>
      <c r="B12106">
        <v>7263.8701170000004</v>
      </c>
      <c r="C12106">
        <f t="shared" si="395"/>
        <v>-2.4540997654049906E-3</v>
      </c>
      <c r="D12106">
        <f t="shared" si="394"/>
        <v>-0.23349584182392225</v>
      </c>
    </row>
    <row r="12107" spans="1:4" x14ac:dyDescent="0.3">
      <c r="A12107" s="1">
        <v>43500</v>
      </c>
      <c r="B12107">
        <v>7347.5400390000004</v>
      </c>
      <c r="C12107">
        <f t="shared" si="395"/>
        <v>1.1518642356253469E-2</v>
      </c>
      <c r="D12107">
        <f t="shared" si="394"/>
        <v>0.88426607164983562</v>
      </c>
    </row>
    <row r="12108" spans="1:4" x14ac:dyDescent="0.3">
      <c r="A12108" s="1">
        <v>43501</v>
      </c>
      <c r="B12108">
        <v>7402.080078</v>
      </c>
      <c r="C12108">
        <f t="shared" si="395"/>
        <v>7.4228978284577567E-3</v>
      </c>
      <c r="D12108">
        <f t="shared" si="394"/>
        <v>0.55662335122831064</v>
      </c>
    </row>
    <row r="12109" spans="1:4" x14ac:dyDescent="0.3">
      <c r="A12109" s="1">
        <v>43502</v>
      </c>
      <c r="B12109">
        <v>7375.2797849999997</v>
      </c>
      <c r="C12109">
        <f t="shared" si="395"/>
        <v>-3.6206434836681105E-3</v>
      </c>
      <c r="D12109">
        <f t="shared" si="394"/>
        <v>-0.32681454242853997</v>
      </c>
    </row>
    <row r="12110" spans="1:4" x14ac:dyDescent="0.3">
      <c r="A12110" s="1">
        <v>43503</v>
      </c>
      <c r="B12110">
        <v>7288.3500979999999</v>
      </c>
      <c r="C12110">
        <f t="shared" si="395"/>
        <v>-1.1786629054642683E-2</v>
      </c>
      <c r="D12110">
        <f t="shared" si="394"/>
        <v>-0.98005980937319703</v>
      </c>
    </row>
    <row r="12111" spans="1:4" x14ac:dyDescent="0.3">
      <c r="A12111" s="1">
        <v>43504</v>
      </c>
      <c r="B12111">
        <v>7298.2001950000003</v>
      </c>
      <c r="C12111">
        <f t="shared" si="395"/>
        <v>1.3514851602289839E-3</v>
      </c>
      <c r="D12111">
        <f t="shared" si="394"/>
        <v>7.0935303568077118E-2</v>
      </c>
    </row>
    <row r="12112" spans="1:4" x14ac:dyDescent="0.3">
      <c r="A12112" s="1">
        <v>43507</v>
      </c>
      <c r="B12112">
        <v>7307.8999020000001</v>
      </c>
      <c r="C12112">
        <f t="shared" si="395"/>
        <v>1.3290546629078543E-3</v>
      </c>
      <c r="D12112">
        <f t="shared" si="394"/>
        <v>6.914095601714286E-2</v>
      </c>
    </row>
    <row r="12113" spans="1:4" x14ac:dyDescent="0.3">
      <c r="A12113" s="1">
        <v>43508</v>
      </c>
      <c r="B12113">
        <v>7414.6201170000004</v>
      </c>
      <c r="C12113">
        <f t="shared" si="395"/>
        <v>1.460340404646121E-2</v>
      </c>
      <c r="D12113">
        <f t="shared" si="394"/>
        <v>1.1310343222505912</v>
      </c>
    </row>
    <row r="12114" spans="1:4" x14ac:dyDescent="0.3">
      <c r="A12114" s="1">
        <v>43509</v>
      </c>
      <c r="B12114">
        <v>7420.3798829999996</v>
      </c>
      <c r="C12114">
        <f t="shared" si="395"/>
        <v>7.7681201587029563E-4</v>
      </c>
      <c r="D12114">
        <f t="shared" si="394"/>
        <v>2.4963815089471559E-2</v>
      </c>
    </row>
    <row r="12115" spans="1:4" x14ac:dyDescent="0.3">
      <c r="A12115" s="1">
        <v>43510</v>
      </c>
      <c r="B12115">
        <v>7426.9501950000003</v>
      </c>
      <c r="C12115">
        <f t="shared" si="395"/>
        <v>8.8544146035612621E-4</v>
      </c>
      <c r="D12115">
        <f t="shared" si="394"/>
        <v>3.3653723961393218E-2</v>
      </c>
    </row>
    <row r="12116" spans="1:4" x14ac:dyDescent="0.3">
      <c r="A12116" s="1">
        <v>43511</v>
      </c>
      <c r="B12116">
        <v>7472.4101559999999</v>
      </c>
      <c r="C12116">
        <f t="shared" si="395"/>
        <v>6.1209459881128988E-3</v>
      </c>
      <c r="D12116">
        <f t="shared" si="394"/>
        <v>0.45247255765867889</v>
      </c>
    </row>
    <row r="12117" spans="1:4" x14ac:dyDescent="0.3">
      <c r="A12117" s="1">
        <v>43515</v>
      </c>
      <c r="B12117">
        <v>7486.7700199999999</v>
      </c>
      <c r="C12117">
        <f t="shared" si="395"/>
        <v>1.9217178527693249E-3</v>
      </c>
      <c r="D12117">
        <f t="shared" si="394"/>
        <v>0.11655157416046187</v>
      </c>
    </row>
    <row r="12118" spans="1:4" x14ac:dyDescent="0.3">
      <c r="A12118" s="1">
        <v>43516</v>
      </c>
      <c r="B12118">
        <v>7489.0698240000002</v>
      </c>
      <c r="C12118">
        <f t="shared" si="395"/>
        <v>3.0718240227181734E-4</v>
      </c>
      <c r="D12118">
        <f t="shared" si="394"/>
        <v>-1.2604622869896642E-2</v>
      </c>
    </row>
    <row r="12119" spans="1:4" x14ac:dyDescent="0.3">
      <c r="A12119" s="1">
        <v>43517</v>
      </c>
      <c r="B12119">
        <v>7459.7099609999996</v>
      </c>
      <c r="C12119">
        <f t="shared" si="395"/>
        <v>-3.9203617658780405E-3</v>
      </c>
      <c r="D12119">
        <f t="shared" si="394"/>
        <v>-0.35079077255639374</v>
      </c>
    </row>
    <row r="12120" spans="1:4" x14ac:dyDescent="0.3">
      <c r="A12120" s="1">
        <v>43518</v>
      </c>
      <c r="B12120">
        <v>7527.5400390000004</v>
      </c>
      <c r="C12120">
        <f t="shared" si="395"/>
        <v>9.0928572765727224E-3</v>
      </c>
      <c r="D12120">
        <f t="shared" si="394"/>
        <v>0.69021324016322594</v>
      </c>
    </row>
    <row r="12121" spans="1:4" x14ac:dyDescent="0.3">
      <c r="A12121" s="1">
        <v>43521</v>
      </c>
      <c r="B12121">
        <v>7554.4599609999996</v>
      </c>
      <c r="C12121">
        <f t="shared" si="395"/>
        <v>3.576191140867757E-3</v>
      </c>
      <c r="D12121">
        <f t="shared" si="394"/>
        <v>0.24890263397352483</v>
      </c>
    </row>
    <row r="12122" spans="1:4" x14ac:dyDescent="0.3">
      <c r="A12122" s="1">
        <v>43522</v>
      </c>
      <c r="B12122">
        <v>7549.2998049999997</v>
      </c>
      <c r="C12122">
        <f t="shared" si="395"/>
        <v>-6.8306087088147792E-4</v>
      </c>
      <c r="D12122">
        <f t="shared" si="394"/>
        <v>-9.1820012817490457E-2</v>
      </c>
    </row>
    <row r="12123" spans="1:4" x14ac:dyDescent="0.3">
      <c r="A12123" s="1">
        <v>43523</v>
      </c>
      <c r="B12123">
        <v>7554.5097660000001</v>
      </c>
      <c r="C12123">
        <f t="shared" si="395"/>
        <v>6.9012506253226971E-4</v>
      </c>
      <c r="D12123">
        <f t="shared" si="394"/>
        <v>1.8029215281311534E-2</v>
      </c>
    </row>
    <row r="12124" spans="1:4" x14ac:dyDescent="0.3">
      <c r="A12124" s="1">
        <v>43524</v>
      </c>
      <c r="B12124">
        <v>7532.5297849999997</v>
      </c>
      <c r="C12124">
        <f t="shared" si="395"/>
        <v>-2.9095178483882584E-3</v>
      </c>
      <c r="D12124">
        <f t="shared" si="394"/>
        <v>-0.26992741577223667</v>
      </c>
    </row>
    <row r="12125" spans="1:4" x14ac:dyDescent="0.3">
      <c r="A12125" s="1">
        <v>43525</v>
      </c>
      <c r="B12125">
        <v>7595.3500979999999</v>
      </c>
      <c r="C12125">
        <f t="shared" si="395"/>
        <v>8.339869179820332E-3</v>
      </c>
      <c r="D12125">
        <f t="shared" si="394"/>
        <v>0.62997728872858971</v>
      </c>
    </row>
    <row r="12126" spans="1:4" x14ac:dyDescent="0.3">
      <c r="A12126" s="1">
        <v>43528</v>
      </c>
      <c r="B12126">
        <v>7577.5698240000002</v>
      </c>
      <c r="C12126">
        <f t="shared" si="395"/>
        <v>-2.3409419935338624E-3</v>
      </c>
      <c r="D12126">
        <f t="shared" si="394"/>
        <v>-0.22444368538177023</v>
      </c>
    </row>
    <row r="12127" spans="1:4" x14ac:dyDescent="0.3">
      <c r="A12127" s="1">
        <v>43529</v>
      </c>
      <c r="B12127">
        <v>7576.3598629999997</v>
      </c>
      <c r="C12127">
        <f t="shared" si="395"/>
        <v>-1.5967665466680837E-4</v>
      </c>
      <c r="D12127">
        <f t="shared" si="394"/>
        <v>-4.9951427689073694E-2</v>
      </c>
    </row>
    <row r="12128" spans="1:4" x14ac:dyDescent="0.3">
      <c r="A12128" s="1">
        <v>43530</v>
      </c>
      <c r="B12128">
        <v>7505.919922</v>
      </c>
      <c r="C12128">
        <f t="shared" si="395"/>
        <v>-9.2973330562082929E-3</v>
      </c>
      <c r="D12128">
        <f t="shared" si="394"/>
        <v>-0.78092636554475414</v>
      </c>
    </row>
    <row r="12129" spans="1:4" x14ac:dyDescent="0.3">
      <c r="A12129" s="1">
        <v>43531</v>
      </c>
      <c r="B12129">
        <v>7421.4599609999996</v>
      </c>
      <c r="C12129">
        <f t="shared" si="395"/>
        <v>-1.1252446319397395E-2</v>
      </c>
      <c r="D12129">
        <f t="shared" si="394"/>
        <v>-0.9373273871261063</v>
      </c>
    </row>
    <row r="12130" spans="1:4" x14ac:dyDescent="0.3">
      <c r="A12130" s="1">
        <v>43532</v>
      </c>
      <c r="B12130">
        <v>7408.1401370000003</v>
      </c>
      <c r="C12130">
        <f t="shared" si="395"/>
        <v>-1.7947713886479653E-3</v>
      </c>
      <c r="D12130">
        <f t="shared" si="394"/>
        <v>-0.18075228285784531</v>
      </c>
    </row>
    <row r="12131" spans="1:4" x14ac:dyDescent="0.3">
      <c r="A12131" s="1">
        <v>43535</v>
      </c>
      <c r="B12131">
        <v>7558.0600590000004</v>
      </c>
      <c r="C12131">
        <f t="shared" si="395"/>
        <v>2.0237187637855834E-2</v>
      </c>
      <c r="D12131">
        <f t="shared" si="394"/>
        <v>1.5817138433056095</v>
      </c>
    </row>
    <row r="12132" spans="1:4" x14ac:dyDescent="0.3">
      <c r="A12132" s="1">
        <v>43536</v>
      </c>
      <c r="B12132">
        <v>7591.0297849999997</v>
      </c>
      <c r="C12132">
        <f t="shared" si="395"/>
        <v>4.3621942327303426E-3</v>
      </c>
      <c r="D12132">
        <f t="shared" si="394"/>
        <v>0.3117796492585056</v>
      </c>
    </row>
    <row r="12133" spans="1:4" x14ac:dyDescent="0.3">
      <c r="A12133" s="1">
        <v>43537</v>
      </c>
      <c r="B12133">
        <v>7643.4101559999999</v>
      </c>
      <c r="C12133">
        <f t="shared" si="395"/>
        <v>6.9002984421829925E-3</v>
      </c>
      <c r="D12133">
        <f t="shared" si="394"/>
        <v>0.51481754926784629</v>
      </c>
    </row>
    <row r="12134" spans="1:4" x14ac:dyDescent="0.3">
      <c r="A12134" s="1">
        <v>43538</v>
      </c>
      <c r="B12134">
        <v>7630.9101559999999</v>
      </c>
      <c r="C12134">
        <f t="shared" si="395"/>
        <v>-1.6353956865951549E-3</v>
      </c>
      <c r="D12134">
        <f t="shared" si="394"/>
        <v>-0.16800288205042324</v>
      </c>
    </row>
    <row r="12135" spans="1:4" x14ac:dyDescent="0.3">
      <c r="A12135" s="1">
        <v>43539</v>
      </c>
      <c r="B12135">
        <v>7688.5297849999997</v>
      </c>
      <c r="C12135">
        <f t="shared" si="395"/>
        <v>7.550819996838108E-3</v>
      </c>
      <c r="D12135">
        <f t="shared" si="394"/>
        <v>0.56685659867963933</v>
      </c>
    </row>
    <row r="12136" spans="1:4" x14ac:dyDescent="0.3">
      <c r="A12136" s="1">
        <v>43542</v>
      </c>
      <c r="B12136">
        <v>7714.4799800000001</v>
      </c>
      <c r="C12136">
        <f t="shared" si="395"/>
        <v>3.3751829967060927E-3</v>
      </c>
      <c r="D12136">
        <f t="shared" si="394"/>
        <v>0.23282280899101931</v>
      </c>
    </row>
    <row r="12137" spans="1:4" x14ac:dyDescent="0.3">
      <c r="A12137" s="1">
        <v>43543</v>
      </c>
      <c r="B12137">
        <v>7723.9501950000003</v>
      </c>
      <c r="C12137">
        <f t="shared" si="395"/>
        <v>1.2275895490755141E-3</v>
      </c>
      <c r="D12137">
        <f t="shared" si="394"/>
        <v>6.1024164137596752E-2</v>
      </c>
    </row>
    <row r="12138" spans="1:4" x14ac:dyDescent="0.3">
      <c r="A12138" s="1">
        <v>43544</v>
      </c>
      <c r="B12138">
        <v>7728.9702150000003</v>
      </c>
      <c r="C12138">
        <f t="shared" si="395"/>
        <v>6.4992910017073601E-4</v>
      </c>
      <c r="D12138">
        <f t="shared" si="394"/>
        <v>1.4813703579173698E-2</v>
      </c>
    </row>
    <row r="12139" spans="1:4" x14ac:dyDescent="0.3">
      <c r="A12139" s="1">
        <v>43545</v>
      </c>
      <c r="B12139">
        <v>7838.9599609999996</v>
      </c>
      <c r="C12139">
        <f t="shared" si="395"/>
        <v>1.4230840971095563E-2</v>
      </c>
      <c r="D12139">
        <f t="shared" si="394"/>
        <v>1.1012308082098594</v>
      </c>
    </row>
    <row r="12140" spans="1:4" x14ac:dyDescent="0.3">
      <c r="A12140" s="1">
        <v>43546</v>
      </c>
      <c r="B12140">
        <v>7642.669922</v>
      </c>
      <c r="C12140">
        <f t="shared" si="395"/>
        <v>-2.5040316569617894E-2</v>
      </c>
      <c r="D12140">
        <f t="shared" si="394"/>
        <v>-2.0403003110825053</v>
      </c>
    </row>
    <row r="12141" spans="1:4" x14ac:dyDescent="0.3">
      <c r="A12141" s="1">
        <v>43549</v>
      </c>
      <c r="B12141">
        <v>7637.5400390000004</v>
      </c>
      <c r="C12141">
        <f t="shared" si="395"/>
        <v>-6.712160870944923E-4</v>
      </c>
      <c r="D12141">
        <f t="shared" si="394"/>
        <v>-9.0872478820573574E-2</v>
      </c>
    </row>
    <row r="12142" spans="1:4" x14ac:dyDescent="0.3">
      <c r="A12142" s="1">
        <v>43550</v>
      </c>
      <c r="B12142">
        <v>7691.5200199999999</v>
      </c>
      <c r="C12142">
        <f t="shared" si="395"/>
        <v>7.067718234452256E-3</v>
      </c>
      <c r="D12142">
        <f t="shared" si="394"/>
        <v>0.528210444215088</v>
      </c>
    </row>
    <row r="12143" spans="1:4" x14ac:dyDescent="0.3">
      <c r="A12143" s="1">
        <v>43551</v>
      </c>
      <c r="B12143">
        <v>7643.3798829999996</v>
      </c>
      <c r="C12143">
        <f t="shared" si="395"/>
        <v>-6.2588587008579775E-3</v>
      </c>
      <c r="D12143">
        <f t="shared" si="394"/>
        <v>-0.53786091139793446</v>
      </c>
    </row>
    <row r="12144" spans="1:4" x14ac:dyDescent="0.3">
      <c r="A12144" s="1">
        <v>43552</v>
      </c>
      <c r="B12144">
        <v>7669.169922</v>
      </c>
      <c r="C12144">
        <f t="shared" si="395"/>
        <v>3.3741668469679585E-3</v>
      </c>
      <c r="D12144">
        <f t="shared" si="394"/>
        <v>0.23274152119040128</v>
      </c>
    </row>
    <row r="12145" spans="1:4" x14ac:dyDescent="0.3">
      <c r="A12145" s="1">
        <v>43553</v>
      </c>
      <c r="B12145">
        <v>7729.3198240000002</v>
      </c>
      <c r="C12145">
        <f t="shared" si="395"/>
        <v>7.8430785354556276E-3</v>
      </c>
      <c r="D12145">
        <f t="shared" si="394"/>
        <v>0.59023607999474914</v>
      </c>
    </row>
    <row r="12146" spans="1:4" x14ac:dyDescent="0.3">
      <c r="A12146" s="1">
        <v>43556</v>
      </c>
      <c r="B12146">
        <v>7828.9101559999999</v>
      </c>
      <c r="C12146">
        <f t="shared" si="395"/>
        <v>1.2884747205150681E-2</v>
      </c>
      <c r="D12146">
        <f t="shared" si="394"/>
        <v>0.99354884210490835</v>
      </c>
    </row>
    <row r="12147" spans="1:4" x14ac:dyDescent="0.3">
      <c r="A12147" s="1">
        <v>43557</v>
      </c>
      <c r="B12147">
        <v>7848.6899409999996</v>
      </c>
      <c r="C12147">
        <f t="shared" si="395"/>
        <v>2.5265055551621941E-3</v>
      </c>
      <c r="D12147">
        <f t="shared" si="394"/>
        <v>0.16493210344999934</v>
      </c>
    </row>
    <row r="12148" spans="1:4" x14ac:dyDescent="0.3">
      <c r="A12148" s="1">
        <v>43558</v>
      </c>
      <c r="B12148">
        <v>7895.5498049999997</v>
      </c>
      <c r="C12148">
        <f t="shared" si="395"/>
        <v>5.9704058068612677E-3</v>
      </c>
      <c r="D12148">
        <f t="shared" si="394"/>
        <v>0.44042996218347252</v>
      </c>
    </row>
    <row r="12149" spans="1:4" x14ac:dyDescent="0.3">
      <c r="A12149" s="1">
        <v>43559</v>
      </c>
      <c r="B12149">
        <v>7891.7797849999997</v>
      </c>
      <c r="C12149">
        <f t="shared" si="395"/>
        <v>-4.7748669733075434E-4</v>
      </c>
      <c r="D12149">
        <f t="shared" si="394"/>
        <v>-7.5374924259485249E-2</v>
      </c>
    </row>
    <row r="12150" spans="1:4" x14ac:dyDescent="0.3">
      <c r="A12150" s="1">
        <v>43560</v>
      </c>
      <c r="B12150">
        <v>7938.6899409999996</v>
      </c>
      <c r="C12150">
        <f t="shared" si="395"/>
        <v>5.944179548593412E-3</v>
      </c>
      <c r="D12150">
        <f t="shared" si="394"/>
        <v>0.43833196936506247</v>
      </c>
    </row>
    <row r="12151" spans="1:4" x14ac:dyDescent="0.3">
      <c r="A12151" s="1">
        <v>43563</v>
      </c>
      <c r="B12151">
        <v>7953.8798829999996</v>
      </c>
      <c r="C12151">
        <f t="shared" si="395"/>
        <v>1.9134066342042537E-3</v>
      </c>
      <c r="D12151">
        <f t="shared" si="394"/>
        <v>0.11588671085119112</v>
      </c>
    </row>
    <row r="12152" spans="1:4" x14ac:dyDescent="0.3">
      <c r="A12152" s="1">
        <v>43564</v>
      </c>
      <c r="B12152">
        <v>7909.2797849999997</v>
      </c>
      <c r="C12152">
        <f t="shared" si="395"/>
        <v>-5.6073386392626635E-3</v>
      </c>
      <c r="D12152">
        <f t="shared" si="394"/>
        <v>-0.48574198553681069</v>
      </c>
    </row>
    <row r="12153" spans="1:4" x14ac:dyDescent="0.3">
      <c r="A12153" s="1">
        <v>43565</v>
      </c>
      <c r="B12153">
        <v>7964.2402339999999</v>
      </c>
      <c r="C12153">
        <f t="shared" si="395"/>
        <v>6.9488563426764851E-3</v>
      </c>
      <c r="D12153">
        <f t="shared" si="394"/>
        <v>0.51870198163604575</v>
      </c>
    </row>
    <row r="12154" spans="1:4" x14ac:dyDescent="0.3">
      <c r="A12154" s="1">
        <v>43566</v>
      </c>
      <c r="B12154">
        <v>7947.3598629999997</v>
      </c>
      <c r="C12154">
        <f t="shared" si="395"/>
        <v>-2.1195205699517322E-3</v>
      </c>
      <c r="D12154">
        <f t="shared" si="394"/>
        <v>-0.20673088198553399</v>
      </c>
    </row>
    <row r="12155" spans="1:4" x14ac:dyDescent="0.3">
      <c r="A12155" s="1">
        <v>43567</v>
      </c>
      <c r="B12155">
        <v>7984.1601559999999</v>
      </c>
      <c r="C12155">
        <f t="shared" si="395"/>
        <v>4.6305054300270132E-3</v>
      </c>
      <c r="D12155">
        <f t="shared" si="394"/>
        <v>0.33324344174000348</v>
      </c>
    </row>
    <row r="12156" spans="1:4" x14ac:dyDescent="0.3">
      <c r="A12156" s="1">
        <v>43570</v>
      </c>
      <c r="B12156">
        <v>7976.0097660000001</v>
      </c>
      <c r="C12156">
        <f t="shared" si="395"/>
        <v>-1.0208199536021166E-3</v>
      </c>
      <c r="D12156">
        <f t="shared" si="394"/>
        <v>-0.11883935056149457</v>
      </c>
    </row>
    <row r="12157" spans="1:4" x14ac:dyDescent="0.3">
      <c r="A12157" s="1">
        <v>43571</v>
      </c>
      <c r="B12157">
        <v>8000.2299800000001</v>
      </c>
      <c r="C12157">
        <f t="shared" si="395"/>
        <v>3.0366329418558967E-3</v>
      </c>
      <c r="D12157">
        <f t="shared" si="394"/>
        <v>0.20574019672914748</v>
      </c>
    </row>
    <row r="12158" spans="1:4" x14ac:dyDescent="0.3">
      <c r="A12158" s="1">
        <v>43572</v>
      </c>
      <c r="B12158">
        <v>7996.080078</v>
      </c>
      <c r="C12158">
        <f t="shared" si="395"/>
        <v>-5.1872283801522806E-4</v>
      </c>
      <c r="D12158">
        <f t="shared" si="394"/>
        <v>-7.8673645950219459E-2</v>
      </c>
    </row>
    <row r="12159" spans="1:4" x14ac:dyDescent="0.3">
      <c r="A12159" s="1">
        <v>43573</v>
      </c>
      <c r="B12159">
        <v>7998.0600590000004</v>
      </c>
      <c r="C12159">
        <f t="shared" si="395"/>
        <v>2.4761895587414439E-4</v>
      </c>
      <c r="D12159">
        <f t="shared" si="394"/>
        <v>-1.7369453655355398E-2</v>
      </c>
    </row>
    <row r="12160" spans="1:4" x14ac:dyDescent="0.3">
      <c r="A12160" s="1">
        <v>43577</v>
      </c>
      <c r="B12160">
        <v>8015.2700199999999</v>
      </c>
      <c r="C12160">
        <f t="shared" si="395"/>
        <v>2.151766912606972E-3</v>
      </c>
      <c r="D12160">
        <f t="shared" si="394"/>
        <v>0.13495455298008721</v>
      </c>
    </row>
    <row r="12161" spans="1:4" x14ac:dyDescent="0.3">
      <c r="A12161" s="1">
        <v>43578</v>
      </c>
      <c r="B12161">
        <v>8120.8198240000002</v>
      </c>
      <c r="C12161">
        <f t="shared" si="395"/>
        <v>1.3168589921066717E-2</v>
      </c>
      <c r="D12161">
        <f t="shared" si="394"/>
        <v>1.0162550922099693</v>
      </c>
    </row>
    <row r="12162" spans="1:4" x14ac:dyDescent="0.3">
      <c r="A12162" s="1">
        <v>43579</v>
      </c>
      <c r="B12162">
        <v>8102.0097660000001</v>
      </c>
      <c r="C12162">
        <f t="shared" si="395"/>
        <v>-2.3162757464966046E-3</v>
      </c>
      <c r="D12162">
        <f t="shared" si="394"/>
        <v>-0.22247048704700348</v>
      </c>
    </row>
    <row r="12163" spans="1:4" x14ac:dyDescent="0.3">
      <c r="A12163" s="1">
        <v>43580</v>
      </c>
      <c r="B12163">
        <v>8118.6801759999998</v>
      </c>
      <c r="C12163">
        <f t="shared" si="395"/>
        <v>2.0575647871910649E-3</v>
      </c>
      <c r="D12163">
        <f t="shared" ref="D12163:D12226" si="396">(C12163-avrtn)/sdrtn</f>
        <v>0.12741877030826892</v>
      </c>
    </row>
    <row r="12164" spans="1:4" x14ac:dyDescent="0.3">
      <c r="A12164" s="1">
        <v>43581</v>
      </c>
      <c r="B12164">
        <v>8146.3999020000001</v>
      </c>
      <c r="C12164">
        <f t="shared" ref="C12164:C12227" si="397">(B12164-B12163)/B12163</f>
        <v>3.4143143219194432E-3</v>
      </c>
      <c r="D12164">
        <f t="shared" si="396"/>
        <v>0.23595315409911663</v>
      </c>
    </row>
    <row r="12165" spans="1:4" x14ac:dyDescent="0.3">
      <c r="A12165" s="1">
        <v>43584</v>
      </c>
      <c r="B12165">
        <v>8161.8500979999999</v>
      </c>
      <c r="C12165">
        <f t="shared" si="397"/>
        <v>1.8965673408945518E-3</v>
      </c>
      <c r="D12165">
        <f t="shared" si="396"/>
        <v>0.11453963663000281</v>
      </c>
    </row>
    <row r="12166" spans="1:4" x14ac:dyDescent="0.3">
      <c r="A12166" s="1">
        <v>43585</v>
      </c>
      <c r="B12166">
        <v>8095.3901370000003</v>
      </c>
      <c r="C12166">
        <f t="shared" si="397"/>
        <v>-8.142756875219391E-3</v>
      </c>
      <c r="D12166">
        <f t="shared" si="396"/>
        <v>-0.68856501871126652</v>
      </c>
    </row>
    <row r="12167" spans="1:4" x14ac:dyDescent="0.3">
      <c r="A12167" s="1">
        <v>43586</v>
      </c>
      <c r="B12167">
        <v>8049.6401370000003</v>
      </c>
      <c r="C12167">
        <f t="shared" si="397"/>
        <v>-5.651364446402591E-3</v>
      </c>
      <c r="D12167">
        <f t="shared" si="396"/>
        <v>-0.48926386907280417</v>
      </c>
    </row>
    <row r="12168" spans="1:4" x14ac:dyDescent="0.3">
      <c r="A12168" s="1">
        <v>43587</v>
      </c>
      <c r="B12168">
        <v>8036.7700199999999</v>
      </c>
      <c r="C12168">
        <f t="shared" si="397"/>
        <v>-1.5988437720144994E-3</v>
      </c>
      <c r="D12168">
        <f t="shared" si="396"/>
        <v>-0.16507887918634165</v>
      </c>
    </row>
    <row r="12169" spans="1:4" x14ac:dyDescent="0.3">
      <c r="A12169" s="1">
        <v>43588</v>
      </c>
      <c r="B12169">
        <v>8164</v>
      </c>
      <c r="C12169">
        <f t="shared" si="397"/>
        <v>1.5830984298839008E-2</v>
      </c>
      <c r="D12169">
        <f t="shared" si="396"/>
        <v>1.2292356946006553</v>
      </c>
    </row>
    <row r="12170" spans="1:4" x14ac:dyDescent="0.3">
      <c r="A12170" s="1">
        <v>43591</v>
      </c>
      <c r="B12170">
        <v>8123.2900390000004</v>
      </c>
      <c r="C12170">
        <f t="shared" si="397"/>
        <v>-4.9865214355707451E-3</v>
      </c>
      <c r="D12170">
        <f t="shared" si="396"/>
        <v>-0.43607916205705249</v>
      </c>
    </row>
    <row r="12171" spans="1:4" x14ac:dyDescent="0.3">
      <c r="A12171" s="1">
        <v>43592</v>
      </c>
      <c r="B12171">
        <v>7963.7597660000001</v>
      </c>
      <c r="C12171">
        <f t="shared" si="397"/>
        <v>-1.9638628220104638E-2</v>
      </c>
      <c r="D12171">
        <f t="shared" si="396"/>
        <v>-1.608187454996659</v>
      </c>
    </row>
    <row r="12172" spans="1:4" x14ac:dyDescent="0.3">
      <c r="A12172" s="1">
        <v>43593</v>
      </c>
      <c r="B12172">
        <v>7943.3198240000002</v>
      </c>
      <c r="C12172">
        <f t="shared" si="397"/>
        <v>-2.5666196119155981E-3</v>
      </c>
      <c r="D12172">
        <f t="shared" si="396"/>
        <v>-0.24249696686039732</v>
      </c>
    </row>
    <row r="12173" spans="1:4" x14ac:dyDescent="0.3">
      <c r="A12173" s="1">
        <v>43594</v>
      </c>
      <c r="B12173">
        <v>7910.5898440000001</v>
      </c>
      <c r="C12173">
        <f t="shared" si="397"/>
        <v>-4.1204409145291472E-3</v>
      </c>
      <c r="D12173">
        <f t="shared" si="396"/>
        <v>-0.36679628171810702</v>
      </c>
    </row>
    <row r="12174" spans="1:4" x14ac:dyDescent="0.3">
      <c r="A12174" s="1">
        <v>43595</v>
      </c>
      <c r="B12174">
        <v>7916.9399409999996</v>
      </c>
      <c r="C12174">
        <f t="shared" si="397"/>
        <v>8.0273369309065521E-4</v>
      </c>
      <c r="D12174">
        <f t="shared" si="396"/>
        <v>2.7037442676526691E-2</v>
      </c>
    </row>
    <row r="12175" spans="1:4" x14ac:dyDescent="0.3">
      <c r="A12175" s="1">
        <v>43598</v>
      </c>
      <c r="B12175">
        <v>7647.0200199999999</v>
      </c>
      <c r="C12175">
        <f t="shared" si="397"/>
        <v>-3.4093971030668919E-2</v>
      </c>
      <c r="D12175">
        <f t="shared" si="396"/>
        <v>-2.7645554391169918</v>
      </c>
    </row>
    <row r="12176" spans="1:4" x14ac:dyDescent="0.3">
      <c r="A12176" s="1">
        <v>43599</v>
      </c>
      <c r="B12176">
        <v>7734.4902339999999</v>
      </c>
      <c r="C12176">
        <f t="shared" si="397"/>
        <v>1.1438470642319561E-2</v>
      </c>
      <c r="D12176">
        <f t="shared" si="396"/>
        <v>0.87785266420318064</v>
      </c>
    </row>
    <row r="12177" spans="1:4" x14ac:dyDescent="0.3">
      <c r="A12177" s="1">
        <v>43600</v>
      </c>
      <c r="B12177">
        <v>7822.1499020000001</v>
      </c>
      <c r="C12177">
        <f t="shared" si="397"/>
        <v>1.1333606397827956E-2</v>
      </c>
      <c r="D12177">
        <f t="shared" si="396"/>
        <v>0.86946395584820202</v>
      </c>
    </row>
    <row r="12178" spans="1:4" x14ac:dyDescent="0.3">
      <c r="A12178" s="1">
        <v>43601</v>
      </c>
      <c r="B12178">
        <v>7898.0498049999997</v>
      </c>
      <c r="C12178">
        <f t="shared" si="397"/>
        <v>9.7032023102233238E-3</v>
      </c>
      <c r="D12178">
        <f t="shared" si="396"/>
        <v>0.73903833310149925</v>
      </c>
    </row>
    <row r="12179" spans="1:4" x14ac:dyDescent="0.3">
      <c r="A12179" s="1">
        <v>43602</v>
      </c>
      <c r="B12179">
        <v>7816.2797849999997</v>
      </c>
      <c r="C12179">
        <f t="shared" si="397"/>
        <v>-1.0353191233136308E-2</v>
      </c>
      <c r="D12179">
        <f t="shared" si="396"/>
        <v>-0.86539067798422908</v>
      </c>
    </row>
    <row r="12180" spans="1:4" x14ac:dyDescent="0.3">
      <c r="A12180" s="1">
        <v>43605</v>
      </c>
      <c r="B12180">
        <v>7702.3798829999996</v>
      </c>
      <c r="C12180">
        <f t="shared" si="397"/>
        <v>-1.4572137274126519E-2</v>
      </c>
      <c r="D12180">
        <f t="shared" si="396"/>
        <v>-1.2028890128536647</v>
      </c>
    </row>
    <row r="12181" spans="1:4" x14ac:dyDescent="0.3">
      <c r="A12181" s="1">
        <v>43606</v>
      </c>
      <c r="B12181">
        <v>7785.7202150000003</v>
      </c>
      <c r="C12181">
        <f t="shared" si="397"/>
        <v>1.0820075517690573E-2</v>
      </c>
      <c r="D12181">
        <f t="shared" si="396"/>
        <v>0.82838359708880815</v>
      </c>
    </row>
    <row r="12182" spans="1:4" x14ac:dyDescent="0.3">
      <c r="A12182" s="1">
        <v>43607</v>
      </c>
      <c r="B12182">
        <v>7750.8398440000001</v>
      </c>
      <c r="C12182">
        <f t="shared" si="397"/>
        <v>-4.4800442395553251E-3</v>
      </c>
      <c r="D12182">
        <f t="shared" si="396"/>
        <v>-0.39556306902249316</v>
      </c>
    </row>
    <row r="12183" spans="1:4" x14ac:dyDescent="0.3">
      <c r="A12183" s="1">
        <v>43608</v>
      </c>
      <c r="B12183">
        <v>7628.2797849999997</v>
      </c>
      <c r="C12183">
        <f t="shared" si="397"/>
        <v>-1.5812487609955621E-2</v>
      </c>
      <c r="D12183">
        <f t="shared" si="396"/>
        <v>-1.3021119393689362</v>
      </c>
    </row>
    <row r="12184" spans="1:4" x14ac:dyDescent="0.3">
      <c r="A12184" s="1">
        <v>43609</v>
      </c>
      <c r="B12184">
        <v>7637.0097660000001</v>
      </c>
      <c r="C12184">
        <f t="shared" si="397"/>
        <v>1.144423283630309E-3</v>
      </c>
      <c r="D12184">
        <f t="shared" si="396"/>
        <v>5.437120488370728E-2</v>
      </c>
    </row>
    <row r="12185" spans="1:4" x14ac:dyDescent="0.3">
      <c r="A12185" s="1">
        <v>43613</v>
      </c>
      <c r="B12185">
        <v>7607.3500979999999</v>
      </c>
      <c r="C12185">
        <f t="shared" si="397"/>
        <v>-3.8836755364704658E-3</v>
      </c>
      <c r="D12185">
        <f t="shared" si="396"/>
        <v>-0.34785602505846447</v>
      </c>
    </row>
    <row r="12186" spans="1:4" x14ac:dyDescent="0.3">
      <c r="A12186" s="1">
        <v>43614</v>
      </c>
      <c r="B12186">
        <v>7547.3100590000004</v>
      </c>
      <c r="C12186">
        <f t="shared" si="397"/>
        <v>-7.8923722750428252E-3</v>
      </c>
      <c r="D12186">
        <f t="shared" si="396"/>
        <v>-0.66853528028476927</v>
      </c>
    </row>
    <row r="12187" spans="1:4" x14ac:dyDescent="0.3">
      <c r="A12187" s="1">
        <v>43615</v>
      </c>
      <c r="B12187">
        <v>7567.7202150000003</v>
      </c>
      <c r="C12187">
        <f t="shared" si="397"/>
        <v>2.7042954165717964E-3</v>
      </c>
      <c r="D12187">
        <f t="shared" si="396"/>
        <v>0.17915456128648904</v>
      </c>
    </row>
    <row r="12188" spans="1:4" x14ac:dyDescent="0.3">
      <c r="A12188" s="1">
        <v>43616</v>
      </c>
      <c r="B12188">
        <v>7453.1499020000001</v>
      </c>
      <c r="C12188">
        <f t="shared" si="397"/>
        <v>-1.5139343123826119E-2</v>
      </c>
      <c r="D12188">
        <f t="shared" si="396"/>
        <v>-1.2482631484652422</v>
      </c>
    </row>
    <row r="12189" spans="1:4" x14ac:dyDescent="0.3">
      <c r="A12189" s="1">
        <v>43619</v>
      </c>
      <c r="B12189">
        <v>7333.0200199999999</v>
      </c>
      <c r="C12189">
        <f t="shared" si="397"/>
        <v>-1.6118001593898465E-2</v>
      </c>
      <c r="D12189">
        <f t="shared" si="396"/>
        <v>-1.3265518018033551</v>
      </c>
    </row>
    <row r="12190" spans="1:4" x14ac:dyDescent="0.3">
      <c r="A12190" s="1">
        <v>43620</v>
      </c>
      <c r="B12190">
        <v>7527.1201170000004</v>
      </c>
      <c r="C12190">
        <f t="shared" si="397"/>
        <v>2.6469325935373687E-2</v>
      </c>
      <c r="D12190">
        <f t="shared" si="396"/>
        <v>2.0802592804012328</v>
      </c>
    </row>
    <row r="12191" spans="1:4" x14ac:dyDescent="0.3">
      <c r="A12191" s="1">
        <v>43621</v>
      </c>
      <c r="B12191">
        <v>7575.4799800000001</v>
      </c>
      <c r="C12191">
        <f t="shared" si="397"/>
        <v>6.4247497380543897E-3</v>
      </c>
      <c r="D12191">
        <f t="shared" si="396"/>
        <v>0.47677560840551386</v>
      </c>
    </row>
    <row r="12192" spans="1:4" x14ac:dyDescent="0.3">
      <c r="A12192" s="1">
        <v>43622</v>
      </c>
      <c r="B12192">
        <v>7615.5498049999997</v>
      </c>
      <c r="C12192">
        <f t="shared" si="397"/>
        <v>5.2894107179726957E-3</v>
      </c>
      <c r="D12192">
        <f t="shared" si="396"/>
        <v>0.3859531553409245</v>
      </c>
    </row>
    <row r="12193" spans="1:4" x14ac:dyDescent="0.3">
      <c r="A12193" s="1">
        <v>43623</v>
      </c>
      <c r="B12193">
        <v>7742.1000979999999</v>
      </c>
      <c r="C12193">
        <f t="shared" si="397"/>
        <v>1.6617354785981895E-2</v>
      </c>
      <c r="D12193">
        <f t="shared" si="396"/>
        <v>1.2921420999973217</v>
      </c>
    </row>
    <row r="12194" spans="1:4" x14ac:dyDescent="0.3">
      <c r="A12194" s="1">
        <v>43626</v>
      </c>
      <c r="B12194">
        <v>7823.169922</v>
      </c>
      <c r="C12194">
        <f t="shared" si="397"/>
        <v>1.0471296285738122E-2</v>
      </c>
      <c r="D12194">
        <f t="shared" si="396"/>
        <v>0.8004826927213835</v>
      </c>
    </row>
    <row r="12195" spans="1:4" x14ac:dyDescent="0.3">
      <c r="A12195" s="1">
        <v>43627</v>
      </c>
      <c r="B12195">
        <v>7822.5698240000002</v>
      </c>
      <c r="C12195">
        <f t="shared" si="397"/>
        <v>-7.6707780347748532E-5</v>
      </c>
      <c r="D12195">
        <f t="shared" si="396"/>
        <v>-4.3314258913598677E-2</v>
      </c>
    </row>
    <row r="12196" spans="1:4" x14ac:dyDescent="0.3">
      <c r="A12196" s="1">
        <v>43628</v>
      </c>
      <c r="B12196">
        <v>7792.7202150000003</v>
      </c>
      <c r="C12196">
        <f t="shared" si="397"/>
        <v>-3.8158315836849311E-3</v>
      </c>
      <c r="D12196">
        <f t="shared" si="396"/>
        <v>-0.3424287878116225</v>
      </c>
    </row>
    <row r="12197" spans="1:4" x14ac:dyDescent="0.3">
      <c r="A12197" s="1">
        <v>43629</v>
      </c>
      <c r="B12197">
        <v>7837.1298829999996</v>
      </c>
      <c r="C12197">
        <f t="shared" si="397"/>
        <v>5.6988659639693384E-3</v>
      </c>
      <c r="D12197">
        <f t="shared" si="396"/>
        <v>0.41870789133062397</v>
      </c>
    </row>
    <row r="12198" spans="1:4" x14ac:dyDescent="0.3">
      <c r="A12198" s="1">
        <v>43630</v>
      </c>
      <c r="B12198">
        <v>7796.6601559999999</v>
      </c>
      <c r="C12198">
        <f t="shared" si="397"/>
        <v>-5.1638453878102833E-3</v>
      </c>
      <c r="D12198">
        <f t="shared" si="396"/>
        <v>-0.45026434907576701</v>
      </c>
    </row>
    <row r="12199" spans="1:4" x14ac:dyDescent="0.3">
      <c r="A12199" s="1">
        <v>43633</v>
      </c>
      <c r="B12199">
        <v>7845.0200199999999</v>
      </c>
      <c r="C12199">
        <f t="shared" si="397"/>
        <v>6.2026384416389094E-3</v>
      </c>
      <c r="D12199">
        <f t="shared" si="396"/>
        <v>0.45900761801938361</v>
      </c>
    </row>
    <row r="12200" spans="1:4" x14ac:dyDescent="0.3">
      <c r="A12200" s="1">
        <v>43634</v>
      </c>
      <c r="B12200">
        <v>7953.8798829999996</v>
      </c>
      <c r="C12200">
        <f t="shared" si="397"/>
        <v>1.3876301490942489E-2</v>
      </c>
      <c r="D12200">
        <f t="shared" si="396"/>
        <v>1.0728691076726671</v>
      </c>
    </row>
    <row r="12201" spans="1:4" x14ac:dyDescent="0.3">
      <c r="A12201" s="1">
        <v>43635</v>
      </c>
      <c r="B12201">
        <v>7987.3198240000002</v>
      </c>
      <c r="C12201">
        <f t="shared" si="397"/>
        <v>4.2042300728569537E-3</v>
      </c>
      <c r="D12201">
        <f t="shared" si="396"/>
        <v>0.2991431660211411</v>
      </c>
    </row>
    <row r="12202" spans="1:4" x14ac:dyDescent="0.3">
      <c r="A12202" s="1">
        <v>43636</v>
      </c>
      <c r="B12202">
        <v>8051.3398440000001</v>
      </c>
      <c r="C12202">
        <f t="shared" si="397"/>
        <v>8.0152067790793813E-3</v>
      </c>
      <c r="D12202">
        <f t="shared" si="396"/>
        <v>0.60400563168908239</v>
      </c>
    </row>
    <row r="12203" spans="1:4" x14ac:dyDescent="0.3">
      <c r="A12203" s="1">
        <v>43637</v>
      </c>
      <c r="B12203">
        <v>8031.7099609999996</v>
      </c>
      <c r="C12203">
        <f t="shared" si="397"/>
        <v>-2.4380889864721151E-3</v>
      </c>
      <c r="D12203">
        <f t="shared" si="396"/>
        <v>-0.23221504534600854</v>
      </c>
    </row>
    <row r="12204" spans="1:4" x14ac:dyDescent="0.3">
      <c r="A12204" s="1">
        <v>43640</v>
      </c>
      <c r="B12204">
        <v>8005.7001950000003</v>
      </c>
      <c r="C12204">
        <f t="shared" si="397"/>
        <v>-3.2383846187544396E-3</v>
      </c>
      <c r="D12204">
        <f t="shared" si="396"/>
        <v>-0.29623540509329105</v>
      </c>
    </row>
    <row r="12205" spans="1:4" x14ac:dyDescent="0.3">
      <c r="A12205" s="1">
        <v>43641</v>
      </c>
      <c r="B12205">
        <v>7884.7202150000003</v>
      </c>
      <c r="C12205">
        <f t="shared" si="397"/>
        <v>-1.5111730024009482E-2</v>
      </c>
      <c r="D12205">
        <f t="shared" si="396"/>
        <v>-1.2460542140256561</v>
      </c>
    </row>
    <row r="12206" spans="1:4" x14ac:dyDescent="0.3">
      <c r="A12206" s="1">
        <v>43642</v>
      </c>
      <c r="B12206">
        <v>7909.9702150000003</v>
      </c>
      <c r="C12206">
        <f t="shared" si="397"/>
        <v>3.2023964467330183E-3</v>
      </c>
      <c r="D12206">
        <f t="shared" si="396"/>
        <v>0.21900059549571227</v>
      </c>
    </row>
    <row r="12207" spans="1:4" x14ac:dyDescent="0.3">
      <c r="A12207" s="1">
        <v>43643</v>
      </c>
      <c r="B12207">
        <v>7967.7597660000001</v>
      </c>
      <c r="C12207">
        <f t="shared" si="397"/>
        <v>7.3059125924913289E-3</v>
      </c>
      <c r="D12207">
        <f t="shared" si="396"/>
        <v>0.54726501339716105</v>
      </c>
    </row>
    <row r="12208" spans="1:4" x14ac:dyDescent="0.3">
      <c r="A12208" s="1">
        <v>43644</v>
      </c>
      <c r="B12208">
        <v>8006.2402339999999</v>
      </c>
      <c r="C12208">
        <f t="shared" si="397"/>
        <v>4.8295216133653375E-3</v>
      </c>
      <c r="D12208">
        <f t="shared" si="396"/>
        <v>0.34916391804763364</v>
      </c>
    </row>
    <row r="12209" spans="1:4" x14ac:dyDescent="0.3">
      <c r="A12209" s="1">
        <v>43647</v>
      </c>
      <c r="B12209">
        <v>8091.1601559999999</v>
      </c>
      <c r="C12209">
        <f t="shared" si="397"/>
        <v>1.0606716700726975E-2</v>
      </c>
      <c r="D12209">
        <f t="shared" si="396"/>
        <v>0.81131576906841796</v>
      </c>
    </row>
    <row r="12210" spans="1:4" x14ac:dyDescent="0.3">
      <c r="A12210" s="1">
        <v>43648</v>
      </c>
      <c r="B12210">
        <v>8109.0898440000001</v>
      </c>
      <c r="C12210">
        <f t="shared" si="397"/>
        <v>2.2159600915456368E-3</v>
      </c>
      <c r="D12210">
        <f t="shared" si="396"/>
        <v>0.14008974333125135</v>
      </c>
    </row>
    <row r="12211" spans="1:4" x14ac:dyDescent="0.3">
      <c r="A12211" s="1">
        <v>43649</v>
      </c>
      <c r="B12211">
        <v>8170.2299800000001</v>
      </c>
      <c r="C12211">
        <f t="shared" si="397"/>
        <v>7.5397038602597558E-3</v>
      </c>
      <c r="D12211">
        <f t="shared" si="396"/>
        <v>0.56596735346319782</v>
      </c>
    </row>
    <row r="12212" spans="1:4" x14ac:dyDescent="0.3">
      <c r="A12212" s="1">
        <v>43651</v>
      </c>
      <c r="B12212">
        <v>8161.7900390000004</v>
      </c>
      <c r="C12212">
        <f t="shared" si="397"/>
        <v>-1.0330114354993511E-3</v>
      </c>
      <c r="D12212">
        <f t="shared" si="396"/>
        <v>-0.11981461898160022</v>
      </c>
    </row>
    <row r="12213" spans="1:4" x14ac:dyDescent="0.3">
      <c r="A12213" s="1">
        <v>43654</v>
      </c>
      <c r="B12213">
        <v>8098.3798829999996</v>
      </c>
      <c r="C12213">
        <f t="shared" si="397"/>
        <v>-7.7691481521827985E-3</v>
      </c>
      <c r="D12213">
        <f t="shared" si="396"/>
        <v>-0.658677857156588</v>
      </c>
    </row>
    <row r="12214" spans="1:4" x14ac:dyDescent="0.3">
      <c r="A12214" s="1">
        <v>43655</v>
      </c>
      <c r="B12214">
        <v>8141.7299800000001</v>
      </c>
      <c r="C12214">
        <f t="shared" si="397"/>
        <v>5.3529344913789915E-3</v>
      </c>
      <c r="D12214">
        <f t="shared" si="396"/>
        <v>0.39103479600211116</v>
      </c>
    </row>
    <row r="12215" spans="1:4" x14ac:dyDescent="0.3">
      <c r="A12215" s="1">
        <v>43656</v>
      </c>
      <c r="B12215">
        <v>8202.5302730000003</v>
      </c>
      <c r="C12215">
        <f t="shared" si="397"/>
        <v>7.4677363593922868E-3</v>
      </c>
      <c r="D12215">
        <f t="shared" si="396"/>
        <v>0.56021024932593211</v>
      </c>
    </row>
    <row r="12216" spans="1:4" x14ac:dyDescent="0.3">
      <c r="A12216" s="1">
        <v>43657</v>
      </c>
      <c r="B12216">
        <v>8196.0400389999995</v>
      </c>
      <c r="C12216">
        <f t="shared" si="397"/>
        <v>-7.9124779598369456E-4</v>
      </c>
      <c r="D12216">
        <f t="shared" si="396"/>
        <v>-0.1004745219583736</v>
      </c>
    </row>
    <row r="12217" spans="1:4" x14ac:dyDescent="0.3">
      <c r="A12217" s="1">
        <v>43658</v>
      </c>
      <c r="B12217">
        <v>8244.1396480000003</v>
      </c>
      <c r="C12217">
        <f t="shared" si="397"/>
        <v>5.8686400714398441E-3</v>
      </c>
      <c r="D12217">
        <f t="shared" si="396"/>
        <v>0.43228912181296308</v>
      </c>
    </row>
    <row r="12218" spans="1:4" x14ac:dyDescent="0.3">
      <c r="A12218" s="1">
        <v>43661</v>
      </c>
      <c r="B12218">
        <v>8258.1904300000006</v>
      </c>
      <c r="C12218">
        <f t="shared" si="397"/>
        <v>1.7043357584813504E-3</v>
      </c>
      <c r="D12218">
        <f t="shared" si="396"/>
        <v>9.9161900497936772E-2</v>
      </c>
    </row>
    <row r="12219" spans="1:4" x14ac:dyDescent="0.3">
      <c r="A12219" s="1">
        <v>43662</v>
      </c>
      <c r="B12219">
        <v>8222.7998050000006</v>
      </c>
      <c r="C12219">
        <f t="shared" si="397"/>
        <v>-4.285518153157919E-3</v>
      </c>
      <c r="D12219">
        <f t="shared" si="396"/>
        <v>-0.38000178200674756</v>
      </c>
    </row>
    <row r="12220" spans="1:4" x14ac:dyDescent="0.3">
      <c r="A12220" s="1">
        <v>43663</v>
      </c>
      <c r="B12220">
        <v>8185.2099609999996</v>
      </c>
      <c r="C12220">
        <f t="shared" si="397"/>
        <v>-4.5714166575165681E-3</v>
      </c>
      <c r="D12220">
        <f t="shared" si="396"/>
        <v>-0.40287248673376491</v>
      </c>
    </row>
    <row r="12221" spans="1:4" x14ac:dyDescent="0.3">
      <c r="A12221" s="1">
        <v>43664</v>
      </c>
      <c r="B12221">
        <v>8207.2402340000008</v>
      </c>
      <c r="C12221">
        <f t="shared" si="397"/>
        <v>2.6914731698965172E-3</v>
      </c>
      <c r="D12221">
        <f t="shared" si="396"/>
        <v>0.17812883427786008</v>
      </c>
    </row>
    <row r="12222" spans="1:4" x14ac:dyDescent="0.3">
      <c r="A12222" s="1">
        <v>43665</v>
      </c>
      <c r="B12222">
        <v>8146.4902339999999</v>
      </c>
      <c r="C12222">
        <f t="shared" si="397"/>
        <v>-7.40200094891007E-3</v>
      </c>
      <c r="D12222">
        <f t="shared" si="396"/>
        <v>-0.6293075906130905</v>
      </c>
    </row>
    <row r="12223" spans="1:4" x14ac:dyDescent="0.3">
      <c r="A12223" s="1">
        <v>43668</v>
      </c>
      <c r="B12223">
        <v>8204.1396480000003</v>
      </c>
      <c r="C12223">
        <f t="shared" si="397"/>
        <v>7.0765952384495836E-3</v>
      </c>
      <c r="D12223">
        <f t="shared" si="396"/>
        <v>0.52892056803241572</v>
      </c>
    </row>
    <row r="12224" spans="1:4" x14ac:dyDescent="0.3">
      <c r="A12224" s="1">
        <v>43669</v>
      </c>
      <c r="B12224">
        <v>8251.4003909999992</v>
      </c>
      <c r="C12224">
        <f t="shared" si="397"/>
        <v>5.76059709216677E-3</v>
      </c>
      <c r="D12224">
        <f t="shared" si="396"/>
        <v>0.42364612774650257</v>
      </c>
    </row>
    <row r="12225" spans="1:4" x14ac:dyDescent="0.3">
      <c r="A12225" s="1">
        <v>43670</v>
      </c>
      <c r="B12225">
        <v>8321.5</v>
      </c>
      <c r="C12225">
        <f t="shared" si="397"/>
        <v>8.4954802431427417E-3</v>
      </c>
      <c r="D12225">
        <f t="shared" si="396"/>
        <v>0.64242553391786661</v>
      </c>
    </row>
    <row r="12226" spans="1:4" x14ac:dyDescent="0.3">
      <c r="A12226" s="1">
        <v>43671</v>
      </c>
      <c r="B12226">
        <v>8238.5400389999995</v>
      </c>
      <c r="C12226">
        <f t="shared" si="397"/>
        <v>-9.9693517995554266E-3</v>
      </c>
      <c r="D12226">
        <f t="shared" si="396"/>
        <v>-0.83468510165494048</v>
      </c>
    </row>
    <row r="12227" spans="1:4" x14ac:dyDescent="0.3">
      <c r="A12227" s="1">
        <v>43672</v>
      </c>
      <c r="B12227">
        <v>8330.2099610000005</v>
      </c>
      <c r="C12227">
        <f t="shared" si="397"/>
        <v>1.1126962006138155E-2</v>
      </c>
      <c r="D12227">
        <f t="shared" ref="D12227:D12290" si="398">(C12227-avrtn)/sdrtn</f>
        <v>0.8529332542398339</v>
      </c>
    </row>
    <row r="12228" spans="1:4" x14ac:dyDescent="0.3">
      <c r="A12228" s="1">
        <v>43675</v>
      </c>
      <c r="B12228">
        <v>8293.3300780000009</v>
      </c>
      <c r="C12228">
        <f t="shared" ref="C12228:C12291" si="399">(B12228-B12227)/B12227</f>
        <v>-4.4272453122624969E-3</v>
      </c>
      <c r="D12228">
        <f t="shared" si="398"/>
        <v>-0.39133937194955326</v>
      </c>
    </row>
    <row r="12229" spans="1:4" x14ac:dyDescent="0.3">
      <c r="A12229" s="1">
        <v>43676</v>
      </c>
      <c r="B12229">
        <v>8273.6103519999997</v>
      </c>
      <c r="C12229">
        <f t="shared" si="399"/>
        <v>-2.3777813995746249E-3</v>
      </c>
      <c r="D12229">
        <f t="shared" si="398"/>
        <v>-0.22739068638048843</v>
      </c>
    </row>
    <row r="12230" spans="1:4" x14ac:dyDescent="0.3">
      <c r="A12230" s="1">
        <v>43677</v>
      </c>
      <c r="B12230">
        <v>8175.419922</v>
      </c>
      <c r="C12230">
        <f t="shared" si="399"/>
        <v>-1.1867906007473974E-2</v>
      </c>
      <c r="D12230">
        <f t="shared" si="398"/>
        <v>-0.98656163138687325</v>
      </c>
    </row>
    <row r="12231" spans="1:4" x14ac:dyDescent="0.3">
      <c r="A12231" s="1">
        <v>43678</v>
      </c>
      <c r="B12231">
        <v>8111.1201170000004</v>
      </c>
      <c r="C12231">
        <f t="shared" si="399"/>
        <v>-7.8650155727131889E-3</v>
      </c>
      <c r="D12231">
        <f t="shared" si="398"/>
        <v>-0.66634685658983051</v>
      </c>
    </row>
    <row r="12232" spans="1:4" x14ac:dyDescent="0.3">
      <c r="A12232" s="1">
        <v>43679</v>
      </c>
      <c r="B12232">
        <v>8004.0698240000002</v>
      </c>
      <c r="C12232">
        <f t="shared" si="399"/>
        <v>-1.3197966674865879E-2</v>
      </c>
      <c r="D12232">
        <f t="shared" si="398"/>
        <v>-1.0929610155360814</v>
      </c>
    </row>
    <row r="12233" spans="1:4" x14ac:dyDescent="0.3">
      <c r="A12233" s="1">
        <v>43682</v>
      </c>
      <c r="B12233">
        <v>7726.0400390000004</v>
      </c>
      <c r="C12233">
        <f t="shared" si="399"/>
        <v>-3.4736051922777393E-2</v>
      </c>
      <c r="D12233">
        <f t="shared" si="398"/>
        <v>-2.8159192702332652</v>
      </c>
    </row>
    <row r="12234" spans="1:4" x14ac:dyDescent="0.3">
      <c r="A12234" s="1">
        <v>43683</v>
      </c>
      <c r="B12234">
        <v>7833.2700199999999</v>
      </c>
      <c r="C12234">
        <f t="shared" si="399"/>
        <v>1.3879035114847596E-2</v>
      </c>
      <c r="D12234">
        <f t="shared" si="398"/>
        <v>1.0730877863443469</v>
      </c>
    </row>
    <row r="12235" spans="1:4" x14ac:dyDescent="0.3">
      <c r="A12235" s="1">
        <v>43684</v>
      </c>
      <c r="B12235">
        <v>7862.830078</v>
      </c>
      <c r="C12235">
        <f t="shared" si="399"/>
        <v>3.7736549262985864E-3</v>
      </c>
      <c r="D12235">
        <f t="shared" si="398"/>
        <v>0.26469892483205376</v>
      </c>
    </row>
    <row r="12236" spans="1:4" x14ac:dyDescent="0.3">
      <c r="A12236" s="1">
        <v>43685</v>
      </c>
      <c r="B12236">
        <v>8039.1601559999999</v>
      </c>
      <c r="C12236">
        <f t="shared" si="399"/>
        <v>2.2425777519136152E-2</v>
      </c>
      <c r="D12236">
        <f t="shared" si="398"/>
        <v>1.7567920342726686</v>
      </c>
    </row>
    <row r="12237" spans="1:4" x14ac:dyDescent="0.3">
      <c r="A12237" s="1">
        <v>43686</v>
      </c>
      <c r="B12237">
        <v>7959.1401370000003</v>
      </c>
      <c r="C12237">
        <f t="shared" si="399"/>
        <v>-9.9537784354596943E-3</v>
      </c>
      <c r="D12237">
        <f t="shared" si="398"/>
        <v>-0.83343929656533777</v>
      </c>
    </row>
    <row r="12238" spans="1:4" x14ac:dyDescent="0.3">
      <c r="A12238" s="1">
        <v>43689</v>
      </c>
      <c r="B12238">
        <v>7863.4101559999999</v>
      </c>
      <c r="C12238">
        <f t="shared" si="399"/>
        <v>-1.2027678788437999E-2</v>
      </c>
      <c r="D12238">
        <f t="shared" si="398"/>
        <v>-0.99934279687439431</v>
      </c>
    </row>
    <row r="12239" spans="1:4" x14ac:dyDescent="0.3">
      <c r="A12239" s="1">
        <v>43690</v>
      </c>
      <c r="B12239">
        <v>8016.3598629999997</v>
      </c>
      <c r="C12239">
        <f t="shared" si="399"/>
        <v>1.9450811284884448E-2</v>
      </c>
      <c r="D12239">
        <f t="shared" si="398"/>
        <v>1.5188069686667833</v>
      </c>
    </row>
    <row r="12240" spans="1:4" x14ac:dyDescent="0.3">
      <c r="A12240" s="1">
        <v>43691</v>
      </c>
      <c r="B12240">
        <v>7773.9399409999996</v>
      </c>
      <c r="C12240">
        <f t="shared" si="399"/>
        <v>-3.0240648641399453E-2</v>
      </c>
      <c r="D12240">
        <f t="shared" si="398"/>
        <v>-2.4563054929317771</v>
      </c>
    </row>
    <row r="12241" spans="1:4" x14ac:dyDescent="0.3">
      <c r="A12241" s="1">
        <v>43692</v>
      </c>
      <c r="B12241">
        <v>7766.6201170000004</v>
      </c>
      <c r="C12241">
        <f t="shared" si="399"/>
        <v>-9.415848405766895E-4</v>
      </c>
      <c r="D12241">
        <f t="shared" si="398"/>
        <v>-0.11250086733619198</v>
      </c>
    </row>
    <row r="12242" spans="1:4" x14ac:dyDescent="0.3">
      <c r="A12242" s="1">
        <v>43693</v>
      </c>
      <c r="B12242">
        <v>7895.9902339999999</v>
      </c>
      <c r="C12242">
        <f t="shared" si="399"/>
        <v>1.6657196444670588E-2</v>
      </c>
      <c r="D12242">
        <f t="shared" si="398"/>
        <v>1.2953292688625375</v>
      </c>
    </row>
    <row r="12243" spans="1:4" x14ac:dyDescent="0.3">
      <c r="A12243" s="1">
        <v>43696</v>
      </c>
      <c r="B12243">
        <v>8002.8100590000004</v>
      </c>
      <c r="C12243">
        <f t="shared" si="399"/>
        <v>1.3528363363474811E-2</v>
      </c>
      <c r="D12243">
        <f t="shared" si="398"/>
        <v>1.0450354882053818</v>
      </c>
    </row>
    <row r="12244" spans="1:4" x14ac:dyDescent="0.3">
      <c r="A12244" s="1">
        <v>43697</v>
      </c>
      <c r="B12244">
        <v>7948.5600590000004</v>
      </c>
      <c r="C12244">
        <f t="shared" si="399"/>
        <v>-6.7788688723144416E-3</v>
      </c>
      <c r="D12244">
        <f t="shared" si="398"/>
        <v>-0.57945958681984977</v>
      </c>
    </row>
    <row r="12245" spans="1:4" x14ac:dyDescent="0.3">
      <c r="A12245" s="1">
        <v>43698</v>
      </c>
      <c r="B12245">
        <v>8020.2099609999996</v>
      </c>
      <c r="C12245">
        <f t="shared" si="399"/>
        <v>9.0141989829807482E-3</v>
      </c>
      <c r="D12245">
        <f t="shared" si="398"/>
        <v>0.68392090012070383</v>
      </c>
    </row>
    <row r="12246" spans="1:4" x14ac:dyDescent="0.3">
      <c r="A12246" s="1">
        <v>43699</v>
      </c>
      <c r="B12246">
        <v>7991.3901370000003</v>
      </c>
      <c r="C12246">
        <f t="shared" si="399"/>
        <v>-3.5934001902870188E-3</v>
      </c>
      <c r="D12246">
        <f t="shared" si="398"/>
        <v>-0.32463519098314442</v>
      </c>
    </row>
    <row r="12247" spans="1:4" x14ac:dyDescent="0.3">
      <c r="A12247" s="1">
        <v>43700</v>
      </c>
      <c r="B12247">
        <v>7751.7700199999999</v>
      </c>
      <c r="C12247">
        <f t="shared" si="399"/>
        <v>-2.9984785236621514E-2</v>
      </c>
      <c r="D12247">
        <f t="shared" si="398"/>
        <v>-2.4358374726661487</v>
      </c>
    </row>
    <row r="12248" spans="1:4" x14ac:dyDescent="0.3">
      <c r="A12248" s="1">
        <v>43703</v>
      </c>
      <c r="B12248">
        <v>7853.7402339999999</v>
      </c>
      <c r="C12248">
        <f t="shared" si="399"/>
        <v>1.3154442628833297E-2</v>
      </c>
      <c r="D12248">
        <f t="shared" si="398"/>
        <v>1.0151233670053088</v>
      </c>
    </row>
    <row r="12249" spans="1:4" x14ac:dyDescent="0.3">
      <c r="A12249" s="1">
        <v>43704</v>
      </c>
      <c r="B12249">
        <v>7826.9501950000003</v>
      </c>
      <c r="C12249">
        <f t="shared" si="399"/>
        <v>-3.4111185501172416E-3</v>
      </c>
      <c r="D12249">
        <f t="shared" si="398"/>
        <v>-0.31005340931614533</v>
      </c>
    </row>
    <row r="12250" spans="1:4" x14ac:dyDescent="0.3">
      <c r="A12250" s="1">
        <v>43705</v>
      </c>
      <c r="B12250">
        <v>7856.8798829999996</v>
      </c>
      <c r="C12250">
        <f t="shared" si="399"/>
        <v>3.8239272327449964E-3</v>
      </c>
      <c r="D12250">
        <f t="shared" si="398"/>
        <v>0.26872050262680724</v>
      </c>
    </row>
    <row r="12251" spans="1:4" x14ac:dyDescent="0.3">
      <c r="A12251" s="1">
        <v>43706</v>
      </c>
      <c r="B12251">
        <v>7973.3901370000003</v>
      </c>
      <c r="C12251">
        <f t="shared" si="399"/>
        <v>1.4829074102570282E-2</v>
      </c>
      <c r="D12251">
        <f t="shared" si="398"/>
        <v>1.1490869987785015</v>
      </c>
    </row>
    <row r="12252" spans="1:4" x14ac:dyDescent="0.3">
      <c r="A12252" s="1">
        <v>43707</v>
      </c>
      <c r="B12252">
        <v>7962.8798829999996</v>
      </c>
      <c r="C12252">
        <f t="shared" si="399"/>
        <v>-1.3181662780087182E-3</v>
      </c>
      <c r="D12252">
        <f t="shared" si="398"/>
        <v>-0.14262583381863084</v>
      </c>
    </row>
    <row r="12253" spans="1:4" x14ac:dyDescent="0.3">
      <c r="A12253" s="1">
        <v>43711</v>
      </c>
      <c r="B12253">
        <v>7874.1601559999999</v>
      </c>
      <c r="C12253">
        <f t="shared" si="399"/>
        <v>-1.1141663355918249E-2</v>
      </c>
      <c r="D12253">
        <f t="shared" si="398"/>
        <v>-0.92846520559004253</v>
      </c>
    </row>
    <row r="12254" spans="1:4" x14ac:dyDescent="0.3">
      <c r="A12254" s="1">
        <v>43712</v>
      </c>
      <c r="B12254">
        <v>7976.8798829999996</v>
      </c>
      <c r="C12254">
        <f t="shared" si="399"/>
        <v>1.3045166083106489E-2</v>
      </c>
      <c r="D12254">
        <f t="shared" si="398"/>
        <v>1.0063816926950053</v>
      </c>
    </row>
    <row r="12255" spans="1:4" x14ac:dyDescent="0.3">
      <c r="A12255" s="1">
        <v>43713</v>
      </c>
      <c r="B12255">
        <v>8116.830078</v>
      </c>
      <c r="C12255">
        <f t="shared" si="399"/>
        <v>1.754447817350948E-2</v>
      </c>
      <c r="D12255">
        <f t="shared" si="398"/>
        <v>1.3663081586453791</v>
      </c>
    </row>
    <row r="12256" spans="1:4" x14ac:dyDescent="0.3">
      <c r="A12256" s="1">
        <v>43714</v>
      </c>
      <c r="B12256">
        <v>8103.0698240000002</v>
      </c>
      <c r="C12256">
        <f t="shared" si="399"/>
        <v>-1.6952743703845471E-3</v>
      </c>
      <c r="D12256">
        <f t="shared" si="398"/>
        <v>-0.17279293053095562</v>
      </c>
    </row>
    <row r="12257" spans="1:4" x14ac:dyDescent="0.3">
      <c r="A12257" s="1">
        <v>43717</v>
      </c>
      <c r="B12257">
        <v>8087.4399409999996</v>
      </c>
      <c r="C12257">
        <f t="shared" si="399"/>
        <v>-1.928884156188226E-3</v>
      </c>
      <c r="D12257">
        <f t="shared" si="398"/>
        <v>-0.19148075278607088</v>
      </c>
    </row>
    <row r="12258" spans="1:4" x14ac:dyDescent="0.3">
      <c r="A12258" s="1">
        <v>43718</v>
      </c>
      <c r="B12258">
        <v>8084.1601559999999</v>
      </c>
      <c r="C12258">
        <f t="shared" si="399"/>
        <v>-4.0554056956547602E-4</v>
      </c>
      <c r="D12258">
        <f t="shared" si="398"/>
        <v>-6.9619529882508094E-2</v>
      </c>
    </row>
    <row r="12259" spans="1:4" x14ac:dyDescent="0.3">
      <c r="A12259" s="1">
        <v>43719</v>
      </c>
      <c r="B12259">
        <v>8169.6801759999998</v>
      </c>
      <c r="C12259">
        <f t="shared" si="399"/>
        <v>1.0578714220119408E-2</v>
      </c>
      <c r="D12259">
        <f t="shared" si="398"/>
        <v>0.80907568576670097</v>
      </c>
    </row>
    <row r="12260" spans="1:4" x14ac:dyDescent="0.3">
      <c r="A12260" s="1">
        <v>43720</v>
      </c>
      <c r="B12260">
        <v>8194.4697269999997</v>
      </c>
      <c r="C12260">
        <f t="shared" si="399"/>
        <v>3.0343355512035711E-3</v>
      </c>
      <c r="D12260">
        <f t="shared" si="398"/>
        <v>0.20555641492388824</v>
      </c>
    </row>
    <row r="12261" spans="1:4" x14ac:dyDescent="0.3">
      <c r="A12261" s="1">
        <v>43721</v>
      </c>
      <c r="B12261">
        <v>8176.7099609999996</v>
      </c>
      <c r="C12261">
        <f t="shared" si="399"/>
        <v>-2.1672867911737333E-3</v>
      </c>
      <c r="D12261">
        <f t="shared" si="398"/>
        <v>-0.21055198326741878</v>
      </c>
    </row>
    <row r="12262" spans="1:4" x14ac:dyDescent="0.3">
      <c r="A12262" s="1">
        <v>43724</v>
      </c>
      <c r="B12262">
        <v>8153.5400390000004</v>
      </c>
      <c r="C12262">
        <f t="shared" si="399"/>
        <v>-2.8336485102824272E-3</v>
      </c>
      <c r="D12262">
        <f t="shared" si="398"/>
        <v>-0.26385818070035261</v>
      </c>
    </row>
    <row r="12263" spans="1:4" x14ac:dyDescent="0.3">
      <c r="A12263" s="1">
        <v>43725</v>
      </c>
      <c r="B12263">
        <v>8186.0200199999999</v>
      </c>
      <c r="C12263">
        <f t="shared" si="399"/>
        <v>3.9835434479552814E-3</v>
      </c>
      <c r="D12263">
        <f t="shared" si="398"/>
        <v>0.28148914349783127</v>
      </c>
    </row>
    <row r="12264" spans="1:4" x14ac:dyDescent="0.3">
      <c r="A12264" s="1">
        <v>43726</v>
      </c>
      <c r="B12264">
        <v>8177.3901370000003</v>
      </c>
      <c r="C12264">
        <f t="shared" si="399"/>
        <v>-1.0542220735980572E-3</v>
      </c>
      <c r="D12264">
        <f t="shared" si="398"/>
        <v>-0.12151138281083168</v>
      </c>
    </row>
    <row r="12265" spans="1:4" x14ac:dyDescent="0.3">
      <c r="A12265" s="1">
        <v>43727</v>
      </c>
      <c r="B12265">
        <v>8182.8798829999996</v>
      </c>
      <c r="C12265">
        <f t="shared" si="399"/>
        <v>6.713322842651216E-4</v>
      </c>
      <c r="D12265">
        <f t="shared" si="398"/>
        <v>1.6525870296305666E-2</v>
      </c>
    </row>
    <row r="12266" spans="1:4" x14ac:dyDescent="0.3">
      <c r="A12266" s="1">
        <v>43728</v>
      </c>
      <c r="B12266">
        <v>8117.669922</v>
      </c>
      <c r="C12266">
        <f t="shared" si="399"/>
        <v>-7.969072249914581E-3</v>
      </c>
      <c r="D12266">
        <f t="shared" si="398"/>
        <v>-0.67467096288232853</v>
      </c>
    </row>
    <row r="12267" spans="1:4" x14ac:dyDescent="0.3">
      <c r="A12267" s="1">
        <v>43731</v>
      </c>
      <c r="B12267">
        <v>8112.4599609999996</v>
      </c>
      <c r="C12267">
        <f t="shared" si="399"/>
        <v>-6.4180498222535091E-4</v>
      </c>
      <c r="D12267">
        <f t="shared" si="398"/>
        <v>-8.8519711370228127E-2</v>
      </c>
    </row>
    <row r="12268" spans="1:4" x14ac:dyDescent="0.3">
      <c r="A12268" s="1">
        <v>43732</v>
      </c>
      <c r="B12268">
        <v>7993.6298829999996</v>
      </c>
      <c r="C12268">
        <f t="shared" si="399"/>
        <v>-1.4647847702332711E-2</v>
      </c>
      <c r="D12268">
        <f t="shared" si="398"/>
        <v>-1.2089455357870189</v>
      </c>
    </row>
    <row r="12269" spans="1:4" x14ac:dyDescent="0.3">
      <c r="A12269" s="1">
        <v>43733</v>
      </c>
      <c r="B12269">
        <v>8077.3798829999996</v>
      </c>
      <c r="C12269">
        <f t="shared" si="399"/>
        <v>1.047709253816099E-2</v>
      </c>
      <c r="D12269">
        <f t="shared" si="398"/>
        <v>0.80094636908088057</v>
      </c>
    </row>
    <row r="12270" spans="1:4" x14ac:dyDescent="0.3">
      <c r="A12270" s="1">
        <v>43734</v>
      </c>
      <c r="B12270">
        <v>8030.6601559999999</v>
      </c>
      <c r="C12270">
        <f t="shared" si="399"/>
        <v>-5.7840200258908259E-3</v>
      </c>
      <c r="D12270">
        <f t="shared" si="398"/>
        <v>-0.49987576994886074</v>
      </c>
    </row>
    <row r="12271" spans="1:4" x14ac:dyDescent="0.3">
      <c r="A12271" s="1">
        <v>43735</v>
      </c>
      <c r="B12271">
        <v>7939.6298829999996</v>
      </c>
      <c r="C12271">
        <f t="shared" si="399"/>
        <v>-1.1335341208778242E-2</v>
      </c>
      <c r="D12271">
        <f t="shared" si="398"/>
        <v>-0.94395863741075214</v>
      </c>
    </row>
    <row r="12272" spans="1:4" x14ac:dyDescent="0.3">
      <c r="A12272" s="1">
        <v>43738</v>
      </c>
      <c r="B12272">
        <v>7999.3398440000001</v>
      </c>
      <c r="C12272">
        <f t="shared" si="399"/>
        <v>7.5204967838423962E-3</v>
      </c>
      <c r="D12272">
        <f t="shared" si="398"/>
        <v>0.56443086632977924</v>
      </c>
    </row>
    <row r="12273" spans="1:4" x14ac:dyDescent="0.3">
      <c r="A12273" s="1">
        <v>43739</v>
      </c>
      <c r="B12273">
        <v>7908.6801759999998</v>
      </c>
      <c r="C12273">
        <f t="shared" si="399"/>
        <v>-1.13333937259836E-2</v>
      </c>
      <c r="D12273">
        <f t="shared" si="398"/>
        <v>-0.94380284679527793</v>
      </c>
    </row>
    <row r="12274" spans="1:4" x14ac:dyDescent="0.3">
      <c r="A12274" s="1">
        <v>43740</v>
      </c>
      <c r="B12274">
        <v>7785.25</v>
      </c>
      <c r="C12274">
        <f t="shared" si="399"/>
        <v>-1.5606924702122365E-2</v>
      </c>
      <c r="D12274">
        <f t="shared" si="398"/>
        <v>-1.2856677520220035</v>
      </c>
    </row>
    <row r="12275" spans="1:4" x14ac:dyDescent="0.3">
      <c r="A12275" s="1">
        <v>43741</v>
      </c>
      <c r="B12275">
        <v>7872.2597660000001</v>
      </c>
      <c r="C12275">
        <f t="shared" si="399"/>
        <v>1.1176232747824429E-2</v>
      </c>
      <c r="D12275">
        <f t="shared" si="398"/>
        <v>0.85687471097223544</v>
      </c>
    </row>
    <row r="12276" spans="1:4" x14ac:dyDescent="0.3">
      <c r="A12276" s="1">
        <v>43742</v>
      </c>
      <c r="B12276">
        <v>7982.4702150000003</v>
      </c>
      <c r="C12276">
        <f t="shared" si="399"/>
        <v>1.3999849125405519E-2</v>
      </c>
      <c r="D12276">
        <f t="shared" si="398"/>
        <v>1.0827524103988009</v>
      </c>
    </row>
    <row r="12277" spans="1:4" x14ac:dyDescent="0.3">
      <c r="A12277" s="1">
        <v>43745</v>
      </c>
      <c r="B12277">
        <v>7956.2900390000004</v>
      </c>
      <c r="C12277">
        <f t="shared" si="399"/>
        <v>-3.2797085732689884E-3</v>
      </c>
      <c r="D12277">
        <f t="shared" si="398"/>
        <v>-0.29954115152933863</v>
      </c>
    </row>
    <row r="12278" spans="1:4" x14ac:dyDescent="0.3">
      <c r="A12278" s="1">
        <v>43746</v>
      </c>
      <c r="B12278">
        <v>7823.7797849999997</v>
      </c>
      <c r="C12278">
        <f t="shared" si="399"/>
        <v>-1.6654779218764564E-2</v>
      </c>
      <c r="D12278">
        <f t="shared" si="398"/>
        <v>-1.3694918045498607</v>
      </c>
    </row>
    <row r="12279" spans="1:4" x14ac:dyDescent="0.3">
      <c r="A12279" s="1">
        <v>43747</v>
      </c>
      <c r="B12279">
        <v>7903.7402339999999</v>
      </c>
      <c r="C12279">
        <f t="shared" si="399"/>
        <v>1.0220181446479728E-2</v>
      </c>
      <c r="D12279">
        <f t="shared" si="398"/>
        <v>0.78039453817110105</v>
      </c>
    </row>
    <row r="12280" spans="1:4" x14ac:dyDescent="0.3">
      <c r="A12280" s="1">
        <v>43748</v>
      </c>
      <c r="B12280">
        <v>7950.7797849999997</v>
      </c>
      <c r="C12280">
        <f t="shared" si="399"/>
        <v>5.9515557960327379E-3</v>
      </c>
      <c r="D12280">
        <f t="shared" si="398"/>
        <v>0.4389220388288978</v>
      </c>
    </row>
    <row r="12281" spans="1:4" x14ac:dyDescent="0.3">
      <c r="A12281" s="1">
        <v>43749</v>
      </c>
      <c r="B12281">
        <v>8057.0400390000004</v>
      </c>
      <c r="C12281">
        <f t="shared" si="399"/>
        <v>1.3364758787618806E-2</v>
      </c>
      <c r="D12281">
        <f t="shared" si="398"/>
        <v>1.0319477948829372</v>
      </c>
    </row>
    <row r="12282" spans="1:4" x14ac:dyDescent="0.3">
      <c r="A12282" s="1">
        <v>43752</v>
      </c>
      <c r="B12282">
        <v>8048.6499020000001</v>
      </c>
      <c r="C12282">
        <f t="shared" si="399"/>
        <v>-1.0413423489753024E-3</v>
      </c>
      <c r="D12282">
        <f t="shared" si="398"/>
        <v>-0.12048105780275541</v>
      </c>
    </row>
    <row r="12283" spans="1:4" x14ac:dyDescent="0.3">
      <c r="A12283" s="1">
        <v>43753</v>
      </c>
      <c r="B12283">
        <v>8148.7099609999996</v>
      </c>
      <c r="C12283">
        <f t="shared" si="399"/>
        <v>1.2431905998934758E-2</v>
      </c>
      <c r="D12283">
        <f t="shared" si="398"/>
        <v>0.95732340770180091</v>
      </c>
    </row>
    <row r="12284" spans="1:4" x14ac:dyDescent="0.3">
      <c r="A12284" s="1">
        <v>43754</v>
      </c>
      <c r="B12284">
        <v>8124.1801759999998</v>
      </c>
      <c r="C12284">
        <f t="shared" si="399"/>
        <v>-3.0102660565169332E-3</v>
      </c>
      <c r="D12284">
        <f t="shared" si="398"/>
        <v>-0.27798685814342339</v>
      </c>
    </row>
    <row r="12285" spans="1:4" x14ac:dyDescent="0.3">
      <c r="A12285" s="1">
        <v>43755</v>
      </c>
      <c r="B12285">
        <v>8156.8500979999999</v>
      </c>
      <c r="C12285">
        <f t="shared" si="399"/>
        <v>4.0213192337254788E-3</v>
      </c>
      <c r="D12285">
        <f t="shared" si="398"/>
        <v>0.28451105102448782</v>
      </c>
    </row>
    <row r="12286" spans="1:4" x14ac:dyDescent="0.3">
      <c r="A12286" s="1">
        <v>43756</v>
      </c>
      <c r="B12286">
        <v>8089.5400390000004</v>
      </c>
      <c r="C12286">
        <f t="shared" si="399"/>
        <v>-8.2519671431136622E-3</v>
      </c>
      <c r="D12286">
        <f t="shared" si="398"/>
        <v>-0.69730139106750333</v>
      </c>
    </row>
    <row r="12287" spans="1:4" x14ac:dyDescent="0.3">
      <c r="A12287" s="1">
        <v>43759</v>
      </c>
      <c r="B12287">
        <v>8162.9902339999999</v>
      </c>
      <c r="C12287">
        <f t="shared" si="399"/>
        <v>9.0796503442585209E-3</v>
      </c>
      <c r="D12287">
        <f t="shared" si="398"/>
        <v>0.68915673988531989</v>
      </c>
    </row>
    <row r="12288" spans="1:4" x14ac:dyDescent="0.3">
      <c r="A12288" s="1">
        <v>43760</v>
      </c>
      <c r="B12288">
        <v>8104.2998049999997</v>
      </c>
      <c r="C12288">
        <f t="shared" si="399"/>
        <v>-7.1898198230773754E-3</v>
      </c>
      <c r="D12288">
        <f t="shared" si="398"/>
        <v>-0.61233397304047776</v>
      </c>
    </row>
    <row r="12289" spans="1:4" x14ac:dyDescent="0.3">
      <c r="A12289" s="1">
        <v>43761</v>
      </c>
      <c r="B12289">
        <v>8119.7900390000004</v>
      </c>
      <c r="C12289">
        <f t="shared" si="399"/>
        <v>1.9113599413540924E-3</v>
      </c>
      <c r="D12289">
        <f t="shared" si="398"/>
        <v>0.11572298383922951</v>
      </c>
    </row>
    <row r="12290" spans="1:4" x14ac:dyDescent="0.3">
      <c r="A12290" s="1">
        <v>43762</v>
      </c>
      <c r="B12290">
        <v>8185.7998049999997</v>
      </c>
      <c r="C12290">
        <f t="shared" si="399"/>
        <v>8.1294917335237773E-3</v>
      </c>
      <c r="D12290">
        <f t="shared" si="398"/>
        <v>0.61314795810209344</v>
      </c>
    </row>
    <row r="12291" spans="1:4" x14ac:dyDescent="0.3">
      <c r="A12291" s="1">
        <v>43763</v>
      </c>
      <c r="B12291">
        <v>8243.1201170000004</v>
      </c>
      <c r="C12291">
        <f t="shared" si="399"/>
        <v>7.0024082393254595E-3</v>
      </c>
      <c r="D12291">
        <f t="shared" ref="D12291:D12354" si="400">(C12291-avrtn)/sdrtn</f>
        <v>0.52298591316124898</v>
      </c>
    </row>
    <row r="12292" spans="1:4" x14ac:dyDescent="0.3">
      <c r="A12292" s="1">
        <v>43766</v>
      </c>
      <c r="B12292">
        <v>8325.9902340000008</v>
      </c>
      <c r="C12292">
        <f t="shared" ref="C12292:C12355" si="401">(B12292-B12291)/B12291</f>
        <v>1.0053246322238493E-2</v>
      </c>
      <c r="D12292">
        <f t="shared" si="400"/>
        <v>0.76704041467313466</v>
      </c>
    </row>
    <row r="12293" spans="1:4" x14ac:dyDescent="0.3">
      <c r="A12293" s="1">
        <v>43767</v>
      </c>
      <c r="B12293">
        <v>8276.8496090000008</v>
      </c>
      <c r="C12293">
        <f t="shared" si="401"/>
        <v>-5.9020757434148094E-3</v>
      </c>
      <c r="D12293">
        <f t="shared" si="400"/>
        <v>-0.5093197419027683</v>
      </c>
    </row>
    <row r="12294" spans="1:4" x14ac:dyDescent="0.3">
      <c r="A12294" s="1">
        <v>43768</v>
      </c>
      <c r="B12294">
        <v>8303.9804690000001</v>
      </c>
      <c r="C12294">
        <f t="shared" si="401"/>
        <v>3.2779211030363547E-3</v>
      </c>
      <c r="D12294">
        <f t="shared" si="400"/>
        <v>0.2250422574407368</v>
      </c>
    </row>
    <row r="12295" spans="1:4" x14ac:dyDescent="0.3">
      <c r="A12295" s="1">
        <v>43769</v>
      </c>
      <c r="B12295">
        <v>8292.3603519999997</v>
      </c>
      <c r="C12295">
        <f t="shared" si="401"/>
        <v>-1.3993430070530662E-3</v>
      </c>
      <c r="D12295">
        <f t="shared" si="400"/>
        <v>-0.14911963834147432</v>
      </c>
    </row>
    <row r="12296" spans="1:4" x14ac:dyDescent="0.3">
      <c r="A12296" s="1">
        <v>43770</v>
      </c>
      <c r="B12296">
        <v>8386.4003909999992</v>
      </c>
      <c r="C12296">
        <f t="shared" si="401"/>
        <v>1.1340563483510264E-2</v>
      </c>
      <c r="D12296">
        <f t="shared" si="400"/>
        <v>0.87002049409507953</v>
      </c>
    </row>
    <row r="12297" spans="1:4" x14ac:dyDescent="0.3">
      <c r="A12297" s="1">
        <v>43773</v>
      </c>
      <c r="B12297">
        <v>8433.2001949999994</v>
      </c>
      <c r="C12297">
        <f t="shared" si="401"/>
        <v>5.5804399763960929E-3</v>
      </c>
      <c r="D12297">
        <f t="shared" si="400"/>
        <v>0.409234299295335</v>
      </c>
    </row>
    <row r="12298" spans="1:4" x14ac:dyDescent="0.3">
      <c r="A12298" s="1">
        <v>43774</v>
      </c>
      <c r="B12298">
        <v>8434.6796880000002</v>
      </c>
      <c r="C12298">
        <f t="shared" si="401"/>
        <v>1.7543672221583375E-4</v>
      </c>
      <c r="D12298">
        <f t="shared" si="400"/>
        <v>-2.3143735532901905E-2</v>
      </c>
    </row>
    <row r="12299" spans="1:4" x14ac:dyDescent="0.3">
      <c r="A12299" s="1">
        <v>43775</v>
      </c>
      <c r="B12299">
        <v>8410.6298829999996</v>
      </c>
      <c r="C12299">
        <f t="shared" si="401"/>
        <v>-2.8513003326274696E-3</v>
      </c>
      <c r="D12299">
        <f t="shared" si="400"/>
        <v>-0.26527025390322878</v>
      </c>
    </row>
    <row r="12300" spans="1:4" x14ac:dyDescent="0.3">
      <c r="A12300" s="1">
        <v>43776</v>
      </c>
      <c r="B12300">
        <v>8434.5195309999999</v>
      </c>
      <c r="C12300">
        <f t="shared" si="401"/>
        <v>2.8404112810013551E-3</v>
      </c>
      <c r="D12300">
        <f t="shared" si="400"/>
        <v>0.19004327072907481</v>
      </c>
    </row>
    <row r="12301" spans="1:4" x14ac:dyDescent="0.3">
      <c r="A12301" s="1">
        <v>43777</v>
      </c>
      <c r="B12301">
        <v>8475.3095699999994</v>
      </c>
      <c r="C12301">
        <f t="shared" si="401"/>
        <v>4.8360832943810184E-3</v>
      </c>
      <c r="D12301">
        <f t="shared" si="400"/>
        <v>0.34968882554709457</v>
      </c>
    </row>
    <row r="12302" spans="1:4" x14ac:dyDescent="0.3">
      <c r="A12302" s="1">
        <v>43780</v>
      </c>
      <c r="B12302">
        <v>8464.2802730000003</v>
      </c>
      <c r="C12302">
        <f t="shared" si="401"/>
        <v>-1.3013444416283585E-3</v>
      </c>
      <c r="D12302">
        <f t="shared" si="400"/>
        <v>-0.14128015608000657</v>
      </c>
    </row>
    <row r="12303" spans="1:4" x14ac:dyDescent="0.3">
      <c r="A12303" s="1">
        <v>43781</v>
      </c>
      <c r="B12303">
        <v>8486.0898440000001</v>
      </c>
      <c r="C12303">
        <f t="shared" si="401"/>
        <v>2.5766598336269173E-3</v>
      </c>
      <c r="D12303">
        <f t="shared" si="400"/>
        <v>0.16894423949155182</v>
      </c>
    </row>
    <row r="12304" spans="1:4" x14ac:dyDescent="0.3">
      <c r="A12304" s="1">
        <v>43782</v>
      </c>
      <c r="B12304">
        <v>8482.0996090000008</v>
      </c>
      <c r="C12304">
        <f t="shared" si="401"/>
        <v>-4.7020890343513807E-4</v>
      </c>
      <c r="D12304">
        <f t="shared" si="400"/>
        <v>-7.4792730674303254E-2</v>
      </c>
    </row>
    <row r="12305" spans="1:4" x14ac:dyDescent="0.3">
      <c r="A12305" s="1">
        <v>43783</v>
      </c>
      <c r="B12305">
        <v>8479.0195309999999</v>
      </c>
      <c r="C12305">
        <f t="shared" si="401"/>
        <v>-3.6312683674838306E-4</v>
      </c>
      <c r="D12305">
        <f t="shared" si="400"/>
        <v>-6.6226605663452107E-2</v>
      </c>
    </row>
    <row r="12306" spans="1:4" x14ac:dyDescent="0.3">
      <c r="A12306" s="1">
        <v>43784</v>
      </c>
      <c r="B12306">
        <v>8540.8300780000009</v>
      </c>
      <c r="C12306">
        <f t="shared" si="401"/>
        <v>7.2898224581293223E-3</v>
      </c>
      <c r="D12306">
        <f t="shared" si="400"/>
        <v>0.54597786881122834</v>
      </c>
    </row>
    <row r="12307" spans="1:4" x14ac:dyDescent="0.3">
      <c r="A12307" s="1">
        <v>43787</v>
      </c>
      <c r="B12307">
        <v>8549.9404300000006</v>
      </c>
      <c r="C12307">
        <f t="shared" si="401"/>
        <v>1.0666822682102882E-3</v>
      </c>
      <c r="D12307">
        <f t="shared" si="400"/>
        <v>4.8152243323071144E-2</v>
      </c>
    </row>
    <row r="12308" spans="1:4" x14ac:dyDescent="0.3">
      <c r="A12308" s="1">
        <v>43788</v>
      </c>
      <c r="B12308">
        <v>8570.6601559999999</v>
      </c>
      <c r="C12308">
        <f t="shared" si="401"/>
        <v>2.4233766503563058E-3</v>
      </c>
      <c r="D12308">
        <f t="shared" si="400"/>
        <v>0.15668221513411873</v>
      </c>
    </row>
    <row r="12309" spans="1:4" x14ac:dyDescent="0.3">
      <c r="A12309" s="1">
        <v>43789</v>
      </c>
      <c r="B12309">
        <v>8526.7304690000001</v>
      </c>
      <c r="C12309">
        <f t="shared" si="401"/>
        <v>-5.1255896512529776E-3</v>
      </c>
      <c r="D12309">
        <f t="shared" si="400"/>
        <v>-0.44720404745971121</v>
      </c>
    </row>
    <row r="12310" spans="1:4" x14ac:dyDescent="0.3">
      <c r="A12310" s="1">
        <v>43790</v>
      </c>
      <c r="B12310">
        <v>8506.2099610000005</v>
      </c>
      <c r="C12310">
        <f t="shared" si="401"/>
        <v>-2.4066092008659702E-3</v>
      </c>
      <c r="D12310">
        <f t="shared" si="400"/>
        <v>-0.22969679194316883</v>
      </c>
    </row>
    <row r="12311" spans="1:4" x14ac:dyDescent="0.3">
      <c r="A12311" s="1">
        <v>43791</v>
      </c>
      <c r="B12311">
        <v>8519.8798829999996</v>
      </c>
      <c r="C12311">
        <f t="shared" si="401"/>
        <v>1.6070520317126148E-3</v>
      </c>
      <c r="D12311">
        <f t="shared" si="400"/>
        <v>9.137960238951269E-2</v>
      </c>
    </row>
    <row r="12312" spans="1:4" x14ac:dyDescent="0.3">
      <c r="A12312" s="1">
        <v>43794</v>
      </c>
      <c r="B12312">
        <v>8632.4902340000008</v>
      </c>
      <c r="C12312">
        <f t="shared" si="401"/>
        <v>1.3217363688975987E-2</v>
      </c>
      <c r="D12312">
        <f t="shared" si="400"/>
        <v>1.0201567930837787</v>
      </c>
    </row>
    <row r="12313" spans="1:4" x14ac:dyDescent="0.3">
      <c r="A12313" s="1">
        <v>43795</v>
      </c>
      <c r="B12313">
        <v>8647.9296880000002</v>
      </c>
      <c r="C12313">
        <f t="shared" si="401"/>
        <v>1.7885284062285319E-3</v>
      </c>
      <c r="D12313">
        <f t="shared" si="400"/>
        <v>0.10589696611547512</v>
      </c>
    </row>
    <row r="12314" spans="1:4" x14ac:dyDescent="0.3">
      <c r="A12314" s="1">
        <v>43796</v>
      </c>
      <c r="B12314">
        <v>8705.1796880000002</v>
      </c>
      <c r="C12314">
        <f t="shared" si="401"/>
        <v>6.6200815762229174E-3</v>
      </c>
      <c r="D12314">
        <f t="shared" si="400"/>
        <v>0.49240135224967813</v>
      </c>
    </row>
    <row r="12315" spans="1:4" x14ac:dyDescent="0.3">
      <c r="A12315" s="1">
        <v>43798</v>
      </c>
      <c r="B12315">
        <v>8665.4697269999997</v>
      </c>
      <c r="C12315">
        <f t="shared" si="401"/>
        <v>-4.5616474815264579E-3</v>
      </c>
      <c r="D12315">
        <f t="shared" si="400"/>
        <v>-0.40209099282564781</v>
      </c>
    </row>
    <row r="12316" spans="1:4" x14ac:dyDescent="0.3">
      <c r="A12316" s="1">
        <v>43801</v>
      </c>
      <c r="B12316">
        <v>8567.9902340000008</v>
      </c>
      <c r="C12316">
        <f t="shared" si="401"/>
        <v>-1.1249187415226996E-2</v>
      </c>
      <c r="D12316">
        <f t="shared" si="400"/>
        <v>-0.93706668819316841</v>
      </c>
    </row>
    <row r="12317" spans="1:4" x14ac:dyDescent="0.3">
      <c r="A12317" s="1">
        <v>43802</v>
      </c>
      <c r="B12317">
        <v>8520.6396480000003</v>
      </c>
      <c r="C12317">
        <f t="shared" si="401"/>
        <v>-5.5264519107527813E-3</v>
      </c>
      <c r="D12317">
        <f t="shared" si="400"/>
        <v>-0.47927137986423518</v>
      </c>
    </row>
    <row r="12318" spans="1:4" x14ac:dyDescent="0.3">
      <c r="A12318" s="1">
        <v>43803</v>
      </c>
      <c r="B12318">
        <v>8566.6699219999991</v>
      </c>
      <c r="C12318">
        <f t="shared" si="401"/>
        <v>5.4022087427207698E-3</v>
      </c>
      <c r="D12318">
        <f t="shared" si="400"/>
        <v>0.39497653349252121</v>
      </c>
    </row>
    <row r="12319" spans="1:4" x14ac:dyDescent="0.3">
      <c r="A12319" s="1">
        <v>43804</v>
      </c>
      <c r="B12319">
        <v>8570.7001949999994</v>
      </c>
      <c r="C12319">
        <f t="shared" si="401"/>
        <v>4.7045970449383063E-4</v>
      </c>
      <c r="D12319">
        <f t="shared" si="400"/>
        <v>4.5688990758591016E-4</v>
      </c>
    </row>
    <row r="12320" spans="1:4" x14ac:dyDescent="0.3">
      <c r="A12320" s="1">
        <v>43805</v>
      </c>
      <c r="B12320">
        <v>8656.5302730000003</v>
      </c>
      <c r="C12320">
        <f t="shared" si="401"/>
        <v>1.0014360092781296E-2</v>
      </c>
      <c r="D12320">
        <f t="shared" si="400"/>
        <v>0.76392967621768992</v>
      </c>
    </row>
    <row r="12321" spans="1:4" x14ac:dyDescent="0.3">
      <c r="A12321" s="1">
        <v>43808</v>
      </c>
      <c r="B12321">
        <v>8621.8300780000009</v>
      </c>
      <c r="C12321">
        <f t="shared" si="401"/>
        <v>-4.0085569975109401E-3</v>
      </c>
      <c r="D12321">
        <f t="shared" si="400"/>
        <v>-0.35784602842606628</v>
      </c>
    </row>
    <row r="12322" spans="1:4" x14ac:dyDescent="0.3">
      <c r="A12322" s="1">
        <v>43809</v>
      </c>
      <c r="B12322">
        <v>8616.1796880000002</v>
      </c>
      <c r="C12322">
        <f t="shared" si="401"/>
        <v>-6.5535854324229672E-4</v>
      </c>
      <c r="D12322">
        <f t="shared" si="400"/>
        <v>-8.9603940519007885E-2</v>
      </c>
    </row>
    <row r="12323" spans="1:4" x14ac:dyDescent="0.3">
      <c r="A12323" s="1">
        <v>43810</v>
      </c>
      <c r="B12323">
        <v>8654.0498050000006</v>
      </c>
      <c r="C12323">
        <f t="shared" si="401"/>
        <v>4.3952329653411462E-3</v>
      </c>
      <c r="D12323">
        <f t="shared" si="400"/>
        <v>0.31442261201128963</v>
      </c>
    </row>
    <row r="12324" spans="1:4" x14ac:dyDescent="0.3">
      <c r="A12324" s="1">
        <v>43811</v>
      </c>
      <c r="B12324">
        <v>8717.3203130000002</v>
      </c>
      <c r="C12324">
        <f t="shared" si="401"/>
        <v>7.311086650257567E-3</v>
      </c>
      <c r="D12324">
        <f t="shared" si="400"/>
        <v>0.54767891674260749</v>
      </c>
    </row>
    <row r="12325" spans="1:4" x14ac:dyDescent="0.3">
      <c r="A12325" s="1">
        <v>43812</v>
      </c>
      <c r="B12325">
        <v>8734.8798829999996</v>
      </c>
      <c r="C12325">
        <f t="shared" si="401"/>
        <v>2.0143311670919256E-3</v>
      </c>
      <c r="D12325">
        <f t="shared" si="400"/>
        <v>0.1239602584780459</v>
      </c>
    </row>
    <row r="12326" spans="1:4" x14ac:dyDescent="0.3">
      <c r="A12326" s="1">
        <v>43815</v>
      </c>
      <c r="B12326">
        <v>8814.2304690000001</v>
      </c>
      <c r="C12326">
        <f t="shared" si="401"/>
        <v>9.0843362545184152E-3</v>
      </c>
      <c r="D12326">
        <f t="shared" si="400"/>
        <v>0.68953159343753334</v>
      </c>
    </row>
    <row r="12327" spans="1:4" x14ac:dyDescent="0.3">
      <c r="A12327" s="1">
        <v>43816</v>
      </c>
      <c r="B12327">
        <v>8823.3603519999997</v>
      </c>
      <c r="C12327">
        <f t="shared" si="401"/>
        <v>1.0358116947485967E-3</v>
      </c>
      <c r="D12327">
        <f t="shared" si="400"/>
        <v>4.5682724386692401E-2</v>
      </c>
    </row>
    <row r="12328" spans="1:4" x14ac:dyDescent="0.3">
      <c r="A12328" s="1">
        <v>43817</v>
      </c>
      <c r="B12328">
        <v>8827.7402340000008</v>
      </c>
      <c r="C12328">
        <f t="shared" si="401"/>
        <v>4.963961376697368E-4</v>
      </c>
      <c r="D12328">
        <f t="shared" si="400"/>
        <v>2.5316979104079182E-3</v>
      </c>
    </row>
    <row r="12329" spans="1:4" x14ac:dyDescent="0.3">
      <c r="A12329" s="1">
        <v>43818</v>
      </c>
      <c r="B12329">
        <v>8887.2197269999997</v>
      </c>
      <c r="C12329">
        <f t="shared" si="401"/>
        <v>6.7377937528014156E-3</v>
      </c>
      <c r="D12329">
        <f t="shared" si="400"/>
        <v>0.50181784234059568</v>
      </c>
    </row>
    <row r="12330" spans="1:4" x14ac:dyDescent="0.3">
      <c r="A12330" s="1">
        <v>43819</v>
      </c>
      <c r="B12330">
        <v>8924.9599610000005</v>
      </c>
      <c r="C12330">
        <f t="shared" si="401"/>
        <v>4.2465737496444802E-3</v>
      </c>
      <c r="D12330">
        <f t="shared" si="400"/>
        <v>0.30253048604590388</v>
      </c>
    </row>
    <row r="12331" spans="1:4" x14ac:dyDescent="0.3">
      <c r="A12331" s="1">
        <v>43822</v>
      </c>
      <c r="B12331">
        <v>8945.6503909999992</v>
      </c>
      <c r="C12331">
        <f t="shared" si="401"/>
        <v>2.3182658623020283E-3</v>
      </c>
      <c r="D12331">
        <f t="shared" si="400"/>
        <v>0.14827378430791965</v>
      </c>
    </row>
    <row r="12332" spans="1:4" x14ac:dyDescent="0.3">
      <c r="A12332" s="1">
        <v>43823</v>
      </c>
      <c r="B12332">
        <v>8952.8798829999996</v>
      </c>
      <c r="C12332">
        <f t="shared" si="401"/>
        <v>8.0815722546834679E-4</v>
      </c>
      <c r="D12332">
        <f t="shared" si="400"/>
        <v>2.7471302965043621E-2</v>
      </c>
    </row>
    <row r="12333" spans="1:4" x14ac:dyDescent="0.3">
      <c r="A12333" s="1">
        <v>43825</v>
      </c>
      <c r="B12333">
        <v>9022.3896480000003</v>
      </c>
      <c r="C12333">
        <f t="shared" si="401"/>
        <v>7.7639559458390532E-3</v>
      </c>
      <c r="D12333">
        <f t="shared" si="400"/>
        <v>0.58390659817945578</v>
      </c>
    </row>
    <row r="12334" spans="1:4" x14ac:dyDescent="0.3">
      <c r="A12334" s="1">
        <v>43826</v>
      </c>
      <c r="B12334">
        <v>9006.6201170000004</v>
      </c>
      <c r="C12334">
        <f t="shared" si="401"/>
        <v>-1.7478219867721584E-3</v>
      </c>
      <c r="D12334">
        <f t="shared" si="400"/>
        <v>-0.17699652376487487</v>
      </c>
    </row>
    <row r="12335" spans="1:4" x14ac:dyDescent="0.3">
      <c r="A12335" s="1">
        <v>43829</v>
      </c>
      <c r="B12335">
        <v>8945.9902340000008</v>
      </c>
      <c r="C12335">
        <f t="shared" si="401"/>
        <v>-6.7317020383218639E-3</v>
      </c>
      <c r="D12335">
        <f t="shared" si="400"/>
        <v>-0.57568643405162379</v>
      </c>
    </row>
    <row r="12336" spans="1:4" x14ac:dyDescent="0.3">
      <c r="A12336" s="1">
        <v>43830</v>
      </c>
      <c r="B12336">
        <v>8972.5996090000008</v>
      </c>
      <c r="C12336">
        <f t="shared" si="401"/>
        <v>2.9744471326235964E-3</v>
      </c>
      <c r="D12336">
        <f t="shared" si="400"/>
        <v>0.20076558770013894</v>
      </c>
    </row>
    <row r="12337" spans="1:4" x14ac:dyDescent="0.3">
      <c r="A12337" s="1">
        <v>43832</v>
      </c>
      <c r="B12337">
        <v>9092.1904300000006</v>
      </c>
      <c r="C12337">
        <f t="shared" si="401"/>
        <v>1.3328447296371471E-2</v>
      </c>
      <c r="D12337">
        <f t="shared" si="400"/>
        <v>1.0290430248968945</v>
      </c>
    </row>
    <row r="12338" spans="1:4" x14ac:dyDescent="0.3">
      <c r="A12338" s="1">
        <v>43833</v>
      </c>
      <c r="B12338">
        <v>9020.7695309999999</v>
      </c>
      <c r="C12338">
        <f t="shared" si="401"/>
        <v>-7.8551917219358818E-3</v>
      </c>
      <c r="D12338">
        <f t="shared" si="400"/>
        <v>-0.66556098892356164</v>
      </c>
    </row>
    <row r="12339" spans="1:4" x14ac:dyDescent="0.3">
      <c r="A12339" s="1">
        <v>43836</v>
      </c>
      <c r="B12339">
        <v>9071.4697269999997</v>
      </c>
      <c r="C12339">
        <f t="shared" si="401"/>
        <v>5.620384804840413E-3</v>
      </c>
      <c r="D12339">
        <f t="shared" si="400"/>
        <v>0.41242972131676459</v>
      </c>
    </row>
    <row r="12340" spans="1:4" x14ac:dyDescent="0.3">
      <c r="A12340" s="1">
        <v>43837</v>
      </c>
      <c r="B12340">
        <v>9068.5800780000009</v>
      </c>
      <c r="C12340">
        <f t="shared" si="401"/>
        <v>-3.1854253907701171E-4</v>
      </c>
      <c r="D12340">
        <f t="shared" si="400"/>
        <v>-6.2660045181469878E-2</v>
      </c>
    </row>
    <row r="12341" spans="1:4" x14ac:dyDescent="0.3">
      <c r="A12341" s="1">
        <v>43838</v>
      </c>
      <c r="B12341">
        <v>9129.2402340000008</v>
      </c>
      <c r="C12341">
        <f t="shared" si="401"/>
        <v>6.6890467392088137E-3</v>
      </c>
      <c r="D12341">
        <f t="shared" si="400"/>
        <v>0.49791828170210517</v>
      </c>
    </row>
    <row r="12342" spans="1:4" x14ac:dyDescent="0.3">
      <c r="A12342" s="1">
        <v>43839</v>
      </c>
      <c r="B12342">
        <v>9203.4296880000002</v>
      </c>
      <c r="C12342">
        <f t="shared" si="401"/>
        <v>8.1265748406637202E-3</v>
      </c>
      <c r="D12342">
        <f t="shared" si="400"/>
        <v>0.61291461866762398</v>
      </c>
    </row>
    <row r="12343" spans="1:4" x14ac:dyDescent="0.3">
      <c r="A12343" s="1">
        <v>43840</v>
      </c>
      <c r="B12343">
        <v>9178.8603519999997</v>
      </c>
      <c r="C12343">
        <f t="shared" si="401"/>
        <v>-2.6695847996791341E-3</v>
      </c>
      <c r="D12343">
        <f t="shared" si="400"/>
        <v>-0.25073375848609825</v>
      </c>
    </row>
    <row r="12344" spans="1:4" x14ac:dyDescent="0.3">
      <c r="A12344" s="1">
        <v>43843</v>
      </c>
      <c r="B12344">
        <v>9273.9296880000002</v>
      </c>
      <c r="C12344">
        <f t="shared" si="401"/>
        <v>1.0357422637907943E-2</v>
      </c>
      <c r="D12344">
        <f t="shared" si="400"/>
        <v>0.79137326914620698</v>
      </c>
    </row>
    <row r="12345" spans="1:4" x14ac:dyDescent="0.3">
      <c r="A12345" s="1">
        <v>43844</v>
      </c>
      <c r="B12345">
        <v>9251.3300780000009</v>
      </c>
      <c r="C12345">
        <f t="shared" si="401"/>
        <v>-2.4368968452760714E-3</v>
      </c>
      <c r="D12345">
        <f t="shared" si="400"/>
        <v>-0.23211967895243896</v>
      </c>
    </row>
    <row r="12346" spans="1:4" x14ac:dyDescent="0.3">
      <c r="A12346" s="1">
        <v>43845</v>
      </c>
      <c r="B12346">
        <v>9258.7001949999994</v>
      </c>
      <c r="C12346">
        <f t="shared" si="401"/>
        <v>7.9665485263843072E-4</v>
      </c>
      <c r="D12346">
        <f t="shared" si="400"/>
        <v>2.6551160436690029E-2</v>
      </c>
    </row>
    <row r="12347" spans="1:4" x14ac:dyDescent="0.3">
      <c r="A12347" s="1">
        <v>43846</v>
      </c>
      <c r="B12347">
        <v>9357.1298829999996</v>
      </c>
      <c r="C12347">
        <f t="shared" si="401"/>
        <v>1.0631048195421147E-2</v>
      </c>
      <c r="D12347">
        <f t="shared" si="400"/>
        <v>0.81326218859224775</v>
      </c>
    </row>
    <row r="12348" spans="1:4" x14ac:dyDescent="0.3">
      <c r="A12348" s="1">
        <v>43847</v>
      </c>
      <c r="B12348">
        <v>9388.9404300000006</v>
      </c>
      <c r="C12348">
        <f t="shared" si="401"/>
        <v>3.3996051564694255E-3</v>
      </c>
      <c r="D12348">
        <f t="shared" si="400"/>
        <v>0.23477648134756493</v>
      </c>
    </row>
    <row r="12349" spans="1:4" x14ac:dyDescent="0.3">
      <c r="A12349" s="1">
        <v>43851</v>
      </c>
      <c r="B12349">
        <v>9370.8095699999994</v>
      </c>
      <c r="C12349">
        <f t="shared" si="401"/>
        <v>-1.9310869139257197E-3</v>
      </c>
      <c r="D12349">
        <f t="shared" si="400"/>
        <v>-0.19165696434727642</v>
      </c>
    </row>
    <row r="12350" spans="1:4" x14ac:dyDescent="0.3">
      <c r="A12350" s="1">
        <v>43852</v>
      </c>
      <c r="B12350">
        <v>9383.7695309999999</v>
      </c>
      <c r="C12350">
        <f t="shared" si="401"/>
        <v>1.3830140184996286E-3</v>
      </c>
      <c r="D12350">
        <f t="shared" si="400"/>
        <v>7.3457482582288819E-2</v>
      </c>
    </row>
    <row r="12351" spans="1:4" x14ac:dyDescent="0.3">
      <c r="A12351" s="1">
        <v>43853</v>
      </c>
      <c r="B12351">
        <v>9402.4804690000001</v>
      </c>
      <c r="C12351">
        <f t="shared" si="401"/>
        <v>1.9939681956368553E-3</v>
      </c>
      <c r="D12351">
        <f t="shared" si="400"/>
        <v>0.12233130449467923</v>
      </c>
    </row>
    <row r="12352" spans="1:4" x14ac:dyDescent="0.3">
      <c r="A12352" s="1">
        <v>43854</v>
      </c>
      <c r="B12352">
        <v>9314.9101559999999</v>
      </c>
      <c r="C12352">
        <f t="shared" si="401"/>
        <v>-9.3135330925408141E-3</v>
      </c>
      <c r="D12352">
        <f t="shared" si="400"/>
        <v>-0.7822223018364084</v>
      </c>
    </row>
    <row r="12353" spans="1:4" x14ac:dyDescent="0.3">
      <c r="A12353" s="1">
        <v>43857</v>
      </c>
      <c r="B12353">
        <v>9139.3095699999994</v>
      </c>
      <c r="C12353">
        <f t="shared" si="401"/>
        <v>-1.8851559817449352E-2</v>
      </c>
      <c r="D12353">
        <f t="shared" si="400"/>
        <v>-1.5452252192288465</v>
      </c>
    </row>
    <row r="12354" spans="1:4" x14ac:dyDescent="0.3">
      <c r="A12354" s="1">
        <v>43858</v>
      </c>
      <c r="B12354">
        <v>9269.6796880000002</v>
      </c>
      <c r="C12354">
        <f t="shared" si="401"/>
        <v>1.4264766610810923E-2</v>
      </c>
      <c r="D12354">
        <f t="shared" si="400"/>
        <v>1.103944719884024</v>
      </c>
    </row>
    <row r="12355" spans="1:4" x14ac:dyDescent="0.3">
      <c r="A12355" s="1">
        <v>43859</v>
      </c>
      <c r="B12355">
        <v>9275.1601559999999</v>
      </c>
      <c r="C12355">
        <f t="shared" si="401"/>
        <v>5.9122517546042594E-4</v>
      </c>
      <c r="D12355">
        <f t="shared" ref="D12355:D12418" si="402">(C12355-avrtn)/sdrtn</f>
        <v>1.0117630994329675E-2</v>
      </c>
    </row>
    <row r="12356" spans="1:4" x14ac:dyDescent="0.3">
      <c r="A12356" s="1">
        <v>43860</v>
      </c>
      <c r="B12356">
        <v>9298.9296880000002</v>
      </c>
      <c r="C12356">
        <f t="shared" ref="C12356:C12419" si="403">(B12356-B12355)/B12355</f>
        <v>2.5627085247281688E-3</v>
      </c>
      <c r="D12356">
        <f t="shared" si="402"/>
        <v>0.16782819214777694</v>
      </c>
    </row>
    <row r="12357" spans="1:4" x14ac:dyDescent="0.3">
      <c r="A12357" s="1">
        <v>43861</v>
      </c>
      <c r="B12357">
        <v>9150.9404300000006</v>
      </c>
      <c r="C12357">
        <f t="shared" si="403"/>
        <v>-1.5914655015724602E-2</v>
      </c>
      <c r="D12357">
        <f t="shared" si="402"/>
        <v>-1.3102849117155717</v>
      </c>
    </row>
    <row r="12358" spans="1:4" x14ac:dyDescent="0.3">
      <c r="A12358" s="1">
        <v>43864</v>
      </c>
      <c r="B12358">
        <v>9273.4003909999992</v>
      </c>
      <c r="C12358">
        <f t="shared" si="403"/>
        <v>1.3382226880040858E-2</v>
      </c>
      <c r="D12358">
        <f t="shared" si="402"/>
        <v>1.0333451704474761</v>
      </c>
    </row>
    <row r="12359" spans="1:4" x14ac:dyDescent="0.3">
      <c r="A12359" s="1">
        <v>43865</v>
      </c>
      <c r="B12359">
        <v>9467.9697269999997</v>
      </c>
      <c r="C12359">
        <f t="shared" si="403"/>
        <v>2.0981444539894287E-2</v>
      </c>
      <c r="D12359">
        <f t="shared" si="402"/>
        <v>1.6412513350660178</v>
      </c>
    </row>
    <row r="12360" spans="1:4" x14ac:dyDescent="0.3">
      <c r="A12360" s="1">
        <v>43866</v>
      </c>
      <c r="B12360">
        <v>9508.6796880000002</v>
      </c>
      <c r="C12360">
        <f t="shared" si="403"/>
        <v>4.299756143485235E-3</v>
      </c>
      <c r="D12360">
        <f t="shared" si="402"/>
        <v>0.3067848588658541</v>
      </c>
    </row>
    <row r="12361" spans="1:4" x14ac:dyDescent="0.3">
      <c r="A12361" s="1">
        <v>43867</v>
      </c>
      <c r="B12361">
        <v>9572.1503909999992</v>
      </c>
      <c r="C12361">
        <f t="shared" si="403"/>
        <v>6.6750279831278136E-3</v>
      </c>
      <c r="D12361">
        <f t="shared" si="402"/>
        <v>0.4967968388610946</v>
      </c>
    </row>
    <row r="12362" spans="1:4" x14ac:dyDescent="0.3">
      <c r="A12362" s="1">
        <v>43868</v>
      </c>
      <c r="B12362">
        <v>9520.5097659999992</v>
      </c>
      <c r="C12362">
        <f t="shared" si="403"/>
        <v>-5.3948823295289997E-3</v>
      </c>
      <c r="D12362">
        <f t="shared" si="402"/>
        <v>-0.46874635438368334</v>
      </c>
    </row>
    <row r="12363" spans="1:4" x14ac:dyDescent="0.3">
      <c r="A12363" s="1">
        <v>43871</v>
      </c>
      <c r="B12363">
        <v>9628.3896480000003</v>
      </c>
      <c r="C12363">
        <f t="shared" si="403"/>
        <v>1.1331313622014838E-2</v>
      </c>
      <c r="D12363">
        <f t="shared" si="402"/>
        <v>0.86928054321110315</v>
      </c>
    </row>
    <row r="12364" spans="1:4" x14ac:dyDescent="0.3">
      <c r="A12364" s="1">
        <v>43872</v>
      </c>
      <c r="B12364">
        <v>9638.9404300000006</v>
      </c>
      <c r="C12364">
        <f t="shared" si="403"/>
        <v>1.0957992339032366E-3</v>
      </c>
      <c r="D12364">
        <f t="shared" si="402"/>
        <v>5.0481480848828669E-2</v>
      </c>
    </row>
    <row r="12365" spans="1:4" x14ac:dyDescent="0.3">
      <c r="A12365" s="1">
        <v>43873</v>
      </c>
      <c r="B12365">
        <v>9725.9599610000005</v>
      </c>
      <c r="C12365">
        <f t="shared" si="403"/>
        <v>9.0279145962104367E-3</v>
      </c>
      <c r="D12365">
        <f t="shared" si="402"/>
        <v>0.68501809278014036</v>
      </c>
    </row>
    <row r="12366" spans="1:4" x14ac:dyDescent="0.3">
      <c r="A12366" s="1">
        <v>43874</v>
      </c>
      <c r="B12366">
        <v>9711.9697269999997</v>
      </c>
      <c r="C12366">
        <f t="shared" si="403"/>
        <v>-1.4384424834258047E-3</v>
      </c>
      <c r="D12366">
        <f t="shared" si="402"/>
        <v>-0.15224743567328586</v>
      </c>
    </row>
    <row r="12367" spans="1:4" x14ac:dyDescent="0.3">
      <c r="A12367" s="1">
        <v>43875</v>
      </c>
      <c r="B12367">
        <v>9731.1796880000002</v>
      </c>
      <c r="C12367">
        <f t="shared" si="403"/>
        <v>1.9779675534403029E-3</v>
      </c>
      <c r="D12367">
        <f t="shared" si="402"/>
        <v>0.12105131891398889</v>
      </c>
    </row>
    <row r="12368" spans="1:4" x14ac:dyDescent="0.3">
      <c r="A12368" s="1">
        <v>43879</v>
      </c>
      <c r="B12368">
        <v>9732.7402340000008</v>
      </c>
      <c r="C12368">
        <f t="shared" si="403"/>
        <v>1.6036555176604126E-4</v>
      </c>
      <c r="D12368">
        <f t="shared" si="402"/>
        <v>-2.4349367195862111E-2</v>
      </c>
    </row>
    <row r="12369" spans="1:4" x14ac:dyDescent="0.3">
      <c r="A12369" s="1">
        <v>43880</v>
      </c>
      <c r="B12369">
        <v>9817.1796880000002</v>
      </c>
      <c r="C12369">
        <f t="shared" si="403"/>
        <v>8.6758150294633032E-3</v>
      </c>
      <c r="D12369">
        <f t="shared" si="402"/>
        <v>0.65685157528243932</v>
      </c>
    </row>
    <row r="12370" spans="1:4" x14ac:dyDescent="0.3">
      <c r="A12370" s="1">
        <v>43881</v>
      </c>
      <c r="B12370">
        <v>9750.9697269999997</v>
      </c>
      <c r="C12370">
        <f t="shared" si="403"/>
        <v>-6.7442955211395412E-3</v>
      </c>
      <c r="D12370">
        <f t="shared" si="402"/>
        <v>-0.57669386089232721</v>
      </c>
    </row>
    <row r="12371" spans="1:4" x14ac:dyDescent="0.3">
      <c r="A12371" s="1">
        <v>43882</v>
      </c>
      <c r="B12371">
        <v>9576.5898440000001</v>
      </c>
      <c r="C12371">
        <f t="shared" si="403"/>
        <v>-1.7883337543049643E-2</v>
      </c>
      <c r="D12371">
        <f t="shared" si="402"/>
        <v>-1.4677714186306516</v>
      </c>
    </row>
    <row r="12372" spans="1:4" x14ac:dyDescent="0.3">
      <c r="A12372" s="1">
        <v>43885</v>
      </c>
      <c r="B12372">
        <v>9221.2802730000003</v>
      </c>
      <c r="C12372">
        <f t="shared" si="403"/>
        <v>-3.7101888750368808E-2</v>
      </c>
      <c r="D12372">
        <f t="shared" si="402"/>
        <v>-3.005176488061414</v>
      </c>
    </row>
    <row r="12373" spans="1:4" x14ac:dyDescent="0.3">
      <c r="A12373" s="1">
        <v>43886</v>
      </c>
      <c r="B12373">
        <v>8965.6103519999997</v>
      </c>
      <c r="C12373">
        <f t="shared" si="403"/>
        <v>-2.7726076361500981E-2</v>
      </c>
      <c r="D12373">
        <f t="shared" si="402"/>
        <v>-2.2551500505228979</v>
      </c>
    </row>
    <row r="12374" spans="1:4" x14ac:dyDescent="0.3">
      <c r="A12374" s="1">
        <v>43887</v>
      </c>
      <c r="B12374">
        <v>8980.7802730000003</v>
      </c>
      <c r="C12374">
        <f t="shared" si="403"/>
        <v>1.6920120777518053E-3</v>
      </c>
      <c r="D12374">
        <f t="shared" si="402"/>
        <v>9.817605671485112E-2</v>
      </c>
    </row>
    <row r="12375" spans="1:4" x14ac:dyDescent="0.3">
      <c r="A12375" s="1">
        <v>43888</v>
      </c>
      <c r="B12375">
        <v>8566.4804690000001</v>
      </c>
      <c r="C12375">
        <f t="shared" si="403"/>
        <v>-4.6131827236165608E-2</v>
      </c>
      <c r="D12375">
        <f t="shared" si="402"/>
        <v>-3.7275344355962363</v>
      </c>
    </row>
    <row r="12376" spans="1:4" x14ac:dyDescent="0.3">
      <c r="A12376" s="1">
        <v>43889</v>
      </c>
      <c r="B12376">
        <v>8567.3701170000004</v>
      </c>
      <c r="C12376">
        <f t="shared" si="403"/>
        <v>1.0385221833163869E-4</v>
      </c>
      <c r="D12376">
        <f t="shared" si="402"/>
        <v>-2.8870201486398683E-2</v>
      </c>
    </row>
    <row r="12377" spans="1:4" x14ac:dyDescent="0.3">
      <c r="A12377" s="1">
        <v>43892</v>
      </c>
      <c r="B12377">
        <v>8952.1699219999991</v>
      </c>
      <c r="C12377">
        <f t="shared" si="403"/>
        <v>4.491457702246935E-2</v>
      </c>
      <c r="D12377">
        <f t="shared" si="402"/>
        <v>3.5558035200432103</v>
      </c>
    </row>
    <row r="12378" spans="1:4" x14ac:dyDescent="0.3">
      <c r="A12378" s="1">
        <v>43893</v>
      </c>
      <c r="B12378">
        <v>8684.0898440000001</v>
      </c>
      <c r="C12378">
        <f t="shared" si="403"/>
        <v>-2.994582099488427E-2</v>
      </c>
      <c r="D12378">
        <f t="shared" si="402"/>
        <v>-2.4327204935490889</v>
      </c>
    </row>
    <row r="12379" spans="1:4" x14ac:dyDescent="0.3">
      <c r="A12379" s="1">
        <v>43894</v>
      </c>
      <c r="B12379">
        <v>9018.0898440000001</v>
      </c>
      <c r="C12379">
        <f t="shared" si="403"/>
        <v>3.8461140545519211E-2</v>
      </c>
      <c r="D12379">
        <f t="shared" si="402"/>
        <v>3.0395551385765551</v>
      </c>
    </row>
    <row r="12380" spans="1:4" x14ac:dyDescent="0.3">
      <c r="A12380" s="1">
        <v>43895</v>
      </c>
      <c r="B12380">
        <v>8738.5898440000001</v>
      </c>
      <c r="C12380">
        <f t="shared" si="403"/>
        <v>-3.0993259640893858E-2</v>
      </c>
      <c r="D12380">
        <f t="shared" si="402"/>
        <v>-2.5165112781364076</v>
      </c>
    </row>
    <row r="12381" spans="1:4" x14ac:dyDescent="0.3">
      <c r="A12381" s="1">
        <v>43896</v>
      </c>
      <c r="B12381">
        <v>8575.6201170000004</v>
      </c>
      <c r="C12381">
        <f t="shared" si="403"/>
        <v>-1.8649430847460621E-2</v>
      </c>
      <c r="D12381">
        <f t="shared" si="402"/>
        <v>-1.5290557327890388</v>
      </c>
    </row>
    <row r="12382" spans="1:4" x14ac:dyDescent="0.3">
      <c r="A12382" s="1">
        <v>43899</v>
      </c>
      <c r="B12382">
        <v>7950.6801759999998</v>
      </c>
      <c r="C12382">
        <f t="shared" si="403"/>
        <v>-7.2874023391164694E-2</v>
      </c>
      <c r="D12382">
        <f t="shared" si="402"/>
        <v>-5.8668001634285103</v>
      </c>
    </row>
    <row r="12383" spans="1:4" x14ac:dyDescent="0.3">
      <c r="A12383" s="1">
        <v>43900</v>
      </c>
      <c r="B12383">
        <v>8344.25</v>
      </c>
      <c r="C12383">
        <f t="shared" si="403"/>
        <v>4.9501403060839229E-2</v>
      </c>
      <c r="D12383">
        <f t="shared" si="402"/>
        <v>3.922730741971431</v>
      </c>
    </row>
    <row r="12384" spans="1:4" x14ac:dyDescent="0.3">
      <c r="A12384" s="1">
        <v>43901</v>
      </c>
      <c r="B12384">
        <v>7952.0498049999997</v>
      </c>
      <c r="C12384">
        <f t="shared" si="403"/>
        <v>-4.7002450190250816E-2</v>
      </c>
      <c r="D12384">
        <f t="shared" si="402"/>
        <v>-3.7971806919000741</v>
      </c>
    </row>
    <row r="12385" spans="1:4" x14ac:dyDescent="0.3">
      <c r="A12385" s="1">
        <v>43902</v>
      </c>
      <c r="B12385">
        <v>7201.7998049999997</v>
      </c>
      <c r="C12385">
        <f t="shared" si="403"/>
        <v>-9.4346743091104177E-2</v>
      </c>
      <c r="D12385">
        <f t="shared" si="402"/>
        <v>-7.5845294430726709</v>
      </c>
    </row>
    <row r="12386" spans="1:4" x14ac:dyDescent="0.3">
      <c r="A12386" s="1">
        <v>43903</v>
      </c>
      <c r="B12386">
        <v>7874.8798829999996</v>
      </c>
      <c r="C12386">
        <f t="shared" si="403"/>
        <v>9.3459981702448888E-2</v>
      </c>
      <c r="D12386">
        <f t="shared" si="402"/>
        <v>7.4392362745447524</v>
      </c>
    </row>
    <row r="12387" spans="1:4" x14ac:dyDescent="0.3">
      <c r="A12387" s="1">
        <v>43906</v>
      </c>
      <c r="B12387">
        <v>6904.5898440000001</v>
      </c>
      <c r="C12387">
        <f t="shared" si="403"/>
        <v>-0.12321331289060369</v>
      </c>
      <c r="D12387">
        <f t="shared" si="402"/>
        <v>-9.8937363269883569</v>
      </c>
    </row>
    <row r="12388" spans="1:4" x14ac:dyDescent="0.3">
      <c r="A12388" s="1">
        <v>43907</v>
      </c>
      <c r="B12388">
        <v>7334.7797849999997</v>
      </c>
      <c r="C12388">
        <f t="shared" si="403"/>
        <v>6.2304923350925641E-2</v>
      </c>
      <c r="D12388">
        <f t="shared" si="402"/>
        <v>4.9469597167883244</v>
      </c>
    </row>
    <row r="12389" spans="1:4" x14ac:dyDescent="0.3">
      <c r="A12389" s="1">
        <v>43908</v>
      </c>
      <c r="B12389">
        <v>6989.8398440000001</v>
      </c>
      <c r="C12389">
        <f t="shared" si="403"/>
        <v>-4.7027988721000114E-2</v>
      </c>
      <c r="D12389">
        <f t="shared" si="402"/>
        <v>-3.7992236693449519</v>
      </c>
    </row>
    <row r="12390" spans="1:4" x14ac:dyDescent="0.3">
      <c r="A12390" s="1">
        <v>43909</v>
      </c>
      <c r="B12390">
        <v>7150.580078</v>
      </c>
      <c r="C12390">
        <f t="shared" si="403"/>
        <v>2.2996268525090381E-2</v>
      </c>
      <c r="D12390">
        <f t="shared" si="402"/>
        <v>1.8024289688759734</v>
      </c>
    </row>
    <row r="12391" spans="1:4" x14ac:dyDescent="0.3">
      <c r="A12391" s="1">
        <v>43910</v>
      </c>
      <c r="B12391">
        <v>6879.5200199999999</v>
      </c>
      <c r="C12391">
        <f t="shared" si="403"/>
        <v>-3.7907422201167051E-2</v>
      </c>
      <c r="D12391">
        <f t="shared" si="402"/>
        <v>-3.0696158517519319</v>
      </c>
    </row>
    <row r="12392" spans="1:4" x14ac:dyDescent="0.3">
      <c r="A12392" s="1">
        <v>43913</v>
      </c>
      <c r="B12392">
        <v>6860.669922</v>
      </c>
      <c r="C12392">
        <f t="shared" si="403"/>
        <v>-2.7400309825684451E-3</v>
      </c>
      <c r="D12392">
        <f t="shared" si="402"/>
        <v>-0.25636916344080818</v>
      </c>
    </row>
    <row r="12393" spans="1:4" x14ac:dyDescent="0.3">
      <c r="A12393" s="1">
        <v>43914</v>
      </c>
      <c r="B12393">
        <v>7417.8598629999997</v>
      </c>
      <c r="C12393">
        <f t="shared" si="403"/>
        <v>8.1215092306549774E-2</v>
      </c>
      <c r="D12393">
        <f t="shared" si="402"/>
        <v>6.4596954741588801</v>
      </c>
    </row>
    <row r="12394" spans="1:4" x14ac:dyDescent="0.3">
      <c r="A12394" s="1">
        <v>43915</v>
      </c>
      <c r="B12394">
        <v>7384.2998049999997</v>
      </c>
      <c r="C12394">
        <f t="shared" si="403"/>
        <v>-4.5242237814974518E-3</v>
      </c>
      <c r="D12394">
        <f t="shared" si="402"/>
        <v>-0.39909725071050134</v>
      </c>
    </row>
    <row r="12395" spans="1:4" x14ac:dyDescent="0.3">
      <c r="A12395" s="1">
        <v>43916</v>
      </c>
      <c r="B12395">
        <v>7797.5400390000004</v>
      </c>
      <c r="C12395">
        <f t="shared" si="403"/>
        <v>5.5962006542609598E-2</v>
      </c>
      <c r="D12395">
        <f t="shared" si="402"/>
        <v>4.4395524543528042</v>
      </c>
    </row>
    <row r="12396" spans="1:4" x14ac:dyDescent="0.3">
      <c r="A12396" s="1">
        <v>43917</v>
      </c>
      <c r="B12396">
        <v>7502.3798829999996</v>
      </c>
      <c r="C12396">
        <f t="shared" si="403"/>
        <v>-3.7852983700466358E-2</v>
      </c>
      <c r="D12396">
        <f t="shared" si="402"/>
        <v>-3.0652609955483285</v>
      </c>
    </row>
    <row r="12397" spans="1:4" x14ac:dyDescent="0.3">
      <c r="A12397" s="1">
        <v>43920</v>
      </c>
      <c r="B12397">
        <v>7774.1499020000001</v>
      </c>
      <c r="C12397">
        <f t="shared" si="403"/>
        <v>3.6224507854609865E-2</v>
      </c>
      <c r="D12397">
        <f t="shared" si="402"/>
        <v>2.8606337203923875</v>
      </c>
    </row>
    <row r="12398" spans="1:4" x14ac:dyDescent="0.3">
      <c r="A12398" s="1">
        <v>43921</v>
      </c>
      <c r="B12398">
        <v>7700.1000979999999</v>
      </c>
      <c r="C12398">
        <f t="shared" si="403"/>
        <v>-9.5251319994421463E-3</v>
      </c>
      <c r="D12398">
        <f t="shared" si="402"/>
        <v>-0.79914934428861073</v>
      </c>
    </row>
    <row r="12399" spans="1:4" x14ac:dyDescent="0.3">
      <c r="A12399" s="1">
        <v>43922</v>
      </c>
      <c r="B12399">
        <v>7360.580078</v>
      </c>
      <c r="C12399">
        <f t="shared" si="403"/>
        <v>-4.4092935894195169E-2</v>
      </c>
      <c r="D12399">
        <f t="shared" si="402"/>
        <v>-3.5644315122098953</v>
      </c>
    </row>
    <row r="12400" spans="1:4" x14ac:dyDescent="0.3">
      <c r="A12400" s="1">
        <v>43923</v>
      </c>
      <c r="B12400">
        <v>7487.3100590000004</v>
      </c>
      <c r="C12400">
        <f t="shared" si="403"/>
        <v>1.7217390430787242E-2</v>
      </c>
      <c r="D12400">
        <f t="shared" si="402"/>
        <v>1.3401424842204348</v>
      </c>
    </row>
    <row r="12401" spans="1:4" x14ac:dyDescent="0.3">
      <c r="A12401" s="1">
        <v>43924</v>
      </c>
      <c r="B12401">
        <v>7373.080078</v>
      </c>
      <c r="C12401">
        <f t="shared" si="403"/>
        <v>-1.5256477974047849E-2</v>
      </c>
      <c r="D12401">
        <f t="shared" si="402"/>
        <v>-1.2576334548215984</v>
      </c>
    </row>
    <row r="12402" spans="1:4" x14ac:dyDescent="0.3">
      <c r="A12402" s="1">
        <v>43927</v>
      </c>
      <c r="B12402">
        <v>7913.2402339999999</v>
      </c>
      <c r="C12402">
        <f t="shared" si="403"/>
        <v>7.3261127003319104E-2</v>
      </c>
      <c r="D12402">
        <f t="shared" si="402"/>
        <v>5.8234109568011849</v>
      </c>
    </row>
    <row r="12403" spans="1:4" x14ac:dyDescent="0.3">
      <c r="A12403" s="1">
        <v>43928</v>
      </c>
      <c r="B12403">
        <v>7887.2597660000001</v>
      </c>
      <c r="C12403">
        <f t="shared" si="403"/>
        <v>-3.2831643210289711E-3</v>
      </c>
      <c r="D12403">
        <f t="shared" si="402"/>
        <v>-0.29981759714001754</v>
      </c>
    </row>
    <row r="12404" spans="1:4" x14ac:dyDescent="0.3">
      <c r="A12404" s="1">
        <v>43929</v>
      </c>
      <c r="B12404">
        <v>8090.8999020000001</v>
      </c>
      <c r="C12404">
        <f t="shared" si="403"/>
        <v>2.5818870183259537E-2</v>
      </c>
      <c r="D12404">
        <f t="shared" si="402"/>
        <v>2.0282254949221352</v>
      </c>
    </row>
    <row r="12405" spans="1:4" x14ac:dyDescent="0.3">
      <c r="A12405" s="1">
        <v>43930</v>
      </c>
      <c r="B12405">
        <v>8153.580078</v>
      </c>
      <c r="C12405">
        <f t="shared" si="403"/>
        <v>7.7469968432690474E-3</v>
      </c>
      <c r="D12405">
        <f t="shared" si="402"/>
        <v>0.58254993971010183</v>
      </c>
    </row>
    <row r="12406" spans="1:4" x14ac:dyDescent="0.3">
      <c r="A12406" s="1">
        <v>43934</v>
      </c>
      <c r="B12406">
        <v>8192.4199219999991</v>
      </c>
      <c r="C12406">
        <f t="shared" si="403"/>
        <v>4.7635325376636567E-3</v>
      </c>
      <c r="D12406">
        <f t="shared" si="402"/>
        <v>0.34388506334019986</v>
      </c>
    </row>
    <row r="12407" spans="1:4" x14ac:dyDescent="0.3">
      <c r="A12407" s="1">
        <v>43935</v>
      </c>
      <c r="B12407">
        <v>8515.7402340000008</v>
      </c>
      <c r="C12407">
        <f t="shared" si="403"/>
        <v>3.9465788506733442E-2</v>
      </c>
      <c r="D12407">
        <f t="shared" si="402"/>
        <v>3.1199228443365925</v>
      </c>
    </row>
    <row r="12408" spans="1:4" x14ac:dyDescent="0.3">
      <c r="A12408" s="1">
        <v>43936</v>
      </c>
      <c r="B12408">
        <v>8393.1796880000002</v>
      </c>
      <c r="C12408">
        <f t="shared" si="403"/>
        <v>-1.4392236333215586E-2</v>
      </c>
      <c r="D12408">
        <f t="shared" si="402"/>
        <v>-1.1884976773378793</v>
      </c>
    </row>
    <row r="12409" spans="1:4" x14ac:dyDescent="0.3">
      <c r="A12409" s="1">
        <v>43937</v>
      </c>
      <c r="B12409">
        <v>8532.3603519999997</v>
      </c>
      <c r="C12409">
        <f t="shared" si="403"/>
        <v>1.6582590766999854E-2</v>
      </c>
      <c r="D12409">
        <f t="shared" si="402"/>
        <v>1.2893611214292584</v>
      </c>
    </row>
    <row r="12410" spans="1:4" x14ac:dyDescent="0.3">
      <c r="A12410" s="1">
        <v>43938</v>
      </c>
      <c r="B12410">
        <v>8650.1396480000003</v>
      </c>
      <c r="C12410">
        <f t="shared" si="403"/>
        <v>1.3803835180542151E-2</v>
      </c>
      <c r="D12410">
        <f t="shared" si="402"/>
        <v>1.0670721008238888</v>
      </c>
    </row>
    <row r="12411" spans="1:4" x14ac:dyDescent="0.3">
      <c r="A12411" s="1">
        <v>43941</v>
      </c>
      <c r="B12411">
        <v>8560.7304690000001</v>
      </c>
      <c r="C12411">
        <f t="shared" si="403"/>
        <v>-1.0336154401931827E-2</v>
      </c>
      <c r="D12411">
        <f t="shared" si="402"/>
        <v>-0.86402780154373904</v>
      </c>
    </row>
    <row r="12412" spans="1:4" x14ac:dyDescent="0.3">
      <c r="A12412" s="1">
        <v>43942</v>
      </c>
      <c r="B12412">
        <v>8263.2304690000001</v>
      </c>
      <c r="C12412">
        <f t="shared" si="403"/>
        <v>-3.4751707354565467E-2</v>
      </c>
      <c r="D12412">
        <f t="shared" si="402"/>
        <v>-2.8171716404007912</v>
      </c>
    </row>
    <row r="12413" spans="1:4" x14ac:dyDescent="0.3">
      <c r="A12413" s="1">
        <v>43943</v>
      </c>
      <c r="B12413">
        <v>8495.3798829999996</v>
      </c>
      <c r="C12413">
        <f t="shared" si="403"/>
        <v>2.8094268321683855E-2</v>
      </c>
      <c r="D12413">
        <f t="shared" si="402"/>
        <v>2.2102479895030283</v>
      </c>
    </row>
    <row r="12414" spans="1:4" x14ac:dyDescent="0.3">
      <c r="A12414" s="1">
        <v>43944</v>
      </c>
      <c r="B12414">
        <v>8494.75</v>
      </c>
      <c r="C12414">
        <f t="shared" si="403"/>
        <v>-7.4144182917594998E-5</v>
      </c>
      <c r="D12414">
        <f t="shared" si="402"/>
        <v>-4.3109181660762018E-2</v>
      </c>
    </row>
    <row r="12415" spans="1:4" x14ac:dyDescent="0.3">
      <c r="A12415" s="1">
        <v>43945</v>
      </c>
      <c r="B12415">
        <v>8634.5195309999999</v>
      </c>
      <c r="C12415">
        <f t="shared" si="403"/>
        <v>1.645363677565554E-2</v>
      </c>
      <c r="D12415">
        <f t="shared" si="402"/>
        <v>1.2790453323836943</v>
      </c>
    </row>
    <row r="12416" spans="1:4" x14ac:dyDescent="0.3">
      <c r="A12416" s="1">
        <v>43948</v>
      </c>
      <c r="B12416">
        <v>8730.1601559999999</v>
      </c>
      <c r="C12416">
        <f t="shared" si="403"/>
        <v>1.1076542783489825E-2</v>
      </c>
      <c r="D12416">
        <f t="shared" si="402"/>
        <v>0.8488999237530499</v>
      </c>
    </row>
    <row r="12417" spans="1:4" x14ac:dyDescent="0.3">
      <c r="A12417" s="1">
        <v>43949</v>
      </c>
      <c r="B12417">
        <v>8607.7304690000001</v>
      </c>
      <c r="C12417">
        <f t="shared" si="403"/>
        <v>-1.4023761856860927E-2</v>
      </c>
      <c r="D12417">
        <f t="shared" si="402"/>
        <v>-1.1590212344056068</v>
      </c>
    </row>
    <row r="12418" spans="1:4" x14ac:dyDescent="0.3">
      <c r="A12418" s="1">
        <v>43950</v>
      </c>
      <c r="B12418">
        <v>8914.7099610000005</v>
      </c>
      <c r="C12418">
        <f t="shared" si="403"/>
        <v>3.5663232382282486E-2</v>
      </c>
      <c r="D12418">
        <f t="shared" si="402"/>
        <v>2.8157339905847301</v>
      </c>
    </row>
    <row r="12419" spans="1:4" x14ac:dyDescent="0.3">
      <c r="A12419" s="1">
        <v>43951</v>
      </c>
      <c r="B12419">
        <v>8889.5498050000006</v>
      </c>
      <c r="C12419">
        <f t="shared" si="403"/>
        <v>-2.8223190782504823E-3</v>
      </c>
      <c r="D12419">
        <f t="shared" ref="D12419:D12482" si="404">(C12419-avrtn)/sdrtn</f>
        <v>-0.26295187272469989</v>
      </c>
    </row>
    <row r="12420" spans="1:4" x14ac:dyDescent="0.3">
      <c r="A12420" s="1">
        <v>43952</v>
      </c>
      <c r="B12420">
        <v>8604.9501949999994</v>
      </c>
      <c r="C12420">
        <f t="shared" ref="C12420:C12483" si="405">(B12420-B12419)/B12419</f>
        <v>-3.2015075706075209E-2</v>
      </c>
      <c r="D12420">
        <f t="shared" si="404"/>
        <v>-2.5982523616181488</v>
      </c>
    </row>
    <row r="12421" spans="1:4" x14ac:dyDescent="0.3">
      <c r="A12421" s="1">
        <v>43955</v>
      </c>
      <c r="B12421">
        <v>8710.7099610000005</v>
      </c>
      <c r="C12421">
        <f t="shared" si="405"/>
        <v>1.2290572705633312E-2</v>
      </c>
      <c r="D12421">
        <f t="shared" si="404"/>
        <v>0.9460173254036599</v>
      </c>
    </row>
    <row r="12422" spans="1:4" x14ac:dyDescent="0.3">
      <c r="A12422" s="1">
        <v>43956</v>
      </c>
      <c r="B12422">
        <v>8809.1201170000004</v>
      </c>
      <c r="C12422">
        <f t="shared" si="405"/>
        <v>1.1297604493847974E-2</v>
      </c>
      <c r="D12422">
        <f t="shared" si="404"/>
        <v>0.86658395157051726</v>
      </c>
    </row>
    <row r="12423" spans="1:4" x14ac:dyDescent="0.3">
      <c r="A12423" s="1">
        <v>43957</v>
      </c>
      <c r="B12423">
        <v>8854.3896480000003</v>
      </c>
      <c r="C12423">
        <f t="shared" si="405"/>
        <v>5.1389390085211746E-3</v>
      </c>
      <c r="D12423">
        <f t="shared" si="404"/>
        <v>0.37391603732816925</v>
      </c>
    </row>
    <row r="12424" spans="1:4" x14ac:dyDescent="0.3">
      <c r="A12424" s="1">
        <v>43958</v>
      </c>
      <c r="B12424">
        <v>8979.6601559999999</v>
      </c>
      <c r="C12424">
        <f t="shared" si="405"/>
        <v>1.41478422545246E-2</v>
      </c>
      <c r="D12424">
        <f t="shared" si="404"/>
        <v>1.0945912521769441</v>
      </c>
    </row>
    <row r="12425" spans="1:4" x14ac:dyDescent="0.3">
      <c r="A12425" s="1">
        <v>43959</v>
      </c>
      <c r="B12425">
        <v>9121.3203130000002</v>
      </c>
      <c r="C12425">
        <f t="shared" si="405"/>
        <v>1.5775670185619022E-2</v>
      </c>
      <c r="D12425">
        <f t="shared" si="404"/>
        <v>1.224810792996049</v>
      </c>
    </row>
    <row r="12426" spans="1:4" x14ac:dyDescent="0.3">
      <c r="A12426" s="1">
        <v>43962</v>
      </c>
      <c r="B12426">
        <v>9192.3398440000001</v>
      </c>
      <c r="C12426">
        <f t="shared" si="405"/>
        <v>7.7861020732689964E-3</v>
      </c>
      <c r="D12426">
        <f t="shared" si="404"/>
        <v>0.58567819730843107</v>
      </c>
    </row>
    <row r="12427" spans="1:4" x14ac:dyDescent="0.3">
      <c r="A12427" s="1">
        <v>43963</v>
      </c>
      <c r="B12427">
        <v>9002.5498050000006</v>
      </c>
      <c r="C12427">
        <f t="shared" si="405"/>
        <v>-2.0646542906469976E-2</v>
      </c>
      <c r="D12427">
        <f t="shared" si="404"/>
        <v>-1.6888164853359311</v>
      </c>
    </row>
    <row r="12428" spans="1:4" x14ac:dyDescent="0.3">
      <c r="A12428" s="1">
        <v>43964</v>
      </c>
      <c r="B12428">
        <v>8863.1699219999991</v>
      </c>
      <c r="C12428">
        <f t="shared" si="405"/>
        <v>-1.548226735969737E-2</v>
      </c>
      <c r="D12428">
        <f t="shared" si="404"/>
        <v>-1.2756956772220587</v>
      </c>
    </row>
    <row r="12429" spans="1:4" x14ac:dyDescent="0.3">
      <c r="A12429" s="1">
        <v>43965</v>
      </c>
      <c r="B12429">
        <v>8943.7197269999997</v>
      </c>
      <c r="C12429">
        <f t="shared" si="405"/>
        <v>9.0881485641002204E-3</v>
      </c>
      <c r="D12429">
        <f t="shared" si="404"/>
        <v>0.68983656252776715</v>
      </c>
    </row>
    <row r="12430" spans="1:4" x14ac:dyDescent="0.3">
      <c r="A12430" s="1">
        <v>43966</v>
      </c>
      <c r="B12430">
        <v>9014.5595699999994</v>
      </c>
      <c r="C12430">
        <f t="shared" si="405"/>
        <v>7.9206242103207793E-3</v>
      </c>
      <c r="D12430">
        <f t="shared" si="404"/>
        <v>0.59643941511424092</v>
      </c>
    </row>
    <row r="12431" spans="1:4" x14ac:dyDescent="0.3">
      <c r="A12431" s="1">
        <v>43969</v>
      </c>
      <c r="B12431">
        <v>9234.8300780000009</v>
      </c>
      <c r="C12431">
        <f t="shared" si="405"/>
        <v>2.4434971702117381E-2</v>
      </c>
      <c r="D12431">
        <f t="shared" si="404"/>
        <v>1.91751930705532</v>
      </c>
    </row>
    <row r="12432" spans="1:4" x14ac:dyDescent="0.3">
      <c r="A12432" s="1">
        <v>43970</v>
      </c>
      <c r="B12432">
        <v>9185.0996090000008</v>
      </c>
      <c r="C12432">
        <f t="shared" si="405"/>
        <v>-5.385098434942755E-3</v>
      </c>
      <c r="D12432">
        <f t="shared" si="404"/>
        <v>-0.46796368304839869</v>
      </c>
    </row>
    <row r="12433" spans="1:4" x14ac:dyDescent="0.3">
      <c r="A12433" s="1">
        <v>43971</v>
      </c>
      <c r="B12433">
        <v>9375.7802730000003</v>
      </c>
      <c r="C12433">
        <f t="shared" si="405"/>
        <v>2.0759781833303306E-2</v>
      </c>
      <c r="D12433">
        <f t="shared" si="404"/>
        <v>1.6235192300212351</v>
      </c>
    </row>
    <row r="12434" spans="1:4" x14ac:dyDescent="0.3">
      <c r="A12434" s="1">
        <v>43972</v>
      </c>
      <c r="B12434">
        <v>9284.8798829999996</v>
      </c>
      <c r="C12434">
        <f t="shared" si="405"/>
        <v>-9.6952346741499516E-3</v>
      </c>
      <c r="D12434">
        <f t="shared" si="404"/>
        <v>-0.81275685879885728</v>
      </c>
    </row>
    <row r="12435" spans="1:4" x14ac:dyDescent="0.3">
      <c r="A12435" s="1">
        <v>43973</v>
      </c>
      <c r="B12435">
        <v>9324.5898440000001</v>
      </c>
      <c r="C12435">
        <f t="shared" si="405"/>
        <v>4.2768416501226675E-3</v>
      </c>
      <c r="D12435">
        <f t="shared" si="404"/>
        <v>0.30495179362180841</v>
      </c>
    </row>
    <row r="12436" spans="1:4" x14ac:dyDescent="0.3">
      <c r="A12436" s="1">
        <v>43977</v>
      </c>
      <c r="B12436">
        <v>9340.2197269999997</v>
      </c>
      <c r="C12436">
        <f t="shared" si="405"/>
        <v>1.6762005902122132E-3</v>
      </c>
      <c r="D12436">
        <f t="shared" si="404"/>
        <v>9.6911202728909004E-2</v>
      </c>
    </row>
    <row r="12437" spans="1:4" x14ac:dyDescent="0.3">
      <c r="A12437" s="1">
        <v>43978</v>
      </c>
      <c r="B12437">
        <v>9412.3603519999997</v>
      </c>
      <c r="C12437">
        <f t="shared" si="405"/>
        <v>7.7236539512514192E-3</v>
      </c>
      <c r="D12437">
        <f t="shared" si="404"/>
        <v>0.580682604335237</v>
      </c>
    </row>
    <row r="12438" spans="1:4" x14ac:dyDescent="0.3">
      <c r="A12438" s="1">
        <v>43979</v>
      </c>
      <c r="B12438">
        <v>9368.9902340000008</v>
      </c>
      <c r="C12438">
        <f t="shared" si="405"/>
        <v>-4.6077834228672879E-3</v>
      </c>
      <c r="D12438">
        <f t="shared" si="404"/>
        <v>-0.40578167842078983</v>
      </c>
    </row>
    <row r="12439" spans="1:4" x14ac:dyDescent="0.3">
      <c r="A12439" s="1">
        <v>43980</v>
      </c>
      <c r="B12439">
        <v>9489.8701170000004</v>
      </c>
      <c r="C12439">
        <f t="shared" si="405"/>
        <v>1.2902124986887845E-2</v>
      </c>
      <c r="D12439">
        <f t="shared" si="404"/>
        <v>0.99493899318601597</v>
      </c>
    </row>
    <row r="12440" spans="1:4" x14ac:dyDescent="0.3">
      <c r="A12440" s="1">
        <v>43983</v>
      </c>
      <c r="B12440">
        <v>9552.0498050000006</v>
      </c>
      <c r="C12440">
        <f t="shared" si="405"/>
        <v>6.5522169675022715E-3</v>
      </c>
      <c r="D12440">
        <f t="shared" si="404"/>
        <v>0.48697246261296501</v>
      </c>
    </row>
    <row r="12441" spans="1:4" x14ac:dyDescent="0.3">
      <c r="A12441" s="1">
        <v>43984</v>
      </c>
      <c r="B12441">
        <v>9608.3798829999996</v>
      </c>
      <c r="C12441">
        <f t="shared" si="405"/>
        <v>5.8971717222949553E-3</v>
      </c>
      <c r="D12441">
        <f t="shared" si="404"/>
        <v>0.43457153655852265</v>
      </c>
    </row>
    <row r="12442" spans="1:4" x14ac:dyDescent="0.3">
      <c r="A12442" s="1">
        <v>43985</v>
      </c>
      <c r="B12442">
        <v>9682.9101559999999</v>
      </c>
      <c r="C12442">
        <f t="shared" si="405"/>
        <v>7.7567991594364311E-3</v>
      </c>
      <c r="D12442">
        <f t="shared" si="404"/>
        <v>0.58333408469612757</v>
      </c>
    </row>
    <row r="12443" spans="1:4" x14ac:dyDescent="0.3">
      <c r="A12443" s="1">
        <v>43986</v>
      </c>
      <c r="B12443">
        <v>9615.8095699999994</v>
      </c>
      <c r="C12443">
        <f t="shared" si="405"/>
        <v>-6.9297953733900653E-3</v>
      </c>
      <c r="D12443">
        <f t="shared" si="404"/>
        <v>-0.59153308629241896</v>
      </c>
    </row>
    <row r="12444" spans="1:4" x14ac:dyDescent="0.3">
      <c r="A12444" s="1">
        <v>43987</v>
      </c>
      <c r="B12444">
        <v>9814.0800780000009</v>
      </c>
      <c r="C12444">
        <f t="shared" si="405"/>
        <v>2.0619221559729936E-2</v>
      </c>
      <c r="D12444">
        <f t="shared" si="404"/>
        <v>1.6122749861226642</v>
      </c>
    </row>
    <row r="12445" spans="1:4" x14ac:dyDescent="0.3">
      <c r="A12445" s="1">
        <v>43990</v>
      </c>
      <c r="B12445">
        <v>9924.75</v>
      </c>
      <c r="C12445">
        <f t="shared" si="405"/>
        <v>1.1276647543164577E-2</v>
      </c>
      <c r="D12445">
        <f t="shared" si="404"/>
        <v>0.86490748169134157</v>
      </c>
    </row>
    <row r="12446" spans="1:4" x14ac:dyDescent="0.3">
      <c r="A12446" s="1">
        <v>43991</v>
      </c>
      <c r="B12446">
        <v>9953.75</v>
      </c>
      <c r="C12446">
        <f t="shared" si="405"/>
        <v>2.9219879593944433E-3</v>
      </c>
      <c r="D12446">
        <f t="shared" si="404"/>
        <v>0.19656906955521594</v>
      </c>
    </row>
    <row r="12447" spans="1:4" x14ac:dyDescent="0.3">
      <c r="A12447" s="1">
        <v>43992</v>
      </c>
      <c r="B12447">
        <v>10020.349609999999</v>
      </c>
      <c r="C12447">
        <f t="shared" si="405"/>
        <v>6.6909064422955473E-3</v>
      </c>
      <c r="D12447">
        <f t="shared" si="404"/>
        <v>0.49806705030189907</v>
      </c>
    </row>
    <row r="12448" spans="1:4" x14ac:dyDescent="0.3">
      <c r="A12448" s="1">
        <v>43993</v>
      </c>
      <c r="B12448">
        <v>9492.7304690000001</v>
      </c>
      <c r="C12448">
        <f t="shared" si="405"/>
        <v>-5.2654763709387105E-2</v>
      </c>
      <c r="D12448">
        <f t="shared" si="404"/>
        <v>-4.2493425309789075</v>
      </c>
    </row>
    <row r="12449" spans="1:4" x14ac:dyDescent="0.3">
      <c r="A12449" s="1">
        <v>43994</v>
      </c>
      <c r="B12449">
        <v>9588.8095699999994</v>
      </c>
      <c r="C12449">
        <f t="shared" si="405"/>
        <v>1.0121334563723338E-2</v>
      </c>
      <c r="D12449">
        <f t="shared" si="404"/>
        <v>0.77248719401140042</v>
      </c>
    </row>
    <row r="12450" spans="1:4" x14ac:dyDescent="0.3">
      <c r="A12450" s="1">
        <v>43997</v>
      </c>
      <c r="B12450">
        <v>9726.0195309999999</v>
      </c>
      <c r="C12450">
        <f t="shared" si="405"/>
        <v>1.4309384287835063E-2</v>
      </c>
      <c r="D12450">
        <f t="shared" si="404"/>
        <v>1.1075139505769711</v>
      </c>
    </row>
    <row r="12451" spans="1:4" x14ac:dyDescent="0.3">
      <c r="A12451" s="1">
        <v>43998</v>
      </c>
      <c r="B12451">
        <v>9895.8701170000004</v>
      </c>
      <c r="C12451">
        <f t="shared" si="405"/>
        <v>1.7463525079158149E-2</v>
      </c>
      <c r="D12451">
        <f t="shared" si="404"/>
        <v>1.3598322439783856</v>
      </c>
    </row>
    <row r="12452" spans="1:4" x14ac:dyDescent="0.3">
      <c r="A12452" s="1">
        <v>43999</v>
      </c>
      <c r="B12452">
        <v>9910.5302730000003</v>
      </c>
      <c r="C12452">
        <f t="shared" si="405"/>
        <v>1.4814418365107079E-3</v>
      </c>
      <c r="D12452">
        <f t="shared" si="404"/>
        <v>8.133130328556909E-2</v>
      </c>
    </row>
    <row r="12453" spans="1:4" x14ac:dyDescent="0.3">
      <c r="A12453" s="1">
        <v>44000</v>
      </c>
      <c r="B12453">
        <v>9943.0498050000006</v>
      </c>
      <c r="C12453">
        <f t="shared" si="405"/>
        <v>3.2813109999366686E-3</v>
      </c>
      <c r="D12453">
        <f t="shared" si="404"/>
        <v>0.22531343525342257</v>
      </c>
    </row>
    <row r="12454" spans="1:4" x14ac:dyDescent="0.3">
      <c r="A12454" s="1">
        <v>44001</v>
      </c>
      <c r="B12454">
        <v>9946.1201170000004</v>
      </c>
      <c r="C12454">
        <f t="shared" si="405"/>
        <v>3.0878976372580191E-4</v>
      </c>
      <c r="D12454">
        <f t="shared" si="404"/>
        <v>-1.2476040563087668E-2</v>
      </c>
    </row>
    <row r="12455" spans="1:4" x14ac:dyDescent="0.3">
      <c r="A12455" s="1">
        <v>44004</v>
      </c>
      <c r="B12455">
        <v>10056.48047</v>
      </c>
      <c r="C12455">
        <f t="shared" si="405"/>
        <v>1.1095819445350463E-2</v>
      </c>
      <c r="D12455">
        <f t="shared" si="404"/>
        <v>0.85044197743579375</v>
      </c>
    </row>
    <row r="12456" spans="1:4" x14ac:dyDescent="0.3">
      <c r="A12456" s="1">
        <v>44005</v>
      </c>
      <c r="B12456">
        <v>10131.37012</v>
      </c>
      <c r="C12456">
        <f t="shared" si="405"/>
        <v>7.4469045331919349E-3</v>
      </c>
      <c r="D12456">
        <f t="shared" si="404"/>
        <v>0.55854378889088518</v>
      </c>
    </row>
    <row r="12457" spans="1:4" x14ac:dyDescent="0.3">
      <c r="A12457" s="1">
        <v>44006</v>
      </c>
      <c r="B12457">
        <v>9909.1699219999991</v>
      </c>
      <c r="C12457">
        <f t="shared" si="405"/>
        <v>-2.1931900164358073E-2</v>
      </c>
      <c r="D12457">
        <f t="shared" si="404"/>
        <v>-1.7916397805463526</v>
      </c>
    </row>
    <row r="12458" spans="1:4" x14ac:dyDescent="0.3">
      <c r="A12458" s="1">
        <v>44007</v>
      </c>
      <c r="B12458">
        <v>10017</v>
      </c>
      <c r="C12458">
        <f t="shared" si="405"/>
        <v>1.0881847707606692E-2</v>
      </c>
      <c r="D12458">
        <f t="shared" si="404"/>
        <v>0.833325118273335</v>
      </c>
    </row>
    <row r="12459" spans="1:4" x14ac:dyDescent="0.3">
      <c r="A12459" s="1">
        <v>44008</v>
      </c>
      <c r="B12459">
        <v>9757.2197269999997</v>
      </c>
      <c r="C12459">
        <f t="shared" si="405"/>
        <v>-2.5933939602675482E-2</v>
      </c>
      <c r="D12459">
        <f t="shared" si="404"/>
        <v>-2.1117864791272436</v>
      </c>
    </row>
    <row r="12460" spans="1:4" x14ac:dyDescent="0.3">
      <c r="A12460" s="1">
        <v>44011</v>
      </c>
      <c r="B12460">
        <v>9874.1503909999992</v>
      </c>
      <c r="C12460">
        <f t="shared" si="405"/>
        <v>1.1984014634458947E-2</v>
      </c>
      <c r="D12460">
        <f t="shared" si="404"/>
        <v>0.92149394028403153</v>
      </c>
    </row>
    <row r="12461" spans="1:4" x14ac:dyDescent="0.3">
      <c r="A12461" s="1">
        <v>44012</v>
      </c>
      <c r="B12461">
        <v>10058.76953</v>
      </c>
      <c r="C12461">
        <f t="shared" si="405"/>
        <v>1.8697217653103129E-2</v>
      </c>
      <c r="D12461">
        <f t="shared" si="404"/>
        <v>1.4585225769198078</v>
      </c>
    </row>
    <row r="12462" spans="1:4" x14ac:dyDescent="0.3">
      <c r="A12462" s="1">
        <v>44013</v>
      </c>
      <c r="B12462">
        <v>10154.62988</v>
      </c>
      <c r="C12462">
        <f t="shared" si="405"/>
        <v>9.5300274764323831E-3</v>
      </c>
      <c r="D12462">
        <f t="shared" si="404"/>
        <v>0.72518505849739556</v>
      </c>
    </row>
    <row r="12463" spans="1:4" x14ac:dyDescent="0.3">
      <c r="A12463" s="1">
        <v>44014</v>
      </c>
      <c r="B12463">
        <v>10207.62988</v>
      </c>
      <c r="C12463">
        <f t="shared" si="405"/>
        <v>5.2192941176896933E-3</v>
      </c>
      <c r="D12463">
        <f t="shared" si="404"/>
        <v>0.38034411563946746</v>
      </c>
    </row>
    <row r="12464" spans="1:4" x14ac:dyDescent="0.3">
      <c r="A12464" s="1">
        <v>44018</v>
      </c>
      <c r="B12464">
        <v>10433.650390000001</v>
      </c>
      <c r="C12464">
        <f t="shared" si="405"/>
        <v>2.2142310473349594E-2</v>
      </c>
      <c r="D12464">
        <f t="shared" si="404"/>
        <v>1.7341158362332012</v>
      </c>
    </row>
    <row r="12465" spans="1:4" x14ac:dyDescent="0.3">
      <c r="A12465" s="1">
        <v>44019</v>
      </c>
      <c r="B12465">
        <v>10343.889649999999</v>
      </c>
      <c r="C12465">
        <f t="shared" si="405"/>
        <v>-8.603004379563222E-3</v>
      </c>
      <c r="D12465">
        <f t="shared" si="404"/>
        <v>-0.72538292650972669</v>
      </c>
    </row>
    <row r="12466" spans="1:4" x14ac:dyDescent="0.3">
      <c r="A12466" s="1">
        <v>44020</v>
      </c>
      <c r="B12466">
        <v>10492.5</v>
      </c>
      <c r="C12466">
        <f t="shared" si="405"/>
        <v>1.4366969779110205E-2</v>
      </c>
      <c r="D12466">
        <f t="shared" si="404"/>
        <v>1.1121205530860274</v>
      </c>
    </row>
    <row r="12467" spans="1:4" x14ac:dyDescent="0.3">
      <c r="A12467" s="1">
        <v>44021</v>
      </c>
      <c r="B12467">
        <v>10547.75</v>
      </c>
      <c r="C12467">
        <f t="shared" si="405"/>
        <v>5.2656659518703838E-3</v>
      </c>
      <c r="D12467">
        <f t="shared" si="404"/>
        <v>0.38405367169180121</v>
      </c>
    </row>
    <row r="12468" spans="1:4" x14ac:dyDescent="0.3">
      <c r="A12468" s="1">
        <v>44022</v>
      </c>
      <c r="B12468">
        <v>10617.440430000001</v>
      </c>
      <c r="C12468">
        <f t="shared" si="405"/>
        <v>6.6071370671470751E-3</v>
      </c>
      <c r="D12468">
        <f t="shared" si="404"/>
        <v>0.49136584475175016</v>
      </c>
    </row>
    <row r="12469" spans="1:4" x14ac:dyDescent="0.3">
      <c r="A12469" s="1">
        <v>44025</v>
      </c>
      <c r="B12469">
        <v>10390.839840000001</v>
      </c>
      <c r="C12469">
        <f t="shared" si="405"/>
        <v>-2.1342299162774771E-2</v>
      </c>
      <c r="D12469">
        <f t="shared" si="404"/>
        <v>-1.7444741248734938</v>
      </c>
    </row>
    <row r="12470" spans="1:4" x14ac:dyDescent="0.3">
      <c r="A12470" s="1">
        <v>44026</v>
      </c>
      <c r="B12470">
        <v>10488.58008</v>
      </c>
      <c r="C12470">
        <f t="shared" si="405"/>
        <v>9.4063849991935945E-3</v>
      </c>
      <c r="D12470">
        <f t="shared" si="404"/>
        <v>0.71529416873919671</v>
      </c>
    </row>
    <row r="12471" spans="1:4" x14ac:dyDescent="0.3">
      <c r="A12471" s="1">
        <v>44027</v>
      </c>
      <c r="B12471">
        <v>10550.490229999999</v>
      </c>
      <c r="C12471">
        <f t="shared" si="405"/>
        <v>5.9026245237953799E-3</v>
      </c>
      <c r="D12471">
        <f t="shared" si="404"/>
        <v>0.43500773825650285</v>
      </c>
    </row>
    <row r="12472" spans="1:4" x14ac:dyDescent="0.3">
      <c r="A12472" s="1">
        <v>44028</v>
      </c>
      <c r="B12472">
        <v>10473.83008</v>
      </c>
      <c r="C12472">
        <f t="shared" si="405"/>
        <v>-7.2660272962500726E-3</v>
      </c>
      <c r="D12472">
        <f t="shared" si="404"/>
        <v>-0.61843025752729142</v>
      </c>
    </row>
    <row r="12473" spans="1:4" x14ac:dyDescent="0.3">
      <c r="A12473" s="1">
        <v>44029</v>
      </c>
      <c r="B12473">
        <v>10503.190430000001</v>
      </c>
      <c r="C12473">
        <f t="shared" si="405"/>
        <v>2.8032104565134243E-3</v>
      </c>
      <c r="D12473">
        <f t="shared" si="404"/>
        <v>0.18706735774074465</v>
      </c>
    </row>
    <row r="12474" spans="1:4" x14ac:dyDescent="0.3">
      <c r="A12474" s="1">
        <v>44032</v>
      </c>
      <c r="B12474">
        <v>10767.089840000001</v>
      </c>
      <c r="C12474">
        <f t="shared" si="405"/>
        <v>2.512564270435683E-2</v>
      </c>
      <c r="D12474">
        <f t="shared" si="404"/>
        <v>1.9727701471783448</v>
      </c>
    </row>
    <row r="12475" spans="1:4" x14ac:dyDescent="0.3">
      <c r="A12475" s="1">
        <v>44033</v>
      </c>
      <c r="B12475">
        <v>10680.360350000001</v>
      </c>
      <c r="C12475">
        <f t="shared" si="405"/>
        <v>-8.0550539921936514E-3</v>
      </c>
      <c r="D12475">
        <f t="shared" si="404"/>
        <v>-0.68154914870561722</v>
      </c>
    </row>
    <row r="12476" spans="1:4" x14ac:dyDescent="0.3">
      <c r="A12476" s="1">
        <v>44034</v>
      </c>
      <c r="B12476">
        <v>10706.12988</v>
      </c>
      <c r="C12476">
        <f t="shared" si="405"/>
        <v>2.4127959315529625E-3</v>
      </c>
      <c r="D12476">
        <f t="shared" si="404"/>
        <v>0.15583580113802697</v>
      </c>
    </row>
    <row r="12477" spans="1:4" x14ac:dyDescent="0.3">
      <c r="A12477" s="1">
        <v>44035</v>
      </c>
      <c r="B12477">
        <v>10461.41992</v>
      </c>
      <c r="C12477">
        <f t="shared" si="405"/>
        <v>-2.285699526746262E-2</v>
      </c>
      <c r="D12477">
        <f t="shared" si="404"/>
        <v>-1.8656435847809225</v>
      </c>
    </row>
    <row r="12478" spans="1:4" x14ac:dyDescent="0.3">
      <c r="A12478" s="1">
        <v>44036</v>
      </c>
      <c r="B12478">
        <v>10363.179690000001</v>
      </c>
      <c r="C12478">
        <f t="shared" si="405"/>
        <v>-9.3907166284554824E-3</v>
      </c>
      <c r="D12478">
        <f t="shared" si="404"/>
        <v>-0.78839666732898583</v>
      </c>
    </row>
    <row r="12479" spans="1:4" x14ac:dyDescent="0.3">
      <c r="A12479" s="1">
        <v>44039</v>
      </c>
      <c r="B12479">
        <v>10536.26953</v>
      </c>
      <c r="C12479">
        <f t="shared" si="405"/>
        <v>1.6702387218762847E-2</v>
      </c>
      <c r="D12479">
        <f t="shared" si="404"/>
        <v>1.298944344964345</v>
      </c>
    </row>
    <row r="12480" spans="1:4" x14ac:dyDescent="0.3">
      <c r="A12480" s="1">
        <v>44040</v>
      </c>
      <c r="B12480">
        <v>10402.089840000001</v>
      </c>
      <c r="C12480">
        <f t="shared" si="405"/>
        <v>-1.2735028239164553E-2</v>
      </c>
      <c r="D12480">
        <f t="shared" si="404"/>
        <v>-1.0559278442941975</v>
      </c>
    </row>
    <row r="12481" spans="1:4" x14ac:dyDescent="0.3">
      <c r="A12481" s="1">
        <v>44041</v>
      </c>
      <c r="B12481">
        <v>10542.940430000001</v>
      </c>
      <c r="C12481">
        <f t="shared" si="405"/>
        <v>1.3540605029037128E-2</v>
      </c>
      <c r="D12481">
        <f t="shared" si="404"/>
        <v>1.0460147711123375</v>
      </c>
    </row>
    <row r="12482" spans="1:4" x14ac:dyDescent="0.3">
      <c r="A12482" s="1">
        <v>44042</v>
      </c>
      <c r="B12482">
        <v>10587.809569999999</v>
      </c>
      <c r="C12482">
        <f t="shared" si="405"/>
        <v>4.2558468671911936E-3</v>
      </c>
      <c r="D12482">
        <f t="shared" si="404"/>
        <v>0.30327229731835376</v>
      </c>
    </row>
    <row r="12483" spans="1:4" x14ac:dyDescent="0.3">
      <c r="A12483" s="1">
        <v>44043</v>
      </c>
      <c r="B12483">
        <v>10745.26953</v>
      </c>
      <c r="C12483">
        <f t="shared" si="405"/>
        <v>1.48718163996975E-2</v>
      </c>
      <c r="D12483">
        <f t="shared" ref="D12483:D12546" si="406">(C12483-avrtn)/sdrtn</f>
        <v>1.152506206791303</v>
      </c>
    </row>
    <row r="12484" spans="1:4" x14ac:dyDescent="0.3">
      <c r="A12484" s="1">
        <v>44046</v>
      </c>
      <c r="B12484">
        <v>10902.79981</v>
      </c>
      <c r="C12484">
        <f t="shared" ref="C12484:C12547" si="407">(B12484-B12483)/B12483</f>
        <v>1.4660430765388243E-2</v>
      </c>
      <c r="D12484">
        <f t="shared" si="406"/>
        <v>1.1355962252694844</v>
      </c>
    </row>
    <row r="12485" spans="1:4" x14ac:dyDescent="0.3">
      <c r="A12485" s="1">
        <v>44047</v>
      </c>
      <c r="B12485">
        <v>10941.16992</v>
      </c>
      <c r="C12485">
        <f t="shared" si="407"/>
        <v>3.5192896016312198E-3</v>
      </c>
      <c r="D12485">
        <f t="shared" si="406"/>
        <v>0.24435074481512928</v>
      </c>
    </row>
    <row r="12486" spans="1:4" x14ac:dyDescent="0.3">
      <c r="A12486" s="1">
        <v>44048</v>
      </c>
      <c r="B12486">
        <v>10998.400390000001</v>
      </c>
      <c r="C12486">
        <f t="shared" si="407"/>
        <v>5.2307450134181279E-3</v>
      </c>
      <c r="D12486">
        <f t="shared" si="406"/>
        <v>0.38126014021137766</v>
      </c>
    </row>
    <row r="12487" spans="1:4" x14ac:dyDescent="0.3">
      <c r="A12487" s="1">
        <v>44049</v>
      </c>
      <c r="B12487">
        <v>11108.070309999999</v>
      </c>
      <c r="C12487">
        <f t="shared" si="407"/>
        <v>9.9714427654145846E-3</v>
      </c>
      <c r="D12487">
        <f t="shared" si="406"/>
        <v>0.76049646650545766</v>
      </c>
    </row>
    <row r="12488" spans="1:4" x14ac:dyDescent="0.3">
      <c r="A12488" s="1">
        <v>44050</v>
      </c>
      <c r="B12488">
        <v>11010.98047</v>
      </c>
      <c r="C12488">
        <f t="shared" si="407"/>
        <v>-8.7404776248664866E-3</v>
      </c>
      <c r="D12488">
        <f t="shared" si="406"/>
        <v>-0.73638022084062549</v>
      </c>
    </row>
    <row r="12489" spans="1:4" x14ac:dyDescent="0.3">
      <c r="A12489" s="1">
        <v>44053</v>
      </c>
      <c r="B12489">
        <v>10968.360350000001</v>
      </c>
      <c r="C12489">
        <f t="shared" si="407"/>
        <v>-3.8706925433316646E-3</v>
      </c>
      <c r="D12489">
        <f t="shared" si="406"/>
        <v>-0.34681743899374717</v>
      </c>
    </row>
    <row r="12490" spans="1:4" x14ac:dyDescent="0.3">
      <c r="A12490" s="1">
        <v>44054</v>
      </c>
      <c r="B12490">
        <v>10782.820309999999</v>
      </c>
      <c r="C12490">
        <f t="shared" si="407"/>
        <v>-1.6915932197650824E-2</v>
      </c>
      <c r="D12490">
        <f t="shared" si="406"/>
        <v>-1.3903829689932958</v>
      </c>
    </row>
    <row r="12491" spans="1:4" x14ac:dyDescent="0.3">
      <c r="A12491" s="1">
        <v>44055</v>
      </c>
      <c r="B12491">
        <v>11012.240229999999</v>
      </c>
      <c r="C12491">
        <f t="shared" si="407"/>
        <v>2.127642985826593E-2</v>
      </c>
      <c r="D12491">
        <f t="shared" si="406"/>
        <v>1.6648489475488721</v>
      </c>
    </row>
    <row r="12492" spans="1:4" x14ac:dyDescent="0.3">
      <c r="A12492" s="1">
        <v>44056</v>
      </c>
      <c r="B12492">
        <v>11042.5</v>
      </c>
      <c r="C12492">
        <f t="shared" si="407"/>
        <v>2.747830538382704E-3</v>
      </c>
      <c r="D12492">
        <f t="shared" si="406"/>
        <v>0.1826371920138711</v>
      </c>
    </row>
    <row r="12493" spans="1:4" x14ac:dyDescent="0.3">
      <c r="A12493" s="1">
        <v>44057</v>
      </c>
      <c r="B12493">
        <v>11019.29981</v>
      </c>
      <c r="C12493">
        <f t="shared" si="407"/>
        <v>-2.1009907176816451E-3</v>
      </c>
      <c r="D12493">
        <f t="shared" si="406"/>
        <v>-0.20524856999913482</v>
      </c>
    </row>
    <row r="12494" spans="1:4" x14ac:dyDescent="0.3">
      <c r="A12494" s="1">
        <v>44060</v>
      </c>
      <c r="B12494">
        <v>11129.73047</v>
      </c>
      <c r="C12494">
        <f t="shared" si="407"/>
        <v>1.0021567785984398E-2</v>
      </c>
      <c r="D12494">
        <f t="shared" si="406"/>
        <v>0.76450626203572647</v>
      </c>
    </row>
    <row r="12495" spans="1:4" x14ac:dyDescent="0.3">
      <c r="A12495" s="1">
        <v>44061</v>
      </c>
      <c r="B12495">
        <v>11210.839840000001</v>
      </c>
      <c r="C12495">
        <f t="shared" si="407"/>
        <v>7.2876311082850616E-3</v>
      </c>
      <c r="D12495">
        <f t="shared" si="406"/>
        <v>0.54580256983457198</v>
      </c>
    </row>
    <row r="12496" spans="1:4" x14ac:dyDescent="0.3">
      <c r="A12496" s="1">
        <v>44062</v>
      </c>
      <c r="B12496">
        <v>11146.45996</v>
      </c>
      <c r="C12496">
        <f t="shared" si="407"/>
        <v>-5.7426455929104068E-3</v>
      </c>
      <c r="D12496">
        <f t="shared" si="406"/>
        <v>-0.4965659854431122</v>
      </c>
    </row>
    <row r="12497" spans="1:4" x14ac:dyDescent="0.3">
      <c r="A12497" s="1">
        <v>44063</v>
      </c>
      <c r="B12497">
        <v>11264.950199999999</v>
      </c>
      <c r="C12497">
        <f t="shared" si="407"/>
        <v>1.0630302394232004E-2</v>
      </c>
      <c r="D12497">
        <f t="shared" si="406"/>
        <v>0.81320252756386913</v>
      </c>
    </row>
    <row r="12498" spans="1:4" x14ac:dyDescent="0.3">
      <c r="A12498" s="1">
        <v>44064</v>
      </c>
      <c r="B12498">
        <v>11311.79981</v>
      </c>
      <c r="C12498">
        <f t="shared" si="407"/>
        <v>4.1588830104194443E-3</v>
      </c>
      <c r="D12498">
        <f t="shared" si="406"/>
        <v>0.29551558749437529</v>
      </c>
    </row>
    <row r="12499" spans="1:4" x14ac:dyDescent="0.3">
      <c r="A12499" s="1">
        <v>44067</v>
      </c>
      <c r="B12499">
        <v>11379.719730000001</v>
      </c>
      <c r="C12499">
        <f t="shared" si="407"/>
        <v>6.0043424689992173E-3</v>
      </c>
      <c r="D12499">
        <f t="shared" si="406"/>
        <v>0.44314475560611993</v>
      </c>
    </row>
    <row r="12500" spans="1:4" x14ac:dyDescent="0.3">
      <c r="A12500" s="1">
        <v>44068</v>
      </c>
      <c r="B12500">
        <v>11466.469730000001</v>
      </c>
      <c r="C12500">
        <f t="shared" si="407"/>
        <v>7.6232105937814685E-3</v>
      </c>
      <c r="D12500">
        <f t="shared" si="406"/>
        <v>0.57264754876319479</v>
      </c>
    </row>
    <row r="12501" spans="1:4" x14ac:dyDescent="0.3">
      <c r="A12501" s="1">
        <v>44069</v>
      </c>
      <c r="B12501">
        <v>11665.059569999999</v>
      </c>
      <c r="C12501">
        <f t="shared" si="407"/>
        <v>1.7319178847210782E-2</v>
      </c>
      <c r="D12501">
        <f t="shared" si="406"/>
        <v>1.3482851389778487</v>
      </c>
    </row>
    <row r="12502" spans="1:4" x14ac:dyDescent="0.3">
      <c r="A12502" s="1">
        <v>44070</v>
      </c>
      <c r="B12502">
        <v>11625.339840000001</v>
      </c>
      <c r="C12502">
        <f t="shared" si="407"/>
        <v>-3.4050173307429489E-3</v>
      </c>
      <c r="D12502">
        <f t="shared" si="406"/>
        <v>-0.30956533685456589</v>
      </c>
    </row>
    <row r="12503" spans="1:4" x14ac:dyDescent="0.3">
      <c r="A12503" s="1">
        <v>44071</v>
      </c>
      <c r="B12503">
        <v>11695.62988</v>
      </c>
      <c r="C12503">
        <f t="shared" si="407"/>
        <v>6.0462782995941954E-3</v>
      </c>
      <c r="D12503">
        <f t="shared" si="406"/>
        <v>0.44649944961255239</v>
      </c>
    </row>
    <row r="12504" spans="1:4" x14ac:dyDescent="0.3">
      <c r="A12504" s="1">
        <v>44074</v>
      </c>
      <c r="B12504">
        <v>11775.45996</v>
      </c>
      <c r="C12504">
        <f t="shared" si="407"/>
        <v>6.8256332338724555E-3</v>
      </c>
      <c r="D12504">
        <f t="shared" si="406"/>
        <v>0.5088446396281745</v>
      </c>
    </row>
    <row r="12505" spans="1:4" x14ac:dyDescent="0.3">
      <c r="A12505" s="1">
        <v>44075</v>
      </c>
      <c r="B12505">
        <v>11939.66992</v>
      </c>
      <c r="C12505">
        <f t="shared" si="407"/>
        <v>1.3945099432022538E-2</v>
      </c>
      <c r="D12505">
        <f t="shared" si="406"/>
        <v>1.0783726600602468</v>
      </c>
    </row>
    <row r="12506" spans="1:4" x14ac:dyDescent="0.3">
      <c r="A12506" s="1">
        <v>44076</v>
      </c>
      <c r="B12506">
        <v>12056.440430000001</v>
      </c>
      <c r="C12506">
        <f t="shared" si="407"/>
        <v>9.780045075148968E-3</v>
      </c>
      <c r="D12506">
        <f t="shared" si="406"/>
        <v>0.74518543831621342</v>
      </c>
    </row>
    <row r="12507" spans="1:4" x14ac:dyDescent="0.3">
      <c r="A12507" s="1">
        <v>44077</v>
      </c>
      <c r="B12507">
        <v>11458.099609999999</v>
      </c>
      <c r="C12507">
        <f t="shared" si="407"/>
        <v>-4.9628314714776987E-2</v>
      </c>
      <c r="D12507">
        <f t="shared" si="406"/>
        <v>-4.0072390562427245</v>
      </c>
    </row>
    <row r="12508" spans="1:4" x14ac:dyDescent="0.3">
      <c r="A12508" s="1">
        <v>44078</v>
      </c>
      <c r="B12508">
        <v>11313.12988</v>
      </c>
      <c r="C12508">
        <f t="shared" si="407"/>
        <v>-1.2652161783746171E-2</v>
      </c>
      <c r="D12508">
        <f t="shared" si="406"/>
        <v>-1.0492988686096276</v>
      </c>
    </row>
    <row r="12509" spans="1:4" x14ac:dyDescent="0.3">
      <c r="A12509" s="1">
        <v>44082</v>
      </c>
      <c r="B12509">
        <v>10847.690430000001</v>
      </c>
      <c r="C12509">
        <f t="shared" si="407"/>
        <v>-4.1141528024249981E-2</v>
      </c>
      <c r="D12509">
        <f t="shared" si="406"/>
        <v>-3.3283310188759585</v>
      </c>
    </row>
    <row r="12510" spans="1:4" x14ac:dyDescent="0.3">
      <c r="A12510" s="1">
        <v>44083</v>
      </c>
      <c r="B12510">
        <v>11141.559569999999</v>
      </c>
      <c r="C12510">
        <f t="shared" si="407"/>
        <v>2.7090479940991351E-2</v>
      </c>
      <c r="D12510">
        <f t="shared" si="406"/>
        <v>2.1299490466501125</v>
      </c>
    </row>
    <row r="12511" spans="1:4" x14ac:dyDescent="0.3">
      <c r="A12511" s="1">
        <v>44084</v>
      </c>
      <c r="B12511">
        <v>10919.589840000001</v>
      </c>
      <c r="C12511">
        <f t="shared" si="407"/>
        <v>-1.9922680357755237E-2</v>
      </c>
      <c r="D12511">
        <f t="shared" si="406"/>
        <v>-1.6309104579793376</v>
      </c>
    </row>
    <row r="12512" spans="1:4" x14ac:dyDescent="0.3">
      <c r="A12512" s="1">
        <v>44085</v>
      </c>
      <c r="B12512">
        <v>10853.54981</v>
      </c>
      <c r="C12512">
        <f t="shared" si="407"/>
        <v>-6.0478489547369403E-3</v>
      </c>
      <c r="D12512">
        <f t="shared" si="406"/>
        <v>-0.52098099938551212</v>
      </c>
    </row>
    <row r="12513" spans="1:4" x14ac:dyDescent="0.3">
      <c r="A12513" s="1">
        <v>44088</v>
      </c>
      <c r="B12513">
        <v>11056.650390000001</v>
      </c>
      <c r="C12513">
        <f t="shared" si="407"/>
        <v>1.8712825163696399E-2</v>
      </c>
      <c r="D12513">
        <f t="shared" si="406"/>
        <v>1.4597711135888023</v>
      </c>
    </row>
    <row r="12514" spans="1:4" x14ac:dyDescent="0.3">
      <c r="A12514" s="1">
        <v>44089</v>
      </c>
      <c r="B12514">
        <v>11190.320309999999</v>
      </c>
      <c r="C12514">
        <f t="shared" si="407"/>
        <v>1.2089549301558268E-2</v>
      </c>
      <c r="D12514">
        <f t="shared" si="406"/>
        <v>0.92993627969083315</v>
      </c>
    </row>
    <row r="12515" spans="1:4" x14ac:dyDescent="0.3">
      <c r="A12515" s="1">
        <v>44090</v>
      </c>
      <c r="B12515">
        <v>11050.469730000001</v>
      </c>
      <c r="C12515">
        <f t="shared" si="407"/>
        <v>-1.2497459958766673E-2</v>
      </c>
      <c r="D12515">
        <f t="shared" si="406"/>
        <v>-1.036923358748973</v>
      </c>
    </row>
    <row r="12516" spans="1:4" x14ac:dyDescent="0.3">
      <c r="A12516" s="1">
        <v>44091</v>
      </c>
      <c r="B12516">
        <v>10910.280269999999</v>
      </c>
      <c r="C12516">
        <f t="shared" si="407"/>
        <v>-1.2686289671416657E-2</v>
      </c>
      <c r="D12516">
        <f t="shared" si="406"/>
        <v>-1.0520289592885539</v>
      </c>
    </row>
    <row r="12517" spans="1:4" x14ac:dyDescent="0.3">
      <c r="A12517" s="1">
        <v>44092</v>
      </c>
      <c r="B12517">
        <v>10793.280269999999</v>
      </c>
      <c r="C12517">
        <f t="shared" si="407"/>
        <v>-1.0723830837023952E-2</v>
      </c>
      <c r="D12517">
        <f t="shared" si="406"/>
        <v>-0.89504032221608265</v>
      </c>
    </row>
    <row r="12518" spans="1:4" x14ac:dyDescent="0.3">
      <c r="A12518" s="1">
        <v>44095</v>
      </c>
      <c r="B12518">
        <v>10778.79981</v>
      </c>
      <c r="C12518">
        <f t="shared" si="407"/>
        <v>-1.341618084378611E-3</v>
      </c>
      <c r="D12518">
        <f t="shared" si="406"/>
        <v>-0.14450188189381824</v>
      </c>
    </row>
    <row r="12519" spans="1:4" x14ac:dyDescent="0.3">
      <c r="A12519" s="1">
        <v>44096</v>
      </c>
      <c r="B12519">
        <v>10963.639649999999</v>
      </c>
      <c r="C12519">
        <f t="shared" si="407"/>
        <v>1.7148462097655262E-2</v>
      </c>
      <c r="D12519">
        <f t="shared" si="406"/>
        <v>1.334628501004876</v>
      </c>
    </row>
    <row r="12520" spans="1:4" x14ac:dyDescent="0.3">
      <c r="A12520" s="1">
        <v>44097</v>
      </c>
      <c r="B12520">
        <v>10632.990229999999</v>
      </c>
      <c r="C12520">
        <f t="shared" si="407"/>
        <v>-3.0158727444129355E-2</v>
      </c>
      <c r="D12520">
        <f t="shared" si="406"/>
        <v>-2.4497521340121451</v>
      </c>
    </row>
    <row r="12521" spans="1:4" x14ac:dyDescent="0.3">
      <c r="A12521" s="1">
        <v>44098</v>
      </c>
      <c r="B12521">
        <v>10672.26953</v>
      </c>
      <c r="C12521">
        <f t="shared" si="407"/>
        <v>3.6940972530170517E-3</v>
      </c>
      <c r="D12521">
        <f t="shared" si="406"/>
        <v>0.25833463811263824</v>
      </c>
    </row>
    <row r="12522" spans="1:4" x14ac:dyDescent="0.3">
      <c r="A12522" s="1">
        <v>44099</v>
      </c>
      <c r="B12522">
        <v>10913.559569999999</v>
      </c>
      <c r="C12522">
        <f t="shared" si="407"/>
        <v>2.2609065421532685E-2</v>
      </c>
      <c r="D12522">
        <f t="shared" si="406"/>
        <v>1.7714543127800333</v>
      </c>
    </row>
    <row r="12523" spans="1:4" x14ac:dyDescent="0.3">
      <c r="A12523" s="1">
        <v>44102</v>
      </c>
      <c r="B12523">
        <v>11117.530269999999</v>
      </c>
      <c r="C12523">
        <f t="shared" si="407"/>
        <v>1.8689658373303757E-2</v>
      </c>
      <c r="D12523">
        <f t="shared" si="406"/>
        <v>1.4579178656198024</v>
      </c>
    </row>
    <row r="12524" spans="1:4" x14ac:dyDescent="0.3">
      <c r="A12524" s="1">
        <v>44103</v>
      </c>
      <c r="B12524">
        <v>11085.25</v>
      </c>
      <c r="C12524">
        <f t="shared" si="407"/>
        <v>-2.9035468504282555E-3</v>
      </c>
      <c r="D12524">
        <f t="shared" si="406"/>
        <v>-0.26944976048832675</v>
      </c>
    </row>
    <row r="12525" spans="1:4" x14ac:dyDescent="0.3">
      <c r="A12525" s="1">
        <v>44104</v>
      </c>
      <c r="B12525">
        <v>11167.509770000001</v>
      </c>
      <c r="C12525">
        <f t="shared" si="407"/>
        <v>7.4206508648880787E-3</v>
      </c>
      <c r="D12525">
        <f t="shared" si="406"/>
        <v>0.55644360338230581</v>
      </c>
    </row>
    <row r="12526" spans="1:4" x14ac:dyDescent="0.3">
      <c r="A12526" s="1">
        <v>44105</v>
      </c>
      <c r="B12526">
        <v>11326.509770000001</v>
      </c>
      <c r="C12526">
        <f t="shared" si="407"/>
        <v>1.4237730995958644E-2</v>
      </c>
      <c r="D12526">
        <f t="shared" si="406"/>
        <v>1.1017819818669543</v>
      </c>
    </row>
    <row r="12527" spans="1:4" x14ac:dyDescent="0.3">
      <c r="A12527" s="1">
        <v>44106</v>
      </c>
      <c r="B12527">
        <v>11075.01953</v>
      </c>
      <c r="C12527">
        <f t="shared" si="407"/>
        <v>-2.2203683668389311E-2</v>
      </c>
      <c r="D12527">
        <f t="shared" si="406"/>
        <v>-1.8133813432884054</v>
      </c>
    </row>
    <row r="12528" spans="1:4" x14ac:dyDescent="0.3">
      <c r="A12528" s="1">
        <v>44109</v>
      </c>
      <c r="B12528">
        <v>11332.490229999999</v>
      </c>
      <c r="C12528">
        <f t="shared" si="407"/>
        <v>2.324787773985983E-2</v>
      </c>
      <c r="D12528">
        <f t="shared" si="406"/>
        <v>1.822556671434256</v>
      </c>
    </row>
    <row r="12529" spans="1:4" x14ac:dyDescent="0.3">
      <c r="A12529" s="1">
        <v>44110</v>
      </c>
      <c r="B12529">
        <v>11154.599609999999</v>
      </c>
      <c r="C12529">
        <f t="shared" si="407"/>
        <v>-1.5697398929061343E-2</v>
      </c>
      <c r="D12529">
        <f t="shared" si="406"/>
        <v>-1.2929053181448775</v>
      </c>
    </row>
    <row r="12530" spans="1:4" x14ac:dyDescent="0.3">
      <c r="A12530" s="1">
        <v>44111</v>
      </c>
      <c r="B12530">
        <v>11364.599609999999</v>
      </c>
      <c r="C12530">
        <f t="shared" si="407"/>
        <v>1.882631446598378E-2</v>
      </c>
      <c r="D12530">
        <f t="shared" si="406"/>
        <v>1.4688497911009935</v>
      </c>
    </row>
    <row r="12531" spans="1:4" x14ac:dyDescent="0.3">
      <c r="A12531" s="1">
        <v>44112</v>
      </c>
      <c r="B12531">
        <v>11420.98047</v>
      </c>
      <c r="C12531">
        <f t="shared" si="407"/>
        <v>4.9610951493962155E-3</v>
      </c>
      <c r="D12531">
        <f t="shared" si="406"/>
        <v>0.35968925989649092</v>
      </c>
    </row>
    <row r="12532" spans="1:4" x14ac:dyDescent="0.3">
      <c r="A12532" s="1">
        <v>44113</v>
      </c>
      <c r="B12532">
        <v>11579.940430000001</v>
      </c>
      <c r="C12532">
        <f t="shared" si="407"/>
        <v>1.3918241119275825E-2</v>
      </c>
      <c r="D12532">
        <f t="shared" si="406"/>
        <v>1.0762241054825517</v>
      </c>
    </row>
    <row r="12533" spans="1:4" x14ac:dyDescent="0.3">
      <c r="A12533" s="1">
        <v>44116</v>
      </c>
      <c r="B12533">
        <v>11876.259770000001</v>
      </c>
      <c r="C12533">
        <f t="shared" si="407"/>
        <v>2.558902109999887E-2</v>
      </c>
      <c r="D12533">
        <f t="shared" si="406"/>
        <v>2.0098385134063599</v>
      </c>
    </row>
    <row r="12534" spans="1:4" x14ac:dyDescent="0.3">
      <c r="A12534" s="1">
        <v>44117</v>
      </c>
      <c r="B12534">
        <v>11863.900390000001</v>
      </c>
      <c r="C12534">
        <f t="shared" si="407"/>
        <v>-1.0406794933216482E-3</v>
      </c>
      <c r="D12534">
        <f t="shared" si="406"/>
        <v>-0.12042803207614181</v>
      </c>
    </row>
    <row r="12535" spans="1:4" x14ac:dyDescent="0.3">
      <c r="A12535" s="1">
        <v>44118</v>
      </c>
      <c r="B12535">
        <v>11768.73047</v>
      </c>
      <c r="C12535">
        <f t="shared" si="407"/>
        <v>-8.0218070677850889E-3</v>
      </c>
      <c r="D12535">
        <f t="shared" si="406"/>
        <v>-0.67888953146510234</v>
      </c>
    </row>
    <row r="12536" spans="1:4" x14ac:dyDescent="0.3">
      <c r="A12536" s="1">
        <v>44119</v>
      </c>
      <c r="B12536">
        <v>11713.87012</v>
      </c>
      <c r="C12536">
        <f t="shared" si="407"/>
        <v>-4.661535085695682E-3</v>
      </c>
      <c r="D12536">
        <f t="shared" si="406"/>
        <v>-0.41008159041890313</v>
      </c>
    </row>
    <row r="12537" spans="1:4" x14ac:dyDescent="0.3">
      <c r="A12537" s="1">
        <v>44120</v>
      </c>
      <c r="B12537">
        <v>11671.559569999999</v>
      </c>
      <c r="C12537">
        <f t="shared" si="407"/>
        <v>-3.612004364617298E-3</v>
      </c>
      <c r="D12537">
        <f t="shared" si="406"/>
        <v>-0.32612344842874474</v>
      </c>
    </row>
    <row r="12538" spans="1:4" x14ac:dyDescent="0.3">
      <c r="A12538" s="1">
        <v>44123</v>
      </c>
      <c r="B12538">
        <v>11478.87988</v>
      </c>
      <c r="C12538">
        <f t="shared" si="407"/>
        <v>-1.6508478480909559E-2</v>
      </c>
      <c r="D12538">
        <f t="shared" si="406"/>
        <v>-1.3577883471136891</v>
      </c>
    </row>
    <row r="12539" spans="1:4" x14ac:dyDescent="0.3">
      <c r="A12539" s="1">
        <v>44124</v>
      </c>
      <c r="B12539">
        <v>11516.490229999999</v>
      </c>
      <c r="C12539">
        <f t="shared" si="407"/>
        <v>3.2764825830722969E-3</v>
      </c>
      <c r="D12539">
        <f t="shared" si="406"/>
        <v>0.2249271817588416</v>
      </c>
    </row>
    <row r="12540" spans="1:4" x14ac:dyDescent="0.3">
      <c r="A12540" s="1">
        <v>44125</v>
      </c>
      <c r="B12540">
        <v>11484.690430000001</v>
      </c>
      <c r="C12540">
        <f t="shared" si="407"/>
        <v>-2.7612405659114487E-3</v>
      </c>
      <c r="D12540">
        <f t="shared" si="406"/>
        <v>-0.25806584289392065</v>
      </c>
    </row>
    <row r="12541" spans="1:4" x14ac:dyDescent="0.3">
      <c r="A12541" s="1">
        <v>44126</v>
      </c>
      <c r="B12541">
        <v>11506.009770000001</v>
      </c>
      <c r="C12541">
        <f t="shared" si="407"/>
        <v>1.8563269188614959E-3</v>
      </c>
      <c r="D12541">
        <f t="shared" si="406"/>
        <v>0.11132056833696247</v>
      </c>
    </row>
    <row r="12542" spans="1:4" x14ac:dyDescent="0.3">
      <c r="A12542" s="1">
        <v>44127</v>
      </c>
      <c r="B12542">
        <v>11548.280269999999</v>
      </c>
      <c r="C12542">
        <f t="shared" si="407"/>
        <v>3.6737757784816062E-3</v>
      </c>
      <c r="D12542">
        <f t="shared" si="406"/>
        <v>0.25670900371220523</v>
      </c>
    </row>
    <row r="12543" spans="1:4" x14ac:dyDescent="0.3">
      <c r="A12543" s="1">
        <v>44130</v>
      </c>
      <c r="B12543">
        <v>11358.940430000001</v>
      </c>
      <c r="C12543">
        <f t="shared" si="407"/>
        <v>-1.639550093808026E-2</v>
      </c>
      <c r="D12543">
        <f t="shared" si="406"/>
        <v>-1.3487506082537772</v>
      </c>
    </row>
    <row r="12544" spans="1:4" x14ac:dyDescent="0.3">
      <c r="A12544" s="1">
        <v>44131</v>
      </c>
      <c r="B12544">
        <v>11431.349609999999</v>
      </c>
      <c r="C12544">
        <f t="shared" si="407"/>
        <v>6.3746421108750138E-3</v>
      </c>
      <c r="D12544">
        <f t="shared" si="406"/>
        <v>0.47276720427495789</v>
      </c>
    </row>
    <row r="12545" spans="1:4" x14ac:dyDescent="0.3">
      <c r="A12545" s="1">
        <v>44132</v>
      </c>
      <c r="B12545">
        <v>11004.87012</v>
      </c>
      <c r="C12545">
        <f t="shared" si="407"/>
        <v>-3.7307886168306922E-2</v>
      </c>
      <c r="D12545">
        <f t="shared" si="406"/>
        <v>-3.0216554344300195</v>
      </c>
    </row>
    <row r="12546" spans="1:4" x14ac:dyDescent="0.3">
      <c r="A12546" s="1">
        <v>44133</v>
      </c>
      <c r="B12546">
        <v>11185.589840000001</v>
      </c>
      <c r="C12546">
        <f t="shared" si="407"/>
        <v>1.6421794898929799E-2</v>
      </c>
      <c r="D12546">
        <f t="shared" si="406"/>
        <v>1.2764981131802144</v>
      </c>
    </row>
    <row r="12547" spans="1:4" x14ac:dyDescent="0.3">
      <c r="A12547" s="1">
        <v>44134</v>
      </c>
      <c r="B12547">
        <v>10911.589840000001</v>
      </c>
      <c r="C12547">
        <f t="shared" si="407"/>
        <v>-2.4495802538742114E-2</v>
      </c>
      <c r="D12547">
        <f t="shared" ref="D12547:D12610" si="408">(C12547-avrtn)/sdrtn</f>
        <v>-1.9967414276675166</v>
      </c>
    </row>
    <row r="12548" spans="1:4" x14ac:dyDescent="0.3">
      <c r="A12548" s="1">
        <v>44137</v>
      </c>
      <c r="B12548">
        <v>10957.610350000001</v>
      </c>
      <c r="C12548">
        <f t="shared" ref="C12548:C12611" si="409">(B12548-B12547)/B12547</f>
        <v>4.2175806344275386E-3</v>
      </c>
      <c r="D12548">
        <f t="shared" si="408"/>
        <v>0.30021115604895071</v>
      </c>
    </row>
    <row r="12549" spans="1:4" x14ac:dyDescent="0.3">
      <c r="A12549" s="1">
        <v>44138</v>
      </c>
      <c r="B12549">
        <v>11160.570309999999</v>
      </c>
      <c r="C12549">
        <f t="shared" si="409"/>
        <v>1.8522283008539201E-2</v>
      </c>
      <c r="D12549">
        <f t="shared" si="408"/>
        <v>1.4445285246902502</v>
      </c>
    </row>
    <row r="12550" spans="1:4" x14ac:dyDescent="0.3">
      <c r="A12550" s="1">
        <v>44139</v>
      </c>
      <c r="B12550">
        <v>11590.780269999999</v>
      </c>
      <c r="C12550">
        <f t="shared" si="409"/>
        <v>3.8547309684929545E-2</v>
      </c>
      <c r="D12550">
        <f t="shared" si="408"/>
        <v>3.0464483153997635</v>
      </c>
    </row>
    <row r="12551" spans="1:4" x14ac:dyDescent="0.3">
      <c r="A12551" s="1">
        <v>44140</v>
      </c>
      <c r="B12551">
        <v>11890.929690000001</v>
      </c>
      <c r="C12551">
        <f t="shared" si="409"/>
        <v>2.5895531880357314E-2</v>
      </c>
      <c r="D12551">
        <f t="shared" si="408"/>
        <v>2.0343581154551753</v>
      </c>
    </row>
    <row r="12552" spans="1:4" x14ac:dyDescent="0.3">
      <c r="A12552" s="1">
        <v>44141</v>
      </c>
      <c r="B12552">
        <v>11895.23047</v>
      </c>
      <c r="C12552">
        <f t="shared" si="409"/>
        <v>3.616857648747544E-4</v>
      </c>
      <c r="D12552">
        <f t="shared" si="408"/>
        <v>-8.2445779808278646E-3</v>
      </c>
    </row>
    <row r="12553" spans="1:4" x14ac:dyDescent="0.3">
      <c r="A12553" s="1">
        <v>44144</v>
      </c>
      <c r="B12553">
        <v>11713.780269999999</v>
      </c>
      <c r="C12553">
        <f t="shared" si="409"/>
        <v>-1.5254029794346737E-2</v>
      </c>
      <c r="D12553">
        <f t="shared" si="408"/>
        <v>-1.2574376105124847</v>
      </c>
    </row>
    <row r="12554" spans="1:4" x14ac:dyDescent="0.3">
      <c r="A12554" s="1">
        <v>44145</v>
      </c>
      <c r="B12554">
        <v>11553.860350000001</v>
      </c>
      <c r="C12554">
        <f t="shared" si="409"/>
        <v>-1.3652289552465582E-2</v>
      </c>
      <c r="D12554">
        <f t="shared" si="408"/>
        <v>-1.1293049775572219</v>
      </c>
    </row>
    <row r="12555" spans="1:4" x14ac:dyDescent="0.3">
      <c r="A12555" s="1">
        <v>44146</v>
      </c>
      <c r="B12555">
        <v>11786.429690000001</v>
      </c>
      <c r="C12555">
        <f t="shared" si="409"/>
        <v>2.0129145839987584E-2</v>
      </c>
      <c r="D12555">
        <f t="shared" si="408"/>
        <v>1.5730709437466768</v>
      </c>
    </row>
    <row r="12556" spans="1:4" x14ac:dyDescent="0.3">
      <c r="A12556" s="1">
        <v>44147</v>
      </c>
      <c r="B12556">
        <v>11709.589840000001</v>
      </c>
      <c r="C12556">
        <f t="shared" si="409"/>
        <v>-6.5193491176716379E-3</v>
      </c>
      <c r="D12556">
        <f t="shared" si="408"/>
        <v>-0.55869907360003301</v>
      </c>
    </row>
    <row r="12557" spans="1:4" x14ac:dyDescent="0.3">
      <c r="A12557" s="1">
        <v>44148</v>
      </c>
      <c r="B12557">
        <v>11829.29004</v>
      </c>
      <c r="C12557">
        <f t="shared" si="409"/>
        <v>1.0222407585200209E-2</v>
      </c>
      <c r="D12557">
        <f t="shared" si="408"/>
        <v>0.78057262011480233</v>
      </c>
    </row>
    <row r="12558" spans="1:4" x14ac:dyDescent="0.3">
      <c r="A12558" s="1">
        <v>44151</v>
      </c>
      <c r="B12558">
        <v>11924.12988</v>
      </c>
      <c r="C12558">
        <f t="shared" si="409"/>
        <v>8.0173737966780425E-3</v>
      </c>
      <c r="D12558">
        <f t="shared" si="408"/>
        <v>0.60417898418614568</v>
      </c>
    </row>
    <row r="12559" spans="1:4" x14ac:dyDescent="0.3">
      <c r="A12559" s="1">
        <v>44152</v>
      </c>
      <c r="B12559">
        <v>11899.339840000001</v>
      </c>
      <c r="C12559">
        <f t="shared" si="409"/>
        <v>-2.0789810451142003E-3</v>
      </c>
      <c r="D12559">
        <f t="shared" si="408"/>
        <v>-0.20348788669805362</v>
      </c>
    </row>
    <row r="12560" spans="1:4" x14ac:dyDescent="0.3">
      <c r="A12560" s="1">
        <v>44153</v>
      </c>
      <c r="B12560">
        <v>11801.599609999999</v>
      </c>
      <c r="C12560">
        <f t="shared" si="409"/>
        <v>-8.2139203782922842E-3</v>
      </c>
      <c r="D12560">
        <f t="shared" si="408"/>
        <v>-0.69425780633102485</v>
      </c>
    </row>
    <row r="12561" spans="1:4" x14ac:dyDescent="0.3">
      <c r="A12561" s="1">
        <v>44154</v>
      </c>
      <c r="B12561">
        <v>11904.70996</v>
      </c>
      <c r="C12561">
        <f t="shared" si="409"/>
        <v>8.7369808676300998E-3</v>
      </c>
      <c r="D12561">
        <f t="shared" si="408"/>
        <v>0.66174459082035364</v>
      </c>
    </row>
    <row r="12562" spans="1:4" x14ac:dyDescent="0.3">
      <c r="A12562" s="1">
        <v>44155</v>
      </c>
      <c r="B12562">
        <v>11854.969730000001</v>
      </c>
      <c r="C12562">
        <f t="shared" si="409"/>
        <v>-4.1781975509800184E-3</v>
      </c>
      <c r="D12562">
        <f t="shared" si="408"/>
        <v>-0.37141657513746856</v>
      </c>
    </row>
    <row r="12563" spans="1:4" x14ac:dyDescent="0.3">
      <c r="A12563" s="1">
        <v>44158</v>
      </c>
      <c r="B12563">
        <v>11880.62988</v>
      </c>
      <c r="C12563">
        <f t="shared" si="409"/>
        <v>2.1645057376287117E-3</v>
      </c>
      <c r="D12563">
        <f t="shared" si="408"/>
        <v>0.13597360659946492</v>
      </c>
    </row>
    <row r="12564" spans="1:4" x14ac:dyDescent="0.3">
      <c r="A12564" s="1">
        <v>44159</v>
      </c>
      <c r="B12564">
        <v>12036.79004</v>
      </c>
      <c r="C12564">
        <f t="shared" si="409"/>
        <v>1.3144097710078604E-2</v>
      </c>
      <c r="D12564">
        <f t="shared" si="408"/>
        <v>1.0142958160434936</v>
      </c>
    </row>
    <row r="12565" spans="1:4" x14ac:dyDescent="0.3">
      <c r="A12565" s="1">
        <v>44160</v>
      </c>
      <c r="B12565">
        <v>12094.400390000001</v>
      </c>
      <c r="C12565">
        <f t="shared" si="409"/>
        <v>4.7861888268012718E-3</v>
      </c>
      <c r="D12565">
        <f t="shared" si="408"/>
        <v>0.34569747330799144</v>
      </c>
    </row>
    <row r="12566" spans="1:4" x14ac:dyDescent="0.3">
      <c r="A12566" s="1">
        <v>44162</v>
      </c>
      <c r="B12566">
        <v>12205.849609999999</v>
      </c>
      <c r="C12566">
        <f t="shared" si="409"/>
        <v>9.2149438092150506E-3</v>
      </c>
      <c r="D12566">
        <f t="shared" si="408"/>
        <v>0.69997966075179019</v>
      </c>
    </row>
    <row r="12567" spans="1:4" x14ac:dyDescent="0.3">
      <c r="A12567" s="1">
        <v>44165</v>
      </c>
      <c r="B12567">
        <v>12198.740229999999</v>
      </c>
      <c r="C12567">
        <f t="shared" si="409"/>
        <v>-5.8245679138757426E-4</v>
      </c>
      <c r="D12567">
        <f t="shared" si="408"/>
        <v>-8.3772100144424919E-2</v>
      </c>
    </row>
    <row r="12568" spans="1:4" x14ac:dyDescent="0.3">
      <c r="A12568" s="1">
        <v>44166</v>
      </c>
      <c r="B12568">
        <v>12355.110350000001</v>
      </c>
      <c r="C12568">
        <f t="shared" si="409"/>
        <v>1.2818546591839459E-2</v>
      </c>
      <c r="D12568">
        <f t="shared" si="408"/>
        <v>0.98825306525855916</v>
      </c>
    </row>
    <row r="12569" spans="1:4" x14ac:dyDescent="0.3">
      <c r="A12569" s="1">
        <v>44167</v>
      </c>
      <c r="B12569">
        <v>12349.37012</v>
      </c>
      <c r="C12569">
        <f t="shared" si="409"/>
        <v>-4.646037014150381E-4</v>
      </c>
      <c r="D12569">
        <f t="shared" si="408"/>
        <v>-7.4344337561423682E-2</v>
      </c>
    </row>
    <row r="12570" spans="1:4" x14ac:dyDescent="0.3">
      <c r="A12570" s="1">
        <v>44168</v>
      </c>
      <c r="B12570">
        <v>12377.179690000001</v>
      </c>
      <c r="C12570">
        <f t="shared" si="409"/>
        <v>2.2519018970014689E-3</v>
      </c>
      <c r="D12570">
        <f t="shared" si="408"/>
        <v>0.14296493997413079</v>
      </c>
    </row>
    <row r="12571" spans="1:4" x14ac:dyDescent="0.3">
      <c r="A12571" s="1">
        <v>44169</v>
      </c>
      <c r="B12571">
        <v>12464.23047</v>
      </c>
      <c r="C12571">
        <f t="shared" si="409"/>
        <v>7.0331676666479399E-3</v>
      </c>
      <c r="D12571">
        <f t="shared" si="408"/>
        <v>0.52544654086352649</v>
      </c>
    </row>
    <row r="12572" spans="1:4" x14ac:dyDescent="0.3">
      <c r="A12572" s="1">
        <v>44172</v>
      </c>
      <c r="B12572">
        <v>12519.950199999999</v>
      </c>
      <c r="C12572">
        <f t="shared" si="409"/>
        <v>4.4703706445504204E-3</v>
      </c>
      <c r="D12572">
        <f t="shared" si="408"/>
        <v>0.32043331738004849</v>
      </c>
    </row>
    <row r="12573" spans="1:4" x14ac:dyDescent="0.3">
      <c r="A12573" s="1">
        <v>44173</v>
      </c>
      <c r="B12573">
        <v>12582.76953</v>
      </c>
      <c r="C12573">
        <f t="shared" si="409"/>
        <v>5.0175383285470474E-3</v>
      </c>
      <c r="D12573">
        <f t="shared" si="408"/>
        <v>0.36420448213281797</v>
      </c>
    </row>
    <row r="12574" spans="1:4" x14ac:dyDescent="0.3">
      <c r="A12574" s="1">
        <v>44174</v>
      </c>
      <c r="B12574">
        <v>12338.950199999999</v>
      </c>
      <c r="C12574">
        <f t="shared" si="409"/>
        <v>-1.9377238804118846E-2</v>
      </c>
      <c r="D12574">
        <f t="shared" si="408"/>
        <v>-1.5872773765574966</v>
      </c>
    </row>
    <row r="12575" spans="1:4" x14ac:dyDescent="0.3">
      <c r="A12575" s="1">
        <v>44175</v>
      </c>
      <c r="B12575">
        <v>12405.809569999999</v>
      </c>
      <c r="C12575">
        <f t="shared" si="409"/>
        <v>5.4185622695843384E-3</v>
      </c>
      <c r="D12575">
        <f t="shared" si="408"/>
        <v>0.39628474839550243</v>
      </c>
    </row>
    <row r="12576" spans="1:4" x14ac:dyDescent="0.3">
      <c r="A12576" s="1">
        <v>44176</v>
      </c>
      <c r="B12576">
        <v>12377.87012</v>
      </c>
      <c r="C12576">
        <f t="shared" si="409"/>
        <v>-2.2521262995656198E-3</v>
      </c>
      <c r="D12576">
        <f t="shared" si="408"/>
        <v>-0.21733879507662665</v>
      </c>
    </row>
    <row r="12577" spans="1:4" x14ac:dyDescent="0.3">
      <c r="A12577" s="1">
        <v>44179</v>
      </c>
      <c r="B12577">
        <v>12440.04004</v>
      </c>
      <c r="C12577">
        <f t="shared" si="409"/>
        <v>5.0226670176112881E-3</v>
      </c>
      <c r="D12577">
        <f t="shared" si="408"/>
        <v>0.36461475616866179</v>
      </c>
    </row>
    <row r="12578" spans="1:4" x14ac:dyDescent="0.3">
      <c r="A12578" s="1">
        <v>44180</v>
      </c>
      <c r="B12578">
        <v>12595.059569999999</v>
      </c>
      <c r="C12578">
        <f t="shared" si="409"/>
        <v>1.2461336900970262E-2</v>
      </c>
      <c r="D12578">
        <f t="shared" si="408"/>
        <v>0.95967775884404893</v>
      </c>
    </row>
    <row r="12579" spans="1:4" x14ac:dyDescent="0.3">
      <c r="A12579" s="1">
        <v>44181</v>
      </c>
      <c r="B12579">
        <v>12658.190430000001</v>
      </c>
      <c r="C12579">
        <f t="shared" si="409"/>
        <v>5.0123510451964559E-3</v>
      </c>
      <c r="D12579">
        <f t="shared" si="408"/>
        <v>0.36378952079500726</v>
      </c>
    </row>
    <row r="12580" spans="1:4" x14ac:dyDescent="0.3">
      <c r="A12580" s="1">
        <v>44182</v>
      </c>
      <c r="B12580">
        <v>12764.75</v>
      </c>
      <c r="C12580">
        <f t="shared" si="409"/>
        <v>8.4182309145430859E-3</v>
      </c>
      <c r="D12580">
        <f t="shared" si="408"/>
        <v>0.63624590528103142</v>
      </c>
    </row>
    <row r="12581" spans="1:4" x14ac:dyDescent="0.3">
      <c r="A12581" s="1">
        <v>44183</v>
      </c>
      <c r="B12581">
        <v>12755.639649999999</v>
      </c>
      <c r="C12581">
        <f t="shared" si="409"/>
        <v>-7.1371158855448283E-4</v>
      </c>
      <c r="D12581">
        <f t="shared" si="408"/>
        <v>-9.4271944194826679E-2</v>
      </c>
    </row>
    <row r="12582" spans="1:4" x14ac:dyDescent="0.3">
      <c r="A12582" s="1">
        <v>44186</v>
      </c>
      <c r="B12582">
        <v>12742.51953</v>
      </c>
      <c r="C12582">
        <f t="shared" si="409"/>
        <v>-1.0285740550846926E-3</v>
      </c>
      <c r="D12582">
        <f t="shared" si="408"/>
        <v>-0.11945964679504482</v>
      </c>
    </row>
    <row r="12583" spans="1:4" x14ac:dyDescent="0.3">
      <c r="A12583" s="1">
        <v>44187</v>
      </c>
      <c r="B12583">
        <v>12807.91992</v>
      </c>
      <c r="C12583">
        <f t="shared" si="409"/>
        <v>5.1324535815720817E-3</v>
      </c>
      <c r="D12583">
        <f t="shared" si="408"/>
        <v>0.3733972298404768</v>
      </c>
    </row>
    <row r="12584" spans="1:4" x14ac:dyDescent="0.3">
      <c r="A12584" s="1">
        <v>44188</v>
      </c>
      <c r="B12584">
        <v>12771.110350000001</v>
      </c>
      <c r="C12584">
        <f t="shared" si="409"/>
        <v>-2.8739694056425236E-3</v>
      </c>
      <c r="D12584">
        <f t="shared" si="408"/>
        <v>-0.26708368652864789</v>
      </c>
    </row>
    <row r="12585" spans="1:4" x14ac:dyDescent="0.3">
      <c r="A12585" s="1">
        <v>44189</v>
      </c>
      <c r="B12585">
        <v>12804.73047</v>
      </c>
      <c r="C12585">
        <f t="shared" si="409"/>
        <v>2.6325134681809076E-3</v>
      </c>
      <c r="D12585">
        <f t="shared" si="408"/>
        <v>0.17341230058435345</v>
      </c>
    </row>
    <row r="12586" spans="1:4" x14ac:dyDescent="0.3">
      <c r="A12586" s="1">
        <v>44193</v>
      </c>
      <c r="B12586">
        <v>12899.41992</v>
      </c>
      <c r="C12586">
        <f t="shared" si="409"/>
        <v>7.3948803703323754E-3</v>
      </c>
      <c r="D12586">
        <f t="shared" si="408"/>
        <v>0.5543820697867563</v>
      </c>
    </row>
    <row r="12587" spans="1:4" x14ac:dyDescent="0.3">
      <c r="A12587" s="1">
        <v>44194</v>
      </c>
      <c r="B12587">
        <v>12850.219730000001</v>
      </c>
      <c r="C12587">
        <f t="shared" si="409"/>
        <v>-3.8141397291607485E-3</v>
      </c>
      <c r="D12587">
        <f t="shared" si="408"/>
        <v>-0.34229344640663528</v>
      </c>
    </row>
    <row r="12588" spans="1:4" x14ac:dyDescent="0.3">
      <c r="A12588" s="1">
        <v>44195</v>
      </c>
      <c r="B12588">
        <v>12870</v>
      </c>
      <c r="C12588">
        <f t="shared" si="409"/>
        <v>1.5392943012344342E-3</v>
      </c>
      <c r="D12588">
        <f t="shared" si="408"/>
        <v>8.5959262572710804E-2</v>
      </c>
    </row>
    <row r="12589" spans="1:4" x14ac:dyDescent="0.3">
      <c r="A12589" s="1">
        <v>44196</v>
      </c>
      <c r="B12589">
        <v>12888.280269999999</v>
      </c>
      <c r="C12589">
        <f t="shared" si="409"/>
        <v>1.4203783993783443E-3</v>
      </c>
      <c r="D12589">
        <f t="shared" si="408"/>
        <v>7.6446479409333842E-2</v>
      </c>
    </row>
    <row r="12590" spans="1:4" x14ac:dyDescent="0.3">
      <c r="A12590" s="1">
        <v>44200</v>
      </c>
      <c r="B12590">
        <v>12698.450199999999</v>
      </c>
      <c r="C12590">
        <f t="shared" si="409"/>
        <v>-1.4728890590769251E-2</v>
      </c>
      <c r="D12590">
        <f t="shared" si="408"/>
        <v>-1.2154286336115936</v>
      </c>
    </row>
    <row r="12591" spans="1:4" x14ac:dyDescent="0.3">
      <c r="A12591" s="1">
        <v>44201</v>
      </c>
      <c r="B12591">
        <v>12818.95996</v>
      </c>
      <c r="C12591">
        <f t="shared" si="409"/>
        <v>9.490115573316249E-3</v>
      </c>
      <c r="D12591">
        <f t="shared" si="408"/>
        <v>0.721992270366831</v>
      </c>
    </row>
    <row r="12592" spans="1:4" x14ac:dyDescent="0.3">
      <c r="A12592" s="1">
        <v>44202</v>
      </c>
      <c r="B12592">
        <v>12740.79004</v>
      </c>
      <c r="C12592">
        <f t="shared" si="409"/>
        <v>-6.0979923678613525E-3</v>
      </c>
      <c r="D12592">
        <f t="shared" si="408"/>
        <v>-0.52499226624451834</v>
      </c>
    </row>
    <row r="12593" spans="1:4" x14ac:dyDescent="0.3">
      <c r="A12593" s="1">
        <v>44203</v>
      </c>
      <c r="B12593">
        <v>13067.48047</v>
      </c>
      <c r="C12593">
        <f t="shared" si="409"/>
        <v>2.5641300812143403E-2</v>
      </c>
      <c r="D12593">
        <f t="shared" si="408"/>
        <v>2.0140206754024614</v>
      </c>
    </row>
    <row r="12594" spans="1:4" x14ac:dyDescent="0.3">
      <c r="A12594" s="1">
        <v>44204</v>
      </c>
      <c r="B12594">
        <v>13201.98047</v>
      </c>
      <c r="C12594">
        <f t="shared" si="409"/>
        <v>1.0292726307017009E-2</v>
      </c>
      <c r="D12594">
        <f t="shared" si="408"/>
        <v>0.7861978287078345</v>
      </c>
    </row>
    <row r="12595" spans="1:4" x14ac:dyDescent="0.3">
      <c r="A12595" s="1">
        <v>44207</v>
      </c>
      <c r="B12595">
        <v>13036.429690000001</v>
      </c>
      <c r="C12595">
        <f t="shared" si="409"/>
        <v>-1.2539844334431102E-2</v>
      </c>
      <c r="D12595">
        <f t="shared" si="408"/>
        <v>-1.0403139345165333</v>
      </c>
    </row>
    <row r="12596" spans="1:4" x14ac:dyDescent="0.3">
      <c r="A12596" s="1">
        <v>44208</v>
      </c>
      <c r="B12596">
        <v>13072.429690000001</v>
      </c>
      <c r="C12596">
        <f t="shared" si="409"/>
        <v>2.7614922840120035E-3</v>
      </c>
      <c r="D12596">
        <f t="shared" si="408"/>
        <v>0.18373007548678136</v>
      </c>
    </row>
    <row r="12597" spans="1:4" x14ac:dyDescent="0.3">
      <c r="A12597" s="1">
        <v>44209</v>
      </c>
      <c r="B12597">
        <v>13128.950199999999</v>
      </c>
      <c r="C12597">
        <f t="shared" si="409"/>
        <v>4.3236423021831118E-3</v>
      </c>
      <c r="D12597">
        <f t="shared" si="408"/>
        <v>0.30869565334121279</v>
      </c>
    </row>
    <row r="12598" spans="1:4" x14ac:dyDescent="0.3">
      <c r="A12598" s="1">
        <v>44210</v>
      </c>
      <c r="B12598">
        <v>13112.639649999999</v>
      </c>
      <c r="C12598">
        <f t="shared" si="409"/>
        <v>-1.2423346689212173E-3</v>
      </c>
      <c r="D12598">
        <f t="shared" si="408"/>
        <v>-0.13655961691307053</v>
      </c>
    </row>
    <row r="12599" spans="1:4" x14ac:dyDescent="0.3">
      <c r="A12599" s="1">
        <v>44211</v>
      </c>
      <c r="B12599">
        <v>12998.5</v>
      </c>
      <c r="C12599">
        <f t="shared" si="409"/>
        <v>-8.7045517185396892E-3</v>
      </c>
      <c r="D12599">
        <f t="shared" si="408"/>
        <v>-0.73350629606269113</v>
      </c>
    </row>
    <row r="12600" spans="1:4" x14ac:dyDescent="0.3">
      <c r="A12600" s="1">
        <v>44215</v>
      </c>
      <c r="B12600">
        <v>13197.179690000001</v>
      </c>
      <c r="C12600">
        <f t="shared" si="409"/>
        <v>1.5284816709620406E-2</v>
      </c>
      <c r="D12600">
        <f t="shared" si="408"/>
        <v>1.1855445333177135</v>
      </c>
    </row>
    <row r="12601" spans="1:4" x14ac:dyDescent="0.3">
      <c r="A12601" s="1">
        <v>44216</v>
      </c>
      <c r="B12601">
        <v>13457.25</v>
      </c>
      <c r="C12601">
        <f t="shared" si="409"/>
        <v>1.9706506701357124E-2</v>
      </c>
      <c r="D12601">
        <f t="shared" si="408"/>
        <v>1.5392615505587623</v>
      </c>
    </row>
    <row r="12602" spans="1:4" x14ac:dyDescent="0.3">
      <c r="A12602" s="1">
        <v>44217</v>
      </c>
      <c r="B12602">
        <v>13530.910159999999</v>
      </c>
      <c r="C12602">
        <f t="shared" si="409"/>
        <v>5.4736413457429599E-3</v>
      </c>
      <c r="D12602">
        <f t="shared" si="408"/>
        <v>0.40069084800167765</v>
      </c>
    </row>
    <row r="12603" spans="1:4" x14ac:dyDescent="0.3">
      <c r="A12603" s="1">
        <v>44218</v>
      </c>
      <c r="B12603">
        <v>13543.059569999999</v>
      </c>
      <c r="C12603">
        <f t="shared" si="409"/>
        <v>8.9790042623414995E-4</v>
      </c>
      <c r="D12603">
        <f t="shared" si="408"/>
        <v>3.4650390000061308E-2</v>
      </c>
    </row>
    <row r="12604" spans="1:4" x14ac:dyDescent="0.3">
      <c r="A12604" s="1">
        <v>44221</v>
      </c>
      <c r="B12604">
        <v>13635.990229999999</v>
      </c>
      <c r="C12604">
        <f t="shared" si="409"/>
        <v>6.861866000047432E-3</v>
      </c>
      <c r="D12604">
        <f t="shared" si="408"/>
        <v>0.51174311193214783</v>
      </c>
    </row>
    <row r="12605" spans="1:4" x14ac:dyDescent="0.3">
      <c r="A12605" s="1">
        <v>44222</v>
      </c>
      <c r="B12605">
        <v>13626.059569999999</v>
      </c>
      <c r="C12605">
        <f t="shared" si="409"/>
        <v>-7.2826834226911801E-4</v>
      </c>
      <c r="D12605">
        <f t="shared" si="408"/>
        <v>-9.543642463426856E-2</v>
      </c>
    </row>
    <row r="12606" spans="1:4" x14ac:dyDescent="0.3">
      <c r="A12606" s="1">
        <v>44223</v>
      </c>
      <c r="B12606">
        <v>13270.599609999999</v>
      </c>
      <c r="C12606">
        <f t="shared" si="409"/>
        <v>-2.6086775723673145E-2</v>
      </c>
      <c r="D12606">
        <f t="shared" si="408"/>
        <v>-2.1240127403411719</v>
      </c>
    </row>
    <row r="12607" spans="1:4" x14ac:dyDescent="0.3">
      <c r="A12607" s="1">
        <v>44224</v>
      </c>
      <c r="B12607">
        <v>13337.160159999999</v>
      </c>
      <c r="C12607">
        <f t="shared" si="409"/>
        <v>5.0156399828266808E-3</v>
      </c>
      <c r="D12607">
        <f t="shared" si="408"/>
        <v>0.36405262228123292</v>
      </c>
    </row>
    <row r="12608" spans="1:4" x14ac:dyDescent="0.3">
      <c r="A12608" s="1">
        <v>44225</v>
      </c>
      <c r="B12608">
        <v>13070.690430000001</v>
      </c>
      <c r="C12608">
        <f t="shared" si="409"/>
        <v>-1.997949539506759E-2</v>
      </c>
      <c r="D12608">
        <f t="shared" si="408"/>
        <v>-1.6354554273394966</v>
      </c>
    </row>
    <row r="12609" spans="1:4" x14ac:dyDescent="0.3">
      <c r="A12609" s="1">
        <v>44228</v>
      </c>
      <c r="B12609">
        <v>13403.389649999999</v>
      </c>
      <c r="C12609">
        <f t="shared" si="409"/>
        <v>2.5453836718248905E-2</v>
      </c>
      <c r="D12609">
        <f t="shared" si="408"/>
        <v>1.9990243187478618</v>
      </c>
    </row>
    <row r="12610" spans="1:4" x14ac:dyDescent="0.3">
      <c r="A12610" s="1">
        <v>44229</v>
      </c>
      <c r="B12610">
        <v>13612.780269999999</v>
      </c>
      <c r="C12610">
        <f t="shared" si="409"/>
        <v>1.562221389273721E-2</v>
      </c>
      <c r="D12610">
        <f t="shared" si="408"/>
        <v>1.2125349205815508</v>
      </c>
    </row>
    <row r="12611" spans="1:4" x14ac:dyDescent="0.3">
      <c r="A12611" s="1">
        <v>44230</v>
      </c>
      <c r="B12611">
        <v>13610.54004</v>
      </c>
      <c r="C12611">
        <f t="shared" si="409"/>
        <v>-1.645681451963544E-4</v>
      </c>
      <c r="D12611">
        <f t="shared" ref="D12611:D12674" si="410">(C12611-avrtn)/sdrtn</f>
        <v>-5.0342726817508128E-2</v>
      </c>
    </row>
    <row r="12612" spans="1:4" x14ac:dyDescent="0.3">
      <c r="A12612" s="1">
        <v>44231</v>
      </c>
      <c r="B12612">
        <v>13777.740229999999</v>
      </c>
      <c r="C12612">
        <f t="shared" ref="C12612:C12675" si="411">(B12612-B12611)/B12611</f>
        <v>1.2284611007984629E-2</v>
      </c>
      <c r="D12612">
        <f t="shared" si="410"/>
        <v>0.94554041410641254</v>
      </c>
    </row>
    <row r="12613" spans="1:4" x14ac:dyDescent="0.3">
      <c r="A12613" s="1">
        <v>44232</v>
      </c>
      <c r="B12613">
        <v>13856.29981</v>
      </c>
      <c r="C12613">
        <f t="shared" si="411"/>
        <v>5.701920539113039E-3</v>
      </c>
      <c r="D12613">
        <f t="shared" si="410"/>
        <v>0.41895224478163196</v>
      </c>
    </row>
    <row r="12614" spans="1:4" x14ac:dyDescent="0.3">
      <c r="A12614" s="1">
        <v>44235</v>
      </c>
      <c r="B12614">
        <v>13987.639649999999</v>
      </c>
      <c r="C12614">
        <f t="shared" si="411"/>
        <v>9.4787094535304182E-3</v>
      </c>
      <c r="D12614">
        <f t="shared" si="410"/>
        <v>0.72107982768620937</v>
      </c>
    </row>
    <row r="12615" spans="1:4" x14ac:dyDescent="0.3">
      <c r="A12615" s="1">
        <v>44236</v>
      </c>
      <c r="B12615">
        <v>14007.700199999999</v>
      </c>
      <c r="C12615">
        <f t="shared" si="411"/>
        <v>1.4341626251431312E-3</v>
      </c>
      <c r="D12615">
        <f t="shared" si="410"/>
        <v>7.7549160789441768E-2</v>
      </c>
    </row>
    <row r="12616" spans="1:4" x14ac:dyDescent="0.3">
      <c r="A12616" s="1">
        <v>44237</v>
      </c>
      <c r="B12616">
        <v>13972.530269999999</v>
      </c>
      <c r="C12616">
        <f t="shared" si="411"/>
        <v>-2.5107569049771655E-3</v>
      </c>
      <c r="D12616">
        <f t="shared" si="410"/>
        <v>-0.23802818001414622</v>
      </c>
    </row>
    <row r="12617" spans="1:4" x14ac:dyDescent="0.3">
      <c r="A12617" s="1">
        <v>44238</v>
      </c>
      <c r="B12617">
        <v>14025.76953</v>
      </c>
      <c r="C12617">
        <f t="shared" si="411"/>
        <v>3.8102805269499902E-3</v>
      </c>
      <c r="D12617">
        <f t="shared" si="410"/>
        <v>0.26762882227879625</v>
      </c>
    </row>
    <row r="12618" spans="1:4" x14ac:dyDescent="0.3">
      <c r="A12618" s="1">
        <v>44239</v>
      </c>
      <c r="B12618">
        <v>14095.469730000001</v>
      </c>
      <c r="C12618">
        <f t="shared" si="411"/>
        <v>4.9694385645591838E-3</v>
      </c>
      <c r="D12618">
        <f t="shared" si="410"/>
        <v>0.36035669880120025</v>
      </c>
    </row>
    <row r="12619" spans="1:4" x14ac:dyDescent="0.3">
      <c r="A12619" s="1">
        <v>44243</v>
      </c>
      <c r="B12619">
        <v>14047.5</v>
      </c>
      <c r="C12619">
        <f t="shared" si="411"/>
        <v>-3.4032019449415471E-3</v>
      </c>
      <c r="D12619">
        <f t="shared" si="410"/>
        <v>-0.30942011345536474</v>
      </c>
    </row>
    <row r="12620" spans="1:4" x14ac:dyDescent="0.3">
      <c r="A12620" s="1">
        <v>44244</v>
      </c>
      <c r="B12620">
        <v>13965.490229999999</v>
      </c>
      <c r="C12620">
        <f t="shared" si="411"/>
        <v>-5.8380331019754813E-3</v>
      </c>
      <c r="D12620">
        <f t="shared" si="410"/>
        <v>-0.50419659393253724</v>
      </c>
    </row>
    <row r="12621" spans="1:4" x14ac:dyDescent="0.3">
      <c r="A12621" s="1">
        <v>44245</v>
      </c>
      <c r="B12621">
        <v>13865.360350000001</v>
      </c>
      <c r="C12621">
        <f t="shared" si="411"/>
        <v>-7.1698077440134804E-3</v>
      </c>
      <c r="D12621">
        <f t="shared" si="410"/>
        <v>-0.61073308900552692</v>
      </c>
    </row>
    <row r="12622" spans="1:4" x14ac:dyDescent="0.3">
      <c r="A12622" s="1">
        <v>44246</v>
      </c>
      <c r="B12622">
        <v>13874.45996</v>
      </c>
      <c r="C12622">
        <f t="shared" si="411"/>
        <v>6.5628370055303335E-4</v>
      </c>
      <c r="D12622">
        <f t="shared" si="410"/>
        <v>1.5322045479484578E-2</v>
      </c>
    </row>
    <row r="12623" spans="1:4" x14ac:dyDescent="0.3">
      <c r="A12623" s="1">
        <v>44249</v>
      </c>
      <c r="B12623">
        <v>13533.04981</v>
      </c>
      <c r="C12623">
        <f t="shared" si="411"/>
        <v>-2.4607094689399336E-2</v>
      </c>
      <c r="D12623">
        <f t="shared" si="410"/>
        <v>-2.0056443420840364</v>
      </c>
    </row>
    <row r="12624" spans="1:4" x14ac:dyDescent="0.3">
      <c r="A12624" s="1">
        <v>44250</v>
      </c>
      <c r="B12624">
        <v>13465.200199999999</v>
      </c>
      <c r="C12624">
        <f t="shared" si="411"/>
        <v>-5.0136230156978276E-3</v>
      </c>
      <c r="D12624">
        <f t="shared" si="410"/>
        <v>-0.43824717702485572</v>
      </c>
    </row>
    <row r="12625" spans="1:4" x14ac:dyDescent="0.3">
      <c r="A12625" s="1">
        <v>44251</v>
      </c>
      <c r="B12625">
        <v>13597.969730000001</v>
      </c>
      <c r="C12625">
        <f t="shared" si="411"/>
        <v>9.8601972512819686E-3</v>
      </c>
      <c r="D12625">
        <f t="shared" si="410"/>
        <v>0.75159728281913585</v>
      </c>
    </row>
    <row r="12626" spans="1:4" x14ac:dyDescent="0.3">
      <c r="A12626" s="1">
        <v>44252</v>
      </c>
      <c r="B12626">
        <v>13119.429690000001</v>
      </c>
      <c r="C12626">
        <f t="shared" si="411"/>
        <v>-3.5192021272428577E-2</v>
      </c>
      <c r="D12626">
        <f t="shared" si="410"/>
        <v>-2.852394943248191</v>
      </c>
    </row>
    <row r="12627" spans="1:4" x14ac:dyDescent="0.3">
      <c r="A12627" s="1">
        <v>44253</v>
      </c>
      <c r="B12627">
        <v>13192.349609999999</v>
      </c>
      <c r="C12627">
        <f t="shared" si="411"/>
        <v>5.5581623380763319E-3</v>
      </c>
      <c r="D12627">
        <f t="shared" si="410"/>
        <v>0.40745217983595022</v>
      </c>
    </row>
    <row r="12628" spans="1:4" x14ac:dyDescent="0.3">
      <c r="A12628" s="1">
        <v>44256</v>
      </c>
      <c r="B12628">
        <v>13588.83008</v>
      </c>
      <c r="C12628">
        <f t="shared" si="411"/>
        <v>3.0053817683808368E-2</v>
      </c>
      <c r="D12628">
        <f t="shared" si="410"/>
        <v>2.3670038807578653</v>
      </c>
    </row>
    <row r="12629" spans="1:4" x14ac:dyDescent="0.3">
      <c r="A12629" s="1">
        <v>44257</v>
      </c>
      <c r="B12629">
        <v>13358.79004</v>
      </c>
      <c r="C12629">
        <f t="shared" si="411"/>
        <v>-1.6928612591791261E-2</v>
      </c>
      <c r="D12629">
        <f t="shared" si="410"/>
        <v>-1.3913973483824384</v>
      </c>
    </row>
    <row r="12630" spans="1:4" x14ac:dyDescent="0.3">
      <c r="A12630" s="1">
        <v>44258</v>
      </c>
      <c r="B12630">
        <v>12997.75</v>
      </c>
      <c r="C12630">
        <f t="shared" si="411"/>
        <v>-2.7026402759452298E-2</v>
      </c>
      <c r="D12630">
        <f t="shared" si="410"/>
        <v>-2.1991790394340462</v>
      </c>
    </row>
    <row r="12631" spans="1:4" x14ac:dyDescent="0.3">
      <c r="A12631" s="1">
        <v>44259</v>
      </c>
      <c r="B12631">
        <v>12723.469730000001</v>
      </c>
      <c r="C12631">
        <f t="shared" si="411"/>
        <v>-2.1102134600219213E-2</v>
      </c>
      <c r="D12631">
        <f t="shared" si="410"/>
        <v>-1.7252619474316313</v>
      </c>
    </row>
    <row r="12632" spans="1:4" x14ac:dyDescent="0.3">
      <c r="A12632" s="1">
        <v>44260</v>
      </c>
      <c r="B12632">
        <v>12920.150390000001</v>
      </c>
      <c r="C12632">
        <f t="shared" si="411"/>
        <v>1.5458099415779407E-2</v>
      </c>
      <c r="D12632">
        <f t="shared" si="410"/>
        <v>1.1994064372676883</v>
      </c>
    </row>
    <row r="12633" spans="1:4" x14ac:dyDescent="0.3">
      <c r="A12633" s="1">
        <v>44263</v>
      </c>
      <c r="B12633">
        <v>12609.160159999999</v>
      </c>
      <c r="C12633">
        <f t="shared" si="411"/>
        <v>-2.4070171059363439E-2</v>
      </c>
      <c r="D12633">
        <f t="shared" si="410"/>
        <v>-1.9626926595243237</v>
      </c>
    </row>
    <row r="12634" spans="1:4" x14ac:dyDescent="0.3">
      <c r="A12634" s="1">
        <v>44264</v>
      </c>
      <c r="B12634">
        <v>13073.820309999999</v>
      </c>
      <c r="C12634">
        <f t="shared" si="411"/>
        <v>3.6850999123164419E-2</v>
      </c>
      <c r="D12634">
        <f t="shared" si="410"/>
        <v>2.9107504457292621</v>
      </c>
    </row>
    <row r="12635" spans="1:4" x14ac:dyDescent="0.3">
      <c r="A12635" s="1">
        <v>44265</v>
      </c>
      <c r="B12635">
        <v>13068.83008</v>
      </c>
      <c r="C12635">
        <f t="shared" si="411"/>
        <v>-3.8169638878870506E-4</v>
      </c>
      <c r="D12635">
        <f t="shared" si="410"/>
        <v>-6.7712093468223628E-2</v>
      </c>
    </row>
    <row r="12636" spans="1:4" x14ac:dyDescent="0.3">
      <c r="A12636" s="1">
        <v>44266</v>
      </c>
      <c r="B12636">
        <v>13398.66992</v>
      </c>
      <c r="C12636">
        <f t="shared" si="411"/>
        <v>2.5238666198956393E-2</v>
      </c>
      <c r="D12636">
        <f t="shared" si="410"/>
        <v>1.9818115619909229</v>
      </c>
    </row>
    <row r="12637" spans="1:4" x14ac:dyDescent="0.3">
      <c r="A12637" s="1">
        <v>44267</v>
      </c>
      <c r="B12637">
        <v>13319.860350000001</v>
      </c>
      <c r="C12637">
        <f t="shared" si="411"/>
        <v>-5.8818950291746148E-3</v>
      </c>
      <c r="D12637">
        <f t="shared" si="410"/>
        <v>-0.50770536774714559</v>
      </c>
    </row>
    <row r="12638" spans="1:4" x14ac:dyDescent="0.3">
      <c r="A12638" s="1">
        <v>44270</v>
      </c>
      <c r="B12638">
        <v>13459.70996</v>
      </c>
      <c r="C12638">
        <f t="shared" si="411"/>
        <v>1.0499330047405437E-2</v>
      </c>
      <c r="D12638">
        <f t="shared" si="410"/>
        <v>0.80272527837925189</v>
      </c>
    </row>
    <row r="12639" spans="1:4" x14ac:dyDescent="0.3">
      <c r="A12639" s="1">
        <v>44271</v>
      </c>
      <c r="B12639">
        <v>13471.570309999999</v>
      </c>
      <c r="C12639">
        <f t="shared" si="411"/>
        <v>8.8117426268812524E-4</v>
      </c>
      <c r="D12639">
        <f t="shared" si="410"/>
        <v>3.3312365694774797E-2</v>
      </c>
    </row>
    <row r="12640" spans="1:4" x14ac:dyDescent="0.3">
      <c r="A12640" s="1">
        <v>44272</v>
      </c>
      <c r="B12640">
        <v>13525.200199999999</v>
      </c>
      <c r="C12640">
        <f t="shared" si="411"/>
        <v>3.9809679767020536E-3</v>
      </c>
      <c r="D12640">
        <f t="shared" si="410"/>
        <v>0.2812831163879741</v>
      </c>
    </row>
    <row r="12641" spans="1:4" x14ac:dyDescent="0.3">
      <c r="A12641" s="1">
        <v>44273</v>
      </c>
      <c r="B12641">
        <v>13116.16992</v>
      </c>
      <c r="C12641">
        <f t="shared" si="411"/>
        <v>-3.0242086915652389E-2</v>
      </c>
      <c r="D12641">
        <f t="shared" si="410"/>
        <v>-2.4564205489577926</v>
      </c>
    </row>
    <row r="12642" spans="1:4" x14ac:dyDescent="0.3">
      <c r="A12642" s="1">
        <v>44274</v>
      </c>
      <c r="B12642">
        <v>13215.240229999999</v>
      </c>
      <c r="C12642">
        <f t="shared" si="411"/>
        <v>7.5532957108868527E-3</v>
      </c>
      <c r="D12642">
        <f t="shared" si="410"/>
        <v>0.56705464562334185</v>
      </c>
    </row>
    <row r="12643" spans="1:4" x14ac:dyDescent="0.3">
      <c r="A12643" s="1">
        <v>44277</v>
      </c>
      <c r="B12643">
        <v>13377.54004</v>
      </c>
      <c r="C12643">
        <f t="shared" si="411"/>
        <v>1.2281260663847987E-2</v>
      </c>
      <c r="D12643">
        <f t="shared" si="410"/>
        <v>0.94527240035217852</v>
      </c>
    </row>
    <row r="12644" spans="1:4" x14ac:dyDescent="0.3">
      <c r="A12644" s="1">
        <v>44278</v>
      </c>
      <c r="B12644">
        <v>13227.700199999999</v>
      </c>
      <c r="C12644">
        <f t="shared" si="411"/>
        <v>-1.1200851543106318E-2</v>
      </c>
      <c r="D12644">
        <f t="shared" si="410"/>
        <v>-0.93320001718180801</v>
      </c>
    </row>
    <row r="12645" spans="1:4" x14ac:dyDescent="0.3">
      <c r="A12645" s="1">
        <v>44279</v>
      </c>
      <c r="B12645">
        <v>12961.889649999999</v>
      </c>
      <c r="C12645">
        <f t="shared" si="411"/>
        <v>-2.0094993534854999E-2</v>
      </c>
      <c r="D12645">
        <f t="shared" si="410"/>
        <v>-1.6446948035913007</v>
      </c>
    </row>
    <row r="12646" spans="1:4" x14ac:dyDescent="0.3">
      <c r="A12646" s="1">
        <v>44280</v>
      </c>
      <c r="B12646">
        <v>12977.679690000001</v>
      </c>
      <c r="C12646">
        <f t="shared" si="411"/>
        <v>1.2181896641900267E-3</v>
      </c>
      <c r="D12646">
        <f t="shared" si="410"/>
        <v>6.0272211999315373E-2</v>
      </c>
    </row>
    <row r="12647" spans="1:4" x14ac:dyDescent="0.3">
      <c r="A12647" s="1">
        <v>44281</v>
      </c>
      <c r="B12647">
        <v>13138.73047</v>
      </c>
      <c r="C12647">
        <f t="shared" si="411"/>
        <v>1.2409828555415638E-2</v>
      </c>
      <c r="D12647">
        <f t="shared" si="410"/>
        <v>0.95555730300326158</v>
      </c>
    </row>
    <row r="12648" spans="1:4" x14ac:dyDescent="0.3">
      <c r="A12648" s="1">
        <v>44284</v>
      </c>
      <c r="B12648">
        <v>13059.650390000001</v>
      </c>
      <c r="C12648">
        <f t="shared" si="411"/>
        <v>-6.0188524439682579E-3</v>
      </c>
      <c r="D12648">
        <f t="shared" si="410"/>
        <v>-0.51866139775838227</v>
      </c>
    </row>
    <row r="12649" spans="1:4" x14ac:dyDescent="0.3">
      <c r="A12649" s="1">
        <v>44285</v>
      </c>
      <c r="B12649">
        <v>13045.389649999999</v>
      </c>
      <c r="C12649">
        <f t="shared" si="411"/>
        <v>-1.0919695071562733E-3</v>
      </c>
      <c r="D12649">
        <f t="shared" si="410"/>
        <v>-0.12453102227711471</v>
      </c>
    </row>
    <row r="12650" spans="1:4" x14ac:dyDescent="0.3">
      <c r="A12650" s="1">
        <v>44286</v>
      </c>
      <c r="B12650">
        <v>13246.87012</v>
      </c>
      <c r="C12650">
        <f t="shared" si="411"/>
        <v>1.5444572788211078E-2</v>
      </c>
      <c r="D12650">
        <f t="shared" si="410"/>
        <v>1.1983243626840467</v>
      </c>
    </row>
    <row r="12651" spans="1:4" x14ac:dyDescent="0.3">
      <c r="A12651" s="1">
        <v>44287</v>
      </c>
      <c r="B12651">
        <v>13480.110350000001</v>
      </c>
      <c r="C12651">
        <f t="shared" si="411"/>
        <v>1.7607195351591571E-2</v>
      </c>
      <c r="D12651">
        <f t="shared" si="410"/>
        <v>1.3713252749973692</v>
      </c>
    </row>
    <row r="12652" spans="1:4" x14ac:dyDescent="0.3">
      <c r="A12652" s="1">
        <v>44291</v>
      </c>
      <c r="B12652">
        <v>13705.589840000001</v>
      </c>
      <c r="C12652">
        <f t="shared" si="411"/>
        <v>1.6726828204340308E-2</v>
      </c>
      <c r="D12652">
        <f t="shared" si="410"/>
        <v>1.3008995233086085</v>
      </c>
    </row>
    <row r="12653" spans="1:4" x14ac:dyDescent="0.3">
      <c r="A12653" s="1">
        <v>44292</v>
      </c>
      <c r="B12653">
        <v>13698.37988</v>
      </c>
      <c r="C12653">
        <f t="shared" si="411"/>
        <v>-5.2605981093624627E-4</v>
      </c>
      <c r="D12653">
        <f t="shared" si="410"/>
        <v>-7.926057361408799E-2</v>
      </c>
    </row>
    <row r="12654" spans="1:4" x14ac:dyDescent="0.3">
      <c r="A12654" s="1">
        <v>44293</v>
      </c>
      <c r="B12654">
        <v>13688.839840000001</v>
      </c>
      <c r="C12654">
        <f t="shared" si="411"/>
        <v>-6.9643564301560769E-4</v>
      </c>
      <c r="D12654">
        <f t="shared" si="410"/>
        <v>-9.288993959082921E-2</v>
      </c>
    </row>
    <row r="12655" spans="1:4" x14ac:dyDescent="0.3">
      <c r="A12655" s="1">
        <v>44294</v>
      </c>
      <c r="B12655">
        <v>13829.309569999999</v>
      </c>
      <c r="C12655">
        <f t="shared" si="411"/>
        <v>1.0261624187429961E-2</v>
      </c>
      <c r="D12655">
        <f t="shared" si="410"/>
        <v>0.78370978703355054</v>
      </c>
    </row>
    <row r="12656" spans="1:4" x14ac:dyDescent="0.3">
      <c r="A12656" s="1">
        <v>44295</v>
      </c>
      <c r="B12656">
        <v>13900.190430000001</v>
      </c>
      <c r="C12656">
        <f t="shared" si="411"/>
        <v>5.1254084407628981E-3</v>
      </c>
      <c r="D12656">
        <f t="shared" si="410"/>
        <v>0.37283364754553422</v>
      </c>
    </row>
    <row r="12657" spans="1:4" x14ac:dyDescent="0.3">
      <c r="A12657" s="1">
        <v>44298</v>
      </c>
      <c r="B12657">
        <v>13850</v>
      </c>
      <c r="C12657">
        <f t="shared" si="411"/>
        <v>-3.6107728345704799E-3</v>
      </c>
      <c r="D12657">
        <f t="shared" si="410"/>
        <v>-0.32602493108908109</v>
      </c>
    </row>
    <row r="12658" spans="1:4" x14ac:dyDescent="0.3">
      <c r="A12658" s="1">
        <v>44299</v>
      </c>
      <c r="B12658">
        <v>13996.099609999999</v>
      </c>
      <c r="C12658">
        <f t="shared" si="411"/>
        <v>1.0548708303249048E-2</v>
      </c>
      <c r="D12658">
        <f t="shared" si="410"/>
        <v>0.80667533580213946</v>
      </c>
    </row>
    <row r="12659" spans="1:4" x14ac:dyDescent="0.3">
      <c r="A12659" s="1">
        <v>44300</v>
      </c>
      <c r="B12659">
        <v>13857.839840000001</v>
      </c>
      <c r="C12659">
        <f t="shared" si="411"/>
        <v>-9.8784499862529032E-3</v>
      </c>
      <c r="D12659">
        <f t="shared" si="410"/>
        <v>-0.82741333038122844</v>
      </c>
    </row>
    <row r="12660" spans="1:4" x14ac:dyDescent="0.3">
      <c r="A12660" s="1">
        <v>44301</v>
      </c>
      <c r="B12660">
        <v>14038.759770000001</v>
      </c>
      <c r="C12660">
        <f t="shared" si="411"/>
        <v>1.3055420764626185E-2</v>
      </c>
      <c r="D12660">
        <f t="shared" si="410"/>
        <v>1.0072020250490785</v>
      </c>
    </row>
    <row r="12661" spans="1:4" x14ac:dyDescent="0.3">
      <c r="A12661" s="1">
        <v>44302</v>
      </c>
      <c r="B12661">
        <v>14052.339840000001</v>
      </c>
      <c r="C12661">
        <f t="shared" si="411"/>
        <v>9.6732690226808958E-4</v>
      </c>
      <c r="D12661">
        <f t="shared" si="410"/>
        <v>4.02042225994012E-2</v>
      </c>
    </row>
    <row r="12662" spans="1:4" x14ac:dyDescent="0.3">
      <c r="A12662" s="1">
        <v>44305</v>
      </c>
      <c r="B12662">
        <v>13914.76953</v>
      </c>
      <c r="C12662">
        <f t="shared" si="411"/>
        <v>-9.7898507697918701E-3</v>
      </c>
      <c r="D12662">
        <f t="shared" si="410"/>
        <v>-0.82032575738650082</v>
      </c>
    </row>
    <row r="12663" spans="1:4" x14ac:dyDescent="0.3">
      <c r="A12663" s="1">
        <v>44306</v>
      </c>
      <c r="B12663">
        <v>13786.26953</v>
      </c>
      <c r="C12663">
        <f t="shared" si="411"/>
        <v>-9.2347918320139083E-3</v>
      </c>
      <c r="D12663">
        <f t="shared" si="410"/>
        <v>-0.77592332478025394</v>
      </c>
    </row>
    <row r="12664" spans="1:4" x14ac:dyDescent="0.3">
      <c r="A12664" s="1">
        <v>44307</v>
      </c>
      <c r="B12664">
        <v>13950.219730000001</v>
      </c>
      <c r="C12664">
        <f t="shared" si="411"/>
        <v>1.1892281638860512E-2</v>
      </c>
      <c r="D12664">
        <f t="shared" si="410"/>
        <v>0.91415567784448859</v>
      </c>
    </row>
    <row r="12665" spans="1:4" x14ac:dyDescent="0.3">
      <c r="A12665" s="1">
        <v>44308</v>
      </c>
      <c r="B12665">
        <v>13818.410159999999</v>
      </c>
      <c r="C12665">
        <f t="shared" si="411"/>
        <v>-9.4485658685751223E-3</v>
      </c>
      <c r="D12665">
        <f t="shared" si="410"/>
        <v>-0.79302436866106019</v>
      </c>
    </row>
    <row r="12666" spans="1:4" x14ac:dyDescent="0.3">
      <c r="A12666" s="1">
        <v>44309</v>
      </c>
      <c r="B12666">
        <v>14016.809569999999</v>
      </c>
      <c r="C12666">
        <f t="shared" si="411"/>
        <v>1.4357614783667703E-2</v>
      </c>
      <c r="D12666">
        <f t="shared" si="410"/>
        <v>1.1113721919185984</v>
      </c>
    </row>
    <row r="12667" spans="1:4" x14ac:dyDescent="0.3">
      <c r="A12667" s="1">
        <v>44312</v>
      </c>
      <c r="B12667">
        <v>14138.780269999999</v>
      </c>
      <c r="C12667">
        <f t="shared" si="411"/>
        <v>8.701744815100592E-3</v>
      </c>
      <c r="D12667">
        <f t="shared" si="410"/>
        <v>0.65892585150950678</v>
      </c>
    </row>
    <row r="12668" spans="1:4" x14ac:dyDescent="0.3">
      <c r="A12668" s="1">
        <v>44313</v>
      </c>
      <c r="B12668">
        <v>14090.219730000001</v>
      </c>
      <c r="C12668">
        <f t="shared" si="411"/>
        <v>-3.4345635954917196E-3</v>
      </c>
      <c r="D12668">
        <f t="shared" si="410"/>
        <v>-0.31192891653950094</v>
      </c>
    </row>
    <row r="12669" spans="1:4" x14ac:dyDescent="0.3">
      <c r="A12669" s="1">
        <v>44314</v>
      </c>
      <c r="B12669">
        <v>14051.030269999999</v>
      </c>
      <c r="C12669">
        <f t="shared" si="411"/>
        <v>-2.7813235528585624E-3</v>
      </c>
      <c r="D12669">
        <f t="shared" si="410"/>
        <v>-0.25967239926795399</v>
      </c>
    </row>
    <row r="12670" spans="1:4" x14ac:dyDescent="0.3">
      <c r="A12670" s="1">
        <v>44315</v>
      </c>
      <c r="B12670">
        <v>14082.54981</v>
      </c>
      <c r="C12670">
        <f t="shared" si="411"/>
        <v>2.2432191372683697E-3</v>
      </c>
      <c r="D12670">
        <f t="shared" si="410"/>
        <v>0.14227035489920423</v>
      </c>
    </row>
    <row r="12671" spans="1:4" x14ac:dyDescent="0.3">
      <c r="A12671" s="1">
        <v>44316</v>
      </c>
      <c r="B12671">
        <v>13962.679690000001</v>
      </c>
      <c r="C12671">
        <f t="shared" si="411"/>
        <v>-8.5119613718589483E-3</v>
      </c>
      <c r="D12671">
        <f t="shared" si="410"/>
        <v>-0.71809986026446948</v>
      </c>
    </row>
    <row r="12672" spans="1:4" x14ac:dyDescent="0.3">
      <c r="A12672" s="1">
        <v>44319</v>
      </c>
      <c r="B12672">
        <v>13895.12012</v>
      </c>
      <c r="C12672">
        <f t="shared" si="411"/>
        <v>-4.8385819556103597E-3</v>
      </c>
      <c r="D12672">
        <f t="shared" si="410"/>
        <v>-0.42424461199099817</v>
      </c>
    </row>
    <row r="12673" spans="1:4" x14ac:dyDescent="0.3">
      <c r="A12673" s="1">
        <v>44320</v>
      </c>
      <c r="B12673">
        <v>13633.5</v>
      </c>
      <c r="C12673">
        <f t="shared" si="411"/>
        <v>-1.8828201393051334E-2</v>
      </c>
      <c r="D12673">
        <f t="shared" si="410"/>
        <v>-1.54335664132742</v>
      </c>
    </row>
    <row r="12674" spans="1:4" x14ac:dyDescent="0.3">
      <c r="A12674" s="1">
        <v>44321</v>
      </c>
      <c r="B12674">
        <v>13582.41992</v>
      </c>
      <c r="C12674">
        <f t="shared" si="411"/>
        <v>-3.7466593317929896E-3</v>
      </c>
      <c r="D12674">
        <f t="shared" si="410"/>
        <v>-0.33689529209826652</v>
      </c>
    </row>
    <row r="12675" spans="1:4" x14ac:dyDescent="0.3">
      <c r="A12675" s="1">
        <v>44322</v>
      </c>
      <c r="B12675">
        <v>13632.839840000001</v>
      </c>
      <c r="C12675">
        <f t="shared" si="411"/>
        <v>3.7121455747187852E-3</v>
      </c>
      <c r="D12675">
        <f t="shared" ref="D12675:D12738" si="412">(C12675-avrtn)/sdrtn</f>
        <v>0.25977842963363468</v>
      </c>
    </row>
    <row r="12676" spans="1:4" x14ac:dyDescent="0.3">
      <c r="A12676" s="1">
        <v>44323</v>
      </c>
      <c r="B12676">
        <v>13752.240229999999</v>
      </c>
      <c r="C12676">
        <f t="shared" ref="C12676:C12739" si="413">(B12676-B12675)/B12675</f>
        <v>8.7582918453767197E-3</v>
      </c>
      <c r="D12676">
        <f t="shared" si="412"/>
        <v>0.66344938140881915</v>
      </c>
    </row>
    <row r="12677" spans="1:4" x14ac:dyDescent="0.3">
      <c r="A12677" s="1">
        <v>44326</v>
      </c>
      <c r="B12677">
        <v>13401.860350000001</v>
      </c>
      <c r="C12677">
        <f t="shared" si="413"/>
        <v>-2.5478022063318669E-2</v>
      </c>
      <c r="D12677">
        <f t="shared" si="412"/>
        <v>-2.0753149507228223</v>
      </c>
    </row>
    <row r="12678" spans="1:4" x14ac:dyDescent="0.3">
      <c r="A12678" s="1">
        <v>44327</v>
      </c>
      <c r="B12678">
        <v>13389.429690000001</v>
      </c>
      <c r="C12678">
        <f t="shared" si="413"/>
        <v>-9.2753242276546989E-4</v>
      </c>
      <c r="D12678">
        <f t="shared" si="412"/>
        <v>-0.11137673169518174</v>
      </c>
    </row>
    <row r="12679" spans="1:4" x14ac:dyDescent="0.3">
      <c r="A12679" s="1">
        <v>44328</v>
      </c>
      <c r="B12679">
        <v>13031.679690000001</v>
      </c>
      <c r="C12679">
        <f t="shared" si="413"/>
        <v>-2.671883779091714E-2</v>
      </c>
      <c r="D12679">
        <f t="shared" si="412"/>
        <v>-2.1745751066659409</v>
      </c>
    </row>
    <row r="12680" spans="1:4" x14ac:dyDescent="0.3">
      <c r="A12680" s="1">
        <v>44329</v>
      </c>
      <c r="B12680">
        <v>13124.990229999999</v>
      </c>
      <c r="C12680">
        <f t="shared" si="413"/>
        <v>7.160284953259051E-3</v>
      </c>
      <c r="D12680">
        <f t="shared" si="412"/>
        <v>0.53561540108300953</v>
      </c>
    </row>
    <row r="12681" spans="1:4" x14ac:dyDescent="0.3">
      <c r="A12681" s="1">
        <v>44330</v>
      </c>
      <c r="B12681">
        <v>13429.98047</v>
      </c>
      <c r="C12681">
        <f t="shared" si="413"/>
        <v>2.32373689165025E-2</v>
      </c>
      <c r="D12681">
        <f t="shared" si="412"/>
        <v>1.8217160087782094</v>
      </c>
    </row>
    <row r="12682" spans="1:4" x14ac:dyDescent="0.3">
      <c r="A12682" s="1">
        <v>44333</v>
      </c>
      <c r="B12682">
        <v>13379.04981</v>
      </c>
      <c r="C12682">
        <f t="shared" si="413"/>
        <v>-3.7923108014765406E-3</v>
      </c>
      <c r="D12682">
        <f t="shared" si="412"/>
        <v>-0.34054722195298565</v>
      </c>
    </row>
    <row r="12683" spans="1:4" x14ac:dyDescent="0.3">
      <c r="A12683" s="1">
        <v>44334</v>
      </c>
      <c r="B12683">
        <v>13303.639649999999</v>
      </c>
      <c r="C12683">
        <f t="shared" si="413"/>
        <v>-5.6364361498704415E-3</v>
      </c>
      <c r="D12683">
        <f t="shared" si="412"/>
        <v>-0.48806966673575436</v>
      </c>
    </row>
    <row r="12684" spans="1:4" x14ac:dyDescent="0.3">
      <c r="A12684" s="1">
        <v>44335</v>
      </c>
      <c r="B12684">
        <v>13299.740229999999</v>
      </c>
      <c r="C12684">
        <f t="shared" si="413"/>
        <v>-2.9310926202061831E-4</v>
      </c>
      <c r="D12684">
        <f t="shared" si="412"/>
        <v>-6.0625487599218569E-2</v>
      </c>
    </row>
    <row r="12685" spans="1:4" x14ac:dyDescent="0.3">
      <c r="A12685" s="1">
        <v>44336</v>
      </c>
      <c r="B12685">
        <v>13535.740229999999</v>
      </c>
      <c r="C12685">
        <f t="shared" si="413"/>
        <v>1.774470748441077E-2</v>
      </c>
      <c r="D12685">
        <f t="shared" si="412"/>
        <v>1.3823256801696362</v>
      </c>
    </row>
    <row r="12686" spans="1:4" x14ac:dyDescent="0.3">
      <c r="A12686" s="1">
        <v>44337</v>
      </c>
      <c r="B12686">
        <v>13470.990229999999</v>
      </c>
      <c r="C12686">
        <f t="shared" si="413"/>
        <v>-4.7836319920273769E-3</v>
      </c>
      <c r="D12686">
        <f t="shared" si="412"/>
        <v>-0.41984884085995994</v>
      </c>
    </row>
    <row r="12687" spans="1:4" x14ac:dyDescent="0.3">
      <c r="A12687" s="1">
        <v>44340</v>
      </c>
      <c r="B12687">
        <v>13661.16992</v>
      </c>
      <c r="C12687">
        <f t="shared" si="413"/>
        <v>1.4117721619043951E-2</v>
      </c>
      <c r="D12687">
        <f t="shared" si="412"/>
        <v>1.0921817251952854</v>
      </c>
    </row>
    <row r="12688" spans="1:4" x14ac:dyDescent="0.3">
      <c r="A12688" s="1">
        <v>44341</v>
      </c>
      <c r="B12688">
        <v>13657.16992</v>
      </c>
      <c r="C12688">
        <f t="shared" si="413"/>
        <v>-2.9280069155307014E-4</v>
      </c>
      <c r="D12688">
        <f t="shared" si="412"/>
        <v>-6.0600803230664059E-2</v>
      </c>
    </row>
    <row r="12689" spans="1:4" x14ac:dyDescent="0.3">
      <c r="A12689" s="1">
        <v>44342</v>
      </c>
      <c r="B12689">
        <v>13738</v>
      </c>
      <c r="C12689">
        <f t="shared" si="413"/>
        <v>5.9185087740344757E-3</v>
      </c>
      <c r="D12689">
        <f t="shared" si="412"/>
        <v>0.43627841295920328</v>
      </c>
    </row>
    <row r="12690" spans="1:4" x14ac:dyDescent="0.3">
      <c r="A12690" s="1">
        <v>44343</v>
      </c>
      <c r="B12690">
        <v>13736.280269999999</v>
      </c>
      <c r="C12690">
        <f t="shared" si="413"/>
        <v>-1.2518052118217418E-4</v>
      </c>
      <c r="D12690">
        <f t="shared" si="412"/>
        <v>-4.7191878859251427E-2</v>
      </c>
    </row>
    <row r="12691" spans="1:4" x14ac:dyDescent="0.3">
      <c r="A12691" s="1">
        <v>44344</v>
      </c>
      <c r="B12691">
        <v>13748.740229999999</v>
      </c>
      <c r="C12691">
        <f t="shared" si="413"/>
        <v>9.070839961829155E-4</v>
      </c>
      <c r="D12691">
        <f t="shared" si="412"/>
        <v>3.538503783289728E-2</v>
      </c>
    </row>
    <row r="12692" spans="1:4" x14ac:dyDescent="0.3">
      <c r="A12692" s="1">
        <v>44348</v>
      </c>
      <c r="B12692">
        <v>13736.48047</v>
      </c>
      <c r="C12692">
        <f t="shared" si="413"/>
        <v>-8.9170060637613815E-4</v>
      </c>
      <c r="D12692">
        <f t="shared" si="412"/>
        <v>-0.10851033372534458</v>
      </c>
    </row>
    <row r="12693" spans="1:4" x14ac:dyDescent="0.3">
      <c r="A12693" s="1">
        <v>44349</v>
      </c>
      <c r="B12693">
        <v>13756.33008</v>
      </c>
      <c r="C12693">
        <f t="shared" si="413"/>
        <v>1.4450288080232899E-3</v>
      </c>
      <c r="D12693">
        <f t="shared" si="412"/>
        <v>7.8418410737843475E-2</v>
      </c>
    </row>
    <row r="12694" spans="1:4" x14ac:dyDescent="0.3">
      <c r="A12694" s="1">
        <v>44350</v>
      </c>
      <c r="B12694">
        <v>13614.509770000001</v>
      </c>
      <c r="C12694">
        <f t="shared" si="413"/>
        <v>-1.0309458203986275E-2</v>
      </c>
      <c r="D12694">
        <f t="shared" si="412"/>
        <v>-0.8618922154835168</v>
      </c>
    </row>
    <row r="12695" spans="1:4" x14ac:dyDescent="0.3">
      <c r="A12695" s="1">
        <v>44351</v>
      </c>
      <c r="B12695">
        <v>13814.490229999999</v>
      </c>
      <c r="C12695">
        <f t="shared" si="413"/>
        <v>1.468877421063387E-2</v>
      </c>
      <c r="D12695">
        <f t="shared" si="412"/>
        <v>1.1378635843401914</v>
      </c>
    </row>
    <row r="12696" spans="1:4" x14ac:dyDescent="0.3">
      <c r="A12696" s="1">
        <v>44354</v>
      </c>
      <c r="B12696">
        <v>13881.719730000001</v>
      </c>
      <c r="C12696">
        <f t="shared" si="413"/>
        <v>4.8665928949012897E-3</v>
      </c>
      <c r="D12696">
        <f t="shared" si="412"/>
        <v>0.3521294681324893</v>
      </c>
    </row>
    <row r="12697" spans="1:4" x14ac:dyDescent="0.3">
      <c r="A12697" s="1">
        <v>44355</v>
      </c>
      <c r="B12697">
        <v>13924.910159999999</v>
      </c>
      <c r="C12697">
        <f t="shared" si="413"/>
        <v>3.1113169578448722E-3</v>
      </c>
      <c r="D12697">
        <f t="shared" si="412"/>
        <v>0.21171461090575674</v>
      </c>
    </row>
    <row r="12698" spans="1:4" x14ac:dyDescent="0.3">
      <c r="A12698" s="1">
        <v>44356</v>
      </c>
      <c r="B12698">
        <v>13911.75</v>
      </c>
      <c r="C12698">
        <f t="shared" si="413"/>
        <v>-9.4508042413104165E-4</v>
      </c>
      <c r="D12698">
        <f t="shared" si="412"/>
        <v>-0.1127804996466147</v>
      </c>
    </row>
    <row r="12699" spans="1:4" x14ac:dyDescent="0.3">
      <c r="A12699" s="1">
        <v>44357</v>
      </c>
      <c r="B12699">
        <v>14020.33008</v>
      </c>
      <c r="C12699">
        <f t="shared" si="413"/>
        <v>7.8049188635505758E-3</v>
      </c>
      <c r="D12699">
        <f t="shared" si="412"/>
        <v>0.58718346315585346</v>
      </c>
    </row>
    <row r="12700" spans="1:4" x14ac:dyDescent="0.3">
      <c r="A12700" s="1">
        <v>44358</v>
      </c>
      <c r="B12700">
        <v>14069.41992</v>
      </c>
      <c r="C12700">
        <f t="shared" si="413"/>
        <v>3.5013326875967922E-3</v>
      </c>
      <c r="D12700">
        <f t="shared" si="412"/>
        <v>0.2429142655316468</v>
      </c>
    </row>
    <row r="12701" spans="1:4" x14ac:dyDescent="0.3">
      <c r="A12701" s="1">
        <v>44361</v>
      </c>
      <c r="B12701">
        <v>14174.139649999999</v>
      </c>
      <c r="C12701">
        <f t="shared" si="413"/>
        <v>7.4430737440096886E-3</v>
      </c>
      <c r="D12701">
        <f t="shared" si="412"/>
        <v>0.55823734150860471</v>
      </c>
    </row>
    <row r="12702" spans="1:4" x14ac:dyDescent="0.3">
      <c r="A12702" s="1">
        <v>44362</v>
      </c>
      <c r="B12702">
        <v>14072.860350000001</v>
      </c>
      <c r="C12702">
        <f t="shared" si="413"/>
        <v>-7.1453578489328864E-3</v>
      </c>
      <c r="D12702">
        <f t="shared" si="412"/>
        <v>-0.60877719793764873</v>
      </c>
    </row>
    <row r="12703" spans="1:4" x14ac:dyDescent="0.3">
      <c r="A12703" s="1">
        <v>44363</v>
      </c>
      <c r="B12703">
        <v>14039.679690000001</v>
      </c>
      <c r="C12703">
        <f t="shared" si="413"/>
        <v>-2.3577765411421842E-3</v>
      </c>
      <c r="D12703">
        <f t="shared" si="412"/>
        <v>-0.22579037996636259</v>
      </c>
    </row>
    <row r="12704" spans="1:4" x14ac:dyDescent="0.3">
      <c r="A12704" s="1">
        <v>44364</v>
      </c>
      <c r="B12704">
        <v>14161.349609999999</v>
      </c>
      <c r="C12704">
        <f t="shared" si="413"/>
        <v>8.6661464283020583E-3</v>
      </c>
      <c r="D12704">
        <f t="shared" si="412"/>
        <v>0.65607812694706524</v>
      </c>
    </row>
    <row r="12705" spans="1:4" x14ac:dyDescent="0.3">
      <c r="A12705" s="1">
        <v>44365</v>
      </c>
      <c r="B12705">
        <v>14030.37988</v>
      </c>
      <c r="C12705">
        <f t="shared" si="413"/>
        <v>-9.2483932398304009E-3</v>
      </c>
      <c r="D12705">
        <f t="shared" si="412"/>
        <v>-0.77701138147625026</v>
      </c>
    </row>
    <row r="12706" spans="1:4" x14ac:dyDescent="0.3">
      <c r="A12706" s="1">
        <v>44368</v>
      </c>
      <c r="B12706">
        <v>14141.48047</v>
      </c>
      <c r="C12706">
        <f t="shared" si="413"/>
        <v>7.9185731926169345E-3</v>
      </c>
      <c r="D12706">
        <f t="shared" si="412"/>
        <v>0.59627534213176858</v>
      </c>
    </row>
    <row r="12707" spans="1:4" x14ac:dyDescent="0.3">
      <c r="A12707" s="1">
        <v>44369</v>
      </c>
      <c r="B12707">
        <v>14253.26953</v>
      </c>
      <c r="C12707">
        <f t="shared" si="413"/>
        <v>7.9050464509108891E-3</v>
      </c>
      <c r="D12707">
        <f t="shared" si="412"/>
        <v>0.5951932584175792</v>
      </c>
    </row>
    <row r="12708" spans="1:4" x14ac:dyDescent="0.3">
      <c r="A12708" s="1">
        <v>44370</v>
      </c>
      <c r="B12708">
        <v>14271.73047</v>
      </c>
      <c r="C12708">
        <f t="shared" si="413"/>
        <v>1.2952073881115223E-3</v>
      </c>
      <c r="D12708">
        <f t="shared" si="412"/>
        <v>6.6433313214261908E-2</v>
      </c>
    </row>
    <row r="12709" spans="1:4" x14ac:dyDescent="0.3">
      <c r="A12709" s="1">
        <v>44371</v>
      </c>
      <c r="B12709">
        <v>14369.70996</v>
      </c>
      <c r="C12709">
        <f t="shared" si="413"/>
        <v>6.8652845011302763E-3</v>
      </c>
      <c r="D12709">
        <f t="shared" si="412"/>
        <v>0.51201657796181488</v>
      </c>
    </row>
    <row r="12710" spans="1:4" x14ac:dyDescent="0.3">
      <c r="A12710" s="1">
        <v>44372</v>
      </c>
      <c r="B12710">
        <v>14360.389649999999</v>
      </c>
      <c r="C12710">
        <f t="shared" si="413"/>
        <v>-6.4860808088300294E-4</v>
      </c>
      <c r="D12710">
        <f t="shared" si="412"/>
        <v>-8.9063931288331455E-2</v>
      </c>
    </row>
    <row r="12711" spans="1:4" x14ac:dyDescent="0.3">
      <c r="A12711" s="1">
        <v>44375</v>
      </c>
      <c r="B12711">
        <v>14500.509770000001</v>
      </c>
      <c r="C12711">
        <f t="shared" si="413"/>
        <v>9.7574037623694571E-3</v>
      </c>
      <c r="D12711">
        <f t="shared" si="412"/>
        <v>0.743374226395487</v>
      </c>
    </row>
    <row r="12712" spans="1:4" x14ac:dyDescent="0.3">
      <c r="A12712" s="1">
        <v>44376</v>
      </c>
      <c r="B12712">
        <v>14528.33008</v>
      </c>
      <c r="C12712">
        <f t="shared" si="413"/>
        <v>1.9185746184976469E-3</v>
      </c>
      <c r="D12712">
        <f t="shared" si="412"/>
        <v>0.1163001283437842</v>
      </c>
    </row>
    <row r="12713" spans="1:4" x14ac:dyDescent="0.3">
      <c r="A12713" s="1">
        <v>44377</v>
      </c>
      <c r="B12713">
        <v>14503.950199999999</v>
      </c>
      <c r="C12713">
        <f t="shared" si="413"/>
        <v>-1.6780923799055378E-3</v>
      </c>
      <c r="D12713">
        <f t="shared" si="412"/>
        <v>-0.1714184419454019</v>
      </c>
    </row>
    <row r="12714" spans="1:4" x14ac:dyDescent="0.3">
      <c r="A12714" s="1">
        <v>44378</v>
      </c>
      <c r="B12714">
        <v>14522.37988</v>
      </c>
      <c r="C12714">
        <f t="shared" si="413"/>
        <v>1.2706662492540204E-3</v>
      </c>
      <c r="D12714">
        <f t="shared" si="412"/>
        <v>6.4470123019427714E-2</v>
      </c>
    </row>
    <row r="12715" spans="1:4" x14ac:dyDescent="0.3">
      <c r="A12715" s="1">
        <v>44379</v>
      </c>
      <c r="B12715">
        <v>14639.33008</v>
      </c>
      <c r="C12715">
        <f t="shared" si="413"/>
        <v>8.0531015554180171E-3</v>
      </c>
      <c r="D12715">
        <f t="shared" si="412"/>
        <v>0.60703705797192187</v>
      </c>
    </row>
    <row r="12716" spans="1:4" x14ac:dyDescent="0.3">
      <c r="A12716" s="1">
        <v>44383</v>
      </c>
      <c r="B12716">
        <v>14663.639649999999</v>
      </c>
      <c r="C12716">
        <f t="shared" si="413"/>
        <v>1.6605657408606939E-3</v>
      </c>
      <c r="D12716">
        <f t="shared" si="412"/>
        <v>9.5660479071672161E-2</v>
      </c>
    </row>
    <row r="12717" spans="1:4" x14ac:dyDescent="0.3">
      <c r="A12717" s="1">
        <v>44384</v>
      </c>
      <c r="B12717">
        <v>14665.059569999999</v>
      </c>
      <c r="C12717">
        <f t="shared" si="413"/>
        <v>9.6832712334162871E-5</v>
      </c>
      <c r="D12717">
        <f t="shared" si="412"/>
        <v>-2.9431733101815617E-2</v>
      </c>
    </row>
    <row r="12718" spans="1:4" x14ac:dyDescent="0.3">
      <c r="A12718" s="1">
        <v>44385</v>
      </c>
      <c r="B12718">
        <v>14559.780269999999</v>
      </c>
      <c r="C12718">
        <f t="shared" si="413"/>
        <v>-7.1789207195153693E-3</v>
      </c>
      <c r="D12718">
        <f t="shared" si="412"/>
        <v>-0.61146208957289883</v>
      </c>
    </row>
    <row r="12719" spans="1:4" x14ac:dyDescent="0.3">
      <c r="A12719" s="1">
        <v>44386</v>
      </c>
      <c r="B12719">
        <v>14701.91992</v>
      </c>
      <c r="C12719">
        <f t="shared" si="413"/>
        <v>9.7624859279556286E-3</v>
      </c>
      <c r="D12719">
        <f t="shared" si="412"/>
        <v>0.74378077874439097</v>
      </c>
    </row>
    <row r="12720" spans="1:4" x14ac:dyDescent="0.3">
      <c r="A12720" s="1">
        <v>44389</v>
      </c>
      <c r="B12720">
        <v>14733.240229999999</v>
      </c>
      <c r="C12720">
        <f t="shared" si="413"/>
        <v>2.1303550944657269E-3</v>
      </c>
      <c r="D12720">
        <f t="shared" si="412"/>
        <v>0.13324169557470991</v>
      </c>
    </row>
    <row r="12721" spans="1:4" x14ac:dyDescent="0.3">
      <c r="A12721" s="1">
        <v>44390</v>
      </c>
      <c r="B12721">
        <v>14677.650390000001</v>
      </c>
      <c r="C12721">
        <f t="shared" si="413"/>
        <v>-3.7730899063741618E-3</v>
      </c>
      <c r="D12721">
        <f t="shared" si="412"/>
        <v>-0.33900962938158824</v>
      </c>
    </row>
    <row r="12722" spans="1:4" x14ac:dyDescent="0.3">
      <c r="A12722" s="1">
        <v>44391</v>
      </c>
      <c r="B12722">
        <v>14644.950199999999</v>
      </c>
      <c r="C12722">
        <f t="shared" si="413"/>
        <v>-2.2278899640694729E-3</v>
      </c>
      <c r="D12722">
        <f t="shared" si="412"/>
        <v>-0.21539998789734197</v>
      </c>
    </row>
    <row r="12723" spans="1:4" x14ac:dyDescent="0.3">
      <c r="A12723" s="1">
        <v>44392</v>
      </c>
      <c r="B12723">
        <v>14543.12988</v>
      </c>
      <c r="C12723">
        <f t="shared" si="413"/>
        <v>-6.952589022801792E-3</v>
      </c>
      <c r="D12723">
        <f t="shared" si="412"/>
        <v>-0.5933564845173106</v>
      </c>
    </row>
    <row r="12724" spans="1:4" x14ac:dyDescent="0.3">
      <c r="A12724" s="1">
        <v>44393</v>
      </c>
      <c r="B12724">
        <v>14427.240229999999</v>
      </c>
      <c r="C12724">
        <f t="shared" si="413"/>
        <v>-7.9686869990327688E-3</v>
      </c>
      <c r="D12724">
        <f t="shared" si="412"/>
        <v>-0.67464014439594455</v>
      </c>
    </row>
    <row r="12725" spans="1:4" x14ac:dyDescent="0.3">
      <c r="A12725" s="1">
        <v>44396</v>
      </c>
      <c r="B12725">
        <v>14274.98047</v>
      </c>
      <c r="C12725">
        <f t="shared" si="413"/>
        <v>-1.0553630325180979E-2</v>
      </c>
      <c r="D12725">
        <f t="shared" si="412"/>
        <v>-0.88142498113733136</v>
      </c>
    </row>
    <row r="12726" spans="1:4" x14ac:dyDescent="0.3">
      <c r="A12726" s="1">
        <v>44397</v>
      </c>
      <c r="B12726">
        <v>14498.87988</v>
      </c>
      <c r="C12726">
        <f t="shared" si="413"/>
        <v>1.5684743700388405E-2</v>
      </c>
      <c r="D12726">
        <f t="shared" si="412"/>
        <v>1.2175370480695411</v>
      </c>
    </row>
    <row r="12727" spans="1:4" x14ac:dyDescent="0.3">
      <c r="A12727" s="1">
        <v>44398</v>
      </c>
      <c r="B12727">
        <v>14631.950199999999</v>
      </c>
      <c r="C12727">
        <f t="shared" si="413"/>
        <v>9.1779724434822262E-3</v>
      </c>
      <c r="D12727">
        <f t="shared" si="412"/>
        <v>0.69702210352032856</v>
      </c>
    </row>
    <row r="12728" spans="1:4" x14ac:dyDescent="0.3">
      <c r="A12728" s="1">
        <v>44399</v>
      </c>
      <c r="B12728">
        <v>14684.599609999999</v>
      </c>
      <c r="C12728">
        <f t="shared" si="413"/>
        <v>3.5982496714621125E-3</v>
      </c>
      <c r="D12728">
        <f t="shared" si="412"/>
        <v>0.25066722571585348</v>
      </c>
    </row>
    <row r="12729" spans="1:4" x14ac:dyDescent="0.3">
      <c r="A12729" s="1">
        <v>44400</v>
      </c>
      <c r="B12729">
        <v>14836.990229999999</v>
      </c>
      <c r="C12729">
        <f t="shared" si="413"/>
        <v>1.0377580870248877E-2</v>
      </c>
      <c r="D12729">
        <f t="shared" si="412"/>
        <v>0.79298584484233503</v>
      </c>
    </row>
    <row r="12730" spans="1:4" x14ac:dyDescent="0.3">
      <c r="A12730" s="1">
        <v>44403</v>
      </c>
      <c r="B12730">
        <v>14840.70996</v>
      </c>
      <c r="C12730">
        <f t="shared" si="413"/>
        <v>2.5070650733998015E-4</v>
      </c>
      <c r="D12730">
        <f t="shared" si="412"/>
        <v>-1.7122462234176027E-2</v>
      </c>
    </row>
    <row r="12731" spans="1:4" x14ac:dyDescent="0.3">
      <c r="A12731" s="1">
        <v>44404</v>
      </c>
      <c r="B12731">
        <v>14660.58008</v>
      </c>
      <c r="C12731">
        <f t="shared" si="413"/>
        <v>-1.2137551403234918E-2</v>
      </c>
      <c r="D12731">
        <f t="shared" si="412"/>
        <v>-1.0081321542592561</v>
      </c>
    </row>
    <row r="12732" spans="1:4" x14ac:dyDescent="0.3">
      <c r="A12732" s="1">
        <v>44405</v>
      </c>
      <c r="B12732">
        <v>14762.58008</v>
      </c>
      <c r="C12732">
        <f t="shared" si="413"/>
        <v>6.9574327511875639E-3</v>
      </c>
      <c r="D12732">
        <f t="shared" si="412"/>
        <v>0.51938805905052954</v>
      </c>
    </row>
    <row r="12733" spans="1:4" x14ac:dyDescent="0.3">
      <c r="A12733" s="1">
        <v>44406</v>
      </c>
      <c r="B12733">
        <v>14778.259770000001</v>
      </c>
      <c r="C12733">
        <f t="shared" si="413"/>
        <v>1.062123959025518E-3</v>
      </c>
      <c r="D12733">
        <f t="shared" si="412"/>
        <v>4.7787597332168891E-2</v>
      </c>
    </row>
    <row r="12734" spans="1:4" x14ac:dyDescent="0.3">
      <c r="A12734" s="1">
        <v>44407</v>
      </c>
      <c r="B12734">
        <v>14672.679690000001</v>
      </c>
      <c r="C12734">
        <f t="shared" si="413"/>
        <v>-7.1442836736655716E-3</v>
      </c>
      <c r="D12734">
        <f t="shared" si="412"/>
        <v>-0.60869126833329867</v>
      </c>
    </row>
    <row r="12735" spans="1:4" x14ac:dyDescent="0.3">
      <c r="A12735" s="1">
        <v>44410</v>
      </c>
      <c r="B12735">
        <v>14681.070309999999</v>
      </c>
      <c r="C12735">
        <f t="shared" si="413"/>
        <v>5.7185327951490958E-4</v>
      </c>
      <c r="D12735">
        <f t="shared" si="412"/>
        <v>8.5679589764004679E-3</v>
      </c>
    </row>
    <row r="12736" spans="1:4" x14ac:dyDescent="0.3">
      <c r="A12736" s="1">
        <v>44411</v>
      </c>
      <c r="B12736">
        <v>14761.29004</v>
      </c>
      <c r="C12736">
        <f t="shared" si="413"/>
        <v>5.464160875611304E-3</v>
      </c>
      <c r="D12736">
        <f t="shared" si="412"/>
        <v>0.39993244937507133</v>
      </c>
    </row>
    <row r="12737" spans="1:4" x14ac:dyDescent="0.3">
      <c r="A12737" s="1">
        <v>44412</v>
      </c>
      <c r="B12737">
        <v>14780.530269999999</v>
      </c>
      <c r="C12737">
        <f t="shared" si="413"/>
        <v>1.3034246971546824E-3</v>
      </c>
      <c r="D12737">
        <f t="shared" si="412"/>
        <v>6.7090664147938017E-2</v>
      </c>
    </row>
    <row r="12738" spans="1:4" x14ac:dyDescent="0.3">
      <c r="A12738" s="1">
        <v>44413</v>
      </c>
      <c r="B12738">
        <v>14895.12012</v>
      </c>
      <c r="C12738">
        <f t="shared" si="413"/>
        <v>7.7527563562846584E-3</v>
      </c>
      <c r="D12738">
        <f t="shared" si="412"/>
        <v>0.58301067706809162</v>
      </c>
    </row>
    <row r="12739" spans="1:4" x14ac:dyDescent="0.3">
      <c r="A12739" s="1">
        <v>44414</v>
      </c>
      <c r="B12739">
        <v>14835.759770000001</v>
      </c>
      <c r="C12739">
        <f t="shared" si="413"/>
        <v>-3.9852213021293187E-3</v>
      </c>
      <c r="D12739">
        <f t="shared" ref="D12739:D12802" si="414">(C12739-avrtn)/sdrtn</f>
        <v>-0.35597926875248931</v>
      </c>
    </row>
    <row r="12740" spans="1:4" x14ac:dyDescent="0.3">
      <c r="A12740" s="1">
        <v>44417</v>
      </c>
      <c r="B12740">
        <v>14860.179690000001</v>
      </c>
      <c r="C12740">
        <f t="shared" ref="C12740:C12803" si="415">(B12740-B12739)/B12739</f>
        <v>1.646017486032687E-3</v>
      </c>
      <c r="D12740">
        <f t="shared" si="414"/>
        <v>9.4496678508212917E-2</v>
      </c>
    </row>
    <row r="12741" spans="1:4" x14ac:dyDescent="0.3">
      <c r="A12741" s="1">
        <v>44418</v>
      </c>
      <c r="B12741">
        <v>14788.089840000001</v>
      </c>
      <c r="C12741">
        <f t="shared" si="415"/>
        <v>-4.851209844286903E-3</v>
      </c>
      <c r="D12741">
        <f t="shared" si="414"/>
        <v>-0.42525479115893311</v>
      </c>
    </row>
    <row r="12742" spans="1:4" x14ac:dyDescent="0.3">
      <c r="A12742" s="1">
        <v>44419</v>
      </c>
      <c r="B12742">
        <v>14765.139649999999</v>
      </c>
      <c r="C12742">
        <f t="shared" si="415"/>
        <v>-1.5519374204722429E-3</v>
      </c>
      <c r="D12742">
        <f t="shared" si="414"/>
        <v>-0.16132656394303119</v>
      </c>
    </row>
    <row r="12743" spans="1:4" x14ac:dyDescent="0.3">
      <c r="A12743" s="1">
        <v>44420</v>
      </c>
      <c r="B12743">
        <v>14816.259770000001</v>
      </c>
      <c r="C12743">
        <f t="shared" si="415"/>
        <v>3.4622171690737386E-3</v>
      </c>
      <c r="D12743">
        <f t="shared" si="414"/>
        <v>0.23978518489377576</v>
      </c>
    </row>
    <row r="12744" spans="1:4" x14ac:dyDescent="0.3">
      <c r="A12744" s="1">
        <v>44421</v>
      </c>
      <c r="B12744">
        <v>14822.900390000001</v>
      </c>
      <c r="C12744">
        <f t="shared" si="415"/>
        <v>4.4819813523019284E-4</v>
      </c>
      <c r="D12744">
        <f t="shared" si="414"/>
        <v>-1.3239440933853267E-3</v>
      </c>
    </row>
    <row r="12745" spans="1:4" x14ac:dyDescent="0.3">
      <c r="A12745" s="1">
        <v>44424</v>
      </c>
      <c r="B12745">
        <v>14793.759770000001</v>
      </c>
      <c r="C12745">
        <f t="shared" si="415"/>
        <v>-1.9659188980086051E-3</v>
      </c>
      <c r="D12745">
        <f t="shared" si="414"/>
        <v>-0.19444337984393287</v>
      </c>
    </row>
    <row r="12746" spans="1:4" x14ac:dyDescent="0.3">
      <c r="A12746" s="1">
        <v>44425</v>
      </c>
      <c r="B12746">
        <v>14656.179690000001</v>
      </c>
      <c r="C12746">
        <f t="shared" si="415"/>
        <v>-9.2998725232104895E-3</v>
      </c>
      <c r="D12746">
        <f t="shared" si="414"/>
        <v>-0.78112951246257922</v>
      </c>
    </row>
    <row r="12747" spans="1:4" x14ac:dyDescent="0.3">
      <c r="A12747" s="1">
        <v>44426</v>
      </c>
      <c r="B12747">
        <v>14525.910159999999</v>
      </c>
      <c r="C12747">
        <f t="shared" si="415"/>
        <v>-8.8883687806369533E-3</v>
      </c>
      <c r="D12747">
        <f t="shared" si="414"/>
        <v>-0.74821090517019651</v>
      </c>
    </row>
    <row r="12748" spans="1:4" x14ac:dyDescent="0.3">
      <c r="A12748" s="1">
        <v>44427</v>
      </c>
      <c r="B12748">
        <v>14541.79004</v>
      </c>
      <c r="C12748">
        <f t="shared" si="415"/>
        <v>1.0932106714888572E-3</v>
      </c>
      <c r="D12748">
        <f t="shared" si="414"/>
        <v>5.0274406499910572E-2</v>
      </c>
    </row>
    <row r="12749" spans="1:4" x14ac:dyDescent="0.3">
      <c r="A12749" s="1">
        <v>44428</v>
      </c>
      <c r="B12749">
        <v>14714.660159999999</v>
      </c>
      <c r="C12749">
        <f t="shared" si="415"/>
        <v>1.1887815703877374E-2</v>
      </c>
      <c r="D12749">
        <f t="shared" si="414"/>
        <v>0.913798421409872</v>
      </c>
    </row>
    <row r="12750" spans="1:4" x14ac:dyDescent="0.3">
      <c r="A12750" s="1">
        <v>44431</v>
      </c>
      <c r="B12750">
        <v>14942.650390000001</v>
      </c>
      <c r="C12750">
        <f t="shared" si="415"/>
        <v>1.5494087360560644E-2</v>
      </c>
      <c r="D12750">
        <f t="shared" si="414"/>
        <v>1.2022853248668741</v>
      </c>
    </row>
    <row r="12751" spans="1:4" x14ac:dyDescent="0.3">
      <c r="A12751" s="1">
        <v>44432</v>
      </c>
      <c r="B12751">
        <v>15019.79981</v>
      </c>
      <c r="C12751">
        <f t="shared" si="415"/>
        <v>5.1630345344645199E-3</v>
      </c>
      <c r="D12751">
        <f t="shared" si="414"/>
        <v>0.37584358032224213</v>
      </c>
    </row>
    <row r="12752" spans="1:4" x14ac:dyDescent="0.3">
      <c r="A12752" s="1">
        <v>44433</v>
      </c>
      <c r="B12752">
        <v>15041.860350000001</v>
      </c>
      <c r="C12752">
        <f t="shared" si="415"/>
        <v>1.4687639169007273E-3</v>
      </c>
      <c r="D12752">
        <f t="shared" si="414"/>
        <v>8.0317121848687584E-2</v>
      </c>
    </row>
    <row r="12753" spans="1:4" x14ac:dyDescent="0.3">
      <c r="A12753" s="1">
        <v>44434</v>
      </c>
      <c r="B12753">
        <v>14945.809569999999</v>
      </c>
      <c r="C12753">
        <f t="shared" si="415"/>
        <v>-6.3855652003843655E-3</v>
      </c>
      <c r="D12753">
        <f t="shared" si="414"/>
        <v>-0.54799691033980624</v>
      </c>
    </row>
    <row r="12754" spans="1:4" x14ac:dyDescent="0.3">
      <c r="A12754" s="1">
        <v>44435</v>
      </c>
      <c r="B12754">
        <v>15129.5</v>
      </c>
      <c r="C12754">
        <f t="shared" si="415"/>
        <v>1.2290430246663485E-2</v>
      </c>
      <c r="D12754">
        <f t="shared" si="414"/>
        <v>0.94600592927186844</v>
      </c>
    </row>
    <row r="12755" spans="1:4" x14ac:dyDescent="0.3">
      <c r="A12755" s="1">
        <v>44438</v>
      </c>
      <c r="B12755">
        <v>15265.889649999999</v>
      </c>
      <c r="C12755">
        <f t="shared" si="415"/>
        <v>9.0148154268151065E-3</v>
      </c>
      <c r="D12755">
        <f t="shared" si="414"/>
        <v>0.68397021309262029</v>
      </c>
    </row>
    <row r="12756" spans="1:4" x14ac:dyDescent="0.3">
      <c r="A12756" s="1">
        <v>44439</v>
      </c>
      <c r="B12756">
        <v>15259.240229999999</v>
      </c>
      <c r="C12756">
        <f t="shared" si="415"/>
        <v>-4.355736974687051E-4</v>
      </c>
      <c r="D12756">
        <f t="shared" si="414"/>
        <v>-7.2022056617806557E-2</v>
      </c>
    </row>
    <row r="12757" spans="1:4" x14ac:dyDescent="0.3">
      <c r="A12757" s="1">
        <v>44440</v>
      </c>
      <c r="B12757">
        <v>15309.37988</v>
      </c>
      <c r="C12757">
        <f t="shared" si="415"/>
        <v>3.2858549471831066E-3</v>
      </c>
      <c r="D12757">
        <f t="shared" si="414"/>
        <v>0.2256769323483149</v>
      </c>
    </row>
    <row r="12758" spans="1:4" x14ac:dyDescent="0.3">
      <c r="A12758" s="1">
        <v>44441</v>
      </c>
      <c r="B12758">
        <v>15331.179690000001</v>
      </c>
      <c r="C12758">
        <f t="shared" si="415"/>
        <v>1.423951209707681E-3</v>
      </c>
      <c r="D12758">
        <f t="shared" si="414"/>
        <v>7.6732289544196919E-2</v>
      </c>
    </row>
    <row r="12759" spans="1:4" x14ac:dyDescent="0.3">
      <c r="A12759" s="1">
        <v>44442</v>
      </c>
      <c r="B12759">
        <v>15363.51953</v>
      </c>
      <c r="C12759">
        <f t="shared" si="415"/>
        <v>2.1094162780632524E-3</v>
      </c>
      <c r="D12759">
        <f t="shared" si="414"/>
        <v>0.13156667636343947</v>
      </c>
    </row>
    <row r="12760" spans="1:4" x14ac:dyDescent="0.3">
      <c r="A12760" s="1">
        <v>44446</v>
      </c>
      <c r="B12760">
        <v>15374.33008</v>
      </c>
      <c r="C12760">
        <f t="shared" si="415"/>
        <v>7.0365061722287199E-4</v>
      </c>
      <c r="D12760">
        <f t="shared" si="414"/>
        <v>1.9111204039146502E-2</v>
      </c>
    </row>
    <row r="12761" spans="1:4" x14ac:dyDescent="0.3">
      <c r="A12761" s="1">
        <v>44447</v>
      </c>
      <c r="B12761">
        <v>15286.639649999999</v>
      </c>
      <c r="C12761">
        <f t="shared" si="415"/>
        <v>-5.7036911230411522E-3</v>
      </c>
      <c r="D12761">
        <f t="shared" si="414"/>
        <v>-0.49344978803530909</v>
      </c>
    </row>
    <row r="12762" spans="1:4" x14ac:dyDescent="0.3">
      <c r="A12762" s="1">
        <v>44448</v>
      </c>
      <c r="B12762">
        <v>15248.25</v>
      </c>
      <c r="C12762">
        <f t="shared" si="415"/>
        <v>-2.5113203999676389E-3</v>
      </c>
      <c r="D12762">
        <f t="shared" si="414"/>
        <v>-0.23807325729627885</v>
      </c>
    </row>
    <row r="12763" spans="1:4" x14ac:dyDescent="0.3">
      <c r="A12763" s="1">
        <v>44449</v>
      </c>
      <c r="B12763">
        <v>15115.490229999999</v>
      </c>
      <c r="C12763">
        <f t="shared" si="415"/>
        <v>-8.706557801714988E-3</v>
      </c>
      <c r="D12763">
        <f t="shared" si="414"/>
        <v>-0.73366677446765183</v>
      </c>
    </row>
    <row r="12764" spans="1:4" x14ac:dyDescent="0.3">
      <c r="A12764" s="1">
        <v>44452</v>
      </c>
      <c r="B12764">
        <v>15105.58008</v>
      </c>
      <c r="C12764">
        <f t="shared" si="415"/>
        <v>-6.5562875230674566E-4</v>
      </c>
      <c r="D12764">
        <f t="shared" si="414"/>
        <v>-8.9625556133057477E-2</v>
      </c>
    </row>
    <row r="12765" spans="1:4" x14ac:dyDescent="0.3">
      <c r="A12765" s="1">
        <v>44453</v>
      </c>
      <c r="B12765">
        <v>15037.759770000001</v>
      </c>
      <c r="C12765">
        <f t="shared" si="415"/>
        <v>-4.4897521075535655E-3</v>
      </c>
      <c r="D12765">
        <f t="shared" si="414"/>
        <v>-0.39633965854336067</v>
      </c>
    </row>
    <row r="12766" spans="1:4" x14ac:dyDescent="0.3">
      <c r="A12766" s="1">
        <v>44454</v>
      </c>
      <c r="B12766">
        <v>15161.530269999999</v>
      </c>
      <c r="C12766">
        <f t="shared" si="415"/>
        <v>8.2306475095391633E-3</v>
      </c>
      <c r="D12766">
        <f t="shared" si="414"/>
        <v>0.62124000422828796</v>
      </c>
    </row>
    <row r="12767" spans="1:4" x14ac:dyDescent="0.3">
      <c r="A12767" s="1">
        <v>44455</v>
      </c>
      <c r="B12767">
        <v>15181.91992</v>
      </c>
      <c r="C12767">
        <f t="shared" si="415"/>
        <v>1.3448279716425343E-3</v>
      </c>
      <c r="D12767">
        <f t="shared" si="414"/>
        <v>7.0402755855684188E-2</v>
      </c>
    </row>
    <row r="12768" spans="1:4" x14ac:dyDescent="0.3">
      <c r="A12768" s="1">
        <v>44456</v>
      </c>
      <c r="B12768">
        <v>15043.969730000001</v>
      </c>
      <c r="C12768">
        <f t="shared" si="415"/>
        <v>-9.0864785697011875E-3</v>
      </c>
      <c r="D12768">
        <f t="shared" si="414"/>
        <v>-0.76405887366301506</v>
      </c>
    </row>
    <row r="12769" spans="1:4" x14ac:dyDescent="0.3">
      <c r="A12769" s="1">
        <v>44459</v>
      </c>
      <c r="B12769">
        <v>14713.900390000001</v>
      </c>
      <c r="C12769">
        <f t="shared" si="415"/>
        <v>-2.194030870334648E-2</v>
      </c>
      <c r="D12769">
        <f t="shared" si="414"/>
        <v>-1.7923124290893064</v>
      </c>
    </row>
    <row r="12770" spans="1:4" x14ac:dyDescent="0.3">
      <c r="A12770" s="1">
        <v>44460</v>
      </c>
      <c r="B12770">
        <v>14746.400390000001</v>
      </c>
      <c r="C12770">
        <f t="shared" si="415"/>
        <v>2.2087957060038244E-3</v>
      </c>
      <c r="D12770">
        <f t="shared" si="414"/>
        <v>0.13951662194803574</v>
      </c>
    </row>
    <row r="12771" spans="1:4" x14ac:dyDescent="0.3">
      <c r="A12771" s="1">
        <v>44461</v>
      </c>
      <c r="B12771">
        <v>14896.849609999999</v>
      </c>
      <c r="C12771">
        <f t="shared" si="415"/>
        <v>1.0202436935187449E-2</v>
      </c>
      <c r="D12771">
        <f t="shared" si="414"/>
        <v>0.77897505023358504</v>
      </c>
    </row>
    <row r="12772" spans="1:4" x14ac:dyDescent="0.3">
      <c r="A12772" s="1">
        <v>44462</v>
      </c>
      <c r="B12772">
        <v>15052.240229999999</v>
      </c>
      <c r="C12772">
        <f t="shared" si="415"/>
        <v>1.0431106178026331E-2</v>
      </c>
      <c r="D12772">
        <f t="shared" si="414"/>
        <v>0.79726764936715055</v>
      </c>
    </row>
    <row r="12773" spans="1:4" x14ac:dyDescent="0.3">
      <c r="A12773" s="1">
        <v>44463</v>
      </c>
      <c r="B12773">
        <v>15047.700199999999</v>
      </c>
      <c r="C12773">
        <f t="shared" si="415"/>
        <v>-3.0161822629907065E-4</v>
      </c>
      <c r="D12773">
        <f t="shared" si="414"/>
        <v>-6.1306169752424568E-2</v>
      </c>
    </row>
    <row r="12774" spans="1:4" x14ac:dyDescent="0.3">
      <c r="A12774" s="1">
        <v>44466</v>
      </c>
      <c r="B12774">
        <v>14969.969730000001</v>
      </c>
      <c r="C12774">
        <f t="shared" si="415"/>
        <v>-5.1656046416979125E-3</v>
      </c>
      <c r="D12774">
        <f t="shared" si="414"/>
        <v>-0.45040508215268216</v>
      </c>
    </row>
    <row r="12775" spans="1:4" x14ac:dyDescent="0.3">
      <c r="A12775" s="1">
        <v>44467</v>
      </c>
      <c r="B12775">
        <v>14546.679690000001</v>
      </c>
      <c r="C12775">
        <f t="shared" si="415"/>
        <v>-2.8275944950758417E-2</v>
      </c>
      <c r="D12775">
        <f t="shared" si="414"/>
        <v>-2.2991372765903435</v>
      </c>
    </row>
    <row r="12776" spans="1:4" x14ac:dyDescent="0.3">
      <c r="A12776" s="1">
        <v>44468</v>
      </c>
      <c r="B12776">
        <v>14512.440430000001</v>
      </c>
      <c r="C12776">
        <f t="shared" si="415"/>
        <v>-2.3537508716533983E-3</v>
      </c>
      <c r="D12776">
        <f t="shared" si="414"/>
        <v>-0.22546834296091156</v>
      </c>
    </row>
    <row r="12777" spans="1:4" x14ac:dyDescent="0.3">
      <c r="A12777" s="1">
        <v>44469</v>
      </c>
      <c r="B12777">
        <v>14448.58008</v>
      </c>
      <c r="C12777">
        <f t="shared" si="415"/>
        <v>-4.4003867101489857E-3</v>
      </c>
      <c r="D12777">
        <f t="shared" si="414"/>
        <v>-0.38919079422370417</v>
      </c>
    </row>
    <row r="12778" spans="1:4" x14ac:dyDescent="0.3">
      <c r="A12778" s="1">
        <v>44470</v>
      </c>
      <c r="B12778">
        <v>14566.700199999999</v>
      </c>
      <c r="C12778">
        <f t="shared" si="415"/>
        <v>8.1752060995601717E-3</v>
      </c>
      <c r="D12778">
        <f t="shared" si="414"/>
        <v>0.61680491940640858</v>
      </c>
    </row>
    <row r="12779" spans="1:4" x14ac:dyDescent="0.3">
      <c r="A12779" s="1">
        <v>44473</v>
      </c>
      <c r="B12779">
        <v>14255.48047</v>
      </c>
      <c r="C12779">
        <f t="shared" si="415"/>
        <v>-2.1365149671989467E-2</v>
      </c>
      <c r="D12779">
        <f t="shared" si="414"/>
        <v>-1.746302071648814</v>
      </c>
    </row>
    <row r="12780" spans="1:4" x14ac:dyDescent="0.3">
      <c r="A12780" s="1">
        <v>44474</v>
      </c>
      <c r="B12780">
        <v>14433.83008</v>
      </c>
      <c r="C12780">
        <f t="shared" si="415"/>
        <v>1.2510950463951587E-2</v>
      </c>
      <c r="D12780">
        <f t="shared" si="414"/>
        <v>0.96364663987036492</v>
      </c>
    </row>
    <row r="12781" spans="1:4" x14ac:dyDescent="0.3">
      <c r="A12781" s="1">
        <v>44475</v>
      </c>
      <c r="B12781">
        <v>14501.910159999999</v>
      </c>
      <c r="C12781">
        <f t="shared" si="415"/>
        <v>4.7167023321366217E-3</v>
      </c>
      <c r="D12781">
        <f t="shared" si="414"/>
        <v>0.34013883946499279</v>
      </c>
    </row>
    <row r="12782" spans="1:4" x14ac:dyDescent="0.3">
      <c r="A12782" s="1">
        <v>44476</v>
      </c>
      <c r="B12782">
        <v>14654.01953</v>
      </c>
      <c r="C12782">
        <f t="shared" si="415"/>
        <v>1.0488919619675822E-2</v>
      </c>
      <c r="D12782">
        <f t="shared" si="414"/>
        <v>0.80189248696881732</v>
      </c>
    </row>
    <row r="12783" spans="1:4" x14ac:dyDescent="0.3">
      <c r="A12783" s="1">
        <v>44477</v>
      </c>
      <c r="B12783">
        <v>14579.54004</v>
      </c>
      <c r="C12783">
        <f t="shared" si="415"/>
        <v>-5.082529735102633E-3</v>
      </c>
      <c r="D12783">
        <f t="shared" si="414"/>
        <v>-0.44375943123111689</v>
      </c>
    </row>
    <row r="12784" spans="1:4" x14ac:dyDescent="0.3">
      <c r="A12784" s="1">
        <v>44480</v>
      </c>
      <c r="B12784">
        <v>14486.200199999999</v>
      </c>
      <c r="C12784">
        <f t="shared" si="415"/>
        <v>-6.4021114345113829E-3</v>
      </c>
      <c r="D12784">
        <f t="shared" si="414"/>
        <v>-0.54932054103144634</v>
      </c>
    </row>
    <row r="12785" spans="1:4" x14ac:dyDescent="0.3">
      <c r="A12785" s="1">
        <v>44481</v>
      </c>
      <c r="B12785">
        <v>14465.91992</v>
      </c>
      <c r="C12785">
        <f t="shared" si="415"/>
        <v>-1.3999723681852084E-3</v>
      </c>
      <c r="D12785">
        <f t="shared" si="414"/>
        <v>-0.14916998464409725</v>
      </c>
    </row>
    <row r="12786" spans="1:4" x14ac:dyDescent="0.3">
      <c r="A12786" s="1">
        <v>44482</v>
      </c>
      <c r="B12786">
        <v>14571.639649999999</v>
      </c>
      <c r="C12786">
        <f t="shared" si="415"/>
        <v>7.3081926752432127E-3</v>
      </c>
      <c r="D12786">
        <f t="shared" si="414"/>
        <v>0.54744741064155544</v>
      </c>
    </row>
    <row r="12787" spans="1:4" x14ac:dyDescent="0.3">
      <c r="A12787" s="1">
        <v>44483</v>
      </c>
      <c r="B12787">
        <v>14823.429690000001</v>
      </c>
      <c r="C12787">
        <f t="shared" si="415"/>
        <v>1.7279458320944803E-2</v>
      </c>
      <c r="D12787">
        <f t="shared" si="414"/>
        <v>1.3451076602083505</v>
      </c>
    </row>
    <row r="12788" spans="1:4" x14ac:dyDescent="0.3">
      <c r="A12788" s="1">
        <v>44484</v>
      </c>
      <c r="B12788">
        <v>14897.339840000001</v>
      </c>
      <c r="C12788">
        <f t="shared" si="415"/>
        <v>4.9860357249078505E-3</v>
      </c>
      <c r="D12788">
        <f t="shared" si="414"/>
        <v>0.36168440338116242</v>
      </c>
    </row>
    <row r="12789" spans="1:4" x14ac:dyDescent="0.3">
      <c r="A12789" s="1">
        <v>44487</v>
      </c>
      <c r="B12789">
        <v>15021.809569999999</v>
      </c>
      <c r="C12789">
        <f t="shared" si="415"/>
        <v>8.3551648372679459E-3</v>
      </c>
      <c r="D12789">
        <f t="shared" si="414"/>
        <v>0.63120087842827954</v>
      </c>
    </row>
    <row r="12790" spans="1:4" x14ac:dyDescent="0.3">
      <c r="A12790" s="1">
        <v>44488</v>
      </c>
      <c r="B12790">
        <v>15129.089840000001</v>
      </c>
      <c r="C12790">
        <f t="shared" si="415"/>
        <v>7.1416342685005239E-3</v>
      </c>
      <c r="D12790">
        <f t="shared" si="414"/>
        <v>0.5341234229944013</v>
      </c>
    </row>
    <row r="12791" spans="1:4" x14ac:dyDescent="0.3">
      <c r="A12791" s="1">
        <v>44489</v>
      </c>
      <c r="B12791">
        <v>15121.679690000001</v>
      </c>
      <c r="C12791">
        <f t="shared" si="415"/>
        <v>-4.8979483090964989E-4</v>
      </c>
      <c r="D12791">
        <f t="shared" si="414"/>
        <v>-7.6359524334449189E-2</v>
      </c>
    </row>
    <row r="12792" spans="1:4" x14ac:dyDescent="0.3">
      <c r="A12792" s="1">
        <v>44490</v>
      </c>
      <c r="B12792">
        <v>15215.700199999999</v>
      </c>
      <c r="C12792">
        <f t="shared" si="415"/>
        <v>6.2175969817806964E-3</v>
      </c>
      <c r="D12792">
        <f t="shared" si="414"/>
        <v>0.46020423972084196</v>
      </c>
    </row>
    <row r="12793" spans="1:4" x14ac:dyDescent="0.3">
      <c r="A12793" s="1">
        <v>44491</v>
      </c>
      <c r="B12793">
        <v>15090.200199999999</v>
      </c>
      <c r="C12793">
        <f t="shared" si="415"/>
        <v>-8.2480594616342398E-3</v>
      </c>
      <c r="D12793">
        <f t="shared" si="414"/>
        <v>-0.6969887926176318</v>
      </c>
    </row>
    <row r="12794" spans="1:4" x14ac:dyDescent="0.3">
      <c r="A12794" s="1">
        <v>44494</v>
      </c>
      <c r="B12794">
        <v>15226.70996</v>
      </c>
      <c r="C12794">
        <f t="shared" si="415"/>
        <v>9.0462524148619862E-3</v>
      </c>
      <c r="D12794">
        <f t="shared" si="414"/>
        <v>0.68648504286670342</v>
      </c>
    </row>
    <row r="12795" spans="1:4" x14ac:dyDescent="0.3">
      <c r="A12795" s="1">
        <v>44495</v>
      </c>
      <c r="B12795">
        <v>15235.70996</v>
      </c>
      <c r="C12795">
        <f t="shared" si="415"/>
        <v>5.910666206713508E-4</v>
      </c>
      <c r="D12795">
        <f t="shared" si="414"/>
        <v>1.0104947263184852E-2</v>
      </c>
    </row>
    <row r="12796" spans="1:4" x14ac:dyDescent="0.3">
      <c r="A12796" s="1">
        <v>44496</v>
      </c>
      <c r="B12796">
        <v>15235.839840000001</v>
      </c>
      <c r="C12796">
        <f t="shared" si="415"/>
        <v>8.5247094058235879E-6</v>
      </c>
      <c r="D12796">
        <f t="shared" si="414"/>
        <v>-3.6496010211404965E-2</v>
      </c>
    </row>
    <row r="12797" spans="1:4" x14ac:dyDescent="0.3">
      <c r="A12797" s="1">
        <v>44497</v>
      </c>
      <c r="B12797">
        <v>15448.12012</v>
      </c>
      <c r="C12797">
        <f t="shared" si="415"/>
        <v>1.3932955598724581E-2</v>
      </c>
      <c r="D12797">
        <f t="shared" si="414"/>
        <v>1.0774012033321512</v>
      </c>
    </row>
    <row r="12798" spans="1:4" x14ac:dyDescent="0.3">
      <c r="A12798" s="1">
        <v>44498</v>
      </c>
      <c r="B12798">
        <v>15498.389649999999</v>
      </c>
      <c r="C12798">
        <f t="shared" si="415"/>
        <v>3.2540872034596516E-3</v>
      </c>
      <c r="D12798">
        <f t="shared" si="414"/>
        <v>0.22313564348018122</v>
      </c>
    </row>
    <row r="12799" spans="1:4" x14ac:dyDescent="0.3">
      <c r="A12799" s="1">
        <v>44501</v>
      </c>
      <c r="B12799">
        <v>15595.91992</v>
      </c>
      <c r="C12799">
        <f t="shared" si="415"/>
        <v>6.2929292786235453E-3</v>
      </c>
      <c r="D12799">
        <f t="shared" si="414"/>
        <v>0.46623051370001434</v>
      </c>
    </row>
    <row r="12800" spans="1:4" x14ac:dyDescent="0.3">
      <c r="A12800" s="1">
        <v>44502</v>
      </c>
      <c r="B12800">
        <v>15649.599609999999</v>
      </c>
      <c r="C12800">
        <f t="shared" si="415"/>
        <v>3.4419059776756682E-3</v>
      </c>
      <c r="D12800">
        <f t="shared" si="414"/>
        <v>0.23816037310204821</v>
      </c>
    </row>
    <row r="12801" spans="1:4" x14ac:dyDescent="0.3">
      <c r="A12801" s="1">
        <v>44503</v>
      </c>
      <c r="B12801">
        <v>15811.58008</v>
      </c>
      <c r="C12801">
        <f t="shared" si="415"/>
        <v>1.0350454582652446E-2</v>
      </c>
      <c r="D12801">
        <f t="shared" si="414"/>
        <v>0.79081585337858162</v>
      </c>
    </row>
    <row r="12802" spans="1:4" x14ac:dyDescent="0.3">
      <c r="A12802" s="1">
        <v>44504</v>
      </c>
      <c r="B12802">
        <v>15940.309569999999</v>
      </c>
      <c r="C12802">
        <f t="shared" si="415"/>
        <v>8.1414690593022455E-3</v>
      </c>
      <c r="D12802">
        <f t="shared" si="414"/>
        <v>0.61410609491331303</v>
      </c>
    </row>
    <row r="12803" spans="1:4" x14ac:dyDescent="0.3">
      <c r="A12803" s="1">
        <v>44505</v>
      </c>
      <c r="B12803">
        <v>15971.589840000001</v>
      </c>
      <c r="C12803">
        <f t="shared" si="415"/>
        <v>1.9623376737219231E-3</v>
      </c>
      <c r="D12803">
        <f t="shared" ref="D12803:D12866" si="416">(C12803-avrtn)/sdrtn</f>
        <v>0.11980099280696793</v>
      </c>
    </row>
    <row r="12804" spans="1:4" x14ac:dyDescent="0.3">
      <c r="A12804" s="1">
        <v>44508</v>
      </c>
      <c r="B12804">
        <v>15982.360350000001</v>
      </c>
      <c r="C12804">
        <f t="shared" ref="C12804:C12853" si="417">(B12804-B12803)/B12803</f>
        <v>6.7435428206565344E-4</v>
      </c>
      <c r="D12804">
        <f t="shared" si="416"/>
        <v>1.6767617693819008E-2</v>
      </c>
    </row>
    <row r="12805" spans="1:4" x14ac:dyDescent="0.3">
      <c r="A12805" s="1">
        <v>44509</v>
      </c>
      <c r="B12805">
        <v>15886.54004</v>
      </c>
      <c r="C12805">
        <f t="shared" si="417"/>
        <v>-5.9953791493633146E-3</v>
      </c>
      <c r="D12805">
        <f t="shared" si="416"/>
        <v>-0.51678363071275091</v>
      </c>
    </row>
    <row r="12806" spans="1:4" x14ac:dyDescent="0.3">
      <c r="A12806" s="1">
        <v>44510</v>
      </c>
      <c r="B12806">
        <v>15622.70996</v>
      </c>
      <c r="C12806">
        <f t="shared" si="417"/>
        <v>-1.6607145378144891E-2</v>
      </c>
      <c r="D12806">
        <f t="shared" si="416"/>
        <v>-1.3656812931718099</v>
      </c>
    </row>
    <row r="12807" spans="1:4" x14ac:dyDescent="0.3">
      <c r="A12807" s="1">
        <v>44511</v>
      </c>
      <c r="B12807">
        <v>15704.280269999999</v>
      </c>
      <c r="C12807">
        <f t="shared" si="417"/>
        <v>5.2212650819767987E-3</v>
      </c>
      <c r="D12807">
        <f t="shared" si="416"/>
        <v>0.38050178467778234</v>
      </c>
    </row>
    <row r="12808" spans="1:4" x14ac:dyDescent="0.3">
      <c r="A12808" s="1">
        <v>44512</v>
      </c>
      <c r="B12808">
        <v>15860.95996</v>
      </c>
      <c r="C12808">
        <f t="shared" si="417"/>
        <v>9.9768781062387936E-3</v>
      </c>
      <c r="D12808">
        <f t="shared" si="416"/>
        <v>0.76093127142113937</v>
      </c>
    </row>
    <row r="12809" spans="1:4" x14ac:dyDescent="0.3">
      <c r="A12809" s="1">
        <v>44515</v>
      </c>
      <c r="B12809">
        <v>15853.849609999999</v>
      </c>
      <c r="C12809">
        <f t="shared" si="417"/>
        <v>-4.4829253827842307E-4</v>
      </c>
      <c r="D12809">
        <f t="shared" si="416"/>
        <v>-7.3039511582398076E-2</v>
      </c>
    </row>
    <row r="12810" spans="1:4" x14ac:dyDescent="0.3">
      <c r="A12810" s="1">
        <v>44516</v>
      </c>
      <c r="B12810">
        <v>15973.860350000001</v>
      </c>
      <c r="C12810">
        <f t="shared" si="417"/>
        <v>7.5698169815048184E-3</v>
      </c>
      <c r="D12810">
        <f t="shared" si="416"/>
        <v>0.56837627933690837</v>
      </c>
    </row>
    <row r="12811" spans="1:4" x14ac:dyDescent="0.3">
      <c r="A12811" s="1">
        <v>44517</v>
      </c>
      <c r="B12811">
        <v>15921.570309999999</v>
      </c>
      <c r="C12811">
        <f t="shared" si="417"/>
        <v>-3.2734754689402101E-3</v>
      </c>
      <c r="D12811">
        <f t="shared" si="416"/>
        <v>-0.29904252881371451</v>
      </c>
    </row>
    <row r="12812" spans="1:4" x14ac:dyDescent="0.3">
      <c r="A12812" s="1">
        <v>44518</v>
      </c>
      <c r="B12812">
        <v>15993.70996</v>
      </c>
      <c r="C12812">
        <f t="shared" si="417"/>
        <v>4.5309381295569572E-3</v>
      </c>
      <c r="D12812">
        <f t="shared" si="416"/>
        <v>0.32527846712558495</v>
      </c>
    </row>
    <row r="12813" spans="1:4" x14ac:dyDescent="0.3">
      <c r="A12813" s="1">
        <v>44519</v>
      </c>
      <c r="B12813">
        <v>16057.440430000001</v>
      </c>
      <c r="C12813">
        <f t="shared" si="417"/>
        <v>3.9847208783571324E-3</v>
      </c>
      <c r="D12813">
        <f t="shared" si="416"/>
        <v>0.28158333308835659</v>
      </c>
    </row>
    <row r="12814" spans="1:4" x14ac:dyDescent="0.3">
      <c r="A12814" s="1">
        <v>44522</v>
      </c>
      <c r="B12814">
        <v>15854.759770000001</v>
      </c>
      <c r="C12814">
        <f t="shared" si="417"/>
        <v>-1.2622227115433239E-2</v>
      </c>
      <c r="D12814">
        <f t="shared" si="416"/>
        <v>-1.0469042182366846</v>
      </c>
    </row>
    <row r="12815" spans="1:4" x14ac:dyDescent="0.3">
      <c r="A12815" s="1">
        <v>44523</v>
      </c>
      <c r="B12815">
        <v>15775.139649999999</v>
      </c>
      <c r="C12815">
        <f t="shared" si="417"/>
        <v>-5.0218433552463347E-3</v>
      </c>
      <c r="D12815">
        <f t="shared" si="416"/>
        <v>-0.43890477038649806</v>
      </c>
    </row>
    <row r="12816" spans="1:4" x14ac:dyDescent="0.3">
      <c r="A12816" s="1">
        <v>44524</v>
      </c>
      <c r="B12816">
        <v>15845.23047</v>
      </c>
      <c r="C12816">
        <f t="shared" si="417"/>
        <v>4.4431188284283279E-3</v>
      </c>
      <c r="D12816">
        <f t="shared" si="416"/>
        <v>0.31825328415041859</v>
      </c>
    </row>
    <row r="12817" spans="1:4" x14ac:dyDescent="0.3">
      <c r="A12817" s="1">
        <v>44526</v>
      </c>
      <c r="B12817">
        <v>15491.660159999999</v>
      </c>
      <c r="C12817">
        <f t="shared" si="417"/>
        <v>-2.2313989731447621E-2</v>
      </c>
      <c r="D12817">
        <f t="shared" si="416"/>
        <v>-1.8222053747518285</v>
      </c>
    </row>
    <row r="12818" spans="1:4" x14ac:dyDescent="0.3">
      <c r="A12818" s="1">
        <v>44529</v>
      </c>
      <c r="B12818">
        <v>15782.83008</v>
      </c>
      <c r="C12818">
        <f t="shared" si="417"/>
        <v>1.8795269002337855E-2</v>
      </c>
      <c r="D12818">
        <f t="shared" si="416"/>
        <v>1.4663662816690288</v>
      </c>
    </row>
    <row r="12819" spans="1:4" x14ac:dyDescent="0.3">
      <c r="A12819" s="1">
        <v>44530</v>
      </c>
      <c r="B12819">
        <v>15537.690430000001</v>
      </c>
      <c r="C12819">
        <f t="shared" si="417"/>
        <v>-1.5532046455384457E-2</v>
      </c>
      <c r="D12819">
        <f t="shared" si="416"/>
        <v>-1.2796778001841611</v>
      </c>
    </row>
    <row r="12820" spans="1:4" x14ac:dyDescent="0.3">
      <c r="A12820" s="1">
        <v>44531</v>
      </c>
      <c r="B12820">
        <v>15254.04981</v>
      </c>
      <c r="C12820">
        <f t="shared" si="417"/>
        <v>-1.825500522602445E-2</v>
      </c>
      <c r="D12820">
        <f t="shared" si="416"/>
        <v>-1.4975033049619917</v>
      </c>
    </row>
    <row r="12821" spans="1:4" x14ac:dyDescent="0.3">
      <c r="A12821" s="1">
        <v>44532</v>
      </c>
      <c r="B12821">
        <v>15381.320309999999</v>
      </c>
      <c r="C12821">
        <f t="shared" si="417"/>
        <v>8.3433908755539011E-3</v>
      </c>
      <c r="D12821">
        <f t="shared" si="416"/>
        <v>0.63025900990597583</v>
      </c>
    </row>
    <row r="12822" spans="1:4" x14ac:dyDescent="0.3">
      <c r="A12822" s="1">
        <v>44533</v>
      </c>
      <c r="B12822">
        <v>15085.469730000001</v>
      </c>
      <c r="C12822">
        <f t="shared" si="417"/>
        <v>-1.9234407322475066E-2</v>
      </c>
      <c r="D12822">
        <f t="shared" si="416"/>
        <v>-1.5758514453525563</v>
      </c>
    </row>
    <row r="12823" spans="1:4" x14ac:dyDescent="0.3">
      <c r="A12823" s="1">
        <v>44536</v>
      </c>
      <c r="B12823">
        <v>15225.150390000001</v>
      </c>
      <c r="C12823">
        <f t="shared" si="417"/>
        <v>9.2592847620927201E-3</v>
      </c>
      <c r="D12823">
        <f t="shared" si="416"/>
        <v>0.70352675465091608</v>
      </c>
    </row>
    <row r="12824" spans="1:4" x14ac:dyDescent="0.3">
      <c r="A12824" s="1">
        <v>44537</v>
      </c>
      <c r="B12824">
        <v>15686.91992</v>
      </c>
      <c r="C12824">
        <f t="shared" si="417"/>
        <v>3.0329390394941088E-2</v>
      </c>
      <c r="D12824">
        <f t="shared" si="416"/>
        <v>2.3890485644867239</v>
      </c>
    </row>
    <row r="12825" spans="1:4" x14ac:dyDescent="0.3">
      <c r="A12825" s="1">
        <v>44538</v>
      </c>
      <c r="B12825">
        <v>15786.990229999999</v>
      </c>
      <c r="C12825">
        <f t="shared" si="417"/>
        <v>6.3792197901396024E-3</v>
      </c>
      <c r="D12825">
        <f t="shared" si="416"/>
        <v>0.47313339979259539</v>
      </c>
    </row>
    <row r="12826" spans="1:4" x14ac:dyDescent="0.3">
      <c r="A12826" s="1">
        <v>44539</v>
      </c>
      <c r="B12826">
        <v>15517.37012</v>
      </c>
      <c r="C12826">
        <f t="shared" si="417"/>
        <v>-1.7078626519172798E-2</v>
      </c>
      <c r="D12826">
        <f t="shared" si="416"/>
        <v>-1.4033978457120062</v>
      </c>
    </row>
    <row r="12827" spans="1:4" x14ac:dyDescent="0.3">
      <c r="A12827" s="1">
        <v>44540</v>
      </c>
      <c r="B12827">
        <v>15630.599609999999</v>
      </c>
      <c r="C12827">
        <f t="shared" si="417"/>
        <v>7.2969510377316254E-3</v>
      </c>
      <c r="D12827">
        <f t="shared" si="416"/>
        <v>0.54654812586651813</v>
      </c>
    </row>
    <row r="12828" spans="1:4" x14ac:dyDescent="0.3">
      <c r="A12828" s="1">
        <v>44543</v>
      </c>
      <c r="B12828">
        <v>15413.280269999999</v>
      </c>
      <c r="C12828">
        <f t="shared" si="417"/>
        <v>-1.3903455108719275E-2</v>
      </c>
      <c r="D12828">
        <f t="shared" si="416"/>
        <v>-1.149397189258579</v>
      </c>
    </row>
    <row r="12829" spans="1:4" x14ac:dyDescent="0.3">
      <c r="A12829" s="1">
        <v>44544</v>
      </c>
      <c r="B12829">
        <v>15237.639649999999</v>
      </c>
      <c r="C12829">
        <f t="shared" si="417"/>
        <v>-1.1395408175498008E-2</v>
      </c>
      <c r="D12829">
        <f t="shared" si="416"/>
        <v>-0.94876374775149042</v>
      </c>
    </row>
    <row r="12830" spans="1:4" x14ac:dyDescent="0.3">
      <c r="A12830" s="1">
        <v>44545</v>
      </c>
      <c r="B12830">
        <v>15565.58008</v>
      </c>
      <c r="C12830">
        <f t="shared" si="417"/>
        <v>2.1521734174885846E-2</v>
      </c>
      <c r="D12830">
        <f t="shared" si="416"/>
        <v>1.6844722841810884</v>
      </c>
    </row>
    <row r="12831" spans="1:4" x14ac:dyDescent="0.3">
      <c r="A12831" s="1">
        <v>44546</v>
      </c>
      <c r="B12831">
        <v>15180.429690000001</v>
      </c>
      <c r="C12831">
        <f t="shared" si="417"/>
        <v>-2.4743722239743145E-2</v>
      </c>
      <c r="D12831">
        <f t="shared" si="416"/>
        <v>-2.0165739842956971</v>
      </c>
    </row>
    <row r="12832" spans="1:4" x14ac:dyDescent="0.3">
      <c r="A12832" s="1">
        <v>44547</v>
      </c>
      <c r="B12832">
        <v>15169.679690000001</v>
      </c>
      <c r="C12832">
        <f t="shared" si="417"/>
        <v>-7.081485978675219E-4</v>
      </c>
      <c r="D12832">
        <f t="shared" si="416"/>
        <v>-9.3826927815024205E-2</v>
      </c>
    </row>
    <row r="12833" spans="1:4" x14ac:dyDescent="0.3">
      <c r="A12833" s="1">
        <v>44550</v>
      </c>
      <c r="B12833">
        <v>14980.940430000001</v>
      </c>
      <c r="C12833">
        <f t="shared" si="417"/>
        <v>-1.2441875099341684E-2</v>
      </c>
      <c r="D12833">
        <f t="shared" si="416"/>
        <v>-1.0324767985612817</v>
      </c>
    </row>
    <row r="12834" spans="1:4" x14ac:dyDescent="0.3">
      <c r="A12834" s="1">
        <v>44551</v>
      </c>
      <c r="B12834">
        <v>15341.089840000001</v>
      </c>
      <c r="C12834">
        <f t="shared" si="417"/>
        <v>2.404050744897061E-2</v>
      </c>
      <c r="D12834">
        <f t="shared" si="416"/>
        <v>1.8859637888502794</v>
      </c>
    </row>
    <row r="12835" spans="1:4" x14ac:dyDescent="0.3">
      <c r="A12835" s="1">
        <v>44552</v>
      </c>
      <c r="B12835">
        <v>15521.889649999999</v>
      </c>
      <c r="C12835">
        <f t="shared" si="417"/>
        <v>1.178533023961475E-2</v>
      </c>
      <c r="D12835">
        <f t="shared" si="416"/>
        <v>0.90560000569160914</v>
      </c>
    </row>
    <row r="12836" spans="1:4" x14ac:dyDescent="0.3">
      <c r="A12836" s="1">
        <v>44553</v>
      </c>
      <c r="B12836">
        <v>15653.37012</v>
      </c>
      <c r="C12836">
        <f t="shared" si="417"/>
        <v>8.4706484174754092E-3</v>
      </c>
      <c r="D12836">
        <f t="shared" si="416"/>
        <v>0.64043908997355736</v>
      </c>
    </row>
    <row r="12837" spans="1:4" x14ac:dyDescent="0.3">
      <c r="A12837" s="1">
        <v>44557</v>
      </c>
      <c r="B12837">
        <v>15871.259770000001</v>
      </c>
      <c r="C12837">
        <f t="shared" si="417"/>
        <v>1.3919663837859919E-2</v>
      </c>
      <c r="D12837">
        <f t="shared" si="416"/>
        <v>1.0763379171190255</v>
      </c>
    </row>
    <row r="12838" spans="1:4" x14ac:dyDescent="0.3">
      <c r="A12838" s="1">
        <v>44558</v>
      </c>
      <c r="B12838">
        <v>15781.719730000001</v>
      </c>
      <c r="C12838">
        <f t="shared" si="417"/>
        <v>-5.6416466807032708E-3</v>
      </c>
      <c r="D12838">
        <f t="shared" si="416"/>
        <v>-0.4884864877765499</v>
      </c>
    </row>
    <row r="12839" spans="1:4" x14ac:dyDescent="0.3">
      <c r="A12839" s="1">
        <v>44559</v>
      </c>
      <c r="B12839">
        <v>15766.219730000001</v>
      </c>
      <c r="C12839">
        <f t="shared" si="417"/>
        <v>-9.8214898408920093E-4</v>
      </c>
      <c r="D12839">
        <f t="shared" si="416"/>
        <v>-0.11574583201643811</v>
      </c>
    </row>
    <row r="12840" spans="1:4" x14ac:dyDescent="0.3">
      <c r="A12840" s="1">
        <v>44560</v>
      </c>
      <c r="B12840">
        <v>15741.559569999999</v>
      </c>
      <c r="C12840">
        <f t="shared" si="417"/>
        <v>-1.5641136824370053E-3</v>
      </c>
      <c r="D12840">
        <f t="shared" si="416"/>
        <v>-0.16230061483112379</v>
      </c>
    </row>
    <row r="12841" spans="1:4" x14ac:dyDescent="0.3">
      <c r="A12841" s="1">
        <v>44561</v>
      </c>
      <c r="B12841">
        <v>15644.969730000001</v>
      </c>
      <c r="C12841">
        <f t="shared" si="417"/>
        <v>-6.1359765257362449E-3</v>
      </c>
      <c r="D12841">
        <f t="shared" si="416"/>
        <v>-0.52803084268271927</v>
      </c>
    </row>
    <row r="12842" spans="1:4" x14ac:dyDescent="0.3">
      <c r="A12842" s="1">
        <v>44564</v>
      </c>
      <c r="B12842">
        <v>15832.79981</v>
      </c>
      <c r="C12842">
        <f t="shared" si="417"/>
        <v>1.2005780978906356E-2</v>
      </c>
      <c r="D12842">
        <f t="shared" si="416"/>
        <v>0.92323515833608116</v>
      </c>
    </row>
    <row r="12843" spans="1:4" x14ac:dyDescent="0.3">
      <c r="A12843" s="1">
        <v>44565</v>
      </c>
      <c r="B12843">
        <v>15622.719730000001</v>
      </c>
      <c r="C12843">
        <f t="shared" si="417"/>
        <v>-1.3268662682598506E-2</v>
      </c>
      <c r="D12843">
        <f t="shared" si="416"/>
        <v>-1.0986164054509706</v>
      </c>
    </row>
    <row r="12844" spans="1:4" x14ac:dyDescent="0.3">
      <c r="A12844" s="1">
        <v>44566</v>
      </c>
      <c r="B12844">
        <v>15100.16992</v>
      </c>
      <c r="C12844">
        <f t="shared" si="417"/>
        <v>-3.3448069160234524E-2</v>
      </c>
      <c r="D12844">
        <f t="shared" si="416"/>
        <v>-2.7128859454466014</v>
      </c>
    </row>
    <row r="12845" spans="1:4" x14ac:dyDescent="0.3">
      <c r="A12845" s="1">
        <v>44567</v>
      </c>
      <c r="B12845">
        <v>15080.860350000001</v>
      </c>
      <c r="C12845">
        <f t="shared" si="417"/>
        <v>-1.2787650802805958E-3</v>
      </c>
      <c r="D12845">
        <f t="shared" si="416"/>
        <v>-0.1394739000190742</v>
      </c>
    </row>
    <row r="12846" spans="1:4" x14ac:dyDescent="0.3">
      <c r="A12846" s="1">
        <v>44568</v>
      </c>
      <c r="B12846">
        <v>14935.900390000001</v>
      </c>
      <c r="C12846">
        <f t="shared" si="417"/>
        <v>-9.6121810450953572E-3</v>
      </c>
      <c r="D12846">
        <f t="shared" si="416"/>
        <v>-0.80611290999305307</v>
      </c>
    </row>
    <row r="12847" spans="1:4" x14ac:dyDescent="0.3">
      <c r="A12847" s="1">
        <v>44571</v>
      </c>
      <c r="B12847">
        <v>14942.83008</v>
      </c>
      <c r="C12847">
        <f t="shared" si="417"/>
        <v>4.639619854882433E-4</v>
      </c>
      <c r="D12847">
        <f t="shared" si="416"/>
        <v>-6.2900894080874262E-5</v>
      </c>
    </row>
    <row r="12848" spans="1:4" x14ac:dyDescent="0.3">
      <c r="A12848" s="1">
        <v>44572</v>
      </c>
      <c r="B12848">
        <v>15153.450199999999</v>
      </c>
      <c r="C12848">
        <f t="shared" si="417"/>
        <v>1.4095062238705427E-2</v>
      </c>
      <c r="D12848">
        <f t="shared" si="416"/>
        <v>1.0903690679441322</v>
      </c>
    </row>
    <row r="12849" spans="1:4" x14ac:dyDescent="0.3">
      <c r="A12849" s="1">
        <v>44573</v>
      </c>
      <c r="B12849">
        <v>15188.389649999999</v>
      </c>
      <c r="C12849">
        <f t="shared" si="417"/>
        <v>2.305709230495894E-3</v>
      </c>
      <c r="D12849">
        <f t="shared" si="416"/>
        <v>0.1472693053966074</v>
      </c>
    </row>
    <row r="12850" spans="1:4" x14ac:dyDescent="0.3">
      <c r="A12850" s="1">
        <v>44574</v>
      </c>
      <c r="B12850">
        <v>14806.809569999999</v>
      </c>
      <c r="C12850">
        <f t="shared" si="417"/>
        <v>-2.5123142663119637E-2</v>
      </c>
      <c r="D12850">
        <f t="shared" si="416"/>
        <v>-2.0469260579797131</v>
      </c>
    </row>
    <row r="12851" spans="1:4" x14ac:dyDescent="0.3">
      <c r="A12851" s="1">
        <v>44575</v>
      </c>
      <c r="B12851">
        <v>14893.75</v>
      </c>
      <c r="C12851">
        <f t="shared" si="417"/>
        <v>5.871651795681233E-3</v>
      </c>
      <c r="D12851">
        <f t="shared" si="416"/>
        <v>0.43253004736799011</v>
      </c>
    </row>
    <row r="12852" spans="1:4" x14ac:dyDescent="0.3">
      <c r="A12852" s="1">
        <v>44579</v>
      </c>
      <c r="B12852">
        <v>14506.900390000001</v>
      </c>
      <c r="C12852">
        <f t="shared" si="417"/>
        <v>-2.5973956189676833E-2</v>
      </c>
      <c r="D12852">
        <f t="shared" si="416"/>
        <v>-2.1149876415381628</v>
      </c>
    </row>
    <row r="12853" spans="1:4" x14ac:dyDescent="0.3">
      <c r="A12853" s="1">
        <v>44580</v>
      </c>
      <c r="B12853">
        <v>14340.259770000001</v>
      </c>
      <c r="C12853">
        <f t="shared" si="417"/>
        <v>-1.1486990019926657E-2</v>
      </c>
      <c r="D12853">
        <f t="shared" si="416"/>
        <v>-0.95608991871898785</v>
      </c>
    </row>
  </sheetData>
  <phoneticPr fontId="19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4</vt:i4>
      </vt:variant>
    </vt:vector>
  </HeadingPairs>
  <TitlesOfParts>
    <vt:vector size="5" baseType="lpstr">
      <vt:lpstr>Nasdaq</vt:lpstr>
      <vt:lpstr>avrtn</vt:lpstr>
      <vt:lpstr>bucketwidth</vt:lpstr>
      <vt:lpstr>datacount</vt:lpstr>
      <vt:lpstr>sdrtn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EasyTech</cp:lastModifiedBy>
  <dcterms:created xsi:type="dcterms:W3CDTF">2022-01-20T20:53:56Z</dcterms:created>
  <dcterms:modified xsi:type="dcterms:W3CDTF">2022-02-17T10:03:45Z</dcterms:modified>
</cp:coreProperties>
</file>