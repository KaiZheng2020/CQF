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QF\PW lectures\Binomial\"/>
    </mc:Choice>
  </mc:AlternateContent>
  <xr:revisionPtr revIDLastSave="0" documentId="13_ncr:1_{34DA1237-FAE8-4F52-A52C-BF77B9417767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Sheet1" sheetId="1" r:id="rId1"/>
  </sheets>
  <definedNames>
    <definedName name="DF">Sheet1!$B$13</definedName>
    <definedName name="earlyexercise">Sheet1!$B$7</definedName>
    <definedName name="expn">Sheet1!$B$6</definedName>
    <definedName name="intrate">Sheet1!$B$3</definedName>
    <definedName name="payofftype">Sheet1!$B$5</definedName>
    <definedName name="pdash">Sheet1!$B$12</definedName>
    <definedName name="pflag">Sheet1!$C$5</definedName>
    <definedName name="stocktoday">Sheet1!$B$1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  <definedName name="vol">Sheet1!$B$2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5" i="1"/>
  <c r="B13" i="1"/>
  <c r="B12" i="1"/>
  <c r="B11" i="1"/>
  <c r="B10" i="1"/>
  <c r="B9" i="1"/>
  <c r="B17" i="1"/>
  <c r="B18" i="1" l="1"/>
  <c r="C21" i="1" l="1"/>
  <c r="D25" i="1" s="1"/>
  <c r="D26" i="1" s="1"/>
  <c r="C13" i="1"/>
  <c r="C14" i="1" s="1"/>
  <c r="D9" i="1" l="1"/>
  <c r="E29" i="1"/>
  <c r="E21" i="1"/>
  <c r="D17" i="1"/>
  <c r="C22" i="1"/>
  <c r="D18" i="1" l="1"/>
  <c r="E13" i="1"/>
  <c r="F17" i="1"/>
  <c r="F18" i="1" s="1"/>
  <c r="F20" i="1" s="1"/>
  <c r="E22" i="1"/>
  <c r="F25" i="1"/>
  <c r="F26" i="1" s="1"/>
  <c r="F28" i="1" s="1"/>
  <c r="E30" i="1"/>
  <c r="F33" i="1"/>
  <c r="F34" i="1" s="1"/>
  <c r="F36" i="1" s="1"/>
  <c r="E5" i="1"/>
  <c r="E6" i="1" s="1"/>
  <c r="D10" i="1"/>
  <c r="E24" i="1" l="1"/>
  <c r="E32" i="1"/>
  <c r="E31" i="1"/>
  <c r="E23" i="1"/>
  <c r="F1" i="1"/>
  <c r="F2" i="1" s="1"/>
  <c r="F4" i="1" s="1"/>
  <c r="F9" i="1"/>
  <c r="F10" i="1" s="1"/>
  <c r="F12" i="1" s="1"/>
  <c r="E14" i="1"/>
  <c r="E7" i="1" l="1"/>
  <c r="E8" i="1"/>
  <c r="D28" i="1"/>
  <c r="D27" i="1"/>
  <c r="E15" i="1"/>
  <c r="E16" i="1"/>
  <c r="D12" i="1" l="1"/>
  <c r="D19" i="1"/>
  <c r="D20" i="1"/>
  <c r="D11" i="1"/>
  <c r="C16" i="1" l="1"/>
  <c r="C15" i="1"/>
  <c r="C24" i="1"/>
  <c r="C23" i="1"/>
  <c r="B20" i="1" l="1"/>
  <c r="B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7city</author>
    <author>Paul Wilmott</author>
  </authors>
  <commentList>
    <comment ref="F2" authorId="0" shapeId="0" xr:uid="{00000000-0006-0000-0000-000001000000}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 shapeId="0" xr:uid="{00000000-0006-0000-0000-000002000000}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1" shapeId="0" xr:uid="{33FF9D32-34B3-4F80-A2DB-CFA19794F23D}">
      <text>
        <r>
          <rPr>
            <sz val="9"/>
            <color indexed="81"/>
            <rFont val="Tahoma"/>
            <family val="2"/>
          </rPr>
          <t>=IF(payofftype="c",1,-1)</t>
        </r>
      </text>
    </comment>
    <comment ref="C7" authorId="1" shapeId="0" xr:uid="{487D7BE7-D9D8-4B4D-A45F-CD629960490E}">
      <text>
        <r>
          <rPr>
            <sz val="9"/>
            <color indexed="81"/>
            <rFont val="Tahoma"/>
            <family val="2"/>
          </rPr>
          <t>=IF(earlyexercise="y",1,0)</t>
        </r>
      </text>
    </comment>
    <comment ref="E7" authorId="0" shapeId="0" xr:uid="{00000000-0006-0000-0000-000005000000}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 shapeId="0" xr:uid="{00000000-0006-0000-0000-000006000000}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1" shapeId="0" xr:uid="{925AF167-9FD0-4D17-9906-E7832E9199C6}">
      <text>
        <r>
          <rPr>
            <sz val="9"/>
            <color indexed="81"/>
            <rFont val="Tahoma"/>
            <family val="2"/>
          </rPr>
          <t>=expn/4</t>
        </r>
      </text>
    </comment>
    <comment ref="B10" authorId="1" shapeId="0" xr:uid="{D31248C0-50E3-45AC-AB88-E25D4E6851C0}">
      <text>
        <r>
          <rPr>
            <sz val="9"/>
            <color indexed="81"/>
            <rFont val="Tahoma"/>
            <family val="2"/>
          </rPr>
          <t>=1+vol*SQRT(tstep)</t>
        </r>
      </text>
    </comment>
    <comment ref="B11" authorId="1" shapeId="0" xr:uid="{EF96E61C-EFBC-4EFA-A1A9-94A2784B0BC6}">
      <text>
        <r>
          <rPr>
            <sz val="9"/>
            <color indexed="81"/>
            <rFont val="Tahoma"/>
            <family val="2"/>
          </rPr>
          <t>=1-vol*SQRT(tstep)</t>
        </r>
      </text>
    </comment>
    <comment ref="B12" authorId="1" shapeId="0" xr:uid="{CABF6446-65C5-4CEA-AA88-D39941FEFE36}">
      <text>
        <r>
          <rPr>
            <sz val="9"/>
            <color indexed="81"/>
            <rFont val="Tahoma"/>
            <family val="2"/>
          </rPr>
          <t>=0.5+intrate*SQRT(tstep)/(2*vol)</t>
        </r>
      </text>
    </comment>
    <comment ref="B13" authorId="1" shapeId="0" xr:uid="{74C06FA9-0978-48A6-822A-72BE4C08FC09}">
      <text>
        <r>
          <rPr>
            <sz val="9"/>
            <color indexed="81"/>
            <rFont val="Tahoma"/>
            <family val="2"/>
          </rPr>
          <t>=1/(1+intrate*tstep)</t>
        </r>
      </text>
    </comment>
    <comment ref="C13" authorId="0" shapeId="0" xr:uid="{00000000-0006-0000-0000-00000C000000}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 shapeId="0" xr:uid="{00000000-0006-0000-0000-00000D000000}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<sst xmlns="http://schemas.openxmlformats.org/spreadsheetml/2006/main" count="18" uniqueCount="17">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</sst>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="130" zoomScaleNormal="130" workbookViewId="0">
      <selection activeCell="B6" sqref="B6"/>
    </sheetView>
  </sheetViews>
  <sheetFormatPr defaultRowHeight="15" x14ac:dyDescent="0.25"/>
  <sheetData>
    <row r="1" spans="1:6" x14ac:dyDescent="0.25">
      <c r="A1" t="s">
        <v>1</v>
      </c>
      <c r="B1" s="1">
        <v>100</v>
      </c>
      <c r="F1" s="3">
        <f>u*E5</f>
        <v>146.41000000000008</v>
      </c>
    </row>
    <row r="2" spans="1:6" x14ac:dyDescent="0.25">
      <c r="A2" t="s">
        <v>2</v>
      </c>
      <c r="B2" s="1">
        <v>0.2</v>
      </c>
      <c r="F2" s="2">
        <f>MAX(pflag*(F1-strike),0)</f>
        <v>46.410000000000082</v>
      </c>
    </row>
    <row r="3" spans="1:6" x14ac:dyDescent="0.25">
      <c r="A3" t="s">
        <v>3</v>
      </c>
      <c r="B3" s="1">
        <v>0.05</v>
      </c>
      <c r="F3" s="4"/>
    </row>
    <row r="4" spans="1:6" x14ac:dyDescent="0.25">
      <c r="A4" t="s">
        <v>4</v>
      </c>
      <c r="B4" s="1">
        <v>100</v>
      </c>
      <c r="F4" s="5">
        <f>F2</f>
        <v>46.410000000000082</v>
      </c>
    </row>
    <row r="5" spans="1:6" x14ac:dyDescent="0.25">
      <c r="A5" t="s">
        <v>5</v>
      </c>
      <c r="B5" s="6" t="s">
        <v>15</v>
      </c>
      <c r="C5">
        <f>IF(payofftype="c",1,-1)</f>
        <v>1</v>
      </c>
      <c r="E5" s="3">
        <f>u*D9</f>
        <v>133.10000000000005</v>
      </c>
    </row>
    <row r="6" spans="1:6" x14ac:dyDescent="0.25">
      <c r="A6" t="s">
        <v>6</v>
      </c>
      <c r="B6" s="1">
        <v>1</v>
      </c>
      <c r="E6" s="2">
        <f>MAX(pflag*(E5-strike),0)</f>
        <v>33.100000000000051</v>
      </c>
    </row>
    <row r="7" spans="1:6" x14ac:dyDescent="0.25">
      <c r="A7" t="s">
        <v>0</v>
      </c>
      <c r="B7" s="6" t="s">
        <v>16</v>
      </c>
      <c r="C7">
        <f>IF(earlyexercise="y",1,0)</f>
        <v>0</v>
      </c>
      <c r="E7" s="4">
        <f>(F4-F12)/(F1-F9)</f>
        <v>1</v>
      </c>
    </row>
    <row r="8" spans="1:6" x14ac:dyDescent="0.25">
      <c r="E8" s="5">
        <f>MAX(DF*(pdash*F4+(1-pdash)*F12),USflag*E6)</f>
        <v>34.334567901234628</v>
      </c>
    </row>
    <row r="9" spans="1:6" x14ac:dyDescent="0.25">
      <c r="A9" t="s">
        <v>7</v>
      </c>
      <c r="B9">
        <f>expn/4</f>
        <v>0.25</v>
      </c>
      <c r="D9" s="3">
        <f>u*C13</f>
        <v>121.00000000000003</v>
      </c>
      <c r="F9" s="3">
        <f>u*E13</f>
        <v>119.79000000000003</v>
      </c>
    </row>
    <row r="10" spans="1:6" x14ac:dyDescent="0.25">
      <c r="A10" t="s">
        <v>8</v>
      </c>
      <c r="B10">
        <f>1+vol*SQRT(tstep)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25">
      <c r="A11" t="s">
        <v>9</v>
      </c>
      <c r="B11">
        <f>1-vol*SQRT(tstep)</f>
        <v>0.9</v>
      </c>
      <c r="D11" s="4">
        <f>(E8-E16)/(E5-E13)</f>
        <v>0.9644679114376089</v>
      </c>
      <c r="F11" s="4"/>
    </row>
    <row r="12" spans="1:6" x14ac:dyDescent="0.25">
      <c r="A12" t="s">
        <v>10</v>
      </c>
      <c r="B12">
        <f>0.5+intrate*SQRT(tstep)/(2*vol)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25">
      <c r="A13" t="s">
        <v>11</v>
      </c>
      <c r="B13">
        <f>1/(1+intrate*tstep)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25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25">
      <c r="C15" s="4">
        <f>(D12-D20)/(D9-D17)</f>
        <v>0.80533732385584322</v>
      </c>
      <c r="E15" s="4">
        <f>(F12-F20)/(F9-F17)</f>
        <v>0.90863177226813685</v>
      </c>
    </row>
    <row r="16" spans="1:6" x14ac:dyDescent="0.25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25">
      <c r="A17" s="3" t="s">
        <v>1</v>
      </c>
      <c r="B17" s="3">
        <f>stocktoday</f>
        <v>100</v>
      </c>
      <c r="D17" s="3">
        <f>u*C21</f>
        <v>99.000000000000014</v>
      </c>
      <c r="F17" s="3">
        <f>u*E21</f>
        <v>98.010000000000019</v>
      </c>
    </row>
    <row r="18" spans="1:6" x14ac:dyDescent="0.25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25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25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25">
      <c r="C21" s="3">
        <f>v*B17</f>
        <v>90</v>
      </c>
      <c r="E21" s="3">
        <f>u*D25</f>
        <v>89.100000000000009</v>
      </c>
    </row>
    <row r="22" spans="1:6" x14ac:dyDescent="0.25">
      <c r="C22" s="2">
        <f>MAX(pflag*(C21-strike),0)</f>
        <v>0</v>
      </c>
      <c r="E22" s="2">
        <f>MAX(pflag*(E21-strike),0)</f>
        <v>0</v>
      </c>
    </row>
    <row r="23" spans="1:6" x14ac:dyDescent="0.25">
      <c r="C23" s="4">
        <f>(D20-D28)/(D17-D25)</f>
        <v>0.33933470507544616</v>
      </c>
      <c r="E23" s="4">
        <f>(F20-F28)/(F17-F25)</f>
        <v>0</v>
      </c>
    </row>
    <row r="24" spans="1:6" x14ac:dyDescent="0.25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25">
      <c r="D25" s="3">
        <f>v*C21</f>
        <v>81</v>
      </c>
      <c r="F25" s="3">
        <f>u*E29</f>
        <v>80.190000000000012</v>
      </c>
    </row>
    <row r="26" spans="1:6" x14ac:dyDescent="0.25">
      <c r="D26" s="2">
        <f>MAX(pflag*(D25-strike),0)</f>
        <v>0</v>
      </c>
      <c r="F26" s="2">
        <f>MAX(pflag*(F25-strike),0)</f>
        <v>0</v>
      </c>
    </row>
    <row r="27" spans="1:6" x14ac:dyDescent="0.25">
      <c r="D27" s="4">
        <f>(E24-E32)/(E21-E29)</f>
        <v>0</v>
      </c>
      <c r="F27" s="4"/>
    </row>
    <row r="28" spans="1:6" x14ac:dyDescent="0.25">
      <c r="D28" s="5">
        <f>MAX(DF*(pdash*E24+(1-pdash)*E32),USflag*D26)</f>
        <v>0</v>
      </c>
      <c r="F28" s="5">
        <f>F26</f>
        <v>0</v>
      </c>
    </row>
    <row r="29" spans="1:6" x14ac:dyDescent="0.25">
      <c r="E29" s="3">
        <f>v*D25</f>
        <v>72.900000000000006</v>
      </c>
    </row>
    <row r="30" spans="1:6" x14ac:dyDescent="0.25">
      <c r="E30" s="2">
        <f>MAX(pflag*(E29-strike),0)</f>
        <v>0</v>
      </c>
    </row>
    <row r="31" spans="1:6" x14ac:dyDescent="0.25">
      <c r="E31" s="4">
        <f>(F28-F36)/(F25-F33)</f>
        <v>0</v>
      </c>
    </row>
    <row r="32" spans="1:6" x14ac:dyDescent="0.25">
      <c r="E32" s="5">
        <f>MAX(DF*(pdash*F28+(1-pdash)*F36),USflag*E30)</f>
        <v>0</v>
      </c>
    </row>
    <row r="33" spans="6:6" x14ac:dyDescent="0.25">
      <c r="F33" s="3">
        <f>v*E29</f>
        <v>65.610000000000014</v>
      </c>
    </row>
    <row r="34" spans="6:6" x14ac:dyDescent="0.25">
      <c r="F34" s="2">
        <f>MAX(pflag*(F33-strike),0)</f>
        <v>0</v>
      </c>
    </row>
    <row r="35" spans="6:6" x14ac:dyDescent="0.25">
      <c r="F35" s="4"/>
    </row>
    <row r="36" spans="6:6" x14ac:dyDescent="0.25">
      <c r="F36" s="5">
        <f>F34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DF</vt:lpstr>
      <vt:lpstr>earlyexercise</vt:lpstr>
      <vt:lpstr>expn</vt:lpstr>
      <vt:lpstr>intrate</vt:lpstr>
      <vt:lpstr>payofftype</vt:lpstr>
      <vt:lpstr>pdash</vt:lpstr>
      <vt:lpstr>pflag</vt:lpstr>
      <vt:lpstr>stocktoday</vt:lpstr>
      <vt:lpstr>strike</vt:lpstr>
      <vt:lpstr>tstep</vt:lpstr>
      <vt:lpstr>u</vt:lpstr>
      <vt:lpstr>USflag</vt:lpstr>
      <vt:lpstr>v</vt:lpstr>
      <vt:lpstr>vol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Paul</cp:lastModifiedBy>
  <dcterms:created xsi:type="dcterms:W3CDTF">2016-07-14T14:50:24Z</dcterms:created>
  <dcterms:modified xsi:type="dcterms:W3CDTF">2021-06-29T18:43:46Z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1288225733</vt:i4>
  </property>
  <property fmtid="{D5CDD505-2E9C-101B-9397-08002B2CF9AE}" pid="3" name="_NewReviewCycle">
    <vt:lpwstr/>
  </property>
  <property fmtid="{D5CDD505-2E9C-101B-9397-08002B2CF9AE}" pid="4" name="_EmailSubject">
    <vt:lpwstr>CQF M1L5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McCluskey, Joanne</vt:lpwstr>
  </property>
  <property fmtid="{D5CDD505-2E9C-101B-9397-08002B2CF9AE}" pid="7" name="_ReviewingToolsShownOnce">
    <vt:lpwstr/>
  </property>
</Properties>
</file>